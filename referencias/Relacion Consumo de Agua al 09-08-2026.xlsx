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descargas\"/>
    </mc:Choice>
  </mc:AlternateContent>
  <xr:revisionPtr revIDLastSave="0" documentId="13_ncr:1_{18719E11-5F5A-45D6-B16C-837E93073F5F}" xr6:coauthVersionLast="47" xr6:coauthVersionMax="47" xr10:uidLastSave="{00000000-0000-0000-0000-000000000000}"/>
  <bookViews>
    <workbookView xWindow="28680" yWindow="6420" windowWidth="2064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1" l="1"/>
  <c r="M206" i="1"/>
  <c r="L206" i="1"/>
  <c r="K206" i="1"/>
  <c r="J206" i="1"/>
  <c r="I206" i="1"/>
  <c r="H206" i="1"/>
  <c r="G206" i="1"/>
  <c r="F206" i="1"/>
  <c r="E206" i="1"/>
  <c r="D206" i="1"/>
  <c r="C206" i="1"/>
  <c r="B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206" i="1" l="1"/>
</calcChain>
</file>

<file path=xl/sharedStrings.xml><?xml version="1.0" encoding="utf-8"?>
<sst xmlns="http://schemas.openxmlformats.org/spreadsheetml/2006/main" count="21" uniqueCount="18">
  <si>
    <t>LECTURA ANTERIOR (A)</t>
  </si>
  <si>
    <t>LECTURA ACTUAL (B)</t>
  </si>
  <si>
    <t>CONSUMO DE AGUA (B-A)</t>
  </si>
  <si>
    <t>JULIO</t>
  </si>
  <si>
    <t>AGOSTO</t>
  </si>
  <si>
    <t>SEPTIEMBRE</t>
  </si>
  <si>
    <t>OCTUBRE</t>
  </si>
  <si>
    <t>NOVIEMBRE</t>
  </si>
  <si>
    <t>DICIEMBRE</t>
  </si>
  <si>
    <t>FEBRERO</t>
  </si>
  <si>
    <t>MARZO</t>
  </si>
  <si>
    <t>ABRIL</t>
  </si>
  <si>
    <t>JUNIO</t>
  </si>
  <si>
    <t>PREDIO</t>
  </si>
  <si>
    <t>LAV-001</t>
  </si>
  <si>
    <t>EDIFICIO PACIFIK OCEAN TOWER</t>
  </si>
  <si>
    <t xml:space="preserve">RELACION CONSUMO DE AGUA </t>
  </si>
  <si>
    <t>AL 09-08-2026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</si>
</sst>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66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4" fontId="2" fillId="2" borderId="18" xfId="0" applyNumberFormat="1" applyFont="1" applyFill="1" applyBorder="1" applyAlignment="1">
      <alignment horizontal="center" vertical="center"/>
    </xf>
    <xf numFmtId="4" fontId="2" fillId="2" borderId="19" xfId="0" applyNumberFormat="1" applyFont="1" applyFill="1" applyBorder="1" applyAlignment="1">
      <alignment horizontal="center" vertical="center"/>
    </xf>
    <xf numFmtId="4" fontId="2" fillId="2" borderId="20" xfId="0" applyNumberFormat="1" applyFont="1" applyFill="1" applyBorder="1" applyAlignment="1">
      <alignment horizontal="center" vertical="center"/>
    </xf>
    <xf numFmtId="164" fontId="0" fillId="0" borderId="0" xfId="0" applyNumberFormat="1"/>
    <xf numFmtId="43" fontId="0" fillId="0" borderId="0" xfId="1" applyFont="1" applyAlignment="1">
      <alignment vertic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topLeftCell="A49" workbookViewId="0">
      <selection activeCell="N59" sqref="N59"/>
    </sheetView>
  </sheetViews>
  <sheetFormatPr baseColWidth="10" defaultRowHeight="15" x14ac:dyDescent="0.25"/>
  <cols>
    <col min="1" max="1" width="11.42578125" style="25"/>
    <col min="2" max="3" width="14.7109375" customWidth="1"/>
    <col min="4" max="13" width="13.85546875" customWidth="1"/>
    <col min="14" max="14" width="14.28515625" customWidth="1"/>
  </cols>
  <sheetData>
    <row r="1" spans="1:14" x14ac:dyDescent="0.25">
      <c r="A1" s="33" t="s">
        <v>15</v>
      </c>
    </row>
    <row r="2" spans="1:14" x14ac:dyDescent="0.25">
      <c r="A2" s="33" t="s">
        <v>16</v>
      </c>
    </row>
    <row r="3" spans="1:14" ht="15.75" thickBot="1" x14ac:dyDescent="0.3">
      <c r="A3" s="33" t="s">
        <v>17</v>
      </c>
    </row>
    <row r="4" spans="1:14" ht="24" x14ac:dyDescent="0.25">
      <c r="A4" s="37" t="s">
        <v>13</v>
      </c>
      <c r="B4" s="1" t="s">
        <v>0</v>
      </c>
      <c r="C4" s="2" t="s">
        <v>1</v>
      </c>
      <c r="D4" s="34" t="s">
        <v>2</v>
      </c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15.75" thickBot="1" x14ac:dyDescent="0.3">
      <c r="A5" s="38"/>
      <c r="B5" s="3" t="s">
        <v>3</v>
      </c>
      <c r="C5" s="4" t="s">
        <v>4</v>
      </c>
      <c r="D5" s="3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3</v>
      </c>
      <c r="N5" s="4" t="s">
        <v>4</v>
      </c>
    </row>
    <row r="6" spans="1:14" x14ac:dyDescent="0.25">
      <c r="A6" s="26">
        <v>101</v>
      </c>
      <c r="B6" s="7">
        <v>1139.144</v>
      </c>
      <c r="C6" s="8">
        <v>1171.758</v>
      </c>
      <c r="D6" s="7"/>
      <c r="E6" s="9"/>
      <c r="F6" s="9"/>
      <c r="G6" s="9"/>
      <c r="H6" s="9"/>
      <c r="I6" s="9"/>
      <c r="J6" s="10"/>
      <c r="K6" s="10"/>
      <c r="L6" s="10">
        <v>23.842999999999847</v>
      </c>
      <c r="M6" s="10">
        <v>26.101000000000113</v>
      </c>
      <c r="N6" s="8">
        <f>+C6-B6</f>
        <v>32.614000000000033</v>
      </c>
    </row>
    <row r="7" spans="1:14" x14ac:dyDescent="0.25">
      <c r="A7" s="26">
        <v>102</v>
      </c>
      <c r="B7" s="11">
        <v>353.20600000000002</v>
      </c>
      <c r="C7" s="12">
        <v>365.30399999999997</v>
      </c>
      <c r="D7" s="11"/>
      <c r="E7" s="13"/>
      <c r="F7" s="13"/>
      <c r="G7" s="13"/>
      <c r="H7" s="13"/>
      <c r="I7" s="13"/>
      <c r="J7" s="10"/>
      <c r="K7" s="10"/>
      <c r="L7" s="10">
        <v>2.228999999999985</v>
      </c>
      <c r="M7" s="10">
        <v>4.7520000000000095</v>
      </c>
      <c r="N7" s="8">
        <f t="shared" ref="N7:N69" si="0">+C7-B7</f>
        <v>12.097999999999956</v>
      </c>
    </row>
    <row r="8" spans="1:14" x14ac:dyDescent="0.25">
      <c r="A8" s="26">
        <v>103</v>
      </c>
      <c r="B8" s="11">
        <v>51.231999999999999</v>
      </c>
      <c r="C8" s="12">
        <v>51.237000000000002</v>
      </c>
      <c r="D8" s="11"/>
      <c r="E8" s="13"/>
      <c r="F8" s="13"/>
      <c r="G8" s="13"/>
      <c r="H8" s="13"/>
      <c r="I8" s="13"/>
      <c r="J8" s="10"/>
      <c r="K8" s="10"/>
      <c r="L8" s="10">
        <v>0</v>
      </c>
      <c r="M8" s="10">
        <v>0</v>
      </c>
      <c r="N8" s="8">
        <f t="shared" si="0"/>
        <v>5.000000000002558E-3</v>
      </c>
    </row>
    <row r="9" spans="1:14" x14ac:dyDescent="0.25">
      <c r="A9" s="26">
        <v>104</v>
      </c>
      <c r="B9" s="11">
        <v>456.28500000000003</v>
      </c>
      <c r="C9" s="12">
        <v>470.274</v>
      </c>
      <c r="D9" s="11"/>
      <c r="E9" s="13"/>
      <c r="F9" s="13"/>
      <c r="G9" s="13"/>
      <c r="H9" s="13"/>
      <c r="I9" s="13"/>
      <c r="J9" s="10"/>
      <c r="K9" s="10"/>
      <c r="L9" s="10">
        <v>10.033999999999992</v>
      </c>
      <c r="M9" s="10">
        <v>10.474000000000046</v>
      </c>
      <c r="N9" s="8">
        <f t="shared" si="0"/>
        <v>13.988999999999976</v>
      </c>
    </row>
    <row r="10" spans="1:14" x14ac:dyDescent="0.25">
      <c r="A10" s="26">
        <v>105</v>
      </c>
      <c r="B10" s="11">
        <v>733.02200000000005</v>
      </c>
      <c r="C10" s="12">
        <v>749.06600000000003</v>
      </c>
      <c r="D10" s="11"/>
      <c r="E10" s="13"/>
      <c r="F10" s="13"/>
      <c r="G10" s="13"/>
      <c r="H10" s="13"/>
      <c r="I10" s="13"/>
      <c r="J10" s="10"/>
      <c r="K10" s="10"/>
      <c r="L10" s="10">
        <v>15.299999999999955</v>
      </c>
      <c r="M10" s="10">
        <v>17.647000000000048</v>
      </c>
      <c r="N10" s="8">
        <f t="shared" si="0"/>
        <v>16.043999999999983</v>
      </c>
    </row>
    <row r="11" spans="1:14" x14ac:dyDescent="0.25">
      <c r="A11" s="26">
        <v>106</v>
      </c>
      <c r="B11" s="11">
        <v>481.17200000000003</v>
      </c>
      <c r="C11" s="12">
        <v>491.45800000000003</v>
      </c>
      <c r="D11" s="11"/>
      <c r="E11" s="13"/>
      <c r="F11" s="13"/>
      <c r="G11" s="13"/>
      <c r="H11" s="13"/>
      <c r="I11" s="13"/>
      <c r="J11" s="10"/>
      <c r="K11" s="10"/>
      <c r="L11" s="10">
        <v>6.9669999999999845</v>
      </c>
      <c r="M11" s="10">
        <v>8.3500000000000227</v>
      </c>
      <c r="N11" s="8">
        <f t="shared" si="0"/>
        <v>10.286000000000001</v>
      </c>
    </row>
    <row r="12" spans="1:14" x14ac:dyDescent="0.25">
      <c r="A12" s="26">
        <v>107</v>
      </c>
      <c r="B12" s="11">
        <v>33.094999999999999</v>
      </c>
      <c r="C12" s="12">
        <v>34.177999999999997</v>
      </c>
      <c r="D12" s="11"/>
      <c r="E12" s="13"/>
      <c r="F12" s="13"/>
      <c r="G12" s="13"/>
      <c r="H12" s="13"/>
      <c r="I12" s="13"/>
      <c r="J12" s="10"/>
      <c r="K12" s="10"/>
      <c r="L12" s="10">
        <v>0.67499999999999716</v>
      </c>
      <c r="M12" s="10">
        <v>0.64300000000000068</v>
      </c>
      <c r="N12" s="8">
        <f t="shared" si="0"/>
        <v>1.0829999999999984</v>
      </c>
    </row>
    <row r="13" spans="1:14" x14ac:dyDescent="0.25">
      <c r="A13" s="26">
        <v>201</v>
      </c>
      <c r="B13" s="11">
        <v>239.39099999999999</v>
      </c>
      <c r="C13" s="12">
        <v>250.25800000000001</v>
      </c>
      <c r="D13" s="11"/>
      <c r="E13" s="13"/>
      <c r="F13" s="13"/>
      <c r="G13" s="13"/>
      <c r="H13" s="13"/>
      <c r="I13" s="13"/>
      <c r="J13" s="10"/>
      <c r="K13" s="10"/>
      <c r="L13" s="10">
        <v>5.9759999999999991</v>
      </c>
      <c r="M13" s="10">
        <v>5.9710000000000036</v>
      </c>
      <c r="N13" s="8">
        <f t="shared" si="0"/>
        <v>10.867000000000019</v>
      </c>
    </row>
    <row r="14" spans="1:14" x14ac:dyDescent="0.25">
      <c r="A14" s="26">
        <v>202</v>
      </c>
      <c r="B14" s="11">
        <v>188.04</v>
      </c>
      <c r="C14" s="12">
        <v>201.55099999999999</v>
      </c>
      <c r="D14" s="11"/>
      <c r="E14" s="13"/>
      <c r="F14" s="13"/>
      <c r="G14" s="13"/>
      <c r="H14" s="13"/>
      <c r="I14" s="13"/>
      <c r="J14" s="10"/>
      <c r="K14" s="10"/>
      <c r="L14" s="10">
        <v>8.2179999999999893</v>
      </c>
      <c r="M14" s="10">
        <v>11.388000000000005</v>
      </c>
      <c r="N14" s="8">
        <f t="shared" si="0"/>
        <v>13.510999999999996</v>
      </c>
    </row>
    <row r="15" spans="1:14" x14ac:dyDescent="0.25">
      <c r="A15" s="26">
        <v>203</v>
      </c>
      <c r="B15" s="11">
        <v>417.16</v>
      </c>
      <c r="C15" s="12">
        <v>429.52</v>
      </c>
      <c r="D15" s="11"/>
      <c r="E15" s="13"/>
      <c r="F15" s="13"/>
      <c r="G15" s="13"/>
      <c r="H15" s="13"/>
      <c r="I15" s="13"/>
      <c r="J15" s="10"/>
      <c r="K15" s="10"/>
      <c r="L15" s="10">
        <v>4.0169999999999959</v>
      </c>
      <c r="M15" s="10">
        <v>4.1170000000000186</v>
      </c>
      <c r="N15" s="8">
        <f t="shared" si="0"/>
        <v>12.359999999999957</v>
      </c>
    </row>
    <row r="16" spans="1:14" x14ac:dyDescent="0.25">
      <c r="A16" s="26">
        <v>204</v>
      </c>
      <c r="B16" s="11">
        <v>224.15299999999999</v>
      </c>
      <c r="C16" s="12">
        <v>231.369</v>
      </c>
      <c r="D16" s="11"/>
      <c r="E16" s="13"/>
      <c r="F16" s="13"/>
      <c r="G16" s="13"/>
      <c r="H16" s="13"/>
      <c r="I16" s="13"/>
      <c r="J16" s="10"/>
      <c r="K16" s="10"/>
      <c r="L16" s="10">
        <v>6.4919999999999902</v>
      </c>
      <c r="M16" s="10">
        <v>6.7959999999999923</v>
      </c>
      <c r="N16" s="8">
        <f t="shared" si="0"/>
        <v>7.2160000000000082</v>
      </c>
    </row>
    <row r="17" spans="1:14" x14ac:dyDescent="0.25">
      <c r="A17" s="26">
        <v>204</v>
      </c>
      <c r="B17" s="11">
        <v>0</v>
      </c>
      <c r="C17" s="12">
        <v>0</v>
      </c>
      <c r="D17" s="11"/>
      <c r="E17" s="13"/>
      <c r="F17" s="13"/>
      <c r="G17" s="13"/>
      <c r="H17" s="13"/>
      <c r="I17" s="13"/>
      <c r="J17" s="10"/>
      <c r="K17" s="10"/>
      <c r="L17" s="10">
        <v>0</v>
      </c>
      <c r="M17" s="10">
        <v>0</v>
      </c>
      <c r="N17" s="8">
        <f t="shared" si="0"/>
        <v>0</v>
      </c>
    </row>
    <row r="18" spans="1:14" x14ac:dyDescent="0.25">
      <c r="A18" s="26">
        <v>205</v>
      </c>
      <c r="B18" s="11">
        <v>261.77499999999998</v>
      </c>
      <c r="C18" s="12">
        <v>273.59199999999998</v>
      </c>
      <c r="D18" s="11"/>
      <c r="E18" s="13"/>
      <c r="F18" s="13"/>
      <c r="G18" s="13"/>
      <c r="H18" s="13"/>
      <c r="I18" s="13"/>
      <c r="J18" s="10"/>
      <c r="K18" s="10"/>
      <c r="L18" s="10">
        <v>7.9029999999999916</v>
      </c>
      <c r="M18" s="10">
        <v>7.0989999999999895</v>
      </c>
      <c r="N18" s="8">
        <f t="shared" si="0"/>
        <v>11.817000000000007</v>
      </c>
    </row>
    <row r="19" spans="1:14" x14ac:dyDescent="0.25">
      <c r="A19" s="26">
        <v>206</v>
      </c>
      <c r="B19" s="11">
        <v>171.292</v>
      </c>
      <c r="C19" s="12">
        <v>177.46100000000001</v>
      </c>
      <c r="D19" s="11"/>
      <c r="E19" s="13"/>
      <c r="F19" s="13"/>
      <c r="G19" s="13"/>
      <c r="H19" s="13"/>
      <c r="I19" s="13"/>
      <c r="J19" s="10"/>
      <c r="K19" s="10"/>
      <c r="L19" s="10">
        <v>2.8729999999999905</v>
      </c>
      <c r="M19" s="10">
        <v>4.0370000000000061</v>
      </c>
      <c r="N19" s="8">
        <f t="shared" si="0"/>
        <v>6.1690000000000111</v>
      </c>
    </row>
    <row r="20" spans="1:14" x14ac:dyDescent="0.25">
      <c r="A20" s="26">
        <v>207</v>
      </c>
      <c r="B20" s="11">
        <v>274.52999999999997</v>
      </c>
      <c r="C20" s="12">
        <v>282.411</v>
      </c>
      <c r="D20" s="11"/>
      <c r="E20" s="13"/>
      <c r="F20" s="13"/>
      <c r="G20" s="13"/>
      <c r="H20" s="13"/>
      <c r="I20" s="13"/>
      <c r="J20" s="10"/>
      <c r="K20" s="10"/>
      <c r="L20" s="10">
        <v>6.2970000000000255</v>
      </c>
      <c r="M20" s="10">
        <v>6.0449999999999591</v>
      </c>
      <c r="N20" s="8">
        <f t="shared" si="0"/>
        <v>7.8810000000000286</v>
      </c>
    </row>
    <row r="21" spans="1:14" x14ac:dyDescent="0.25">
      <c r="A21" s="26">
        <v>208</v>
      </c>
      <c r="B21" s="11">
        <v>394.86799999999999</v>
      </c>
      <c r="C21" s="12">
        <v>409.33699999999999</v>
      </c>
      <c r="D21" s="11"/>
      <c r="E21" s="13"/>
      <c r="F21" s="13"/>
      <c r="G21" s="13"/>
      <c r="H21" s="13"/>
      <c r="I21" s="13"/>
      <c r="J21" s="10"/>
      <c r="K21" s="10"/>
      <c r="L21" s="10">
        <v>10.154999999999973</v>
      </c>
      <c r="M21" s="10">
        <v>12.113</v>
      </c>
      <c r="N21" s="8">
        <f t="shared" si="0"/>
        <v>14.468999999999994</v>
      </c>
    </row>
    <row r="22" spans="1:14" x14ac:dyDescent="0.25">
      <c r="A22" s="26">
        <v>209</v>
      </c>
      <c r="B22" s="11">
        <v>22.919</v>
      </c>
      <c r="C22" s="12">
        <v>23.870999999999999</v>
      </c>
      <c r="D22" s="11"/>
      <c r="E22" s="13"/>
      <c r="F22" s="13"/>
      <c r="G22" s="13"/>
      <c r="H22" s="13"/>
      <c r="I22" s="13"/>
      <c r="J22" s="10"/>
      <c r="K22" s="10"/>
      <c r="L22" s="10">
        <v>1.338000000000001</v>
      </c>
      <c r="M22" s="10">
        <v>0</v>
      </c>
      <c r="N22" s="8">
        <f t="shared" si="0"/>
        <v>0.95199999999999818</v>
      </c>
    </row>
    <row r="23" spans="1:14" x14ac:dyDescent="0.25">
      <c r="A23" s="26">
        <v>210</v>
      </c>
      <c r="B23" s="11">
        <v>501.68799999999999</v>
      </c>
      <c r="C23" s="12">
        <v>514.346</v>
      </c>
      <c r="D23" s="11"/>
      <c r="E23" s="13"/>
      <c r="F23" s="13"/>
      <c r="G23" s="13"/>
      <c r="H23" s="13"/>
      <c r="I23" s="13"/>
      <c r="J23" s="10"/>
      <c r="K23" s="10"/>
      <c r="L23" s="10">
        <v>8.1209999999999809</v>
      </c>
      <c r="M23" s="10">
        <v>8.9230000000000018</v>
      </c>
      <c r="N23" s="8">
        <f t="shared" si="0"/>
        <v>12.658000000000015</v>
      </c>
    </row>
    <row r="24" spans="1:14" x14ac:dyDescent="0.25">
      <c r="A24" s="26">
        <v>301</v>
      </c>
      <c r="B24" s="11">
        <v>86.090999999999994</v>
      </c>
      <c r="C24" s="12">
        <v>87.963999999999999</v>
      </c>
      <c r="D24" s="11"/>
      <c r="E24" s="13"/>
      <c r="F24" s="13"/>
      <c r="G24" s="13"/>
      <c r="H24" s="13"/>
      <c r="I24" s="13"/>
      <c r="J24" s="10"/>
      <c r="K24" s="10"/>
      <c r="L24" s="10">
        <v>2.0480000000000018</v>
      </c>
      <c r="M24" s="10">
        <v>0.46199999999998909</v>
      </c>
      <c r="N24" s="8">
        <f t="shared" si="0"/>
        <v>1.8730000000000047</v>
      </c>
    </row>
    <row r="25" spans="1:14" x14ac:dyDescent="0.25">
      <c r="A25" s="26">
        <v>302</v>
      </c>
      <c r="B25" s="11">
        <v>111.968</v>
      </c>
      <c r="C25" s="12">
        <v>119.246</v>
      </c>
      <c r="D25" s="11"/>
      <c r="E25" s="13"/>
      <c r="F25" s="13"/>
      <c r="G25" s="13"/>
      <c r="H25" s="13"/>
      <c r="I25" s="13"/>
      <c r="J25" s="10"/>
      <c r="K25" s="10"/>
      <c r="L25" s="10">
        <v>6.0229999999999961</v>
      </c>
      <c r="M25" s="10">
        <v>6.4900000000000091</v>
      </c>
      <c r="N25" s="12">
        <f t="shared" si="0"/>
        <v>7.2779999999999916</v>
      </c>
    </row>
    <row r="26" spans="1:14" x14ac:dyDescent="0.25">
      <c r="A26" s="26">
        <v>303</v>
      </c>
      <c r="B26" s="11">
        <v>69.212999999999994</v>
      </c>
      <c r="C26" s="12">
        <v>69.221000000000004</v>
      </c>
      <c r="D26" s="11"/>
      <c r="E26" s="13"/>
      <c r="F26" s="13"/>
      <c r="G26" s="13"/>
      <c r="H26" s="13"/>
      <c r="I26" s="13"/>
      <c r="J26" s="10"/>
      <c r="K26" s="10"/>
      <c r="L26" s="10">
        <v>0.30400000000000205</v>
      </c>
      <c r="M26" s="10">
        <v>6.799999999999784E-2</v>
      </c>
      <c r="N26" s="12">
        <f t="shared" si="0"/>
        <v>8.0000000000097771E-3</v>
      </c>
    </row>
    <row r="27" spans="1:14" x14ac:dyDescent="0.25">
      <c r="A27" s="26">
        <v>304</v>
      </c>
      <c r="B27" s="11">
        <v>549.66800000000001</v>
      </c>
      <c r="C27" s="12">
        <v>561.75900000000001</v>
      </c>
      <c r="D27" s="11"/>
      <c r="E27" s="13"/>
      <c r="F27" s="13"/>
      <c r="G27" s="13"/>
      <c r="H27" s="13"/>
      <c r="I27" s="13"/>
      <c r="J27" s="10"/>
      <c r="K27" s="10"/>
      <c r="L27" s="10">
        <v>6.5090000000000146</v>
      </c>
      <c r="M27" s="10">
        <v>6.0570000000000164</v>
      </c>
      <c r="N27" s="12">
        <f t="shared" si="0"/>
        <v>12.091000000000008</v>
      </c>
    </row>
    <row r="28" spans="1:14" x14ac:dyDescent="0.25">
      <c r="A28" s="26">
        <v>305</v>
      </c>
      <c r="B28" s="11">
        <v>139.429</v>
      </c>
      <c r="C28" s="12">
        <v>152.523</v>
      </c>
      <c r="D28" s="11"/>
      <c r="E28" s="13"/>
      <c r="F28" s="13"/>
      <c r="G28" s="13"/>
      <c r="H28" s="13"/>
      <c r="I28" s="13"/>
      <c r="J28" s="10"/>
      <c r="K28" s="10"/>
      <c r="L28" s="10">
        <v>7.1580000000000155</v>
      </c>
      <c r="M28" s="10">
        <v>5.7719999999999914</v>
      </c>
      <c r="N28" s="12">
        <f t="shared" si="0"/>
        <v>13.093999999999994</v>
      </c>
    </row>
    <row r="29" spans="1:14" x14ac:dyDescent="0.25">
      <c r="A29" s="26">
        <v>306</v>
      </c>
      <c r="B29" s="11">
        <v>353.47899999999998</v>
      </c>
      <c r="C29" s="12">
        <v>364.27300000000002</v>
      </c>
      <c r="D29" s="11"/>
      <c r="E29" s="13"/>
      <c r="F29" s="13"/>
      <c r="G29" s="13"/>
      <c r="H29" s="13"/>
      <c r="I29" s="13"/>
      <c r="J29" s="10"/>
      <c r="K29" s="10"/>
      <c r="L29" s="10">
        <v>7.700999999999965</v>
      </c>
      <c r="M29" s="10">
        <v>8.9110000000000014</v>
      </c>
      <c r="N29" s="12">
        <f t="shared" si="0"/>
        <v>10.79400000000004</v>
      </c>
    </row>
    <row r="30" spans="1:14" x14ac:dyDescent="0.25">
      <c r="A30" s="26">
        <v>307</v>
      </c>
      <c r="B30" s="11">
        <v>370.50400000000002</v>
      </c>
      <c r="C30" s="12">
        <v>384.875</v>
      </c>
      <c r="D30" s="11"/>
      <c r="E30" s="13"/>
      <c r="F30" s="13"/>
      <c r="G30" s="13"/>
      <c r="H30" s="13"/>
      <c r="I30" s="13"/>
      <c r="J30" s="10"/>
      <c r="K30" s="10"/>
      <c r="L30" s="10">
        <v>8.7779999999999632</v>
      </c>
      <c r="M30" s="10">
        <v>10.037000000000035</v>
      </c>
      <c r="N30" s="12">
        <f t="shared" si="0"/>
        <v>14.370999999999981</v>
      </c>
    </row>
    <row r="31" spans="1:14" x14ac:dyDescent="0.25">
      <c r="A31" s="26">
        <v>308</v>
      </c>
      <c r="B31" s="11">
        <v>172.274</v>
      </c>
      <c r="C31" s="12">
        <v>176.67</v>
      </c>
      <c r="D31" s="11"/>
      <c r="E31" s="13"/>
      <c r="F31" s="13"/>
      <c r="G31" s="13"/>
      <c r="H31" s="13"/>
      <c r="I31" s="13"/>
      <c r="J31" s="10"/>
      <c r="K31" s="10"/>
      <c r="L31" s="10">
        <v>0.16799999999997794</v>
      </c>
      <c r="M31" s="10">
        <v>3.2400000000000091</v>
      </c>
      <c r="N31" s="12">
        <f t="shared" si="0"/>
        <v>4.3959999999999866</v>
      </c>
    </row>
    <row r="32" spans="1:14" x14ac:dyDescent="0.25">
      <c r="A32" s="26">
        <v>309</v>
      </c>
      <c r="B32" s="11">
        <v>107.538</v>
      </c>
      <c r="C32" s="12">
        <v>109.364</v>
      </c>
      <c r="D32" s="11"/>
      <c r="E32" s="13"/>
      <c r="F32" s="13"/>
      <c r="G32" s="13"/>
      <c r="H32" s="13"/>
      <c r="I32" s="13"/>
      <c r="J32" s="10"/>
      <c r="K32" s="10"/>
      <c r="L32" s="10">
        <v>1.5889999999999986</v>
      </c>
      <c r="M32" s="10">
        <v>1.1599999999999966</v>
      </c>
      <c r="N32" s="12">
        <f t="shared" si="0"/>
        <v>1.8260000000000076</v>
      </c>
    </row>
    <row r="33" spans="1:14" x14ac:dyDescent="0.25">
      <c r="A33" s="26">
        <v>310</v>
      </c>
      <c r="B33" s="11">
        <v>194.79499999999999</v>
      </c>
      <c r="C33" s="12">
        <v>199.893</v>
      </c>
      <c r="D33" s="11"/>
      <c r="E33" s="13"/>
      <c r="F33" s="13"/>
      <c r="G33" s="13"/>
      <c r="H33" s="13"/>
      <c r="I33" s="13"/>
      <c r="J33" s="10"/>
      <c r="K33" s="10"/>
      <c r="L33" s="10">
        <v>5.0130000000000052</v>
      </c>
      <c r="M33" s="10">
        <v>4.5509999999999877</v>
      </c>
      <c r="N33" s="12">
        <f t="shared" si="0"/>
        <v>5.0980000000000132</v>
      </c>
    </row>
    <row r="34" spans="1:14" x14ac:dyDescent="0.25">
      <c r="A34" s="26">
        <v>311</v>
      </c>
      <c r="B34" s="11">
        <v>312.63799999999998</v>
      </c>
      <c r="C34" s="12">
        <v>319.39999999999998</v>
      </c>
      <c r="D34" s="11"/>
      <c r="E34" s="13"/>
      <c r="F34" s="13"/>
      <c r="G34" s="13"/>
      <c r="H34" s="13"/>
      <c r="I34" s="13"/>
      <c r="J34" s="10"/>
      <c r="K34" s="10"/>
      <c r="L34" s="10">
        <v>5.7529999999999859</v>
      </c>
      <c r="M34" s="10">
        <v>0.67899999999997362</v>
      </c>
      <c r="N34" s="12">
        <f t="shared" si="0"/>
        <v>6.7620000000000005</v>
      </c>
    </row>
    <row r="35" spans="1:14" x14ac:dyDescent="0.25">
      <c r="A35" s="26">
        <v>312</v>
      </c>
      <c r="B35" s="11">
        <v>537.60199999999998</v>
      </c>
      <c r="C35" s="12">
        <v>552.88099999999997</v>
      </c>
      <c r="D35" s="11"/>
      <c r="E35" s="13"/>
      <c r="F35" s="13"/>
      <c r="G35" s="13"/>
      <c r="H35" s="13"/>
      <c r="I35" s="13"/>
      <c r="J35" s="10"/>
      <c r="K35" s="10"/>
      <c r="L35" s="10">
        <v>11.599999999999909</v>
      </c>
      <c r="M35" s="10">
        <v>11.340000000000032</v>
      </c>
      <c r="N35" s="12">
        <f t="shared" si="0"/>
        <v>15.278999999999996</v>
      </c>
    </row>
    <row r="36" spans="1:14" x14ac:dyDescent="0.25">
      <c r="A36" s="26">
        <v>401</v>
      </c>
      <c r="B36" s="11">
        <v>404.32499999999999</v>
      </c>
      <c r="C36" s="12">
        <v>413.52199999999999</v>
      </c>
      <c r="D36" s="11"/>
      <c r="E36" s="13"/>
      <c r="F36" s="13"/>
      <c r="G36" s="13"/>
      <c r="H36" s="13"/>
      <c r="I36" s="13"/>
      <c r="J36" s="10"/>
      <c r="K36" s="10"/>
      <c r="L36" s="10">
        <v>21.711999999999989</v>
      </c>
      <c r="M36" s="10">
        <v>1.7470000000000141</v>
      </c>
      <c r="N36" s="12">
        <f t="shared" si="0"/>
        <v>9.1970000000000027</v>
      </c>
    </row>
    <row r="37" spans="1:14" x14ac:dyDescent="0.25">
      <c r="A37" s="26">
        <v>402</v>
      </c>
      <c r="B37" s="11">
        <v>390.483</v>
      </c>
      <c r="C37" s="12">
        <v>397.16199999999998</v>
      </c>
      <c r="D37" s="11"/>
      <c r="E37" s="13"/>
      <c r="F37" s="13"/>
      <c r="G37" s="13"/>
      <c r="H37" s="13"/>
      <c r="I37" s="13"/>
      <c r="J37" s="10"/>
      <c r="K37" s="10"/>
      <c r="L37" s="10">
        <v>4.228999999999985</v>
      </c>
      <c r="M37" s="10">
        <v>5.0380000000000109</v>
      </c>
      <c r="N37" s="12">
        <f t="shared" si="0"/>
        <v>6.6789999999999736</v>
      </c>
    </row>
    <row r="38" spans="1:14" x14ac:dyDescent="0.25">
      <c r="A38" s="26">
        <v>403</v>
      </c>
      <c r="B38" s="11">
        <v>457.30700000000002</v>
      </c>
      <c r="C38" s="12">
        <v>468.70100000000002</v>
      </c>
      <c r="D38" s="11"/>
      <c r="E38" s="13"/>
      <c r="F38" s="13"/>
      <c r="G38" s="13"/>
      <c r="H38" s="13"/>
      <c r="I38" s="13"/>
      <c r="J38" s="10"/>
      <c r="K38" s="10"/>
      <c r="L38" s="10">
        <v>6.7100000000000364</v>
      </c>
      <c r="M38" s="10">
        <v>9.0480000000000018</v>
      </c>
      <c r="N38" s="12">
        <f t="shared" si="0"/>
        <v>11.394000000000005</v>
      </c>
    </row>
    <row r="39" spans="1:14" x14ac:dyDescent="0.25">
      <c r="A39" s="26">
        <v>403</v>
      </c>
      <c r="B39" s="11">
        <v>0</v>
      </c>
      <c r="C39" s="12">
        <v>0</v>
      </c>
      <c r="D39" s="11"/>
      <c r="E39" s="13"/>
      <c r="F39" s="13"/>
      <c r="G39" s="13"/>
      <c r="H39" s="13"/>
      <c r="I39" s="13"/>
      <c r="J39" s="10"/>
      <c r="K39" s="10"/>
      <c r="L39" s="10">
        <v>0</v>
      </c>
      <c r="M39" s="10">
        <v>0</v>
      </c>
      <c r="N39" s="12">
        <f t="shared" si="0"/>
        <v>0</v>
      </c>
    </row>
    <row r="40" spans="1:14" x14ac:dyDescent="0.25">
      <c r="A40" s="26">
        <v>404</v>
      </c>
      <c r="B40" s="11">
        <v>134.84200000000001</v>
      </c>
      <c r="C40" s="12">
        <v>143.53899999999999</v>
      </c>
      <c r="D40" s="11"/>
      <c r="E40" s="13"/>
      <c r="F40" s="13"/>
      <c r="G40" s="13"/>
      <c r="H40" s="13"/>
      <c r="I40" s="13"/>
      <c r="J40" s="10"/>
      <c r="K40" s="10"/>
      <c r="L40" s="10">
        <v>5.6990000000000123</v>
      </c>
      <c r="M40" s="10">
        <v>8.5430000000000064</v>
      </c>
      <c r="N40" s="12">
        <f t="shared" si="0"/>
        <v>8.6969999999999743</v>
      </c>
    </row>
    <row r="41" spans="1:14" x14ac:dyDescent="0.25">
      <c r="A41" s="26">
        <v>405</v>
      </c>
      <c r="B41" s="11">
        <v>568.07600000000002</v>
      </c>
      <c r="C41" s="12">
        <v>583.95500000000004</v>
      </c>
      <c r="D41" s="11"/>
      <c r="E41" s="13"/>
      <c r="F41" s="13"/>
      <c r="G41" s="13"/>
      <c r="H41" s="13"/>
      <c r="I41" s="13"/>
      <c r="J41" s="10"/>
      <c r="K41" s="10"/>
      <c r="L41" s="10">
        <v>11.565000000000055</v>
      </c>
      <c r="M41" s="10">
        <v>10.83299999999997</v>
      </c>
      <c r="N41" s="12">
        <f t="shared" si="0"/>
        <v>15.879000000000019</v>
      </c>
    </row>
    <row r="42" spans="1:14" x14ac:dyDescent="0.25">
      <c r="A42" s="26">
        <v>406</v>
      </c>
      <c r="B42" s="11">
        <v>267.125</v>
      </c>
      <c r="C42" s="12">
        <v>270.827</v>
      </c>
      <c r="D42" s="11"/>
      <c r="E42" s="13"/>
      <c r="F42" s="13"/>
      <c r="G42" s="13"/>
      <c r="H42" s="13"/>
      <c r="I42" s="13"/>
      <c r="J42" s="10"/>
      <c r="K42" s="10"/>
      <c r="L42" s="10">
        <v>2.0439999999999827</v>
      </c>
      <c r="M42" s="10">
        <v>2.3910000000000196</v>
      </c>
      <c r="N42" s="12">
        <f t="shared" si="0"/>
        <v>3.7019999999999982</v>
      </c>
    </row>
    <row r="43" spans="1:14" x14ac:dyDescent="0.25">
      <c r="A43" s="26">
        <v>407</v>
      </c>
      <c r="B43" s="11">
        <v>395.05700000000002</v>
      </c>
      <c r="C43" s="12">
        <v>410.142</v>
      </c>
      <c r="D43" s="11"/>
      <c r="E43" s="13"/>
      <c r="F43" s="13"/>
      <c r="G43" s="13"/>
      <c r="H43" s="13"/>
      <c r="I43" s="13"/>
      <c r="J43" s="10"/>
      <c r="K43" s="10"/>
      <c r="L43" s="10">
        <v>6.5480000000000018</v>
      </c>
      <c r="M43" s="10">
        <v>7.9519999999999982</v>
      </c>
      <c r="N43" s="12">
        <f t="shared" si="0"/>
        <v>15.08499999999998</v>
      </c>
    </row>
    <row r="44" spans="1:14" x14ac:dyDescent="0.25">
      <c r="A44" s="26">
        <v>408</v>
      </c>
      <c r="B44" s="11">
        <v>127.3</v>
      </c>
      <c r="C44" s="12">
        <v>131.62200000000001</v>
      </c>
      <c r="D44" s="11"/>
      <c r="E44" s="13"/>
      <c r="F44" s="13"/>
      <c r="G44" s="13"/>
      <c r="H44" s="13"/>
      <c r="I44" s="13"/>
      <c r="J44" s="10"/>
      <c r="K44" s="10"/>
      <c r="L44" s="10">
        <v>2.9509999999999934</v>
      </c>
      <c r="M44" s="10">
        <v>2.9309999999999974</v>
      </c>
      <c r="N44" s="12">
        <f t="shared" si="0"/>
        <v>4.3220000000000169</v>
      </c>
    </row>
    <row r="45" spans="1:14" x14ac:dyDescent="0.25">
      <c r="A45" s="26">
        <v>409</v>
      </c>
      <c r="B45" s="11">
        <v>58.026000000000003</v>
      </c>
      <c r="C45" s="12">
        <v>72.396000000000001</v>
      </c>
      <c r="D45" s="11"/>
      <c r="E45" s="13"/>
      <c r="F45" s="13"/>
      <c r="G45" s="13"/>
      <c r="H45" s="13"/>
      <c r="I45" s="13"/>
      <c r="J45" s="10"/>
      <c r="K45" s="10"/>
      <c r="L45" s="10">
        <v>15.323999999999998</v>
      </c>
      <c r="M45" s="10">
        <v>9.5130000000000052</v>
      </c>
      <c r="N45" s="12">
        <f t="shared" si="0"/>
        <v>14.369999999999997</v>
      </c>
    </row>
    <row r="46" spans="1:14" x14ac:dyDescent="0.25">
      <c r="A46" s="26">
        <v>410</v>
      </c>
      <c r="B46" s="11">
        <v>324.05099999999999</v>
      </c>
      <c r="C46" s="12">
        <v>335.27300000000002</v>
      </c>
      <c r="D46" s="11"/>
      <c r="E46" s="13"/>
      <c r="F46" s="13"/>
      <c r="G46" s="13"/>
      <c r="H46" s="13"/>
      <c r="I46" s="13"/>
      <c r="J46" s="10"/>
      <c r="K46" s="10"/>
      <c r="L46" s="10">
        <v>8.9390000000000214</v>
      </c>
      <c r="M46" s="10">
        <v>8.5009999999999764</v>
      </c>
      <c r="N46" s="12">
        <f t="shared" si="0"/>
        <v>11.222000000000037</v>
      </c>
    </row>
    <row r="47" spans="1:14" x14ac:dyDescent="0.25">
      <c r="A47" s="26">
        <v>411</v>
      </c>
      <c r="B47" s="11">
        <v>252.33099999999999</v>
      </c>
      <c r="C47" s="12">
        <v>259.52</v>
      </c>
      <c r="D47" s="11"/>
      <c r="E47" s="13"/>
      <c r="F47" s="13"/>
      <c r="G47" s="13"/>
      <c r="H47" s="13"/>
      <c r="I47" s="13"/>
      <c r="J47" s="10"/>
      <c r="K47" s="10"/>
      <c r="L47" s="10">
        <v>4.36099999999999</v>
      </c>
      <c r="M47" s="10">
        <v>5.1829999999999927</v>
      </c>
      <c r="N47" s="12">
        <f t="shared" si="0"/>
        <v>7.188999999999993</v>
      </c>
    </row>
    <row r="48" spans="1:14" x14ac:dyDescent="0.25">
      <c r="A48" s="26">
        <v>412</v>
      </c>
      <c r="B48" s="11">
        <v>101.152</v>
      </c>
      <c r="C48" s="12">
        <v>103.934</v>
      </c>
      <c r="D48" s="11"/>
      <c r="E48" s="13"/>
      <c r="F48" s="13"/>
      <c r="G48" s="13"/>
      <c r="H48" s="13"/>
      <c r="I48" s="13"/>
      <c r="J48" s="10"/>
      <c r="K48" s="10"/>
      <c r="L48" s="10">
        <v>1.3780000000000001</v>
      </c>
      <c r="M48" s="10">
        <v>1.8419999999999987</v>
      </c>
      <c r="N48" s="12">
        <f t="shared" si="0"/>
        <v>2.7819999999999965</v>
      </c>
    </row>
    <row r="49" spans="1:14" x14ac:dyDescent="0.25">
      <c r="A49" s="26">
        <v>501</v>
      </c>
      <c r="B49" s="11">
        <v>155.596</v>
      </c>
      <c r="C49" s="12">
        <v>157.91300000000001</v>
      </c>
      <c r="D49" s="11"/>
      <c r="E49" s="13"/>
      <c r="F49" s="13"/>
      <c r="G49" s="13"/>
      <c r="H49" s="13"/>
      <c r="I49" s="13"/>
      <c r="J49" s="10"/>
      <c r="K49" s="10"/>
      <c r="L49" s="10">
        <v>0.38300000000000978</v>
      </c>
      <c r="M49" s="10">
        <v>0.23799999999999955</v>
      </c>
      <c r="N49" s="12">
        <f t="shared" si="0"/>
        <v>2.3170000000000073</v>
      </c>
    </row>
    <row r="50" spans="1:14" x14ac:dyDescent="0.25">
      <c r="A50" s="26">
        <v>502</v>
      </c>
      <c r="B50" s="11">
        <v>409.26600000000002</v>
      </c>
      <c r="C50" s="12">
        <v>419.25599999999997</v>
      </c>
      <c r="D50" s="11"/>
      <c r="E50" s="13"/>
      <c r="F50" s="13"/>
      <c r="G50" s="13"/>
      <c r="H50" s="13"/>
      <c r="I50" s="13"/>
      <c r="J50" s="10"/>
      <c r="K50" s="10"/>
      <c r="L50" s="10">
        <v>5.9910000000000423</v>
      </c>
      <c r="M50" s="10">
        <v>6.6899999999999977</v>
      </c>
      <c r="N50" s="12">
        <f t="shared" si="0"/>
        <v>9.9899999999999523</v>
      </c>
    </row>
    <row r="51" spans="1:14" x14ac:dyDescent="0.25">
      <c r="A51" s="26">
        <v>503</v>
      </c>
      <c r="B51" s="11">
        <v>298.67599999999999</v>
      </c>
      <c r="C51" s="12">
        <v>308.40499999999997</v>
      </c>
      <c r="D51" s="11"/>
      <c r="E51" s="13"/>
      <c r="F51" s="13"/>
      <c r="G51" s="13"/>
      <c r="H51" s="13"/>
      <c r="I51" s="13"/>
      <c r="J51" s="10"/>
      <c r="K51" s="10"/>
      <c r="L51" s="10">
        <v>5.4920000000000186</v>
      </c>
      <c r="M51" s="10">
        <v>6.2389999999999759</v>
      </c>
      <c r="N51" s="12">
        <f t="shared" si="0"/>
        <v>9.728999999999985</v>
      </c>
    </row>
    <row r="52" spans="1:14" x14ac:dyDescent="0.25">
      <c r="A52" s="26">
        <v>504</v>
      </c>
      <c r="B52" s="11">
        <v>217.64500000000001</v>
      </c>
      <c r="C52" s="12">
        <v>243.21299999999999</v>
      </c>
      <c r="D52" s="11"/>
      <c r="E52" s="13"/>
      <c r="F52" s="13"/>
      <c r="G52" s="13"/>
      <c r="H52" s="13"/>
      <c r="I52" s="13"/>
      <c r="J52" s="10"/>
      <c r="K52" s="10"/>
      <c r="L52" s="10">
        <v>18.119000000000028</v>
      </c>
      <c r="M52" s="10">
        <v>19.522999999999996</v>
      </c>
      <c r="N52" s="12">
        <f t="shared" si="0"/>
        <v>25.567999999999984</v>
      </c>
    </row>
    <row r="53" spans="1:14" x14ac:dyDescent="0.25">
      <c r="A53" s="26">
        <v>505</v>
      </c>
      <c r="B53" s="11">
        <v>432.75099999999998</v>
      </c>
      <c r="C53" s="12">
        <v>446.62400000000002</v>
      </c>
      <c r="D53" s="11"/>
      <c r="E53" s="13"/>
      <c r="F53" s="13"/>
      <c r="G53" s="13"/>
      <c r="H53" s="13"/>
      <c r="I53" s="13"/>
      <c r="J53" s="10"/>
      <c r="K53" s="10"/>
      <c r="L53" s="10">
        <v>11.201999999999998</v>
      </c>
      <c r="M53" s="10">
        <v>8.9729999999999563</v>
      </c>
      <c r="N53" s="12">
        <f t="shared" si="0"/>
        <v>13.873000000000047</v>
      </c>
    </row>
    <row r="54" spans="1:14" x14ac:dyDescent="0.25">
      <c r="A54" s="26">
        <v>506</v>
      </c>
      <c r="B54" s="11">
        <v>138.489</v>
      </c>
      <c r="C54" s="12">
        <v>146.96600000000001</v>
      </c>
      <c r="D54" s="11"/>
      <c r="E54" s="13"/>
      <c r="F54" s="13"/>
      <c r="G54" s="13"/>
      <c r="H54" s="13"/>
      <c r="I54" s="13"/>
      <c r="J54" s="10"/>
      <c r="K54" s="10"/>
      <c r="L54" s="10">
        <v>3.414999999999992</v>
      </c>
      <c r="M54" s="10">
        <v>4.4010000000000105</v>
      </c>
      <c r="N54" s="12">
        <f t="shared" si="0"/>
        <v>8.4770000000000039</v>
      </c>
    </row>
    <row r="55" spans="1:14" x14ac:dyDescent="0.25">
      <c r="A55" s="26">
        <v>507</v>
      </c>
      <c r="B55" s="11">
        <v>540.1</v>
      </c>
      <c r="C55" s="12">
        <v>560.99199999999996</v>
      </c>
      <c r="D55" s="11"/>
      <c r="E55" s="13"/>
      <c r="F55" s="13"/>
      <c r="G55" s="13"/>
      <c r="H55" s="13"/>
      <c r="I55" s="13"/>
      <c r="J55" s="10"/>
      <c r="K55" s="10"/>
      <c r="L55" s="10">
        <v>14.576999999999998</v>
      </c>
      <c r="M55" s="10">
        <v>14.923000000000002</v>
      </c>
      <c r="N55" s="12">
        <f t="shared" si="0"/>
        <v>20.891999999999939</v>
      </c>
    </row>
    <row r="56" spans="1:14" x14ac:dyDescent="0.25">
      <c r="A56" s="26">
        <v>508</v>
      </c>
      <c r="B56" s="11">
        <v>21.268999999999998</v>
      </c>
      <c r="C56" s="12">
        <v>27.116</v>
      </c>
      <c r="D56" s="11"/>
      <c r="E56" s="13"/>
      <c r="F56" s="13"/>
      <c r="G56" s="13"/>
      <c r="H56" s="13"/>
      <c r="I56" s="13"/>
      <c r="J56" s="10"/>
      <c r="K56" s="10"/>
      <c r="L56" s="10">
        <v>2.8099999999999987</v>
      </c>
      <c r="M56" s="10">
        <v>0.59499999999999886</v>
      </c>
      <c r="N56" s="12">
        <f t="shared" si="0"/>
        <v>5.8470000000000013</v>
      </c>
    </row>
    <row r="57" spans="1:14" x14ac:dyDescent="0.25">
      <c r="A57" s="26">
        <v>509</v>
      </c>
      <c r="B57" s="11">
        <v>117.871</v>
      </c>
      <c r="C57" s="12">
        <v>122.11799999999999</v>
      </c>
      <c r="D57" s="11"/>
      <c r="E57" s="13"/>
      <c r="F57" s="13"/>
      <c r="G57" s="13"/>
      <c r="H57" s="13"/>
      <c r="I57" s="13"/>
      <c r="J57" s="10"/>
      <c r="K57" s="10"/>
      <c r="L57" s="10">
        <v>2.1769999999999925</v>
      </c>
      <c r="M57" s="10">
        <v>2.2680000000000007</v>
      </c>
      <c r="N57" s="12">
        <f t="shared" si="0"/>
        <v>4.2469999999999999</v>
      </c>
    </row>
    <row r="58" spans="1:14" x14ac:dyDescent="0.25">
      <c r="A58" s="26">
        <v>510</v>
      </c>
      <c r="B58" s="11">
        <v>286.62400000000002</v>
      </c>
      <c r="C58" s="12">
        <v>296.63600000000002</v>
      </c>
      <c r="D58" s="11"/>
      <c r="E58" s="13"/>
      <c r="F58" s="13"/>
      <c r="G58" s="13"/>
      <c r="H58" s="13"/>
      <c r="I58" s="13"/>
      <c r="J58" s="10"/>
      <c r="K58" s="10"/>
      <c r="L58" s="10">
        <v>6.4979999999999905</v>
      </c>
      <c r="M58" s="10">
        <v>6.7180000000000177</v>
      </c>
      <c r="N58" s="12">
        <f t="shared" si="0"/>
        <v>10.012</v>
      </c>
    </row>
    <row r="59" spans="1:14" x14ac:dyDescent="0.25">
      <c r="A59" s="26">
        <v>511</v>
      </c>
      <c r="B59" s="11">
        <v>1</v>
      </c>
      <c r="C59" s="12">
        <v>1.0900000000000001</v>
      </c>
      <c r="D59" s="11"/>
      <c r="E59" s="13"/>
      <c r="F59" s="13"/>
      <c r="G59" s="13"/>
      <c r="H59" s="13"/>
      <c r="I59" s="13"/>
      <c r="J59" s="10"/>
      <c r="K59" s="10"/>
      <c r="L59" s="10">
        <v>0</v>
      </c>
      <c r="M59" s="10">
        <v>0</v>
      </c>
      <c r="N59" s="12">
        <f t="shared" si="0"/>
        <v>9.000000000000008E-2</v>
      </c>
    </row>
    <row r="60" spans="1:14" x14ac:dyDescent="0.25">
      <c r="A60" s="26">
        <v>512</v>
      </c>
      <c r="B60" s="11">
        <v>580.38699999999994</v>
      </c>
      <c r="C60" s="12">
        <v>595.45899999999995</v>
      </c>
      <c r="D60" s="11"/>
      <c r="E60" s="13"/>
      <c r="F60" s="13"/>
      <c r="G60" s="13"/>
      <c r="H60" s="13"/>
      <c r="I60" s="13"/>
      <c r="J60" s="10"/>
      <c r="K60" s="10"/>
      <c r="L60" s="10">
        <v>15.222000000000094</v>
      </c>
      <c r="M60" s="10">
        <v>15.104999999999905</v>
      </c>
      <c r="N60" s="12">
        <f t="shared" si="0"/>
        <v>15.072000000000003</v>
      </c>
    </row>
    <row r="61" spans="1:14" x14ac:dyDescent="0.25">
      <c r="A61" s="26">
        <v>601</v>
      </c>
      <c r="B61" s="11">
        <v>717.44600000000003</v>
      </c>
      <c r="C61" s="12">
        <v>737.68899999999996</v>
      </c>
      <c r="D61" s="11"/>
      <c r="E61" s="13"/>
      <c r="F61" s="13"/>
      <c r="G61" s="13"/>
      <c r="H61" s="13"/>
      <c r="I61" s="13"/>
      <c r="J61" s="10"/>
      <c r="K61" s="10"/>
      <c r="L61" s="10">
        <v>15.402000000000044</v>
      </c>
      <c r="M61" s="10">
        <v>15.79200000000003</v>
      </c>
      <c r="N61" s="12">
        <f t="shared" si="0"/>
        <v>20.242999999999938</v>
      </c>
    </row>
    <row r="62" spans="1:14" x14ac:dyDescent="0.25">
      <c r="A62" s="26">
        <v>602</v>
      </c>
      <c r="B62" s="11">
        <v>99.626000000000005</v>
      </c>
      <c r="C62" s="12">
        <v>101.485</v>
      </c>
      <c r="D62" s="11"/>
      <c r="E62" s="13"/>
      <c r="F62" s="13"/>
      <c r="G62" s="13"/>
      <c r="H62" s="13"/>
      <c r="I62" s="13"/>
      <c r="J62" s="10"/>
      <c r="K62" s="10"/>
      <c r="L62" s="10">
        <v>2.6620000000000061</v>
      </c>
      <c r="M62" s="10">
        <v>0.74099999999999966</v>
      </c>
      <c r="N62" s="12">
        <f t="shared" si="0"/>
        <v>1.8589999999999947</v>
      </c>
    </row>
    <row r="63" spans="1:14" x14ac:dyDescent="0.25">
      <c r="A63" s="26">
        <v>603</v>
      </c>
      <c r="B63" s="11">
        <v>150.95500000000001</v>
      </c>
      <c r="C63" s="12">
        <v>152.88</v>
      </c>
      <c r="D63" s="11"/>
      <c r="E63" s="13"/>
      <c r="F63" s="13"/>
      <c r="G63" s="13"/>
      <c r="H63" s="13"/>
      <c r="I63" s="13"/>
      <c r="J63" s="10"/>
      <c r="K63" s="10"/>
      <c r="L63" s="10">
        <v>0.32900000000000773</v>
      </c>
      <c r="M63" s="10">
        <v>0</v>
      </c>
      <c r="N63" s="12">
        <f t="shared" si="0"/>
        <v>1.9249999999999829</v>
      </c>
    </row>
    <row r="64" spans="1:14" x14ac:dyDescent="0.25">
      <c r="A64" s="26">
        <v>604</v>
      </c>
      <c r="B64" s="11">
        <v>398.26400000000001</v>
      </c>
      <c r="C64" s="12">
        <v>411.48200000000003</v>
      </c>
      <c r="D64" s="11"/>
      <c r="E64" s="13"/>
      <c r="F64" s="13"/>
      <c r="G64" s="13"/>
      <c r="H64" s="13"/>
      <c r="I64" s="13"/>
      <c r="J64" s="10"/>
      <c r="K64" s="10"/>
      <c r="L64" s="10">
        <v>11.73599999999999</v>
      </c>
      <c r="M64" s="10">
        <v>10.561000000000035</v>
      </c>
      <c r="N64" s="12">
        <f t="shared" si="0"/>
        <v>13.218000000000018</v>
      </c>
    </row>
    <row r="65" spans="1:14" x14ac:dyDescent="0.25">
      <c r="A65" s="26">
        <v>605</v>
      </c>
      <c r="B65" s="11">
        <v>916.40700000000004</v>
      </c>
      <c r="C65" s="12">
        <v>942.27800000000002</v>
      </c>
      <c r="D65" s="14"/>
      <c r="E65" s="15"/>
      <c r="F65" s="15"/>
      <c r="G65" s="15"/>
      <c r="H65" s="15"/>
      <c r="I65" s="15"/>
      <c r="J65" s="10"/>
      <c r="K65" s="10"/>
      <c r="L65" s="10">
        <v>17.891000000000076</v>
      </c>
      <c r="M65" s="10">
        <v>17.855000000000018</v>
      </c>
      <c r="N65" s="12">
        <f t="shared" si="0"/>
        <v>25.870999999999981</v>
      </c>
    </row>
    <row r="66" spans="1:14" x14ac:dyDescent="0.25">
      <c r="A66" s="26">
        <v>606</v>
      </c>
      <c r="B66" s="11">
        <v>92.245000000000005</v>
      </c>
      <c r="C66" s="12">
        <v>96.942999999999998</v>
      </c>
      <c r="D66" s="11"/>
      <c r="E66" s="13"/>
      <c r="F66" s="13"/>
      <c r="G66" s="13"/>
      <c r="H66" s="13"/>
      <c r="I66" s="13"/>
      <c r="J66" s="10"/>
      <c r="K66" s="10"/>
      <c r="L66" s="10">
        <v>4.652000000000001</v>
      </c>
      <c r="M66" s="10">
        <v>1.6180000000000092</v>
      </c>
      <c r="N66" s="12">
        <f t="shared" si="0"/>
        <v>4.6979999999999933</v>
      </c>
    </row>
    <row r="67" spans="1:14" x14ac:dyDescent="0.25">
      <c r="A67" s="26">
        <v>607</v>
      </c>
      <c r="B67" s="11">
        <v>413.86500000000001</v>
      </c>
      <c r="C67" s="12">
        <v>432.91699999999997</v>
      </c>
      <c r="D67" s="11"/>
      <c r="E67" s="13"/>
      <c r="F67" s="13"/>
      <c r="G67" s="13"/>
      <c r="H67" s="13"/>
      <c r="I67" s="13"/>
      <c r="J67" s="10"/>
      <c r="K67" s="10"/>
      <c r="L67" s="10">
        <v>8.16700000000003</v>
      </c>
      <c r="M67" s="10">
        <v>0</v>
      </c>
      <c r="N67" s="12">
        <f t="shared" si="0"/>
        <v>19.051999999999964</v>
      </c>
    </row>
    <row r="68" spans="1:14" x14ac:dyDescent="0.25">
      <c r="A68" s="26">
        <v>608</v>
      </c>
      <c r="B68" s="11">
        <v>114.57599999999999</v>
      </c>
      <c r="C68" s="12">
        <v>121.898</v>
      </c>
      <c r="D68" s="11"/>
      <c r="E68" s="13"/>
      <c r="F68" s="13"/>
      <c r="G68" s="13"/>
      <c r="H68" s="13"/>
      <c r="I68" s="13"/>
      <c r="J68" s="10"/>
      <c r="K68" s="10"/>
      <c r="L68" s="10">
        <v>1.5069999999999908</v>
      </c>
      <c r="M68" s="10">
        <v>0</v>
      </c>
      <c r="N68" s="12">
        <f t="shared" si="0"/>
        <v>7.3220000000000027</v>
      </c>
    </row>
    <row r="69" spans="1:14" x14ac:dyDescent="0.25">
      <c r="A69" s="26">
        <v>609</v>
      </c>
      <c r="B69" s="11">
        <v>256.37700000000001</v>
      </c>
      <c r="C69" s="12">
        <v>270.53399999999999</v>
      </c>
      <c r="D69" s="11"/>
      <c r="E69" s="13"/>
      <c r="F69" s="13"/>
      <c r="G69" s="13"/>
      <c r="H69" s="13"/>
      <c r="I69" s="13"/>
      <c r="J69" s="10"/>
      <c r="K69" s="10"/>
      <c r="L69" s="10">
        <v>6.0660000000000025</v>
      </c>
      <c r="M69" s="10">
        <v>0</v>
      </c>
      <c r="N69" s="12">
        <f t="shared" si="0"/>
        <v>14.156999999999982</v>
      </c>
    </row>
    <row r="70" spans="1:14" x14ac:dyDescent="0.25">
      <c r="A70" s="26">
        <v>610</v>
      </c>
      <c r="B70" s="11">
        <v>407.97899999999998</v>
      </c>
      <c r="C70" s="12">
        <v>421.18400000000003</v>
      </c>
      <c r="D70" s="11"/>
      <c r="E70" s="13"/>
      <c r="F70" s="13"/>
      <c r="G70" s="13"/>
      <c r="H70" s="13"/>
      <c r="I70" s="13"/>
      <c r="J70" s="10"/>
      <c r="K70" s="10"/>
      <c r="L70" s="10">
        <v>8.6100000000000136</v>
      </c>
      <c r="M70" s="10">
        <v>10.213999999999999</v>
      </c>
      <c r="N70" s="12">
        <f t="shared" ref="N70:N133" si="1">+C70-B70</f>
        <v>13.205000000000041</v>
      </c>
    </row>
    <row r="71" spans="1:14" x14ac:dyDescent="0.25">
      <c r="A71" s="26">
        <v>611</v>
      </c>
      <c r="B71" s="11">
        <v>177.715</v>
      </c>
      <c r="C71" s="12">
        <v>184.42699999999999</v>
      </c>
      <c r="D71" s="11"/>
      <c r="E71" s="13"/>
      <c r="F71" s="13"/>
      <c r="G71" s="13"/>
      <c r="H71" s="13"/>
      <c r="I71" s="13"/>
      <c r="J71" s="10"/>
      <c r="K71" s="10"/>
      <c r="L71" s="10">
        <v>5.1890000000000214</v>
      </c>
      <c r="M71" s="10">
        <v>5.0699999999999932</v>
      </c>
      <c r="N71" s="12">
        <f t="shared" si="1"/>
        <v>6.7119999999999891</v>
      </c>
    </row>
    <row r="72" spans="1:14" x14ac:dyDescent="0.25">
      <c r="A72" s="26">
        <v>612</v>
      </c>
      <c r="B72" s="11">
        <v>310.363</v>
      </c>
      <c r="C72" s="12">
        <v>318.43900000000002</v>
      </c>
      <c r="D72" s="11"/>
      <c r="E72" s="13"/>
      <c r="F72" s="13"/>
      <c r="G72" s="13"/>
      <c r="H72" s="13"/>
      <c r="I72" s="13"/>
      <c r="J72" s="10"/>
      <c r="K72" s="10"/>
      <c r="L72" s="10">
        <v>6.6750000000000114</v>
      </c>
      <c r="M72" s="10">
        <v>8.5459999999999923</v>
      </c>
      <c r="N72" s="12">
        <f t="shared" si="1"/>
        <v>8.0760000000000218</v>
      </c>
    </row>
    <row r="73" spans="1:14" x14ac:dyDescent="0.25">
      <c r="A73" s="26">
        <v>701</v>
      </c>
      <c r="B73" s="11">
        <v>260.05700000000002</v>
      </c>
      <c r="C73" s="12">
        <v>273.49</v>
      </c>
      <c r="D73" s="11"/>
      <c r="E73" s="13"/>
      <c r="F73" s="13"/>
      <c r="G73" s="13"/>
      <c r="H73" s="13"/>
      <c r="I73" s="13"/>
      <c r="J73" s="10"/>
      <c r="K73" s="10"/>
      <c r="L73" s="10">
        <v>8.1570000000000107</v>
      </c>
      <c r="M73" s="10">
        <v>11.723000000000013</v>
      </c>
      <c r="N73" s="12">
        <f t="shared" si="1"/>
        <v>13.432999999999993</v>
      </c>
    </row>
    <row r="74" spans="1:14" x14ac:dyDescent="0.25">
      <c r="A74" s="26">
        <v>703</v>
      </c>
      <c r="B74" s="11">
        <v>44.183</v>
      </c>
      <c r="C74" s="12">
        <v>46.92</v>
      </c>
      <c r="D74" s="11"/>
      <c r="E74" s="13"/>
      <c r="F74" s="13"/>
      <c r="G74" s="13"/>
      <c r="H74" s="13"/>
      <c r="I74" s="13"/>
      <c r="J74" s="10"/>
      <c r="K74" s="10"/>
      <c r="L74" s="10">
        <v>2.7109999999999985</v>
      </c>
      <c r="M74" s="10">
        <v>0</v>
      </c>
      <c r="N74" s="12">
        <f t="shared" si="1"/>
        <v>2.7370000000000019</v>
      </c>
    </row>
    <row r="75" spans="1:14" x14ac:dyDescent="0.25">
      <c r="A75" s="26">
        <v>704</v>
      </c>
      <c r="B75" s="11">
        <v>90.766000000000005</v>
      </c>
      <c r="C75" s="12">
        <v>99.564999999999998</v>
      </c>
      <c r="D75" s="11"/>
      <c r="E75" s="13"/>
      <c r="F75" s="13"/>
      <c r="G75" s="13"/>
      <c r="H75" s="13"/>
      <c r="I75" s="13"/>
      <c r="J75" s="10"/>
      <c r="K75" s="10"/>
      <c r="L75" s="10">
        <v>9.8050000000000068</v>
      </c>
      <c r="M75" s="10">
        <v>5.2390000000000043</v>
      </c>
      <c r="N75" s="12">
        <f t="shared" si="1"/>
        <v>8.7989999999999924</v>
      </c>
    </row>
    <row r="76" spans="1:14" x14ac:dyDescent="0.25">
      <c r="A76" s="26">
        <v>705</v>
      </c>
      <c r="B76" s="11">
        <v>636.40700000000004</v>
      </c>
      <c r="C76" s="12">
        <v>646.64700000000005</v>
      </c>
      <c r="D76" s="11"/>
      <c r="E76" s="13"/>
      <c r="F76" s="13"/>
      <c r="G76" s="13"/>
      <c r="H76" s="13"/>
      <c r="I76" s="13"/>
      <c r="J76" s="10"/>
      <c r="K76" s="10"/>
      <c r="L76" s="10">
        <v>0.20399999999995089</v>
      </c>
      <c r="M76" s="10">
        <v>13.032000000000039</v>
      </c>
      <c r="N76" s="12">
        <f t="shared" si="1"/>
        <v>10.240000000000009</v>
      </c>
    </row>
    <row r="77" spans="1:14" x14ac:dyDescent="0.25">
      <c r="A77" s="26">
        <v>706</v>
      </c>
      <c r="B77" s="11">
        <v>259.84100000000001</v>
      </c>
      <c r="C77" s="12">
        <v>264.71899999999999</v>
      </c>
      <c r="D77" s="11"/>
      <c r="E77" s="13"/>
      <c r="F77" s="13"/>
      <c r="G77" s="13"/>
      <c r="H77" s="13"/>
      <c r="I77" s="13"/>
      <c r="J77" s="10"/>
      <c r="K77" s="10"/>
      <c r="L77" s="10">
        <v>3.0819999999999936</v>
      </c>
      <c r="M77" s="10">
        <v>12.27600000000001</v>
      </c>
      <c r="N77" s="12">
        <f t="shared" si="1"/>
        <v>4.8779999999999859</v>
      </c>
    </row>
    <row r="78" spans="1:14" x14ac:dyDescent="0.25">
      <c r="A78" s="26">
        <v>707</v>
      </c>
      <c r="B78" s="11">
        <v>422.12200000000001</v>
      </c>
      <c r="C78" s="12">
        <v>435.73</v>
      </c>
      <c r="D78" s="11"/>
      <c r="E78" s="13"/>
      <c r="F78" s="13"/>
      <c r="G78" s="13"/>
      <c r="H78" s="13"/>
      <c r="I78" s="13"/>
      <c r="J78" s="10"/>
      <c r="K78" s="10"/>
      <c r="L78" s="10">
        <v>11.735000000000014</v>
      </c>
      <c r="M78" s="10">
        <v>10.512</v>
      </c>
      <c r="N78" s="12">
        <f t="shared" si="1"/>
        <v>13.608000000000004</v>
      </c>
    </row>
    <row r="79" spans="1:14" x14ac:dyDescent="0.25">
      <c r="A79" s="26">
        <v>708</v>
      </c>
      <c r="B79" s="11">
        <v>67.274000000000001</v>
      </c>
      <c r="C79" s="12">
        <v>70.256</v>
      </c>
      <c r="D79" s="11"/>
      <c r="E79" s="13"/>
      <c r="F79" s="13"/>
      <c r="G79" s="13"/>
      <c r="H79" s="13"/>
      <c r="I79" s="13"/>
      <c r="J79" s="10"/>
      <c r="K79" s="10"/>
      <c r="L79" s="10">
        <v>2.105000000000004</v>
      </c>
      <c r="M79" s="10">
        <v>1.4129999999999967</v>
      </c>
      <c r="N79" s="12">
        <f t="shared" si="1"/>
        <v>2.9819999999999993</v>
      </c>
    </row>
    <row r="80" spans="1:14" x14ac:dyDescent="0.25">
      <c r="A80" s="26">
        <v>709</v>
      </c>
      <c r="B80" s="11">
        <v>213.19300000000001</v>
      </c>
      <c r="C80" s="12">
        <v>219.833</v>
      </c>
      <c r="D80" s="11"/>
      <c r="E80" s="13"/>
      <c r="F80" s="13"/>
      <c r="G80" s="13"/>
      <c r="H80" s="13"/>
      <c r="I80" s="13"/>
      <c r="J80" s="10"/>
      <c r="K80" s="10"/>
      <c r="L80" s="10">
        <v>5.3520000000000039</v>
      </c>
      <c r="M80" s="10">
        <v>5.9680000000000177</v>
      </c>
      <c r="N80" s="12">
        <f t="shared" si="1"/>
        <v>6.6399999999999864</v>
      </c>
    </row>
    <row r="81" spans="1:14" x14ac:dyDescent="0.25">
      <c r="A81" s="26">
        <v>709</v>
      </c>
      <c r="B81" s="11">
        <v>0</v>
      </c>
      <c r="C81" s="12">
        <v>0</v>
      </c>
      <c r="D81" s="11"/>
      <c r="E81" s="13"/>
      <c r="F81" s="13"/>
      <c r="G81" s="13"/>
      <c r="H81" s="13"/>
      <c r="I81" s="13"/>
      <c r="J81" s="10"/>
      <c r="K81" s="10"/>
      <c r="L81" s="10">
        <v>0</v>
      </c>
      <c r="M81" s="10">
        <v>0</v>
      </c>
      <c r="N81" s="12">
        <f t="shared" si="1"/>
        <v>0</v>
      </c>
    </row>
    <row r="82" spans="1:14" x14ac:dyDescent="0.25">
      <c r="A82" s="26">
        <v>710</v>
      </c>
      <c r="B82" s="11">
        <v>412.59199999999998</v>
      </c>
      <c r="C82" s="12">
        <v>412.916</v>
      </c>
      <c r="D82" s="11"/>
      <c r="E82" s="13"/>
      <c r="F82" s="13"/>
      <c r="G82" s="13"/>
      <c r="H82" s="13"/>
      <c r="I82" s="13"/>
      <c r="J82" s="10"/>
      <c r="K82" s="10"/>
      <c r="L82" s="10">
        <v>8.4259999999999877</v>
      </c>
      <c r="M82" s="10">
        <v>5.4590000000000032</v>
      </c>
      <c r="N82" s="12">
        <f t="shared" si="1"/>
        <v>0.32400000000001228</v>
      </c>
    </row>
    <row r="83" spans="1:14" x14ac:dyDescent="0.25">
      <c r="A83" s="26">
        <v>711</v>
      </c>
      <c r="B83" s="11">
        <v>199.09200000000001</v>
      </c>
      <c r="C83" s="12">
        <v>203.50299999999999</v>
      </c>
      <c r="D83" s="11"/>
      <c r="E83" s="13"/>
      <c r="F83" s="13"/>
      <c r="G83" s="13"/>
      <c r="H83" s="13"/>
      <c r="I83" s="13"/>
      <c r="J83" s="10"/>
      <c r="K83" s="10"/>
      <c r="L83" s="10">
        <v>2.4759999999999991</v>
      </c>
      <c r="M83" s="10">
        <v>1.1760000000000161</v>
      </c>
      <c r="N83" s="12">
        <f t="shared" si="1"/>
        <v>4.4109999999999729</v>
      </c>
    </row>
    <row r="84" spans="1:14" x14ac:dyDescent="0.25">
      <c r="A84" s="26">
        <v>712</v>
      </c>
      <c r="B84" s="11">
        <v>394.93299999999999</v>
      </c>
      <c r="C84" s="12">
        <v>398.86700000000002</v>
      </c>
      <c r="D84" s="11"/>
      <c r="E84" s="13"/>
      <c r="F84" s="13"/>
      <c r="G84" s="13"/>
      <c r="H84" s="13"/>
      <c r="I84" s="13"/>
      <c r="J84" s="10"/>
      <c r="K84" s="10"/>
      <c r="L84" s="10">
        <v>5.4840000000000373</v>
      </c>
      <c r="M84" s="10">
        <v>4.47199999999998</v>
      </c>
      <c r="N84" s="12">
        <f t="shared" si="1"/>
        <v>3.9340000000000259</v>
      </c>
    </row>
    <row r="85" spans="1:14" x14ac:dyDescent="0.25">
      <c r="A85" s="26">
        <v>801</v>
      </c>
      <c r="B85" s="11">
        <v>347.904</v>
      </c>
      <c r="C85" s="12">
        <v>351.322</v>
      </c>
      <c r="D85" s="11"/>
      <c r="E85" s="13"/>
      <c r="F85" s="13"/>
      <c r="G85" s="13"/>
      <c r="H85" s="13"/>
      <c r="I85" s="13"/>
      <c r="J85" s="10"/>
      <c r="K85" s="10"/>
      <c r="L85" s="10">
        <v>4.4270000000000209</v>
      </c>
      <c r="M85" s="10">
        <v>4.8589999999999804</v>
      </c>
      <c r="N85" s="12">
        <f t="shared" si="1"/>
        <v>3.4180000000000064</v>
      </c>
    </row>
    <row r="86" spans="1:14" x14ac:dyDescent="0.25">
      <c r="A86" s="26">
        <v>802</v>
      </c>
      <c r="B86" s="11">
        <v>208.77</v>
      </c>
      <c r="C86" s="12">
        <v>218.233</v>
      </c>
      <c r="D86" s="11"/>
      <c r="E86" s="13"/>
      <c r="F86" s="13"/>
      <c r="G86" s="13"/>
      <c r="H86" s="13"/>
      <c r="I86" s="13"/>
      <c r="J86" s="10"/>
      <c r="K86" s="10"/>
      <c r="L86" s="10">
        <v>8.6640000000000157</v>
      </c>
      <c r="M86" s="10">
        <v>9.2259999999999991</v>
      </c>
      <c r="N86" s="12">
        <f t="shared" si="1"/>
        <v>9.4629999999999939</v>
      </c>
    </row>
    <row r="87" spans="1:14" x14ac:dyDescent="0.25">
      <c r="A87" s="26">
        <v>803</v>
      </c>
      <c r="B87" s="11">
        <v>268.49299999999999</v>
      </c>
      <c r="C87" s="12">
        <v>285</v>
      </c>
      <c r="D87" s="11"/>
      <c r="E87" s="13"/>
      <c r="F87" s="13"/>
      <c r="G87" s="13"/>
      <c r="H87" s="13"/>
      <c r="I87" s="13"/>
      <c r="J87" s="10"/>
      <c r="K87" s="10"/>
      <c r="L87" s="10">
        <v>13.075999999999965</v>
      </c>
      <c r="M87" s="10">
        <v>11.850000000000023</v>
      </c>
      <c r="N87" s="12">
        <f t="shared" si="1"/>
        <v>16.507000000000005</v>
      </c>
    </row>
    <row r="88" spans="1:14" x14ac:dyDescent="0.25">
      <c r="A88" s="26">
        <v>804</v>
      </c>
      <c r="B88" s="11">
        <v>259.35700000000003</v>
      </c>
      <c r="C88" s="12">
        <v>267.79599999999999</v>
      </c>
      <c r="D88" s="11"/>
      <c r="E88" s="13"/>
      <c r="F88" s="13"/>
      <c r="G88" s="13"/>
      <c r="H88" s="13"/>
      <c r="I88" s="13"/>
      <c r="J88" s="10"/>
      <c r="K88" s="10"/>
      <c r="L88" s="10">
        <v>2.1949999999999932</v>
      </c>
      <c r="M88" s="10">
        <v>2.1570000000000391</v>
      </c>
      <c r="N88" s="12">
        <f t="shared" si="1"/>
        <v>8.4389999999999645</v>
      </c>
    </row>
    <row r="89" spans="1:14" x14ac:dyDescent="0.25">
      <c r="A89" s="26">
        <v>805</v>
      </c>
      <c r="B89" s="11">
        <v>396.77600000000001</v>
      </c>
      <c r="C89" s="12">
        <v>405.49299999999999</v>
      </c>
      <c r="D89" s="11"/>
      <c r="E89" s="13"/>
      <c r="F89" s="13"/>
      <c r="G89" s="13"/>
      <c r="H89" s="13"/>
      <c r="I89" s="13"/>
      <c r="J89" s="10"/>
      <c r="K89" s="10"/>
      <c r="L89" s="10">
        <v>6.8109999999999786</v>
      </c>
      <c r="M89" s="10">
        <v>5.0710000000000264</v>
      </c>
      <c r="N89" s="12">
        <f t="shared" si="1"/>
        <v>8.7169999999999845</v>
      </c>
    </row>
    <row r="90" spans="1:14" x14ac:dyDescent="0.25">
      <c r="A90" s="26">
        <v>806</v>
      </c>
      <c r="B90" s="11">
        <v>261.44400000000002</v>
      </c>
      <c r="C90" s="12">
        <v>267.79599999999999</v>
      </c>
      <c r="D90" s="11"/>
      <c r="E90" s="13"/>
      <c r="F90" s="13"/>
      <c r="G90" s="13"/>
      <c r="H90" s="13"/>
      <c r="I90" s="13"/>
      <c r="J90" s="10"/>
      <c r="K90" s="10"/>
      <c r="L90" s="10">
        <v>4.9580000000000268</v>
      </c>
      <c r="M90" s="10">
        <v>2.742999999999995</v>
      </c>
      <c r="N90" s="12">
        <f t="shared" si="1"/>
        <v>6.3519999999999754</v>
      </c>
    </row>
    <row r="91" spans="1:14" x14ac:dyDescent="0.25">
      <c r="A91" s="26">
        <v>807</v>
      </c>
      <c r="B91" s="11">
        <v>390.57499999999999</v>
      </c>
      <c r="C91" s="12">
        <v>402.29599999999999</v>
      </c>
      <c r="D91" s="11"/>
      <c r="E91" s="13"/>
      <c r="F91" s="13"/>
      <c r="G91" s="13"/>
      <c r="H91" s="13"/>
      <c r="I91" s="13"/>
      <c r="J91" s="10"/>
      <c r="K91" s="10"/>
      <c r="L91" s="10">
        <v>8.4740000000000464</v>
      </c>
      <c r="M91" s="10">
        <v>9.3089999999999691</v>
      </c>
      <c r="N91" s="12">
        <f t="shared" si="1"/>
        <v>11.721000000000004</v>
      </c>
    </row>
    <row r="92" spans="1:14" x14ac:dyDescent="0.25">
      <c r="A92" s="26">
        <v>808</v>
      </c>
      <c r="B92" s="11">
        <v>282.25900000000001</v>
      </c>
      <c r="C92" s="12">
        <v>295.66399999999999</v>
      </c>
      <c r="D92" s="11"/>
      <c r="E92" s="13"/>
      <c r="F92" s="13"/>
      <c r="G92" s="13"/>
      <c r="H92" s="13"/>
      <c r="I92" s="13"/>
      <c r="J92" s="10"/>
      <c r="K92" s="10"/>
      <c r="L92" s="10">
        <v>7.7370000000000232</v>
      </c>
      <c r="M92" s="10">
        <v>8.8559999999999945</v>
      </c>
      <c r="N92" s="12">
        <f t="shared" si="1"/>
        <v>13.404999999999973</v>
      </c>
    </row>
    <row r="93" spans="1:14" x14ac:dyDescent="0.25">
      <c r="A93" s="26">
        <v>809</v>
      </c>
      <c r="B93" s="11">
        <v>249.31700000000001</v>
      </c>
      <c r="C93" s="12">
        <v>257.66300000000001</v>
      </c>
      <c r="D93" s="11"/>
      <c r="E93" s="13"/>
      <c r="F93" s="13"/>
      <c r="G93" s="13"/>
      <c r="H93" s="13"/>
      <c r="I93" s="13"/>
      <c r="J93" s="10"/>
      <c r="K93" s="10"/>
      <c r="L93" s="10">
        <v>2.8449999999999989</v>
      </c>
      <c r="M93" s="10">
        <v>2.3670000000000186</v>
      </c>
      <c r="N93" s="12">
        <f t="shared" si="1"/>
        <v>8.3460000000000036</v>
      </c>
    </row>
    <row r="94" spans="1:14" x14ac:dyDescent="0.25">
      <c r="A94" s="26">
        <v>810</v>
      </c>
      <c r="B94" s="11">
        <v>719.38199999999995</v>
      </c>
      <c r="C94" s="12">
        <v>736.68799999999999</v>
      </c>
      <c r="D94" s="11"/>
      <c r="E94" s="13"/>
      <c r="F94" s="13"/>
      <c r="G94" s="13"/>
      <c r="H94" s="13"/>
      <c r="I94" s="13"/>
      <c r="J94" s="10"/>
      <c r="K94" s="10"/>
      <c r="L94" s="10">
        <v>10.505999999999972</v>
      </c>
      <c r="M94" s="10">
        <v>12.81899999999996</v>
      </c>
      <c r="N94" s="12">
        <f t="shared" si="1"/>
        <v>17.30600000000004</v>
      </c>
    </row>
    <row r="95" spans="1:14" x14ac:dyDescent="0.25">
      <c r="A95" s="26">
        <v>811</v>
      </c>
      <c r="B95" s="11">
        <v>75.403000000000006</v>
      </c>
      <c r="C95" s="12">
        <v>78.98</v>
      </c>
      <c r="D95" s="11"/>
      <c r="E95" s="13"/>
      <c r="F95" s="13"/>
      <c r="G95" s="13"/>
      <c r="H95" s="13"/>
      <c r="I95" s="13"/>
      <c r="J95" s="10"/>
      <c r="K95" s="10"/>
      <c r="L95" s="10">
        <v>1.0570000000000022</v>
      </c>
      <c r="M95" s="10">
        <v>2.0220000000000056</v>
      </c>
      <c r="N95" s="12">
        <f t="shared" si="1"/>
        <v>3.5769999999999982</v>
      </c>
    </row>
    <row r="96" spans="1:14" x14ac:dyDescent="0.25">
      <c r="A96" s="26">
        <v>812</v>
      </c>
      <c r="B96" s="11">
        <v>574.25300000000004</v>
      </c>
      <c r="C96" s="12">
        <v>575.67399999999998</v>
      </c>
      <c r="D96" s="7"/>
      <c r="E96" s="9"/>
      <c r="F96" s="9"/>
      <c r="G96" s="9"/>
      <c r="H96" s="9"/>
      <c r="I96" s="9"/>
      <c r="J96" s="10"/>
      <c r="K96" s="10"/>
      <c r="L96" s="10">
        <v>6.6749999999999545</v>
      </c>
      <c r="M96" s="10">
        <v>11.323000000000093</v>
      </c>
      <c r="N96" s="8">
        <f t="shared" si="1"/>
        <v>1.4209999999999354</v>
      </c>
    </row>
    <row r="97" spans="1:14" x14ac:dyDescent="0.25">
      <c r="A97" s="26">
        <v>901</v>
      </c>
      <c r="B97" s="11">
        <v>470.7</v>
      </c>
      <c r="C97" s="12">
        <v>493.09300000000002</v>
      </c>
      <c r="D97" s="11"/>
      <c r="E97" s="13"/>
      <c r="F97" s="13"/>
      <c r="G97" s="13"/>
      <c r="H97" s="13"/>
      <c r="I97" s="13"/>
      <c r="J97" s="10"/>
      <c r="K97" s="10"/>
      <c r="L97" s="10">
        <v>20.481000000000051</v>
      </c>
      <c r="M97" s="10">
        <v>21.652999999999963</v>
      </c>
      <c r="N97" s="12">
        <f t="shared" si="1"/>
        <v>22.393000000000029</v>
      </c>
    </row>
    <row r="98" spans="1:14" x14ac:dyDescent="0.25">
      <c r="A98" s="26">
        <v>902</v>
      </c>
      <c r="B98" s="11">
        <v>197.756</v>
      </c>
      <c r="C98" s="12">
        <v>210.15</v>
      </c>
      <c r="D98" s="11"/>
      <c r="E98" s="13"/>
      <c r="F98" s="13"/>
      <c r="G98" s="13"/>
      <c r="H98" s="13"/>
      <c r="I98" s="13"/>
      <c r="J98" s="10"/>
      <c r="K98" s="10"/>
      <c r="L98" s="10">
        <v>9.4939999999999998</v>
      </c>
      <c r="M98" s="10">
        <v>11.168000000000006</v>
      </c>
      <c r="N98" s="12">
        <f t="shared" si="1"/>
        <v>12.394000000000005</v>
      </c>
    </row>
    <row r="99" spans="1:14" x14ac:dyDescent="0.25">
      <c r="A99" s="26">
        <v>903</v>
      </c>
      <c r="B99" s="11">
        <v>101.349</v>
      </c>
      <c r="C99" s="12">
        <v>109.13500000000001</v>
      </c>
      <c r="D99" s="11"/>
      <c r="E99" s="13"/>
      <c r="F99" s="13"/>
      <c r="G99" s="13"/>
      <c r="H99" s="13"/>
      <c r="I99" s="13"/>
      <c r="J99" s="10"/>
      <c r="K99" s="10"/>
      <c r="L99" s="10">
        <v>5.0420000000000016</v>
      </c>
      <c r="M99" s="10">
        <v>3.5840000000000032</v>
      </c>
      <c r="N99" s="12">
        <f t="shared" si="1"/>
        <v>7.7860000000000014</v>
      </c>
    </row>
    <row r="100" spans="1:14" x14ac:dyDescent="0.25">
      <c r="A100" s="26">
        <v>904</v>
      </c>
      <c r="B100" s="11">
        <v>374.49400000000003</v>
      </c>
      <c r="C100" s="12">
        <v>383.44400000000002</v>
      </c>
      <c r="D100" s="11"/>
      <c r="E100" s="13"/>
      <c r="F100" s="13"/>
      <c r="G100" s="13"/>
      <c r="H100" s="13"/>
      <c r="I100" s="13"/>
      <c r="J100" s="10"/>
      <c r="K100" s="10"/>
      <c r="L100" s="10">
        <v>8.9560000000000173</v>
      </c>
      <c r="M100" s="10">
        <v>4.3430000000000177</v>
      </c>
      <c r="N100" s="12">
        <f t="shared" si="1"/>
        <v>8.9499999999999886</v>
      </c>
    </row>
    <row r="101" spans="1:14" x14ac:dyDescent="0.25">
      <c r="A101" s="26">
        <v>905</v>
      </c>
      <c r="B101" s="11">
        <v>615.15499999999997</v>
      </c>
      <c r="C101" s="12">
        <v>632.79499999999996</v>
      </c>
      <c r="D101" s="11"/>
      <c r="E101" s="13"/>
      <c r="F101" s="13"/>
      <c r="G101" s="13"/>
      <c r="H101" s="13"/>
      <c r="I101" s="13"/>
      <c r="J101" s="10"/>
      <c r="K101" s="10"/>
      <c r="L101" s="10">
        <v>8.0319999999999254</v>
      </c>
      <c r="M101" s="10">
        <v>2.6440000000000055</v>
      </c>
      <c r="N101" s="12">
        <f t="shared" si="1"/>
        <v>17.639999999999986</v>
      </c>
    </row>
    <row r="102" spans="1:14" x14ac:dyDescent="0.25">
      <c r="A102" s="26">
        <v>906</v>
      </c>
      <c r="B102" s="11">
        <v>111.46299999999999</v>
      </c>
      <c r="C102" s="12">
        <v>113.274</v>
      </c>
      <c r="D102" s="11"/>
      <c r="E102" s="13"/>
      <c r="F102" s="13"/>
      <c r="G102" s="13"/>
      <c r="H102" s="13"/>
      <c r="I102" s="13"/>
      <c r="J102" s="10"/>
      <c r="K102" s="10"/>
      <c r="L102" s="10">
        <v>0.94899999999999807</v>
      </c>
      <c r="M102" s="10">
        <v>1.0529999999999973</v>
      </c>
      <c r="N102" s="12">
        <f t="shared" si="1"/>
        <v>1.811000000000007</v>
      </c>
    </row>
    <row r="103" spans="1:14" x14ac:dyDescent="0.25">
      <c r="A103" s="26">
        <v>907</v>
      </c>
      <c r="B103" s="16">
        <v>627.39400000000001</v>
      </c>
      <c r="C103" s="17">
        <v>627.39400000000001</v>
      </c>
      <c r="D103" s="16"/>
      <c r="E103" s="18"/>
      <c r="F103" s="18"/>
      <c r="G103" s="18"/>
      <c r="H103" s="18"/>
      <c r="I103" s="18"/>
      <c r="J103" s="19"/>
      <c r="K103" s="19"/>
      <c r="L103" s="19">
        <v>4.6299999999999955</v>
      </c>
      <c r="M103" s="19">
        <v>0</v>
      </c>
      <c r="N103" s="17">
        <f t="shared" si="1"/>
        <v>0</v>
      </c>
    </row>
    <row r="104" spans="1:14" x14ac:dyDescent="0.25">
      <c r="A104" s="26">
        <v>908</v>
      </c>
      <c r="B104" s="11">
        <v>264.07600000000002</v>
      </c>
      <c r="C104" s="12">
        <v>269.28699999999998</v>
      </c>
      <c r="D104" s="11"/>
      <c r="E104" s="13"/>
      <c r="F104" s="13"/>
      <c r="G104" s="13"/>
      <c r="H104" s="13"/>
      <c r="I104" s="13"/>
      <c r="J104" s="10"/>
      <c r="K104" s="10"/>
      <c r="L104" s="10">
        <v>3.2189999999999941</v>
      </c>
      <c r="M104" s="10">
        <v>0.257000000000005</v>
      </c>
      <c r="N104" s="12">
        <f t="shared" si="1"/>
        <v>5.2109999999999559</v>
      </c>
    </row>
    <row r="105" spans="1:14" x14ac:dyDescent="0.25">
      <c r="A105" s="26">
        <v>909</v>
      </c>
      <c r="B105" s="11">
        <v>299.15800000000002</v>
      </c>
      <c r="C105" s="12">
        <v>299.33999999999997</v>
      </c>
      <c r="D105" s="11"/>
      <c r="E105" s="13"/>
      <c r="F105" s="13"/>
      <c r="G105" s="13"/>
      <c r="H105" s="13"/>
      <c r="I105" s="13"/>
      <c r="J105" s="10"/>
      <c r="K105" s="10"/>
      <c r="L105" s="10">
        <v>3.8129999999999882</v>
      </c>
      <c r="M105" s="10">
        <v>3.7100000000000364</v>
      </c>
      <c r="N105" s="12">
        <f t="shared" si="1"/>
        <v>0.18199999999995953</v>
      </c>
    </row>
    <row r="106" spans="1:14" x14ac:dyDescent="0.25">
      <c r="A106" s="26">
        <v>910</v>
      </c>
      <c r="B106" s="11">
        <v>476.80200000000002</v>
      </c>
      <c r="C106" s="12">
        <v>491.81099999999998</v>
      </c>
      <c r="D106" s="11"/>
      <c r="E106" s="13"/>
      <c r="F106" s="13"/>
      <c r="G106" s="13"/>
      <c r="H106" s="13"/>
      <c r="I106" s="13"/>
      <c r="J106" s="10"/>
      <c r="K106" s="10"/>
      <c r="L106" s="10">
        <v>11.713999999999999</v>
      </c>
      <c r="M106" s="10">
        <v>14.201000000000022</v>
      </c>
      <c r="N106" s="12">
        <f t="shared" si="1"/>
        <v>15.008999999999958</v>
      </c>
    </row>
    <row r="107" spans="1:14" x14ac:dyDescent="0.25">
      <c r="A107" s="26">
        <v>911</v>
      </c>
      <c r="B107" s="11">
        <v>71.265000000000001</v>
      </c>
      <c r="C107" s="12">
        <v>71.286000000000001</v>
      </c>
      <c r="D107" s="11"/>
      <c r="E107" s="13"/>
      <c r="F107" s="13"/>
      <c r="G107" s="13"/>
      <c r="H107" s="13"/>
      <c r="I107" s="13"/>
      <c r="J107" s="10"/>
      <c r="K107" s="10"/>
      <c r="L107" s="10">
        <v>0</v>
      </c>
      <c r="M107" s="10">
        <v>2.7000000000001023E-2</v>
      </c>
      <c r="N107" s="12">
        <f t="shared" si="1"/>
        <v>2.1000000000000796E-2</v>
      </c>
    </row>
    <row r="108" spans="1:14" x14ac:dyDescent="0.25">
      <c r="A108" s="26">
        <v>912</v>
      </c>
      <c r="B108" s="11">
        <v>303.05200000000002</v>
      </c>
      <c r="C108" s="12">
        <v>310.34199999999998</v>
      </c>
      <c r="D108" s="11"/>
      <c r="E108" s="13"/>
      <c r="F108" s="13"/>
      <c r="G108" s="13"/>
      <c r="H108" s="13"/>
      <c r="I108" s="13"/>
      <c r="J108" s="10"/>
      <c r="K108" s="10"/>
      <c r="L108" s="10">
        <v>4.5910000000000082</v>
      </c>
      <c r="M108" s="10">
        <v>6.4270000000000209</v>
      </c>
      <c r="N108" s="12">
        <f t="shared" si="1"/>
        <v>7.2899999999999636</v>
      </c>
    </row>
    <row r="109" spans="1:14" x14ac:dyDescent="0.25">
      <c r="A109" s="26">
        <v>1001</v>
      </c>
      <c r="B109" s="11">
        <v>274.84699999999998</v>
      </c>
      <c r="C109" s="12">
        <v>276.32100000000003</v>
      </c>
      <c r="D109" s="11"/>
      <c r="E109" s="13"/>
      <c r="F109" s="13"/>
      <c r="G109" s="13"/>
      <c r="H109" s="13"/>
      <c r="I109" s="13"/>
      <c r="J109" s="10"/>
      <c r="K109" s="10"/>
      <c r="L109" s="10">
        <v>0.78800000000001091</v>
      </c>
      <c r="M109" s="10">
        <v>1.825999999999965</v>
      </c>
      <c r="N109" s="12">
        <f t="shared" si="1"/>
        <v>1.4740000000000464</v>
      </c>
    </row>
    <row r="110" spans="1:14" x14ac:dyDescent="0.25">
      <c r="A110" s="26">
        <v>1002</v>
      </c>
      <c r="B110" s="11">
        <v>672.52200000000005</v>
      </c>
      <c r="C110" s="12">
        <v>689.65300000000002</v>
      </c>
      <c r="D110" s="11"/>
      <c r="E110" s="13"/>
      <c r="F110" s="13"/>
      <c r="G110" s="13"/>
      <c r="H110" s="13"/>
      <c r="I110" s="13"/>
      <c r="J110" s="10"/>
      <c r="K110" s="10"/>
      <c r="L110" s="10">
        <v>15.166000000000054</v>
      </c>
      <c r="M110" s="10">
        <v>15.186000000000035</v>
      </c>
      <c r="N110" s="12">
        <f t="shared" si="1"/>
        <v>17.130999999999972</v>
      </c>
    </row>
    <row r="111" spans="1:14" x14ac:dyDescent="0.25">
      <c r="A111" s="26">
        <v>1003</v>
      </c>
      <c r="B111" s="11">
        <v>314.85199999999998</v>
      </c>
      <c r="C111" s="12">
        <v>321.73</v>
      </c>
      <c r="D111" s="11"/>
      <c r="E111" s="13"/>
      <c r="F111" s="13"/>
      <c r="G111" s="13"/>
      <c r="H111" s="13"/>
      <c r="I111" s="13"/>
      <c r="J111" s="10"/>
      <c r="K111" s="10"/>
      <c r="L111" s="10">
        <v>4.7639999999999532</v>
      </c>
      <c r="M111" s="10">
        <v>3.8149999999999977</v>
      </c>
      <c r="N111" s="12">
        <f t="shared" si="1"/>
        <v>6.8780000000000427</v>
      </c>
    </row>
    <row r="112" spans="1:14" x14ac:dyDescent="0.25">
      <c r="A112" s="26">
        <v>1003</v>
      </c>
      <c r="B112" s="11">
        <v>0</v>
      </c>
      <c r="C112" s="12">
        <v>0</v>
      </c>
      <c r="D112" s="11"/>
      <c r="E112" s="13"/>
      <c r="F112" s="13"/>
      <c r="G112" s="13"/>
      <c r="H112" s="13"/>
      <c r="I112" s="13"/>
      <c r="J112" s="10"/>
      <c r="K112" s="10"/>
      <c r="L112" s="10">
        <v>0</v>
      </c>
      <c r="M112" s="10">
        <v>0</v>
      </c>
      <c r="N112" s="12">
        <f t="shared" si="1"/>
        <v>0</v>
      </c>
    </row>
    <row r="113" spans="1:14" x14ac:dyDescent="0.25">
      <c r="A113" s="26">
        <v>1004</v>
      </c>
      <c r="B113" s="11">
        <v>282.95600000000002</v>
      </c>
      <c r="C113" s="12">
        <v>292.22899999999998</v>
      </c>
      <c r="D113" s="11"/>
      <c r="E113" s="13"/>
      <c r="F113" s="13"/>
      <c r="G113" s="13"/>
      <c r="H113" s="13"/>
      <c r="I113" s="13"/>
      <c r="J113" s="10"/>
      <c r="K113" s="10"/>
      <c r="L113" s="10">
        <v>8.2769999999999868</v>
      </c>
      <c r="M113" s="10">
        <v>8.5270000000000437</v>
      </c>
      <c r="N113" s="12">
        <f t="shared" si="1"/>
        <v>9.2729999999999677</v>
      </c>
    </row>
    <row r="114" spans="1:14" x14ac:dyDescent="0.25">
      <c r="A114" s="26">
        <v>1005</v>
      </c>
      <c r="B114" s="11">
        <v>223.41200000000001</v>
      </c>
      <c r="C114" s="12">
        <v>234.934</v>
      </c>
      <c r="D114" s="11"/>
      <c r="E114" s="13"/>
      <c r="F114" s="13"/>
      <c r="G114" s="13"/>
      <c r="H114" s="13"/>
      <c r="I114" s="13"/>
      <c r="J114" s="10"/>
      <c r="K114" s="10"/>
      <c r="L114" s="10">
        <v>5.2620000000000005</v>
      </c>
      <c r="M114" s="10">
        <v>7.8569999999999993</v>
      </c>
      <c r="N114" s="12">
        <f t="shared" si="1"/>
        <v>11.521999999999991</v>
      </c>
    </row>
    <row r="115" spans="1:14" x14ac:dyDescent="0.25">
      <c r="A115" s="26">
        <v>1006</v>
      </c>
      <c r="B115" s="11">
        <v>259.49900000000002</v>
      </c>
      <c r="C115" s="12">
        <v>264.15699999999998</v>
      </c>
      <c r="D115" s="11"/>
      <c r="E115" s="13"/>
      <c r="F115" s="13"/>
      <c r="G115" s="13"/>
      <c r="H115" s="13"/>
      <c r="I115" s="13"/>
      <c r="J115" s="10"/>
      <c r="K115" s="10"/>
      <c r="L115" s="10">
        <v>3.2309999999999945</v>
      </c>
      <c r="M115" s="10">
        <v>2.4940000000000282</v>
      </c>
      <c r="N115" s="12">
        <f t="shared" si="1"/>
        <v>4.6579999999999586</v>
      </c>
    </row>
    <row r="116" spans="1:14" x14ac:dyDescent="0.25">
      <c r="A116" s="26">
        <v>1007</v>
      </c>
      <c r="B116" s="11">
        <v>314.125</v>
      </c>
      <c r="C116" s="12">
        <v>319.166</v>
      </c>
      <c r="D116" s="11"/>
      <c r="E116" s="13"/>
      <c r="F116" s="13"/>
      <c r="G116" s="13"/>
      <c r="H116" s="13"/>
      <c r="I116" s="13"/>
      <c r="J116" s="10"/>
      <c r="K116" s="10"/>
      <c r="L116" s="10">
        <v>3.15300000000002</v>
      </c>
      <c r="M116" s="10">
        <v>1.9359999999999786</v>
      </c>
      <c r="N116" s="12">
        <f t="shared" si="1"/>
        <v>5.0409999999999968</v>
      </c>
    </row>
    <row r="117" spans="1:14" x14ac:dyDescent="0.25">
      <c r="A117" s="26">
        <v>1008</v>
      </c>
      <c r="B117" s="11">
        <v>154.46</v>
      </c>
      <c r="C117" s="12">
        <v>162.976</v>
      </c>
      <c r="D117" s="11"/>
      <c r="E117" s="13"/>
      <c r="F117" s="13"/>
      <c r="G117" s="13"/>
      <c r="H117" s="13"/>
      <c r="I117" s="13"/>
      <c r="J117" s="10"/>
      <c r="K117" s="10"/>
      <c r="L117" s="10">
        <v>4.2330000000000041</v>
      </c>
      <c r="M117" s="10">
        <v>4.9320000000000164</v>
      </c>
      <c r="N117" s="12">
        <f t="shared" si="1"/>
        <v>8.5159999999999911</v>
      </c>
    </row>
    <row r="118" spans="1:14" x14ac:dyDescent="0.25">
      <c r="A118" s="26">
        <v>1009</v>
      </c>
      <c r="B118" s="11">
        <v>146.71700000000001</v>
      </c>
      <c r="C118" s="12">
        <v>149.71199999999999</v>
      </c>
      <c r="D118" s="11"/>
      <c r="E118" s="13"/>
      <c r="F118" s="13"/>
      <c r="G118" s="13"/>
      <c r="H118" s="13"/>
      <c r="I118" s="13"/>
      <c r="J118" s="10"/>
      <c r="K118" s="10"/>
      <c r="L118" s="10">
        <v>2.7740000000000009</v>
      </c>
      <c r="M118" s="10">
        <v>3.1830000000000211</v>
      </c>
      <c r="N118" s="12">
        <f t="shared" si="1"/>
        <v>2.9949999999999761</v>
      </c>
    </row>
    <row r="119" spans="1:14" x14ac:dyDescent="0.25">
      <c r="A119" s="26">
        <v>1010</v>
      </c>
      <c r="B119" s="11">
        <v>699.55899999999997</v>
      </c>
      <c r="C119" s="12">
        <v>707.72199999999998</v>
      </c>
      <c r="D119" s="11"/>
      <c r="E119" s="13"/>
      <c r="F119" s="13"/>
      <c r="G119" s="13"/>
      <c r="H119" s="13"/>
      <c r="I119" s="13"/>
      <c r="J119" s="10"/>
      <c r="K119" s="10"/>
      <c r="L119" s="10">
        <v>8.8909999999999627</v>
      </c>
      <c r="M119" s="10">
        <v>5.0059999999999718</v>
      </c>
      <c r="N119" s="12">
        <f t="shared" si="1"/>
        <v>8.1630000000000109</v>
      </c>
    </row>
    <row r="120" spans="1:14" x14ac:dyDescent="0.25">
      <c r="A120" s="26">
        <v>1011</v>
      </c>
      <c r="B120" s="11">
        <v>107.78100000000001</v>
      </c>
      <c r="C120" s="12">
        <v>110.249</v>
      </c>
      <c r="D120" s="11"/>
      <c r="E120" s="13"/>
      <c r="F120" s="13"/>
      <c r="G120" s="13"/>
      <c r="H120" s="13"/>
      <c r="I120" s="13"/>
      <c r="J120" s="10"/>
      <c r="K120" s="10"/>
      <c r="L120" s="10">
        <v>0.79599999999999227</v>
      </c>
      <c r="M120" s="10">
        <v>1.0560000000000116</v>
      </c>
      <c r="N120" s="12">
        <f t="shared" si="1"/>
        <v>2.4679999999999893</v>
      </c>
    </row>
    <row r="121" spans="1:14" x14ac:dyDescent="0.25">
      <c r="A121" s="26">
        <v>1012</v>
      </c>
      <c r="B121" s="11">
        <v>372.17399999999998</v>
      </c>
      <c r="C121" s="12">
        <v>382.69900000000001</v>
      </c>
      <c r="D121" s="11"/>
      <c r="E121" s="13"/>
      <c r="F121" s="13"/>
      <c r="G121" s="13"/>
      <c r="H121" s="13"/>
      <c r="I121" s="13"/>
      <c r="J121" s="10"/>
      <c r="K121" s="10"/>
      <c r="L121" s="10">
        <v>8.5519999999999641</v>
      </c>
      <c r="M121" s="10">
        <v>9.0219999999999914</v>
      </c>
      <c r="N121" s="12">
        <f t="shared" si="1"/>
        <v>10.525000000000034</v>
      </c>
    </row>
    <row r="122" spans="1:14" x14ac:dyDescent="0.25">
      <c r="A122" s="26">
        <v>1101</v>
      </c>
      <c r="B122" s="11">
        <v>148.81700000000001</v>
      </c>
      <c r="C122" s="12">
        <v>160.839</v>
      </c>
      <c r="D122" s="11"/>
      <c r="E122" s="13"/>
      <c r="F122" s="13"/>
      <c r="G122" s="13"/>
      <c r="H122" s="13"/>
      <c r="I122" s="13"/>
      <c r="J122" s="10"/>
      <c r="K122" s="10"/>
      <c r="L122" s="10">
        <v>0.31900000000001683</v>
      </c>
      <c r="M122" s="10">
        <v>0.26200000000000045</v>
      </c>
      <c r="N122" s="12">
        <f t="shared" si="1"/>
        <v>12.021999999999991</v>
      </c>
    </row>
    <row r="123" spans="1:14" x14ac:dyDescent="0.25">
      <c r="A123" s="26">
        <v>1102</v>
      </c>
      <c r="B123" s="11">
        <v>296.84399999999999</v>
      </c>
      <c r="C123" s="12">
        <v>308.57299999999998</v>
      </c>
      <c r="D123" s="11"/>
      <c r="E123" s="13"/>
      <c r="F123" s="13"/>
      <c r="G123" s="13"/>
      <c r="H123" s="13"/>
      <c r="I123" s="13"/>
      <c r="J123" s="10"/>
      <c r="K123" s="10"/>
      <c r="L123" s="10">
        <v>8.1850000000000023</v>
      </c>
      <c r="M123" s="10">
        <v>8.464999999999975</v>
      </c>
      <c r="N123" s="12">
        <f t="shared" si="1"/>
        <v>11.728999999999985</v>
      </c>
    </row>
    <row r="124" spans="1:14" x14ac:dyDescent="0.25">
      <c r="A124" s="26">
        <v>1103</v>
      </c>
      <c r="B124" s="11">
        <v>277.28800000000001</v>
      </c>
      <c r="C124" s="12">
        <v>286.70699999999999</v>
      </c>
      <c r="D124" s="11"/>
      <c r="E124" s="13"/>
      <c r="F124" s="13"/>
      <c r="G124" s="13"/>
      <c r="H124" s="13"/>
      <c r="I124" s="13"/>
      <c r="J124" s="10"/>
      <c r="K124" s="10"/>
      <c r="L124" s="10">
        <v>3.4809999999999945</v>
      </c>
      <c r="M124" s="10">
        <v>1.4120000000000346</v>
      </c>
      <c r="N124" s="12">
        <f t="shared" si="1"/>
        <v>9.4189999999999827</v>
      </c>
    </row>
    <row r="125" spans="1:14" x14ac:dyDescent="0.25">
      <c r="A125" s="26">
        <v>1104</v>
      </c>
      <c r="B125" s="16">
        <v>128.97399999999999</v>
      </c>
      <c r="C125" s="17">
        <v>128.97399999999999</v>
      </c>
      <c r="D125" s="16"/>
      <c r="E125" s="18"/>
      <c r="F125" s="18"/>
      <c r="G125" s="18"/>
      <c r="H125" s="18"/>
      <c r="I125" s="18"/>
      <c r="J125" s="19"/>
      <c r="K125" s="19"/>
      <c r="L125" s="19">
        <v>2.7919999999999874</v>
      </c>
      <c r="M125" s="19">
        <v>0</v>
      </c>
      <c r="N125" s="17">
        <f t="shared" si="1"/>
        <v>0</v>
      </c>
    </row>
    <row r="126" spans="1:14" x14ac:dyDescent="0.25">
      <c r="A126" s="26">
        <v>1105</v>
      </c>
      <c r="B126" s="11">
        <v>525.45000000000005</v>
      </c>
      <c r="C126" s="12">
        <v>539.58600000000001</v>
      </c>
      <c r="D126" s="11"/>
      <c r="E126" s="13"/>
      <c r="F126" s="13"/>
      <c r="G126" s="13"/>
      <c r="H126" s="13"/>
      <c r="I126" s="13"/>
      <c r="J126" s="10"/>
      <c r="K126" s="10"/>
      <c r="L126" s="10">
        <v>9.8210000000000264</v>
      </c>
      <c r="M126" s="10">
        <v>9.1150000000000091</v>
      </c>
      <c r="N126" s="12">
        <f t="shared" si="1"/>
        <v>14.135999999999967</v>
      </c>
    </row>
    <row r="127" spans="1:14" x14ac:dyDescent="0.25">
      <c r="A127" s="26">
        <v>1106</v>
      </c>
      <c r="B127" s="11">
        <v>43.033999999999999</v>
      </c>
      <c r="C127" s="12">
        <v>43.542000000000002</v>
      </c>
      <c r="D127" s="11"/>
      <c r="E127" s="13"/>
      <c r="F127" s="13"/>
      <c r="G127" s="13"/>
      <c r="H127" s="13"/>
      <c r="I127" s="13"/>
      <c r="J127" s="10"/>
      <c r="K127" s="10"/>
      <c r="L127" s="10">
        <v>0</v>
      </c>
      <c r="M127" s="10">
        <v>1.0279999999999987</v>
      </c>
      <c r="N127" s="12">
        <f t="shared" si="1"/>
        <v>0.50800000000000267</v>
      </c>
    </row>
    <row r="128" spans="1:14" x14ac:dyDescent="0.25">
      <c r="A128" s="26">
        <v>1107</v>
      </c>
      <c r="B128" s="11">
        <v>391.52499999999998</v>
      </c>
      <c r="C128" s="12">
        <v>402.33300000000003</v>
      </c>
      <c r="D128" s="11"/>
      <c r="E128" s="13"/>
      <c r="F128" s="13"/>
      <c r="G128" s="13"/>
      <c r="H128" s="13"/>
      <c r="I128" s="13"/>
      <c r="J128" s="10"/>
      <c r="K128" s="10"/>
      <c r="L128" s="10">
        <v>8.6519999999999868</v>
      </c>
      <c r="M128" s="10">
        <v>5.34699999999998</v>
      </c>
      <c r="N128" s="12">
        <f t="shared" si="1"/>
        <v>10.80800000000005</v>
      </c>
    </row>
    <row r="129" spans="1:14" x14ac:dyDescent="0.25">
      <c r="A129" s="26">
        <v>1108</v>
      </c>
      <c r="B129" s="11">
        <v>182.50700000000001</v>
      </c>
      <c r="C129" s="12">
        <v>186.62100000000001</v>
      </c>
      <c r="D129" s="11"/>
      <c r="E129" s="13"/>
      <c r="F129" s="13"/>
      <c r="G129" s="13"/>
      <c r="H129" s="13"/>
      <c r="I129" s="13"/>
      <c r="J129" s="10"/>
      <c r="K129" s="10"/>
      <c r="L129" s="10">
        <v>2.210000000000008</v>
      </c>
      <c r="M129" s="10">
        <v>1.0310000000000059</v>
      </c>
      <c r="N129" s="12">
        <f t="shared" si="1"/>
        <v>4.1140000000000043</v>
      </c>
    </row>
    <row r="130" spans="1:14" x14ac:dyDescent="0.25">
      <c r="A130" s="26">
        <v>1109</v>
      </c>
      <c r="B130" s="11">
        <v>251.251</v>
      </c>
      <c r="C130" s="12">
        <v>257.57400000000001</v>
      </c>
      <c r="D130" s="11"/>
      <c r="E130" s="13"/>
      <c r="F130" s="13"/>
      <c r="G130" s="13"/>
      <c r="H130" s="13"/>
      <c r="I130" s="13"/>
      <c r="J130" s="10"/>
      <c r="K130" s="10"/>
      <c r="L130" s="10">
        <v>4.8120000000000118</v>
      </c>
      <c r="M130" s="10">
        <v>4.7860000000000014</v>
      </c>
      <c r="N130" s="12">
        <f t="shared" si="1"/>
        <v>6.3230000000000075</v>
      </c>
    </row>
    <row r="131" spans="1:14" x14ac:dyDescent="0.25">
      <c r="A131" s="26">
        <v>1110</v>
      </c>
      <c r="B131" s="11">
        <v>363.33499999999998</v>
      </c>
      <c r="C131" s="12">
        <v>368.565</v>
      </c>
      <c r="D131" s="11"/>
      <c r="E131" s="13"/>
      <c r="F131" s="13"/>
      <c r="G131" s="13"/>
      <c r="H131" s="13"/>
      <c r="I131" s="13"/>
      <c r="J131" s="10"/>
      <c r="K131" s="10"/>
      <c r="L131" s="10">
        <v>4.9720000000000368</v>
      </c>
      <c r="M131" s="10">
        <v>4.5639999999999645</v>
      </c>
      <c r="N131" s="12">
        <f t="shared" si="1"/>
        <v>5.2300000000000182</v>
      </c>
    </row>
    <row r="132" spans="1:14" x14ac:dyDescent="0.25">
      <c r="A132" s="26">
        <v>1111</v>
      </c>
      <c r="B132" s="11">
        <v>240.18299999999999</v>
      </c>
      <c r="C132" s="12">
        <v>250.721</v>
      </c>
      <c r="D132" s="11"/>
      <c r="E132" s="13"/>
      <c r="F132" s="13"/>
      <c r="G132" s="13"/>
      <c r="H132" s="13"/>
      <c r="I132" s="13"/>
      <c r="J132" s="10"/>
      <c r="K132" s="10"/>
      <c r="L132" s="10">
        <v>8.59699999999998</v>
      </c>
      <c r="M132" s="10">
        <v>7.2379999999999995</v>
      </c>
      <c r="N132" s="12">
        <f t="shared" si="1"/>
        <v>10.538000000000011</v>
      </c>
    </row>
    <row r="133" spans="1:14" x14ac:dyDescent="0.25">
      <c r="A133" s="26">
        <v>1112</v>
      </c>
      <c r="B133" s="11">
        <v>378.31700000000001</v>
      </c>
      <c r="C133" s="12">
        <v>391.892</v>
      </c>
      <c r="D133" s="11"/>
      <c r="E133" s="13"/>
      <c r="F133" s="13"/>
      <c r="G133" s="13"/>
      <c r="H133" s="13"/>
      <c r="I133" s="13"/>
      <c r="J133" s="10"/>
      <c r="K133" s="10"/>
      <c r="L133" s="10">
        <v>8.2829999999999586</v>
      </c>
      <c r="M133" s="10">
        <v>10.112000000000023</v>
      </c>
      <c r="N133" s="12">
        <f t="shared" si="1"/>
        <v>13.574999999999989</v>
      </c>
    </row>
    <row r="134" spans="1:14" x14ac:dyDescent="0.25">
      <c r="A134" s="26">
        <v>1201</v>
      </c>
      <c r="B134" s="11">
        <v>665.48099999999999</v>
      </c>
      <c r="C134" s="12">
        <v>684.50400000000002</v>
      </c>
      <c r="D134" s="11"/>
      <c r="E134" s="13"/>
      <c r="F134" s="13"/>
      <c r="G134" s="13"/>
      <c r="H134" s="13"/>
      <c r="I134" s="13"/>
      <c r="J134" s="10"/>
      <c r="K134" s="10"/>
      <c r="L134" s="10">
        <v>16.827999999999975</v>
      </c>
      <c r="M134" s="10">
        <v>14.495000000000005</v>
      </c>
      <c r="N134" s="12">
        <f t="shared" ref="N134:N197" si="2">+C134-B134</f>
        <v>19.023000000000025</v>
      </c>
    </row>
    <row r="135" spans="1:14" x14ac:dyDescent="0.25">
      <c r="A135" s="26">
        <v>1203</v>
      </c>
      <c r="B135" s="11">
        <v>234.48500000000001</v>
      </c>
      <c r="C135" s="12">
        <v>241.739</v>
      </c>
      <c r="D135" s="11"/>
      <c r="E135" s="13"/>
      <c r="F135" s="13"/>
      <c r="G135" s="13"/>
      <c r="H135" s="13"/>
      <c r="I135" s="13"/>
      <c r="J135" s="10"/>
      <c r="K135" s="10"/>
      <c r="L135" s="10">
        <v>5.3060000000000116</v>
      </c>
      <c r="M135" s="10">
        <v>5.1740000000000066</v>
      </c>
      <c r="N135" s="12">
        <f t="shared" si="2"/>
        <v>7.2539999999999907</v>
      </c>
    </row>
    <row r="136" spans="1:14" x14ac:dyDescent="0.25">
      <c r="A136" s="26">
        <v>1204</v>
      </c>
      <c r="B136" s="11">
        <v>207.374</v>
      </c>
      <c r="C136" s="12">
        <v>216.953</v>
      </c>
      <c r="D136" s="11"/>
      <c r="E136" s="13"/>
      <c r="F136" s="13"/>
      <c r="G136" s="13"/>
      <c r="H136" s="13"/>
      <c r="I136" s="13"/>
      <c r="J136" s="10"/>
      <c r="K136" s="10"/>
      <c r="L136" s="10">
        <v>7.0630000000000166</v>
      </c>
      <c r="M136" s="10">
        <v>5.5319999999999823</v>
      </c>
      <c r="N136" s="12">
        <f t="shared" si="2"/>
        <v>9.5790000000000077</v>
      </c>
    </row>
    <row r="137" spans="1:14" x14ac:dyDescent="0.25">
      <c r="A137" s="26">
        <v>1205</v>
      </c>
      <c r="B137" s="11">
        <v>265.60199999999998</v>
      </c>
      <c r="C137" s="12">
        <v>287.68299999999999</v>
      </c>
      <c r="D137" s="11"/>
      <c r="E137" s="13"/>
      <c r="F137" s="13"/>
      <c r="G137" s="13"/>
      <c r="H137" s="13"/>
      <c r="I137" s="13"/>
      <c r="J137" s="10"/>
      <c r="K137" s="10"/>
      <c r="L137" s="10">
        <v>16.111000000000018</v>
      </c>
      <c r="M137" s="10">
        <v>14.933999999999969</v>
      </c>
      <c r="N137" s="12">
        <f t="shared" si="2"/>
        <v>22.081000000000017</v>
      </c>
    </row>
    <row r="138" spans="1:14" x14ac:dyDescent="0.25">
      <c r="A138" s="26">
        <v>1206</v>
      </c>
      <c r="B138" s="11">
        <v>94.587000000000003</v>
      </c>
      <c r="C138" s="12">
        <v>96.400999999999996</v>
      </c>
      <c r="D138" s="11"/>
      <c r="E138" s="13"/>
      <c r="F138" s="13"/>
      <c r="G138" s="13"/>
      <c r="H138" s="13"/>
      <c r="I138" s="13"/>
      <c r="J138" s="10"/>
      <c r="K138" s="10"/>
      <c r="L138" s="10">
        <v>0.63899999999999579</v>
      </c>
      <c r="M138" s="10">
        <v>1.3760000000000048</v>
      </c>
      <c r="N138" s="12">
        <f t="shared" si="2"/>
        <v>1.813999999999993</v>
      </c>
    </row>
    <row r="139" spans="1:14" x14ac:dyDescent="0.25">
      <c r="A139" s="26">
        <v>1207</v>
      </c>
      <c r="B139" s="11">
        <v>243.29499999999999</v>
      </c>
      <c r="C139" s="12">
        <v>254.23699999999999</v>
      </c>
      <c r="D139" s="11"/>
      <c r="E139" s="13"/>
      <c r="F139" s="13"/>
      <c r="G139" s="13"/>
      <c r="H139" s="13"/>
      <c r="I139" s="13"/>
      <c r="J139" s="10"/>
      <c r="K139" s="10"/>
      <c r="L139" s="10">
        <v>8.382000000000005</v>
      </c>
      <c r="M139" s="10">
        <v>8.4369999999999834</v>
      </c>
      <c r="N139" s="12">
        <f t="shared" si="2"/>
        <v>10.942000000000007</v>
      </c>
    </row>
    <row r="140" spans="1:14" x14ac:dyDescent="0.25">
      <c r="A140" s="26">
        <v>1208</v>
      </c>
      <c r="B140" s="11">
        <v>133.36699999999999</v>
      </c>
      <c r="C140" s="12">
        <v>135.12100000000001</v>
      </c>
      <c r="D140" s="11"/>
      <c r="E140" s="13"/>
      <c r="F140" s="13"/>
      <c r="G140" s="13"/>
      <c r="H140" s="13"/>
      <c r="I140" s="13"/>
      <c r="J140" s="10"/>
      <c r="K140" s="10"/>
      <c r="L140" s="10">
        <v>1.2539999999999907</v>
      </c>
      <c r="M140" s="10">
        <v>1.157999999999987</v>
      </c>
      <c r="N140" s="12">
        <f t="shared" si="2"/>
        <v>1.7540000000000191</v>
      </c>
    </row>
    <row r="141" spans="1:14" x14ac:dyDescent="0.25">
      <c r="A141" s="26">
        <v>1209</v>
      </c>
      <c r="B141" s="11">
        <v>175.63300000000001</v>
      </c>
      <c r="C141" s="12">
        <v>183.30199999999999</v>
      </c>
      <c r="D141" s="11"/>
      <c r="E141" s="13"/>
      <c r="F141" s="13"/>
      <c r="G141" s="13"/>
      <c r="H141" s="13"/>
      <c r="I141" s="13"/>
      <c r="J141" s="10"/>
      <c r="K141" s="10"/>
      <c r="L141" s="10">
        <v>7.6469999999999914</v>
      </c>
      <c r="M141" s="10">
        <v>3.9780000000000086</v>
      </c>
      <c r="N141" s="12">
        <f t="shared" si="2"/>
        <v>7.6689999999999827</v>
      </c>
    </row>
    <row r="142" spans="1:14" x14ac:dyDescent="0.25">
      <c r="A142" s="26">
        <v>1210</v>
      </c>
      <c r="B142" s="11">
        <v>423.221</v>
      </c>
      <c r="C142" s="12">
        <v>436.68200000000002</v>
      </c>
      <c r="D142" s="11"/>
      <c r="E142" s="13"/>
      <c r="F142" s="13"/>
      <c r="G142" s="13"/>
      <c r="H142" s="13"/>
      <c r="I142" s="13"/>
      <c r="J142" s="10"/>
      <c r="K142" s="10"/>
      <c r="L142" s="10">
        <v>0</v>
      </c>
      <c r="M142" s="10">
        <v>19.632000000000005</v>
      </c>
      <c r="N142" s="12">
        <f t="shared" si="2"/>
        <v>13.461000000000013</v>
      </c>
    </row>
    <row r="143" spans="1:14" x14ac:dyDescent="0.25">
      <c r="A143" s="26">
        <v>1211</v>
      </c>
      <c r="B143" s="11">
        <v>208.136</v>
      </c>
      <c r="C143" s="12">
        <v>210.374</v>
      </c>
      <c r="D143" s="11"/>
      <c r="E143" s="13"/>
      <c r="F143" s="13"/>
      <c r="G143" s="13"/>
      <c r="H143" s="13"/>
      <c r="I143" s="13"/>
      <c r="J143" s="10"/>
      <c r="K143" s="10"/>
      <c r="L143" s="10">
        <v>2.0240000000000009</v>
      </c>
      <c r="M143" s="10">
        <v>1.8239999999999839</v>
      </c>
      <c r="N143" s="12">
        <f t="shared" si="2"/>
        <v>2.2379999999999995</v>
      </c>
    </row>
    <row r="144" spans="1:14" x14ac:dyDescent="0.25">
      <c r="A144" s="26">
        <v>1212</v>
      </c>
      <c r="B144" s="11">
        <v>291.78399999999999</v>
      </c>
      <c r="C144" s="12">
        <v>313.94799999999998</v>
      </c>
      <c r="D144" s="11"/>
      <c r="E144" s="13"/>
      <c r="F144" s="13"/>
      <c r="G144" s="13"/>
      <c r="H144" s="13"/>
      <c r="I144" s="13"/>
      <c r="J144" s="10"/>
      <c r="K144" s="10"/>
      <c r="L144" s="10">
        <v>11.548000000000002</v>
      </c>
      <c r="M144" s="10">
        <v>7.2810000000000059</v>
      </c>
      <c r="N144" s="12">
        <f t="shared" si="2"/>
        <v>22.163999999999987</v>
      </c>
    </row>
    <row r="145" spans="1:14" x14ac:dyDescent="0.25">
      <c r="A145" s="26">
        <v>1301</v>
      </c>
      <c r="B145" s="11">
        <v>123.363</v>
      </c>
      <c r="C145" s="12">
        <v>126.75</v>
      </c>
      <c r="D145" s="11"/>
      <c r="E145" s="13"/>
      <c r="F145" s="13"/>
      <c r="G145" s="13"/>
      <c r="H145" s="13"/>
      <c r="I145" s="13"/>
      <c r="J145" s="10"/>
      <c r="K145" s="10"/>
      <c r="L145" s="10">
        <v>2.2480000000000047</v>
      </c>
      <c r="M145" s="10">
        <v>1.4579999999999984</v>
      </c>
      <c r="N145" s="12">
        <f t="shared" si="2"/>
        <v>3.3870000000000005</v>
      </c>
    </row>
    <row r="146" spans="1:14" x14ac:dyDescent="0.25">
      <c r="A146" s="26">
        <v>1302</v>
      </c>
      <c r="B146" s="11">
        <v>247.78700000000001</v>
      </c>
      <c r="C146" s="12">
        <v>257.84500000000003</v>
      </c>
      <c r="D146" s="11"/>
      <c r="E146" s="13"/>
      <c r="F146" s="13"/>
      <c r="G146" s="13"/>
      <c r="H146" s="13"/>
      <c r="I146" s="13"/>
      <c r="J146" s="10"/>
      <c r="K146" s="10"/>
      <c r="L146" s="10">
        <v>7.4039999999999964</v>
      </c>
      <c r="M146" s="10">
        <v>5.90300000000002</v>
      </c>
      <c r="N146" s="12">
        <f t="shared" si="2"/>
        <v>10.058000000000021</v>
      </c>
    </row>
    <row r="147" spans="1:14" x14ac:dyDescent="0.25">
      <c r="A147" s="26">
        <v>1303</v>
      </c>
      <c r="B147" s="11">
        <v>240.369</v>
      </c>
      <c r="C147" s="12">
        <v>252.88499999999999</v>
      </c>
      <c r="D147" s="11"/>
      <c r="E147" s="13"/>
      <c r="F147" s="13"/>
      <c r="G147" s="13"/>
      <c r="H147" s="13"/>
      <c r="I147" s="13"/>
      <c r="J147" s="10"/>
      <c r="K147" s="10"/>
      <c r="L147" s="10">
        <v>11.099999999999994</v>
      </c>
      <c r="M147" s="10">
        <v>10.213999999999999</v>
      </c>
      <c r="N147" s="12">
        <f t="shared" si="2"/>
        <v>12.515999999999991</v>
      </c>
    </row>
    <row r="148" spans="1:14" x14ac:dyDescent="0.25">
      <c r="A148" s="26">
        <v>1304</v>
      </c>
      <c r="B148" s="11">
        <v>417.56299999999999</v>
      </c>
      <c r="C148" s="12">
        <v>435.21199999999999</v>
      </c>
      <c r="D148" s="11"/>
      <c r="E148" s="13"/>
      <c r="F148" s="13"/>
      <c r="G148" s="13"/>
      <c r="H148" s="13"/>
      <c r="I148" s="13"/>
      <c r="J148" s="10"/>
      <c r="K148" s="10"/>
      <c r="L148" s="10">
        <v>10.47399999999999</v>
      </c>
      <c r="M148" s="10">
        <v>4.7139999999999986</v>
      </c>
      <c r="N148" s="12">
        <f t="shared" si="2"/>
        <v>17.649000000000001</v>
      </c>
    </row>
    <row r="149" spans="1:14" x14ac:dyDescent="0.25">
      <c r="A149" s="26">
        <v>1305</v>
      </c>
      <c r="B149" s="11">
        <v>523.923</v>
      </c>
      <c r="C149" s="12">
        <v>551.10699999999997</v>
      </c>
      <c r="D149" s="11"/>
      <c r="E149" s="13"/>
      <c r="F149" s="13"/>
      <c r="G149" s="13"/>
      <c r="H149" s="13"/>
      <c r="I149" s="13"/>
      <c r="J149" s="10"/>
      <c r="K149" s="10"/>
      <c r="L149" s="10">
        <v>15.847000000000037</v>
      </c>
      <c r="M149" s="10">
        <v>9.5199999999999818</v>
      </c>
      <c r="N149" s="12">
        <f t="shared" si="2"/>
        <v>27.183999999999969</v>
      </c>
    </row>
    <row r="150" spans="1:14" x14ac:dyDescent="0.25">
      <c r="A150" s="26">
        <v>1306</v>
      </c>
      <c r="B150" s="11">
        <v>10.977</v>
      </c>
      <c r="C150" s="12">
        <v>10.977</v>
      </c>
      <c r="D150" s="11"/>
      <c r="E150" s="13"/>
      <c r="F150" s="13"/>
      <c r="G150" s="13"/>
      <c r="H150" s="13"/>
      <c r="I150" s="13"/>
      <c r="J150" s="10"/>
      <c r="K150" s="10"/>
      <c r="L150" s="10">
        <v>0</v>
      </c>
      <c r="M150" s="10">
        <v>0</v>
      </c>
      <c r="N150" s="12">
        <f t="shared" si="2"/>
        <v>0</v>
      </c>
    </row>
    <row r="151" spans="1:14" x14ac:dyDescent="0.25">
      <c r="A151" s="26">
        <v>1307</v>
      </c>
      <c r="B151" s="11">
        <v>266.88600000000002</v>
      </c>
      <c r="C151" s="12">
        <v>270.97899999999998</v>
      </c>
      <c r="D151" s="11"/>
      <c r="E151" s="13"/>
      <c r="F151" s="13"/>
      <c r="G151" s="13"/>
      <c r="H151" s="13"/>
      <c r="I151" s="13"/>
      <c r="J151" s="10"/>
      <c r="K151" s="10"/>
      <c r="L151" s="10">
        <v>5.2609999999999673</v>
      </c>
      <c r="M151" s="10">
        <v>3.1060000000000514</v>
      </c>
      <c r="N151" s="12">
        <f t="shared" si="2"/>
        <v>4.0929999999999609</v>
      </c>
    </row>
    <row r="152" spans="1:14" x14ac:dyDescent="0.25">
      <c r="A152" s="26">
        <v>1308</v>
      </c>
      <c r="B152" s="11">
        <v>45.045999999999999</v>
      </c>
      <c r="C152" s="12">
        <v>45.055</v>
      </c>
      <c r="D152" s="11"/>
      <c r="E152" s="13"/>
      <c r="F152" s="13"/>
      <c r="G152" s="13"/>
      <c r="H152" s="13"/>
      <c r="I152" s="13"/>
      <c r="J152" s="10"/>
      <c r="K152" s="10"/>
      <c r="L152" s="10">
        <v>0.24499999999999744</v>
      </c>
      <c r="M152" s="10">
        <v>0</v>
      </c>
      <c r="N152" s="12">
        <f t="shared" si="2"/>
        <v>9.0000000000003411E-3</v>
      </c>
    </row>
    <row r="153" spans="1:14" x14ac:dyDescent="0.25">
      <c r="A153" s="26">
        <v>1309</v>
      </c>
      <c r="B153" s="11">
        <v>294.65699999999998</v>
      </c>
      <c r="C153" s="12">
        <v>302.69</v>
      </c>
      <c r="D153" s="11"/>
      <c r="E153" s="13"/>
      <c r="F153" s="13"/>
      <c r="G153" s="13"/>
      <c r="H153" s="13"/>
      <c r="I153" s="13"/>
      <c r="J153" s="10"/>
      <c r="K153" s="10"/>
      <c r="L153" s="10">
        <v>6.757000000000005</v>
      </c>
      <c r="M153" s="10">
        <v>4.6789999999999736</v>
      </c>
      <c r="N153" s="12">
        <f t="shared" si="2"/>
        <v>8.0330000000000155</v>
      </c>
    </row>
    <row r="154" spans="1:14" x14ac:dyDescent="0.25">
      <c r="A154" s="26">
        <v>1310</v>
      </c>
      <c r="B154" s="11">
        <v>219.35499999999999</v>
      </c>
      <c r="C154" s="12">
        <v>225.26499999999999</v>
      </c>
      <c r="D154" s="11"/>
      <c r="E154" s="13"/>
      <c r="F154" s="13"/>
      <c r="G154" s="13"/>
      <c r="H154" s="13"/>
      <c r="I154" s="13"/>
      <c r="J154" s="10"/>
      <c r="K154" s="10"/>
      <c r="L154" s="10">
        <v>4.2860000000000014</v>
      </c>
      <c r="M154" s="10">
        <v>3.6399999999999864</v>
      </c>
      <c r="N154" s="12">
        <f t="shared" si="2"/>
        <v>5.9099999999999966</v>
      </c>
    </row>
    <row r="155" spans="1:14" x14ac:dyDescent="0.25">
      <c r="A155" s="26">
        <v>1311</v>
      </c>
      <c r="B155" s="11">
        <v>149.255</v>
      </c>
      <c r="C155" s="12">
        <v>154.84100000000001</v>
      </c>
      <c r="D155" s="11"/>
      <c r="E155" s="13"/>
      <c r="F155" s="13"/>
      <c r="G155" s="13"/>
      <c r="H155" s="13"/>
      <c r="I155" s="13"/>
      <c r="J155" s="10"/>
      <c r="K155" s="10"/>
      <c r="L155" s="10">
        <v>6.1430000000000007</v>
      </c>
      <c r="M155" s="10">
        <v>4.8199999999999932</v>
      </c>
      <c r="N155" s="12">
        <f t="shared" si="2"/>
        <v>5.5860000000000127</v>
      </c>
    </row>
    <row r="156" spans="1:14" x14ac:dyDescent="0.25">
      <c r="A156" s="26">
        <v>1312</v>
      </c>
      <c r="B156" s="11">
        <v>382.57799999999997</v>
      </c>
      <c r="C156" s="12">
        <v>402.851</v>
      </c>
      <c r="D156" s="11"/>
      <c r="E156" s="13"/>
      <c r="F156" s="13"/>
      <c r="G156" s="13"/>
      <c r="H156" s="13"/>
      <c r="I156" s="13"/>
      <c r="J156" s="10"/>
      <c r="K156" s="10"/>
      <c r="L156" s="10">
        <v>13.694999999999993</v>
      </c>
      <c r="M156" s="10">
        <v>15.277999999999963</v>
      </c>
      <c r="N156" s="12">
        <f t="shared" si="2"/>
        <v>20.273000000000025</v>
      </c>
    </row>
    <row r="157" spans="1:14" x14ac:dyDescent="0.25">
      <c r="A157" s="26">
        <v>1401</v>
      </c>
      <c r="B157" s="11">
        <v>212.45500000000001</v>
      </c>
      <c r="C157" s="12">
        <v>216.958</v>
      </c>
      <c r="D157" s="11"/>
      <c r="E157" s="13"/>
      <c r="F157" s="13"/>
      <c r="G157" s="13"/>
      <c r="H157" s="13"/>
      <c r="I157" s="13"/>
      <c r="J157" s="10"/>
      <c r="K157" s="10"/>
      <c r="L157" s="10">
        <v>4.4150000000000205</v>
      </c>
      <c r="M157" s="10">
        <v>2.7390000000000043</v>
      </c>
      <c r="N157" s="12">
        <f t="shared" si="2"/>
        <v>4.5029999999999859</v>
      </c>
    </row>
    <row r="158" spans="1:14" x14ac:dyDescent="0.25">
      <c r="A158" s="26">
        <v>1402</v>
      </c>
      <c r="B158" s="11">
        <v>365.55</v>
      </c>
      <c r="C158" s="12">
        <v>367.36799999999999</v>
      </c>
      <c r="D158" s="11"/>
      <c r="E158" s="13"/>
      <c r="F158" s="13"/>
      <c r="G158" s="13"/>
      <c r="H158" s="13"/>
      <c r="I158" s="13"/>
      <c r="J158" s="10"/>
      <c r="K158" s="10"/>
      <c r="L158" s="10">
        <v>3.6269999999999527</v>
      </c>
      <c r="M158" s="10">
        <v>1.2270000000000323</v>
      </c>
      <c r="N158" s="12">
        <f t="shared" si="2"/>
        <v>1.8179999999999836</v>
      </c>
    </row>
    <row r="159" spans="1:14" x14ac:dyDescent="0.25">
      <c r="A159" s="26">
        <v>1403</v>
      </c>
      <c r="B159" s="11">
        <v>444.50900000000001</v>
      </c>
      <c r="C159" s="12">
        <v>458.48700000000002</v>
      </c>
      <c r="D159" s="11"/>
      <c r="E159" s="13"/>
      <c r="F159" s="13"/>
      <c r="G159" s="13"/>
      <c r="H159" s="13"/>
      <c r="I159" s="13"/>
      <c r="J159" s="10"/>
      <c r="K159" s="10"/>
      <c r="L159" s="10">
        <v>10.370000000000005</v>
      </c>
      <c r="M159" s="10">
        <v>10.085000000000036</v>
      </c>
      <c r="N159" s="12">
        <f t="shared" si="2"/>
        <v>13.978000000000009</v>
      </c>
    </row>
    <row r="160" spans="1:14" x14ac:dyDescent="0.25">
      <c r="A160" s="26">
        <v>1404</v>
      </c>
      <c r="B160" s="11">
        <v>239.018</v>
      </c>
      <c r="C160" s="12">
        <v>244.184</v>
      </c>
      <c r="D160" s="11"/>
      <c r="E160" s="13"/>
      <c r="F160" s="13"/>
      <c r="G160" s="13"/>
      <c r="H160" s="13"/>
      <c r="I160" s="13"/>
      <c r="J160" s="10"/>
      <c r="K160" s="10"/>
      <c r="L160" s="10">
        <v>7.0160000000000196</v>
      </c>
      <c r="M160" s="10">
        <v>3.157999999999987</v>
      </c>
      <c r="N160" s="12">
        <f t="shared" si="2"/>
        <v>5.1659999999999968</v>
      </c>
    </row>
    <row r="161" spans="1:14" x14ac:dyDescent="0.25">
      <c r="A161" s="26">
        <v>1405</v>
      </c>
      <c r="B161" s="11">
        <v>158.59899999999999</v>
      </c>
      <c r="C161" s="12">
        <v>160.80699999999999</v>
      </c>
      <c r="D161" s="11"/>
      <c r="E161" s="13"/>
      <c r="F161" s="13"/>
      <c r="G161" s="13"/>
      <c r="H161" s="13"/>
      <c r="I161" s="13"/>
      <c r="J161" s="10"/>
      <c r="K161" s="10"/>
      <c r="L161" s="10">
        <v>1.4070000000000107</v>
      </c>
      <c r="M161" s="10">
        <v>1.9729999999999848</v>
      </c>
      <c r="N161" s="12">
        <f t="shared" si="2"/>
        <v>2.2079999999999984</v>
      </c>
    </row>
    <row r="162" spans="1:14" x14ac:dyDescent="0.25">
      <c r="A162" s="26">
        <v>1406</v>
      </c>
      <c r="B162" s="16">
        <v>26.251999999999999</v>
      </c>
      <c r="C162" s="17">
        <v>26.251999999999999</v>
      </c>
      <c r="D162" s="16"/>
      <c r="E162" s="18"/>
      <c r="F162" s="18"/>
      <c r="G162" s="18"/>
      <c r="H162" s="18"/>
      <c r="I162" s="18"/>
      <c r="J162" s="19"/>
      <c r="K162" s="19"/>
      <c r="L162" s="19">
        <v>0</v>
      </c>
      <c r="M162" s="19">
        <v>4.7489999999999988</v>
      </c>
      <c r="N162" s="17">
        <f t="shared" si="2"/>
        <v>0</v>
      </c>
    </row>
    <row r="163" spans="1:14" x14ac:dyDescent="0.25">
      <c r="A163" s="26">
        <v>1407</v>
      </c>
      <c r="B163" s="11">
        <v>270.60300000000001</v>
      </c>
      <c r="C163" s="12">
        <v>276.77199999999999</v>
      </c>
      <c r="D163" s="11"/>
      <c r="E163" s="13"/>
      <c r="F163" s="13"/>
      <c r="G163" s="13"/>
      <c r="H163" s="13"/>
      <c r="I163" s="13"/>
      <c r="J163" s="10"/>
      <c r="K163" s="10"/>
      <c r="L163" s="10">
        <v>4.6619999999999777</v>
      </c>
      <c r="M163" s="10">
        <v>3.9410000000000309</v>
      </c>
      <c r="N163" s="12">
        <f t="shared" si="2"/>
        <v>6.1689999999999827</v>
      </c>
    </row>
    <row r="164" spans="1:14" x14ac:dyDescent="0.25">
      <c r="A164" s="26">
        <v>1408</v>
      </c>
      <c r="B164" s="11">
        <v>57.354999999999997</v>
      </c>
      <c r="C164" s="12">
        <v>61.655000000000001</v>
      </c>
      <c r="D164" s="11"/>
      <c r="E164" s="13"/>
      <c r="F164" s="13"/>
      <c r="G164" s="13"/>
      <c r="H164" s="13"/>
      <c r="I164" s="13"/>
      <c r="J164" s="10"/>
      <c r="K164" s="10"/>
      <c r="L164" s="10">
        <v>0</v>
      </c>
      <c r="M164" s="10">
        <v>0.17999999999999972</v>
      </c>
      <c r="N164" s="12">
        <f t="shared" si="2"/>
        <v>4.3000000000000043</v>
      </c>
    </row>
    <row r="165" spans="1:14" x14ac:dyDescent="0.25">
      <c r="A165" s="26">
        <v>1409</v>
      </c>
      <c r="B165" s="11">
        <v>252.245</v>
      </c>
      <c r="C165" s="12">
        <v>263.03899999999999</v>
      </c>
      <c r="D165" s="11"/>
      <c r="E165" s="13"/>
      <c r="F165" s="13"/>
      <c r="G165" s="13"/>
      <c r="H165" s="13"/>
      <c r="I165" s="13"/>
      <c r="J165" s="10"/>
      <c r="K165" s="10"/>
      <c r="L165" s="10">
        <v>9.7000000000000171</v>
      </c>
      <c r="M165" s="10">
        <v>7.5420000000000016</v>
      </c>
      <c r="N165" s="12">
        <f t="shared" si="2"/>
        <v>10.793999999999983</v>
      </c>
    </row>
    <row r="166" spans="1:14" x14ac:dyDescent="0.25">
      <c r="A166" s="26">
        <v>1410</v>
      </c>
      <c r="B166" s="11">
        <v>619.78800000000001</v>
      </c>
      <c r="C166" s="12">
        <v>619.98699999999997</v>
      </c>
      <c r="D166" s="11"/>
      <c r="E166" s="13"/>
      <c r="F166" s="13"/>
      <c r="G166" s="13"/>
      <c r="H166" s="13"/>
      <c r="I166" s="13"/>
      <c r="J166" s="10"/>
      <c r="K166" s="10"/>
      <c r="L166" s="10">
        <v>2.6589999999999918</v>
      </c>
      <c r="M166" s="10">
        <v>0</v>
      </c>
      <c r="N166" s="12">
        <f t="shared" si="2"/>
        <v>0.19899999999995543</v>
      </c>
    </row>
    <row r="167" spans="1:14" x14ac:dyDescent="0.25">
      <c r="A167" s="26">
        <v>1411</v>
      </c>
      <c r="B167" s="11">
        <v>157.36000000000001</v>
      </c>
      <c r="C167" s="12">
        <v>161.524</v>
      </c>
      <c r="D167" s="11"/>
      <c r="E167" s="13"/>
      <c r="F167" s="13"/>
      <c r="G167" s="13"/>
      <c r="H167" s="13"/>
      <c r="I167" s="13"/>
      <c r="J167" s="10"/>
      <c r="K167" s="10"/>
      <c r="L167" s="10">
        <v>1.7090000000000032</v>
      </c>
      <c r="M167" s="10">
        <v>3.4590000000000032</v>
      </c>
      <c r="N167" s="12">
        <f t="shared" si="2"/>
        <v>4.1639999999999873</v>
      </c>
    </row>
    <row r="168" spans="1:14" x14ac:dyDescent="0.25">
      <c r="A168" s="26">
        <v>1412</v>
      </c>
      <c r="B168" s="11">
        <v>631.346</v>
      </c>
      <c r="C168" s="12">
        <v>647.60599999999999</v>
      </c>
      <c r="D168" s="11"/>
      <c r="E168" s="13"/>
      <c r="F168" s="13"/>
      <c r="G168" s="13"/>
      <c r="H168" s="13"/>
      <c r="I168" s="13"/>
      <c r="J168" s="10"/>
      <c r="K168" s="10"/>
      <c r="L168" s="10">
        <v>12.15199999999993</v>
      </c>
      <c r="M168" s="10">
        <v>10.902000000000044</v>
      </c>
      <c r="N168" s="12">
        <f t="shared" si="2"/>
        <v>16.259999999999991</v>
      </c>
    </row>
    <row r="169" spans="1:14" x14ac:dyDescent="0.25">
      <c r="A169" s="26">
        <v>1501</v>
      </c>
      <c r="B169" s="11">
        <v>200.23500000000001</v>
      </c>
      <c r="C169" s="12">
        <v>234.86199999999999</v>
      </c>
      <c r="D169" s="11"/>
      <c r="E169" s="13"/>
      <c r="F169" s="13"/>
      <c r="G169" s="13"/>
      <c r="H169" s="13"/>
      <c r="I169" s="13"/>
      <c r="J169" s="10"/>
      <c r="K169" s="10"/>
      <c r="L169" s="10">
        <v>21.135000000000019</v>
      </c>
      <c r="M169" s="10">
        <v>24.435000000000002</v>
      </c>
      <c r="N169" s="12">
        <f t="shared" si="2"/>
        <v>34.626999999999981</v>
      </c>
    </row>
    <row r="170" spans="1:14" x14ac:dyDescent="0.25">
      <c r="A170" s="26">
        <v>1502</v>
      </c>
      <c r="B170" s="11">
        <v>353.58300000000003</v>
      </c>
      <c r="C170" s="12">
        <v>368.52199999999999</v>
      </c>
      <c r="D170" s="11"/>
      <c r="E170" s="13"/>
      <c r="F170" s="13"/>
      <c r="G170" s="13"/>
      <c r="H170" s="13"/>
      <c r="I170" s="13"/>
      <c r="J170" s="10"/>
      <c r="K170" s="10"/>
      <c r="L170" s="10">
        <v>8.6809999999999832</v>
      </c>
      <c r="M170" s="10">
        <v>11.438000000000045</v>
      </c>
      <c r="N170" s="12">
        <f t="shared" si="2"/>
        <v>14.938999999999965</v>
      </c>
    </row>
    <row r="171" spans="1:14" x14ac:dyDescent="0.25">
      <c r="A171" s="26">
        <v>1503</v>
      </c>
      <c r="B171" s="11">
        <v>445.62400000000002</v>
      </c>
      <c r="C171" s="12">
        <v>456.72399999999999</v>
      </c>
      <c r="D171" s="11"/>
      <c r="E171" s="13"/>
      <c r="F171" s="13"/>
      <c r="G171" s="13"/>
      <c r="H171" s="13"/>
      <c r="I171" s="13"/>
      <c r="J171" s="10"/>
      <c r="K171" s="10"/>
      <c r="L171" s="10">
        <v>8.2709999999999582</v>
      </c>
      <c r="M171" s="10">
        <v>7.7290000000000418</v>
      </c>
      <c r="N171" s="12">
        <f t="shared" si="2"/>
        <v>11.099999999999966</v>
      </c>
    </row>
    <row r="172" spans="1:14" x14ac:dyDescent="0.25">
      <c r="A172" s="26">
        <v>1504</v>
      </c>
      <c r="B172" s="11">
        <v>267.62700000000001</v>
      </c>
      <c r="C172" s="12">
        <v>274.05799999999999</v>
      </c>
      <c r="D172" s="11"/>
      <c r="E172" s="13"/>
      <c r="F172" s="13"/>
      <c r="G172" s="13"/>
      <c r="H172" s="13"/>
      <c r="I172" s="13"/>
      <c r="J172" s="10"/>
      <c r="K172" s="10"/>
      <c r="L172" s="10">
        <v>1.9429999999999836</v>
      </c>
      <c r="M172" s="10">
        <v>2.9650000000000318</v>
      </c>
      <c r="N172" s="12">
        <f t="shared" si="2"/>
        <v>6.4309999999999832</v>
      </c>
    </row>
    <row r="173" spans="1:14" x14ac:dyDescent="0.25">
      <c r="A173" s="26">
        <v>1505</v>
      </c>
      <c r="B173" s="11">
        <v>402.07499999999999</v>
      </c>
      <c r="C173" s="12">
        <v>414.30399999999997</v>
      </c>
      <c r="D173" s="11"/>
      <c r="E173" s="13"/>
      <c r="F173" s="13"/>
      <c r="G173" s="13"/>
      <c r="H173" s="13"/>
      <c r="I173" s="13"/>
      <c r="J173" s="10"/>
      <c r="K173" s="10"/>
      <c r="L173" s="10">
        <v>10.973000000000013</v>
      </c>
      <c r="M173" s="10">
        <v>10.391999999999996</v>
      </c>
      <c r="N173" s="12">
        <f t="shared" si="2"/>
        <v>12.228999999999985</v>
      </c>
    </row>
    <row r="174" spans="1:14" x14ac:dyDescent="0.25">
      <c r="A174" s="26">
        <v>1506</v>
      </c>
      <c r="B174" s="11">
        <v>278.84199999999998</v>
      </c>
      <c r="C174" s="12">
        <v>284.80200000000002</v>
      </c>
      <c r="D174" s="11"/>
      <c r="E174" s="13"/>
      <c r="F174" s="13"/>
      <c r="G174" s="13"/>
      <c r="H174" s="13"/>
      <c r="I174" s="13"/>
      <c r="J174" s="10"/>
      <c r="K174" s="10"/>
      <c r="L174" s="10">
        <v>4.1639999999999873</v>
      </c>
      <c r="M174" s="10">
        <v>1.4019999999999868</v>
      </c>
      <c r="N174" s="12">
        <f t="shared" si="2"/>
        <v>5.9600000000000364</v>
      </c>
    </row>
    <row r="175" spans="1:14" x14ac:dyDescent="0.25">
      <c r="A175" s="26">
        <v>1507</v>
      </c>
      <c r="B175" s="11">
        <v>556.02599999999995</v>
      </c>
      <c r="C175" s="12">
        <v>573.59199999999998</v>
      </c>
      <c r="D175" s="11"/>
      <c r="E175" s="13"/>
      <c r="F175" s="13"/>
      <c r="G175" s="13"/>
      <c r="H175" s="13"/>
      <c r="I175" s="13"/>
      <c r="J175" s="10"/>
      <c r="K175" s="10"/>
      <c r="L175" s="10">
        <v>13.821000000000026</v>
      </c>
      <c r="M175" s="10">
        <v>12.54099999999994</v>
      </c>
      <c r="N175" s="12">
        <f t="shared" si="2"/>
        <v>17.566000000000031</v>
      </c>
    </row>
    <row r="176" spans="1:14" x14ac:dyDescent="0.25">
      <c r="A176" s="26">
        <v>1508</v>
      </c>
      <c r="B176" s="11">
        <v>198.56899999999999</v>
      </c>
      <c r="C176" s="12">
        <v>199.03100000000001</v>
      </c>
      <c r="D176" s="11"/>
      <c r="E176" s="13"/>
      <c r="F176" s="13"/>
      <c r="G176" s="13"/>
      <c r="H176" s="13"/>
      <c r="I176" s="13"/>
      <c r="J176" s="10"/>
      <c r="K176" s="10"/>
      <c r="L176" s="10">
        <v>30.490000000000009</v>
      </c>
      <c r="M176" s="10">
        <v>0.44899999999998386</v>
      </c>
      <c r="N176" s="12">
        <f t="shared" si="2"/>
        <v>0.46200000000001751</v>
      </c>
    </row>
    <row r="177" spans="1:14" x14ac:dyDescent="0.25">
      <c r="A177" s="26">
        <v>1509</v>
      </c>
      <c r="B177" s="11">
        <v>176.54400000000001</v>
      </c>
      <c r="C177" s="12">
        <v>182.42500000000001</v>
      </c>
      <c r="D177" s="11"/>
      <c r="E177" s="13"/>
      <c r="F177" s="13"/>
      <c r="G177" s="13"/>
      <c r="H177" s="13"/>
      <c r="I177" s="13"/>
      <c r="J177" s="10"/>
      <c r="K177" s="10"/>
      <c r="L177" s="10">
        <v>2.5620000000000118</v>
      </c>
      <c r="M177" s="10">
        <v>0.51300000000000523</v>
      </c>
      <c r="N177" s="12">
        <f t="shared" si="2"/>
        <v>5.8810000000000002</v>
      </c>
    </row>
    <row r="178" spans="1:14" x14ac:dyDescent="0.25">
      <c r="A178" s="26">
        <v>1510</v>
      </c>
      <c r="B178" s="11">
        <v>315.89600000000002</v>
      </c>
      <c r="C178" s="12">
        <v>322.74099999999999</v>
      </c>
      <c r="D178" s="11"/>
      <c r="E178" s="13"/>
      <c r="F178" s="13"/>
      <c r="G178" s="13"/>
      <c r="H178" s="13"/>
      <c r="I178" s="13"/>
      <c r="J178" s="10"/>
      <c r="K178" s="10"/>
      <c r="L178" s="10">
        <v>4.0720000000000027</v>
      </c>
      <c r="M178" s="10">
        <v>4.7740000000000009</v>
      </c>
      <c r="N178" s="12">
        <f t="shared" si="2"/>
        <v>6.8449999999999704</v>
      </c>
    </row>
    <row r="179" spans="1:14" x14ac:dyDescent="0.25">
      <c r="A179" s="26">
        <v>1511</v>
      </c>
      <c r="B179" s="11">
        <v>140.292</v>
      </c>
      <c r="C179" s="12">
        <v>149.452</v>
      </c>
      <c r="D179" s="11"/>
      <c r="E179" s="13"/>
      <c r="F179" s="13"/>
      <c r="G179" s="13"/>
      <c r="H179" s="13"/>
      <c r="I179" s="13"/>
      <c r="J179" s="10"/>
      <c r="K179" s="10"/>
      <c r="L179" s="10">
        <v>5.2079999999999984</v>
      </c>
      <c r="M179" s="10">
        <v>4.7299999999999898</v>
      </c>
      <c r="N179" s="12">
        <f t="shared" si="2"/>
        <v>9.1599999999999966</v>
      </c>
    </row>
    <row r="180" spans="1:14" x14ac:dyDescent="0.25">
      <c r="A180" s="26">
        <v>1512</v>
      </c>
      <c r="B180" s="11">
        <v>2364.0619999999999</v>
      </c>
      <c r="C180" s="12">
        <v>2427.1149999999998</v>
      </c>
      <c r="D180" s="11"/>
      <c r="E180" s="13"/>
      <c r="F180" s="13"/>
      <c r="G180" s="13"/>
      <c r="H180" s="13"/>
      <c r="I180" s="13"/>
      <c r="J180" s="10"/>
      <c r="K180" s="10"/>
      <c r="L180" s="10">
        <v>46.470000000000255</v>
      </c>
      <c r="M180" s="10">
        <v>41.458999999999833</v>
      </c>
      <c r="N180" s="12">
        <f t="shared" si="2"/>
        <v>63.052999999999884</v>
      </c>
    </row>
    <row r="181" spans="1:14" x14ac:dyDescent="0.25">
      <c r="A181" s="26">
        <v>1601</v>
      </c>
      <c r="B181" s="11">
        <v>640.29600000000005</v>
      </c>
      <c r="C181" s="12">
        <v>655.51599999999996</v>
      </c>
      <c r="D181" s="11"/>
      <c r="E181" s="13"/>
      <c r="F181" s="13"/>
      <c r="G181" s="13"/>
      <c r="H181" s="13"/>
      <c r="I181" s="13"/>
      <c r="J181" s="10"/>
      <c r="K181" s="10"/>
      <c r="L181" s="10">
        <v>7</v>
      </c>
      <c r="M181" s="10">
        <v>6.2730000000000246</v>
      </c>
      <c r="N181" s="12">
        <f t="shared" si="2"/>
        <v>15.219999999999914</v>
      </c>
    </row>
    <row r="182" spans="1:14" x14ac:dyDescent="0.25">
      <c r="A182" s="26">
        <v>1602</v>
      </c>
      <c r="B182" s="11">
        <v>85.792000000000002</v>
      </c>
      <c r="C182" s="12">
        <v>87.17</v>
      </c>
      <c r="D182" s="11"/>
      <c r="E182" s="13"/>
      <c r="F182" s="13"/>
      <c r="G182" s="13"/>
      <c r="H182" s="13"/>
      <c r="I182" s="13"/>
      <c r="J182" s="10"/>
      <c r="K182" s="10"/>
      <c r="L182" s="10">
        <v>1.3070000000000022</v>
      </c>
      <c r="M182" s="10">
        <v>1.8190000000000026</v>
      </c>
      <c r="N182" s="12">
        <f t="shared" si="2"/>
        <v>1.3780000000000001</v>
      </c>
    </row>
    <row r="183" spans="1:14" x14ac:dyDescent="0.25">
      <c r="A183" s="26">
        <v>1603</v>
      </c>
      <c r="B183" s="11">
        <v>179.625</v>
      </c>
      <c r="C183" s="12">
        <v>184.2</v>
      </c>
      <c r="D183" s="11"/>
      <c r="E183" s="13"/>
      <c r="F183" s="13"/>
      <c r="G183" s="13"/>
      <c r="H183" s="13"/>
      <c r="I183" s="13"/>
      <c r="J183" s="10"/>
      <c r="K183" s="10"/>
      <c r="L183" s="10">
        <v>2.4829999999999757</v>
      </c>
      <c r="M183" s="10">
        <v>3.4970000000000141</v>
      </c>
      <c r="N183" s="12">
        <f t="shared" si="2"/>
        <v>4.5749999999999886</v>
      </c>
    </row>
    <row r="184" spans="1:14" x14ac:dyDescent="0.25">
      <c r="A184" s="26">
        <v>1604</v>
      </c>
      <c r="B184" s="11">
        <v>221.64699999999999</v>
      </c>
      <c r="C184" s="12">
        <v>231.94499999999999</v>
      </c>
      <c r="D184" s="11"/>
      <c r="E184" s="13"/>
      <c r="F184" s="13"/>
      <c r="G184" s="13"/>
      <c r="H184" s="13"/>
      <c r="I184" s="13"/>
      <c r="J184" s="10"/>
      <c r="K184" s="10"/>
      <c r="L184" s="10">
        <v>4.1850000000000023</v>
      </c>
      <c r="M184" s="10">
        <v>2.8909999999999911</v>
      </c>
      <c r="N184" s="12">
        <f t="shared" si="2"/>
        <v>10.298000000000002</v>
      </c>
    </row>
    <row r="185" spans="1:14" x14ac:dyDescent="0.25">
      <c r="A185" s="26">
        <v>1605</v>
      </c>
      <c r="B185" s="11">
        <v>160.98599999999999</v>
      </c>
      <c r="C185" s="12">
        <v>163.53299999999999</v>
      </c>
      <c r="D185" s="11"/>
      <c r="E185" s="13"/>
      <c r="F185" s="13"/>
      <c r="G185" s="13"/>
      <c r="H185" s="13"/>
      <c r="I185" s="13"/>
      <c r="J185" s="10"/>
      <c r="K185" s="10"/>
      <c r="L185" s="10">
        <v>3.7150000000000034</v>
      </c>
      <c r="M185" s="10">
        <v>3.3899999999999864</v>
      </c>
      <c r="N185" s="12">
        <f t="shared" si="2"/>
        <v>2.546999999999997</v>
      </c>
    </row>
    <row r="186" spans="1:14" x14ac:dyDescent="0.25">
      <c r="A186" s="26">
        <v>1606</v>
      </c>
      <c r="B186" s="11">
        <v>95.911000000000001</v>
      </c>
      <c r="C186" s="12">
        <v>100.35899999999999</v>
      </c>
      <c r="D186" s="11"/>
      <c r="E186" s="13"/>
      <c r="F186" s="13"/>
      <c r="G186" s="13"/>
      <c r="H186" s="13"/>
      <c r="I186" s="13"/>
      <c r="J186" s="10"/>
      <c r="K186" s="10"/>
      <c r="L186" s="10">
        <v>3.4770000000000039</v>
      </c>
      <c r="M186" s="10">
        <v>3.3930000000000007</v>
      </c>
      <c r="N186" s="12">
        <f t="shared" si="2"/>
        <v>4.4479999999999933</v>
      </c>
    </row>
    <row r="187" spans="1:14" x14ac:dyDescent="0.25">
      <c r="A187" s="26">
        <v>1607</v>
      </c>
      <c r="B187" s="11">
        <v>399.54899999999998</v>
      </c>
      <c r="C187" s="12">
        <v>406.41699999999997</v>
      </c>
      <c r="D187" s="11"/>
      <c r="E187" s="13"/>
      <c r="F187" s="13"/>
      <c r="G187" s="13"/>
      <c r="H187" s="13"/>
      <c r="I187" s="13"/>
      <c r="J187" s="10"/>
      <c r="K187" s="10"/>
      <c r="L187" s="10">
        <v>4.0989999999999895</v>
      </c>
      <c r="M187" s="10">
        <v>2.5430000000000064</v>
      </c>
      <c r="N187" s="12">
        <f t="shared" si="2"/>
        <v>6.867999999999995</v>
      </c>
    </row>
    <row r="188" spans="1:14" x14ac:dyDescent="0.25">
      <c r="A188" s="26">
        <v>1608</v>
      </c>
      <c r="B188" s="11">
        <v>147.601</v>
      </c>
      <c r="C188" s="12">
        <v>149.91499999999999</v>
      </c>
      <c r="D188" s="11"/>
      <c r="E188" s="13"/>
      <c r="F188" s="13"/>
      <c r="G188" s="13"/>
      <c r="H188" s="13"/>
      <c r="I188" s="13"/>
      <c r="J188" s="10"/>
      <c r="K188" s="10"/>
      <c r="L188" s="10">
        <v>2.3880000000000052</v>
      </c>
      <c r="M188" s="10">
        <v>0.95599999999998886</v>
      </c>
      <c r="N188" s="12">
        <f t="shared" si="2"/>
        <v>2.313999999999993</v>
      </c>
    </row>
    <row r="189" spans="1:14" x14ac:dyDescent="0.25">
      <c r="A189" s="26">
        <v>1609</v>
      </c>
      <c r="B189" s="11">
        <v>280.71300000000002</v>
      </c>
      <c r="C189" s="12">
        <v>292.71199999999999</v>
      </c>
      <c r="D189" s="11"/>
      <c r="E189" s="13"/>
      <c r="F189" s="13"/>
      <c r="G189" s="13"/>
      <c r="H189" s="13"/>
      <c r="I189" s="13"/>
      <c r="J189" s="10"/>
      <c r="K189" s="10"/>
      <c r="L189" s="10">
        <v>13.177000000000021</v>
      </c>
      <c r="M189" s="10">
        <v>10.547000000000025</v>
      </c>
      <c r="N189" s="12">
        <f t="shared" si="2"/>
        <v>11.998999999999967</v>
      </c>
    </row>
    <row r="190" spans="1:14" x14ac:dyDescent="0.25">
      <c r="A190" s="26">
        <v>1610</v>
      </c>
      <c r="B190" s="11">
        <v>349.02699999999999</v>
      </c>
      <c r="C190" s="12">
        <v>360.23599999999999</v>
      </c>
      <c r="D190" s="11"/>
      <c r="E190" s="13"/>
      <c r="F190" s="13"/>
      <c r="G190" s="13"/>
      <c r="H190" s="13"/>
      <c r="I190" s="13"/>
      <c r="J190" s="10"/>
      <c r="K190" s="10"/>
      <c r="L190" s="10">
        <v>8.6589999999999918</v>
      </c>
      <c r="M190" s="10">
        <v>8.5389999999999873</v>
      </c>
      <c r="N190" s="12">
        <f t="shared" si="2"/>
        <v>11.209000000000003</v>
      </c>
    </row>
    <row r="191" spans="1:14" x14ac:dyDescent="0.25">
      <c r="A191" s="26">
        <v>1611</v>
      </c>
      <c r="B191" s="11">
        <v>153.001</v>
      </c>
      <c r="C191" s="12">
        <v>156.14400000000001</v>
      </c>
      <c r="D191" s="11"/>
      <c r="E191" s="13"/>
      <c r="F191" s="13"/>
      <c r="G191" s="13"/>
      <c r="H191" s="13"/>
      <c r="I191" s="13"/>
      <c r="J191" s="10"/>
      <c r="K191" s="10"/>
      <c r="L191" s="10">
        <v>3.3329999999999984</v>
      </c>
      <c r="M191" s="10">
        <v>0.48600000000001842</v>
      </c>
      <c r="N191" s="12">
        <f t="shared" si="2"/>
        <v>3.1430000000000007</v>
      </c>
    </row>
    <row r="192" spans="1:14" x14ac:dyDescent="0.25">
      <c r="A192" s="26">
        <v>1612</v>
      </c>
      <c r="B192" s="11">
        <v>560.76</v>
      </c>
      <c r="C192" s="12">
        <v>567.38300000000004</v>
      </c>
      <c r="D192" s="11"/>
      <c r="E192" s="13"/>
      <c r="F192" s="13"/>
      <c r="G192" s="13"/>
      <c r="H192" s="13"/>
      <c r="I192" s="13"/>
      <c r="J192" s="10"/>
      <c r="K192" s="10"/>
      <c r="L192" s="10">
        <v>6.9180000000000064</v>
      </c>
      <c r="M192" s="10">
        <v>7.9750000000000227</v>
      </c>
      <c r="N192" s="12">
        <f t="shared" si="2"/>
        <v>6.6230000000000473</v>
      </c>
    </row>
    <row r="193" spans="1:14" x14ac:dyDescent="0.25">
      <c r="A193" s="26">
        <v>1701</v>
      </c>
      <c r="B193" s="11">
        <v>352.89600000000002</v>
      </c>
      <c r="C193" s="12">
        <v>367.30500000000001</v>
      </c>
      <c r="D193" s="11"/>
      <c r="E193" s="13"/>
      <c r="F193" s="13"/>
      <c r="G193" s="13"/>
      <c r="H193" s="13"/>
      <c r="I193" s="13"/>
      <c r="J193" s="10"/>
      <c r="K193" s="10"/>
      <c r="L193" s="10">
        <v>3.8639999999999759</v>
      </c>
      <c r="M193" s="10">
        <v>5.6720000000000255</v>
      </c>
      <c r="N193" s="12">
        <f t="shared" si="2"/>
        <v>14.408999999999992</v>
      </c>
    </row>
    <row r="194" spans="1:14" x14ac:dyDescent="0.25">
      <c r="A194" s="26">
        <v>1702</v>
      </c>
      <c r="B194" s="11">
        <v>310.96300000000002</v>
      </c>
      <c r="C194" s="12">
        <v>339.65800000000002</v>
      </c>
      <c r="D194" s="11"/>
      <c r="E194" s="13"/>
      <c r="F194" s="13"/>
      <c r="G194" s="13"/>
      <c r="H194" s="13"/>
      <c r="I194" s="13"/>
      <c r="J194" s="10"/>
      <c r="K194" s="10"/>
      <c r="L194" s="10">
        <v>22.043000000000006</v>
      </c>
      <c r="M194" s="10">
        <v>25.239000000000033</v>
      </c>
      <c r="N194" s="12">
        <f t="shared" si="2"/>
        <v>28.694999999999993</v>
      </c>
    </row>
    <row r="195" spans="1:14" x14ac:dyDescent="0.25">
      <c r="A195" s="26">
        <v>1703</v>
      </c>
      <c r="B195" s="11">
        <v>265.46199999999999</v>
      </c>
      <c r="C195" s="12">
        <v>285.40499999999997</v>
      </c>
      <c r="D195" s="11"/>
      <c r="E195" s="13"/>
      <c r="F195" s="13"/>
      <c r="G195" s="13"/>
      <c r="H195" s="13"/>
      <c r="I195" s="13"/>
      <c r="J195" s="10"/>
      <c r="K195" s="10"/>
      <c r="L195" s="10">
        <v>4.3240000000000123</v>
      </c>
      <c r="M195" s="10">
        <v>8.58299999999997</v>
      </c>
      <c r="N195" s="12">
        <f t="shared" si="2"/>
        <v>19.942999999999984</v>
      </c>
    </row>
    <row r="196" spans="1:14" x14ac:dyDescent="0.25">
      <c r="A196" s="26">
        <v>1704</v>
      </c>
      <c r="B196" s="11">
        <v>380.21100000000001</v>
      </c>
      <c r="C196" s="12">
        <v>387.23200000000003</v>
      </c>
      <c r="D196" s="11"/>
      <c r="E196" s="13"/>
      <c r="F196" s="13"/>
      <c r="G196" s="13"/>
      <c r="H196" s="13"/>
      <c r="I196" s="13"/>
      <c r="J196" s="10"/>
      <c r="K196" s="10"/>
      <c r="L196" s="10">
        <v>3.1979999999999791</v>
      </c>
      <c r="M196" s="10">
        <v>6.0400000000000205</v>
      </c>
      <c r="N196" s="12">
        <f t="shared" si="2"/>
        <v>7.021000000000015</v>
      </c>
    </row>
    <row r="197" spans="1:14" x14ac:dyDescent="0.25">
      <c r="A197" s="26">
        <v>1705</v>
      </c>
      <c r="B197" s="11">
        <v>323.49400000000003</v>
      </c>
      <c r="C197" s="12">
        <v>335.63299999999998</v>
      </c>
      <c r="D197" s="11"/>
      <c r="E197" s="13"/>
      <c r="F197" s="13"/>
      <c r="G197" s="13"/>
      <c r="H197" s="13"/>
      <c r="I197" s="13"/>
      <c r="J197" s="10"/>
      <c r="K197" s="10"/>
      <c r="L197" s="10">
        <v>10.324999999999989</v>
      </c>
      <c r="M197" s="10">
        <v>9.1900000000000546</v>
      </c>
      <c r="N197" s="12">
        <f t="shared" si="2"/>
        <v>12.138999999999953</v>
      </c>
    </row>
    <row r="198" spans="1:14" x14ac:dyDescent="0.25">
      <c r="A198" s="26">
        <v>1706</v>
      </c>
      <c r="B198" s="11">
        <v>188.47300000000001</v>
      </c>
      <c r="C198" s="12">
        <v>192.06</v>
      </c>
      <c r="D198" s="11"/>
      <c r="E198" s="13"/>
      <c r="F198" s="13"/>
      <c r="G198" s="13"/>
      <c r="H198" s="13"/>
      <c r="I198" s="13"/>
      <c r="J198" s="10"/>
      <c r="K198" s="10"/>
      <c r="L198" s="10">
        <v>2.813999999999993</v>
      </c>
      <c r="M198" s="10">
        <v>0.46400000000002706</v>
      </c>
      <c r="N198" s="12">
        <f t="shared" ref="N198:N205" si="3">+C198-B198</f>
        <v>3.5869999999999891</v>
      </c>
    </row>
    <row r="199" spans="1:14" x14ac:dyDescent="0.25">
      <c r="A199" s="26">
        <v>1707</v>
      </c>
      <c r="B199" s="11">
        <v>253.53800000000001</v>
      </c>
      <c r="C199" s="12">
        <v>260.95800000000003</v>
      </c>
      <c r="D199" s="11"/>
      <c r="E199" s="13"/>
      <c r="F199" s="13"/>
      <c r="G199" s="13"/>
      <c r="H199" s="13"/>
      <c r="I199" s="13"/>
      <c r="J199" s="10"/>
      <c r="K199" s="10"/>
      <c r="L199" s="10">
        <v>0</v>
      </c>
      <c r="M199" s="10">
        <v>9.9350000000000023</v>
      </c>
      <c r="N199" s="12">
        <f t="shared" si="3"/>
        <v>7.4200000000000159</v>
      </c>
    </row>
    <row r="200" spans="1:14" x14ac:dyDescent="0.25">
      <c r="A200" s="26">
        <v>1708</v>
      </c>
      <c r="B200" s="11">
        <v>92.527000000000001</v>
      </c>
      <c r="C200" s="12">
        <v>96.024000000000001</v>
      </c>
      <c r="D200" s="11"/>
      <c r="E200" s="13"/>
      <c r="F200" s="13"/>
      <c r="G200" s="13"/>
      <c r="H200" s="13"/>
      <c r="I200" s="13"/>
      <c r="J200" s="10"/>
      <c r="K200" s="10"/>
      <c r="L200" s="10">
        <v>6.2789999999999964</v>
      </c>
      <c r="M200" s="10">
        <v>3.5930000000000035</v>
      </c>
      <c r="N200" s="12">
        <f t="shared" si="3"/>
        <v>3.4969999999999999</v>
      </c>
    </row>
    <row r="201" spans="1:14" x14ac:dyDescent="0.25">
      <c r="A201" s="26">
        <v>1709</v>
      </c>
      <c r="B201" s="11">
        <v>332.75900000000001</v>
      </c>
      <c r="C201" s="12">
        <v>336.47699999999998</v>
      </c>
      <c r="D201" s="11"/>
      <c r="E201" s="13"/>
      <c r="F201" s="13"/>
      <c r="G201" s="13"/>
      <c r="H201" s="13"/>
      <c r="I201" s="13"/>
      <c r="J201" s="10"/>
      <c r="K201" s="10"/>
      <c r="L201" s="10">
        <v>4.3559999999999945</v>
      </c>
      <c r="M201" s="10">
        <v>2.8090000000000259</v>
      </c>
      <c r="N201" s="12">
        <f t="shared" si="3"/>
        <v>3.7179999999999609</v>
      </c>
    </row>
    <row r="202" spans="1:14" x14ac:dyDescent="0.25">
      <c r="A202" s="26">
        <v>1710</v>
      </c>
      <c r="B202" s="11">
        <v>956.27599999999995</v>
      </c>
      <c r="C202" s="12">
        <v>990.13400000000001</v>
      </c>
      <c r="D202" s="11"/>
      <c r="E202" s="13"/>
      <c r="F202" s="13"/>
      <c r="G202" s="13"/>
      <c r="H202" s="13"/>
      <c r="I202" s="13"/>
      <c r="J202" s="10"/>
      <c r="K202" s="10"/>
      <c r="L202" s="10">
        <v>15.573999999999955</v>
      </c>
      <c r="M202" s="10">
        <v>22.323999999999955</v>
      </c>
      <c r="N202" s="12">
        <f t="shared" si="3"/>
        <v>33.858000000000061</v>
      </c>
    </row>
    <row r="203" spans="1:14" x14ac:dyDescent="0.25">
      <c r="A203" s="26">
        <v>1711</v>
      </c>
      <c r="B203" s="11">
        <v>317.45699999999999</v>
      </c>
      <c r="C203" s="12">
        <v>326.20999999999998</v>
      </c>
      <c r="D203" s="11"/>
      <c r="E203" s="13"/>
      <c r="F203" s="13"/>
      <c r="G203" s="13"/>
      <c r="H203" s="13"/>
      <c r="I203" s="13"/>
      <c r="J203" s="10"/>
      <c r="K203" s="10"/>
      <c r="L203" s="10">
        <v>0</v>
      </c>
      <c r="M203" s="10">
        <v>1.5570000000000164</v>
      </c>
      <c r="N203" s="12">
        <f t="shared" si="3"/>
        <v>8.7529999999999859</v>
      </c>
    </row>
    <row r="204" spans="1:14" x14ac:dyDescent="0.25">
      <c r="A204" s="26">
        <v>1712</v>
      </c>
      <c r="B204" s="11">
        <v>325.05799999999999</v>
      </c>
      <c r="C204" s="12">
        <v>334.839</v>
      </c>
      <c r="D204" s="11"/>
      <c r="E204" s="13"/>
      <c r="F204" s="13"/>
      <c r="G204" s="13"/>
      <c r="H204" s="13"/>
      <c r="I204" s="13"/>
      <c r="J204" s="10"/>
      <c r="K204" s="10"/>
      <c r="L204" s="10">
        <v>5.4629999999999654</v>
      </c>
      <c r="M204" s="10">
        <v>6.9320000000000164</v>
      </c>
      <c r="N204" s="12">
        <f t="shared" si="3"/>
        <v>9.7810000000000059</v>
      </c>
    </row>
    <row r="205" spans="1:14" ht="15.75" thickBot="1" x14ac:dyDescent="0.3">
      <c r="A205" s="26" t="s">
        <v>14</v>
      </c>
      <c r="B205" s="27">
        <v>2033.6980000000001</v>
      </c>
      <c r="C205" s="28">
        <v>2094.1489999999999</v>
      </c>
      <c r="D205" s="27"/>
      <c r="E205" s="29"/>
      <c r="F205" s="29"/>
      <c r="G205" s="29"/>
      <c r="H205" s="29"/>
      <c r="I205" s="29"/>
      <c r="J205" s="30"/>
      <c r="K205" s="30"/>
      <c r="L205" s="30">
        <v>47.019000000000005</v>
      </c>
      <c r="M205" s="30">
        <v>28.118000000000166</v>
      </c>
      <c r="N205" s="28">
        <f t="shared" si="3"/>
        <v>60.450999999999794</v>
      </c>
    </row>
    <row r="206" spans="1:14" ht="15.75" thickBot="1" x14ac:dyDescent="0.3">
      <c r="B206" s="31">
        <f t="shared" ref="B206:N206" si="4">SUM(B6:B205)</f>
        <v>62088.123</v>
      </c>
      <c r="C206" s="32">
        <f t="shared" si="4"/>
        <v>63988.755999999994</v>
      </c>
      <c r="D206" s="20">
        <f t="shared" si="4"/>
        <v>0</v>
      </c>
      <c r="E206" s="21">
        <f t="shared" si="4"/>
        <v>0</v>
      </c>
      <c r="F206" s="21">
        <f t="shared" si="4"/>
        <v>0</v>
      </c>
      <c r="G206" s="21">
        <f t="shared" si="4"/>
        <v>0</v>
      </c>
      <c r="H206" s="21">
        <f t="shared" si="4"/>
        <v>0</v>
      </c>
      <c r="I206" s="21">
        <f t="shared" si="4"/>
        <v>0</v>
      </c>
      <c r="J206" s="21">
        <f t="shared" si="4"/>
        <v>0</v>
      </c>
      <c r="K206" s="21">
        <f t="shared" si="4"/>
        <v>0</v>
      </c>
      <c r="L206" s="21">
        <f t="shared" si="4"/>
        <v>1356.9770000000003</v>
      </c>
      <c r="M206" s="21">
        <f t="shared" si="4"/>
        <v>1266.6540000000011</v>
      </c>
      <c r="N206" s="22">
        <f t="shared" si="4"/>
        <v>1900.6329999999994</v>
      </c>
    </row>
    <row r="207" spans="1:14" x14ac:dyDescent="0.25">
      <c r="C207" s="23"/>
    </row>
    <row r="208" spans="1:14" x14ac:dyDescent="0.2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</sheetData>
  <mergeCells count="2">
    <mergeCell ref="D4:N4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PCWORKS</dc:creator>
  <cp:lastModifiedBy>Victor</cp:lastModifiedBy>
  <dcterms:created xsi:type="dcterms:W3CDTF">2026-08-18T16:13:50Z</dcterms:created>
  <dcterms:modified xsi:type="dcterms:W3CDTF">2026-08-27T23:52:26Z</dcterms:modified>
</cp:coreProperties>
</file>