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Pacifik Ocean Tower\GESTION ADMINISTRATIVA\BASE DE DATOS\"/>
    </mc:Choice>
  </mc:AlternateContent>
  <xr:revisionPtr revIDLastSave="0" documentId="13_ncr:1_{8FEF135F-1DC8-43FA-BA98-1D7FAC5C28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PTOS." sheetId="1" r:id="rId1"/>
    <sheet name="407 dpto" sheetId="7" r:id="rId2"/>
    <sheet name="DPTO" sheetId="5" state="hidden" r:id="rId3"/>
    <sheet name="ESTAC" sheetId="4" r:id="rId4"/>
    <sheet name="DEP" sheetId="6" r:id="rId5"/>
  </sheets>
  <externalReferences>
    <externalReference r:id="rId6"/>
  </externalReferences>
  <definedNames>
    <definedName name="_xlnm._FilterDatabase" localSheetId="4" hidden="1">DEP!$A$1:$I$29</definedName>
    <definedName name="_xlnm._FilterDatabase" localSheetId="2" hidden="1">DPTO!$A$1:$I$1</definedName>
    <definedName name="_xlnm._FilterDatabase" localSheetId="3" hidden="1">ESTAC!$A$1:$I$160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e45ySJjINVWDV7mEweVuyITMB5ITcsO8AD3smyh3U+8="/>
    </ext>
  </extLst>
</workbook>
</file>

<file path=xl/calcChain.xml><?xml version="1.0" encoding="utf-8"?>
<calcChain xmlns="http://schemas.openxmlformats.org/spreadsheetml/2006/main">
  <c r="E6" i="7" l="1"/>
  <c r="E4" i="7"/>
  <c r="E3" i="7"/>
  <c r="G9" i="7"/>
  <c r="D9" i="7" l="1"/>
  <c r="H9" i="7" s="1"/>
  <c r="S216" i="1" l="1"/>
  <c r="R216" i="1"/>
  <c r="O216" i="1"/>
  <c r="N216" i="1"/>
  <c r="K216" i="1"/>
  <c r="J216" i="1"/>
  <c r="I216" i="1"/>
  <c r="H216" i="1"/>
  <c r="G216" i="1"/>
  <c r="S218" i="1" l="1"/>
  <c r="F29" i="6"/>
  <c r="F162" i="4"/>
  <c r="C196" i="5"/>
  <c r="E29" i="6"/>
  <c r="D29" i="6"/>
  <c r="H8" i="6"/>
  <c r="G8" i="6"/>
  <c r="H7" i="6"/>
  <c r="G7" i="6"/>
  <c r="H25" i="6"/>
  <c r="G25" i="6"/>
  <c r="H10" i="6"/>
  <c r="G10" i="6"/>
  <c r="H18" i="6"/>
  <c r="G18" i="6"/>
  <c r="H23" i="6"/>
  <c r="G23" i="6"/>
  <c r="H16" i="6"/>
  <c r="G16" i="6"/>
  <c r="H19" i="6"/>
  <c r="G19" i="6"/>
  <c r="H21" i="6"/>
  <c r="G21" i="6"/>
  <c r="H11" i="6"/>
  <c r="G11" i="6"/>
  <c r="H12" i="6"/>
  <c r="G12" i="6"/>
  <c r="H24" i="6"/>
  <c r="G24" i="6"/>
  <c r="H26" i="6"/>
  <c r="G26" i="6"/>
  <c r="H6" i="6"/>
  <c r="G6" i="6"/>
  <c r="H27" i="6"/>
  <c r="G27" i="6"/>
  <c r="H9" i="6"/>
  <c r="G9" i="6"/>
  <c r="H13" i="6"/>
  <c r="G13" i="6"/>
  <c r="H14" i="6"/>
  <c r="G14" i="6"/>
  <c r="H5" i="6"/>
  <c r="G5" i="6"/>
  <c r="H2" i="6"/>
  <c r="G2" i="6"/>
  <c r="H17" i="6"/>
  <c r="G17" i="6"/>
  <c r="H20" i="6"/>
  <c r="G20" i="6"/>
  <c r="H3" i="6"/>
  <c r="G3" i="6"/>
  <c r="H4" i="6"/>
  <c r="G4" i="6"/>
  <c r="H15" i="6"/>
  <c r="G15" i="6"/>
  <c r="H28" i="6"/>
  <c r="G28" i="6"/>
  <c r="H22" i="6"/>
  <c r="G22" i="6"/>
  <c r="F196" i="5"/>
  <c r="E196" i="5"/>
  <c r="D196" i="5"/>
  <c r="H138" i="5"/>
  <c r="G138" i="5"/>
  <c r="H7" i="5"/>
  <c r="G7" i="5"/>
  <c r="H187" i="5"/>
  <c r="G187" i="5"/>
  <c r="H46" i="5"/>
  <c r="G46" i="5"/>
  <c r="H189" i="5"/>
  <c r="G189" i="5"/>
  <c r="H159" i="5"/>
  <c r="G159" i="5"/>
  <c r="H21" i="5"/>
  <c r="G21" i="5"/>
  <c r="H158" i="5"/>
  <c r="G158" i="5"/>
  <c r="H154" i="5"/>
  <c r="G154" i="5"/>
  <c r="H169" i="5"/>
  <c r="G169" i="5"/>
  <c r="H185" i="5"/>
  <c r="G185" i="5"/>
  <c r="H143" i="5"/>
  <c r="G143" i="5"/>
  <c r="H19" i="5"/>
  <c r="G19" i="5"/>
  <c r="H59" i="5"/>
  <c r="G59" i="5"/>
  <c r="H191" i="5"/>
  <c r="G191" i="5"/>
  <c r="H184" i="5"/>
  <c r="G184" i="5"/>
  <c r="H11" i="5"/>
  <c r="G11" i="5"/>
  <c r="H47" i="5"/>
  <c r="G47" i="5"/>
  <c r="H44" i="5"/>
  <c r="G44" i="5"/>
  <c r="H142" i="5"/>
  <c r="G142" i="5"/>
  <c r="H125" i="5"/>
  <c r="G125" i="5"/>
  <c r="H4" i="5"/>
  <c r="G4" i="5"/>
  <c r="H162" i="5"/>
  <c r="G162" i="5"/>
  <c r="H62" i="5"/>
  <c r="G62" i="5"/>
  <c r="H177" i="5"/>
  <c r="G177" i="5"/>
  <c r="H85" i="5"/>
  <c r="G85" i="5"/>
  <c r="H79" i="5"/>
  <c r="G79" i="5"/>
  <c r="H113" i="5"/>
  <c r="G113" i="5"/>
  <c r="H8" i="5"/>
  <c r="G8" i="5"/>
  <c r="H167" i="5"/>
  <c r="G167" i="5"/>
  <c r="H155" i="5"/>
  <c r="G155" i="5"/>
  <c r="H27" i="5"/>
  <c r="G27" i="5"/>
  <c r="H182" i="5"/>
  <c r="G182" i="5"/>
  <c r="H130" i="5"/>
  <c r="G130" i="5"/>
  <c r="H84" i="5"/>
  <c r="G84" i="5"/>
  <c r="H165" i="5"/>
  <c r="G165" i="5"/>
  <c r="H32" i="5"/>
  <c r="G32" i="5"/>
  <c r="H78" i="5"/>
  <c r="G78" i="5"/>
  <c r="H122" i="5"/>
  <c r="G122" i="5"/>
  <c r="H100" i="5"/>
  <c r="G100" i="5"/>
  <c r="H190" i="5"/>
  <c r="G190" i="5"/>
  <c r="H29" i="5"/>
  <c r="G29" i="5"/>
  <c r="H35" i="5"/>
  <c r="G35" i="5"/>
  <c r="H151" i="5"/>
  <c r="G151" i="5"/>
  <c r="H157" i="5"/>
  <c r="G157" i="5"/>
  <c r="H26" i="5"/>
  <c r="G26" i="5"/>
  <c r="H14" i="5"/>
  <c r="G14" i="5"/>
  <c r="H76" i="5"/>
  <c r="G76" i="5"/>
  <c r="H95" i="5"/>
  <c r="G95" i="5"/>
  <c r="H118" i="5"/>
  <c r="G118" i="5"/>
  <c r="H119" i="5"/>
  <c r="G119" i="5"/>
  <c r="H57" i="5"/>
  <c r="G57" i="5"/>
  <c r="H69" i="5"/>
  <c r="G69" i="5"/>
  <c r="H166" i="5"/>
  <c r="G166" i="5"/>
  <c r="H12" i="5"/>
  <c r="G12" i="5"/>
  <c r="H123" i="5"/>
  <c r="G123" i="5"/>
  <c r="H15" i="5"/>
  <c r="G15" i="5"/>
  <c r="H42" i="5"/>
  <c r="G42" i="5"/>
  <c r="H9" i="5"/>
  <c r="G9" i="5"/>
  <c r="H83" i="5"/>
  <c r="G83" i="5"/>
  <c r="H53" i="5"/>
  <c r="G53" i="5"/>
  <c r="H172" i="5"/>
  <c r="G172" i="5"/>
  <c r="H73" i="5"/>
  <c r="G73" i="5"/>
  <c r="H80" i="5"/>
  <c r="G80" i="5"/>
  <c r="H51" i="5"/>
  <c r="G51" i="5"/>
  <c r="H24" i="5"/>
  <c r="G24" i="5"/>
  <c r="H49" i="5"/>
  <c r="G49" i="5"/>
  <c r="H86" i="5"/>
  <c r="G86" i="5"/>
  <c r="H134" i="5"/>
  <c r="G134" i="5"/>
  <c r="H140" i="5"/>
  <c r="G140" i="5"/>
  <c r="H18" i="5"/>
  <c r="G18" i="5"/>
  <c r="H106" i="5"/>
  <c r="G106" i="5"/>
  <c r="H171" i="5"/>
  <c r="G171" i="5"/>
  <c r="H109" i="5"/>
  <c r="G109" i="5"/>
  <c r="H89" i="5"/>
  <c r="G89" i="5"/>
  <c r="H74" i="5"/>
  <c r="G74" i="5"/>
  <c r="H179" i="5"/>
  <c r="G179" i="5"/>
  <c r="H38" i="5"/>
  <c r="G38" i="5"/>
  <c r="H61" i="5"/>
  <c r="G61" i="5"/>
  <c r="H31" i="5"/>
  <c r="G31" i="5"/>
  <c r="H101" i="5"/>
  <c r="G101" i="5"/>
  <c r="H94" i="5"/>
  <c r="G94" i="5"/>
  <c r="H16" i="5"/>
  <c r="G16" i="5"/>
  <c r="H111" i="5"/>
  <c r="G111" i="5"/>
  <c r="H152" i="5"/>
  <c r="G152" i="5"/>
  <c r="H156" i="5"/>
  <c r="G156" i="5"/>
  <c r="H55" i="5"/>
  <c r="G55" i="5"/>
  <c r="H41" i="5"/>
  <c r="G41" i="5"/>
  <c r="H132" i="5"/>
  <c r="G132" i="5"/>
  <c r="H3" i="5"/>
  <c r="G3" i="5"/>
  <c r="H70" i="5"/>
  <c r="G70" i="5"/>
  <c r="H192" i="5"/>
  <c r="G192" i="5"/>
  <c r="H121" i="5"/>
  <c r="G121" i="5"/>
  <c r="H82" i="5"/>
  <c r="G82" i="5"/>
  <c r="H194" i="5"/>
  <c r="G194" i="5"/>
  <c r="H160" i="5"/>
  <c r="G160" i="5"/>
  <c r="H136" i="5"/>
  <c r="G136" i="5"/>
  <c r="H116" i="5"/>
  <c r="G116" i="5"/>
  <c r="H195" i="5"/>
  <c r="G195" i="5"/>
  <c r="H48" i="5"/>
  <c r="G48" i="5"/>
  <c r="H139" i="5"/>
  <c r="G139" i="5"/>
  <c r="H164" i="5"/>
  <c r="G164" i="5"/>
  <c r="H117" i="5"/>
  <c r="G117" i="5"/>
  <c r="H110" i="5"/>
  <c r="G110" i="5"/>
  <c r="H153" i="5"/>
  <c r="G153" i="5"/>
  <c r="H108" i="5"/>
  <c r="G108" i="5"/>
  <c r="H144" i="5"/>
  <c r="G144" i="5"/>
  <c r="H68" i="5"/>
  <c r="G68" i="5"/>
  <c r="H135" i="5"/>
  <c r="G135" i="5"/>
  <c r="H50" i="5"/>
  <c r="G50" i="5"/>
  <c r="H175" i="5"/>
  <c r="G175" i="5"/>
  <c r="H75" i="5"/>
  <c r="G75" i="5"/>
  <c r="H54" i="5"/>
  <c r="G54" i="5"/>
  <c r="H188" i="5"/>
  <c r="G188" i="5"/>
  <c r="H131" i="5"/>
  <c r="G131" i="5"/>
  <c r="H170" i="5"/>
  <c r="G170" i="5"/>
  <c r="H28" i="5"/>
  <c r="G28" i="5"/>
  <c r="H129" i="5"/>
  <c r="G129" i="5"/>
  <c r="H87" i="5"/>
  <c r="G87" i="5"/>
  <c r="H99" i="5"/>
  <c r="G99" i="5"/>
  <c r="H90" i="5"/>
  <c r="G90" i="5"/>
  <c r="H137" i="5"/>
  <c r="G137" i="5"/>
  <c r="H174" i="5"/>
  <c r="G174" i="5"/>
  <c r="H17" i="5"/>
  <c r="G17" i="5"/>
  <c r="H33" i="5"/>
  <c r="G33" i="5"/>
  <c r="H20" i="5"/>
  <c r="G20" i="5"/>
  <c r="H98" i="5"/>
  <c r="G98" i="5"/>
  <c r="H97" i="5"/>
  <c r="G97" i="5"/>
  <c r="H25" i="5"/>
  <c r="G25" i="5"/>
  <c r="H36" i="5"/>
  <c r="G36" i="5"/>
  <c r="H30" i="5"/>
  <c r="G30" i="5"/>
  <c r="H34" i="5"/>
  <c r="G34" i="5"/>
  <c r="H67" i="5"/>
  <c r="G67" i="5"/>
  <c r="H56" i="5"/>
  <c r="G56" i="5"/>
  <c r="H104" i="5"/>
  <c r="G104" i="5"/>
  <c r="H77" i="5"/>
  <c r="G77" i="5"/>
  <c r="H149" i="5"/>
  <c r="G149" i="5"/>
  <c r="H43" i="5"/>
  <c r="G43" i="5"/>
  <c r="H161" i="5"/>
  <c r="G161" i="5"/>
  <c r="H92" i="5"/>
  <c r="G92" i="5"/>
  <c r="H183" i="5"/>
  <c r="G183" i="5"/>
  <c r="H58" i="5"/>
  <c r="G58" i="5"/>
  <c r="H105" i="5"/>
  <c r="G105" i="5"/>
  <c r="H72" i="5"/>
  <c r="G72" i="5"/>
  <c r="H115" i="5"/>
  <c r="G115" i="5"/>
  <c r="H39" i="5"/>
  <c r="G39" i="5"/>
  <c r="H93" i="5"/>
  <c r="G93" i="5"/>
  <c r="H133" i="5"/>
  <c r="G133" i="5"/>
  <c r="H22" i="5"/>
  <c r="G22" i="5"/>
  <c r="H168" i="5"/>
  <c r="G168" i="5"/>
  <c r="H13" i="5"/>
  <c r="G13" i="5"/>
  <c r="H40" i="5"/>
  <c r="G40" i="5"/>
  <c r="H23" i="5"/>
  <c r="G23" i="5"/>
  <c r="H6" i="5"/>
  <c r="G6" i="5"/>
  <c r="H45" i="5"/>
  <c r="G45" i="5"/>
  <c r="H5" i="5"/>
  <c r="G5" i="5"/>
  <c r="H181" i="5"/>
  <c r="G181" i="5"/>
  <c r="H112" i="5"/>
  <c r="G112" i="5"/>
  <c r="H10" i="5"/>
  <c r="G10" i="5"/>
  <c r="H52" i="5"/>
  <c r="G52" i="5"/>
  <c r="H63" i="5"/>
  <c r="G63" i="5"/>
  <c r="H124" i="5"/>
  <c r="G124" i="5"/>
  <c r="H147" i="5"/>
  <c r="G147" i="5"/>
  <c r="H96" i="5"/>
  <c r="G96" i="5"/>
  <c r="H37" i="5"/>
  <c r="G37" i="5"/>
  <c r="H150" i="5"/>
  <c r="G150" i="5"/>
  <c r="H127" i="5"/>
  <c r="G127" i="5"/>
  <c r="H103" i="5"/>
  <c r="G103" i="5"/>
  <c r="H65" i="5"/>
  <c r="G65" i="5"/>
  <c r="H141" i="5"/>
  <c r="G141" i="5"/>
  <c r="H126" i="5"/>
  <c r="G126" i="5"/>
  <c r="H120" i="5"/>
  <c r="G120" i="5"/>
  <c r="H178" i="5"/>
  <c r="G178" i="5"/>
  <c r="H145" i="5"/>
  <c r="G145" i="5"/>
  <c r="H193" i="5"/>
  <c r="G193" i="5"/>
  <c r="H163" i="5"/>
  <c r="G163" i="5"/>
  <c r="H148" i="5"/>
  <c r="G148" i="5"/>
  <c r="H180" i="5"/>
  <c r="G180" i="5"/>
  <c r="H186" i="5"/>
  <c r="G186" i="5"/>
  <c r="H71" i="5"/>
  <c r="G71" i="5"/>
  <c r="H107" i="5"/>
  <c r="G107" i="5"/>
  <c r="H114" i="5"/>
  <c r="G114" i="5"/>
  <c r="H2" i="5"/>
  <c r="G2" i="5"/>
  <c r="H173" i="5"/>
  <c r="G173" i="5"/>
  <c r="H81" i="5"/>
  <c r="G81" i="5"/>
  <c r="H146" i="5"/>
  <c r="G146" i="5"/>
  <c r="H60" i="5"/>
  <c r="G60" i="5"/>
  <c r="H64" i="5"/>
  <c r="G64" i="5"/>
  <c r="H102" i="5"/>
  <c r="G102" i="5"/>
  <c r="H128" i="5"/>
  <c r="G128" i="5"/>
  <c r="H91" i="5"/>
  <c r="G91" i="5"/>
  <c r="H88" i="5"/>
  <c r="G88" i="5"/>
  <c r="H66" i="5"/>
  <c r="G66" i="5"/>
  <c r="H176" i="5"/>
  <c r="G176" i="5"/>
  <c r="E162" i="4"/>
  <c r="D162" i="4"/>
  <c r="H134" i="4"/>
  <c r="G134" i="4"/>
  <c r="H10" i="4"/>
  <c r="G10" i="4"/>
  <c r="H158" i="4"/>
  <c r="G158" i="4"/>
  <c r="H2" i="4"/>
  <c r="G2" i="4"/>
  <c r="H12" i="4"/>
  <c r="G12" i="4"/>
  <c r="H14" i="4"/>
  <c r="G14" i="4"/>
  <c r="H25" i="4"/>
  <c r="G25" i="4"/>
  <c r="H80" i="4"/>
  <c r="G80" i="4"/>
  <c r="H148" i="4"/>
  <c r="G148" i="4"/>
  <c r="H128" i="4"/>
  <c r="G128" i="4"/>
  <c r="H50" i="4"/>
  <c r="G50" i="4"/>
  <c r="H137" i="4"/>
  <c r="G137" i="4"/>
  <c r="H118" i="4"/>
  <c r="G118" i="4"/>
  <c r="H52" i="4"/>
  <c r="G52" i="4"/>
  <c r="H79" i="4"/>
  <c r="G79" i="4"/>
  <c r="H23" i="4"/>
  <c r="G23" i="4"/>
  <c r="H41" i="4"/>
  <c r="G41" i="4"/>
  <c r="H40" i="4"/>
  <c r="G40" i="4"/>
  <c r="H28" i="4"/>
  <c r="G28" i="4"/>
  <c r="H114" i="4"/>
  <c r="G114" i="4"/>
  <c r="H82" i="4"/>
  <c r="G82" i="4"/>
  <c r="H153" i="4"/>
  <c r="G153" i="4"/>
  <c r="H30" i="4"/>
  <c r="G30" i="4"/>
  <c r="H125" i="4"/>
  <c r="G125" i="4"/>
  <c r="H101" i="4"/>
  <c r="G101" i="4"/>
  <c r="H105" i="4"/>
  <c r="G105" i="4"/>
  <c r="H111" i="4"/>
  <c r="G111" i="4"/>
  <c r="H116" i="4"/>
  <c r="G116" i="4"/>
  <c r="H43" i="4"/>
  <c r="G43" i="4"/>
  <c r="H95" i="4"/>
  <c r="G95" i="4"/>
  <c r="H29" i="4"/>
  <c r="G29" i="4"/>
  <c r="H76" i="4"/>
  <c r="G76" i="4"/>
  <c r="H98" i="4"/>
  <c r="G98" i="4"/>
  <c r="H7" i="4"/>
  <c r="G7" i="4"/>
  <c r="H157" i="4"/>
  <c r="G157" i="4"/>
  <c r="H131" i="4"/>
  <c r="G131" i="4"/>
  <c r="H109" i="4"/>
  <c r="G109" i="4"/>
  <c r="H123" i="4"/>
  <c r="G123" i="4"/>
  <c r="H72" i="4"/>
  <c r="G72" i="4"/>
  <c r="H33" i="4"/>
  <c r="G33" i="4"/>
  <c r="H99" i="4"/>
  <c r="G99" i="4"/>
  <c r="H145" i="4"/>
  <c r="G145" i="4"/>
  <c r="H74" i="4"/>
  <c r="G74" i="4"/>
  <c r="H24" i="4"/>
  <c r="G24" i="4"/>
  <c r="H124" i="4"/>
  <c r="G124" i="4"/>
  <c r="H5" i="4"/>
  <c r="G5" i="4"/>
  <c r="H127" i="4"/>
  <c r="G127" i="4"/>
  <c r="H71" i="4"/>
  <c r="G71" i="4"/>
  <c r="H135" i="4"/>
  <c r="G135" i="4"/>
  <c r="H38" i="4"/>
  <c r="G38" i="4"/>
  <c r="H112" i="4"/>
  <c r="G112" i="4"/>
  <c r="H49" i="4"/>
  <c r="G49" i="4"/>
  <c r="H113" i="4"/>
  <c r="G113" i="4"/>
  <c r="H94" i="4"/>
  <c r="G94" i="4"/>
  <c r="H146" i="4"/>
  <c r="G146" i="4"/>
  <c r="H119" i="4"/>
  <c r="G119" i="4"/>
  <c r="H100" i="4"/>
  <c r="G100" i="4"/>
  <c r="H62" i="4"/>
  <c r="G62" i="4"/>
  <c r="H46" i="4"/>
  <c r="G46" i="4"/>
  <c r="H84" i="4"/>
  <c r="G84" i="4"/>
  <c r="H138" i="4"/>
  <c r="G138" i="4"/>
  <c r="H75" i="4"/>
  <c r="G75" i="4"/>
  <c r="H96" i="4"/>
  <c r="G96" i="4"/>
  <c r="H44" i="4"/>
  <c r="G44" i="4"/>
  <c r="H57" i="4"/>
  <c r="G57" i="4"/>
  <c r="H122" i="4"/>
  <c r="G122" i="4"/>
  <c r="H64" i="4"/>
  <c r="G64" i="4"/>
  <c r="H61" i="4"/>
  <c r="G61" i="4"/>
  <c r="H110" i="4"/>
  <c r="G110" i="4"/>
  <c r="H21" i="4"/>
  <c r="G21" i="4"/>
  <c r="H69" i="4"/>
  <c r="G69" i="4"/>
  <c r="H48" i="4"/>
  <c r="G48" i="4"/>
  <c r="H47" i="4"/>
  <c r="G47" i="4"/>
  <c r="H26" i="4"/>
  <c r="G26" i="4"/>
  <c r="H18" i="4"/>
  <c r="G18" i="4"/>
  <c r="H108" i="4"/>
  <c r="G108" i="4"/>
  <c r="H150" i="4"/>
  <c r="G150" i="4"/>
  <c r="H59" i="4"/>
  <c r="G59" i="4"/>
  <c r="H51" i="4"/>
  <c r="G51" i="4"/>
  <c r="H107" i="4"/>
  <c r="G107" i="4"/>
  <c r="H159" i="4"/>
  <c r="G159" i="4"/>
  <c r="H68" i="4"/>
  <c r="G68" i="4"/>
  <c r="H136" i="4"/>
  <c r="G136" i="4"/>
  <c r="H85" i="4"/>
  <c r="G85" i="4"/>
  <c r="H129" i="4"/>
  <c r="G129" i="4"/>
  <c r="H117" i="4"/>
  <c r="G117" i="4"/>
  <c r="H147" i="4"/>
  <c r="G147" i="4"/>
  <c r="H133" i="4"/>
  <c r="G133" i="4"/>
  <c r="H83" i="4"/>
  <c r="G83" i="4"/>
  <c r="H102" i="4"/>
  <c r="G102" i="4"/>
  <c r="H90" i="4"/>
  <c r="G90" i="4"/>
  <c r="H156" i="4"/>
  <c r="G156" i="4"/>
  <c r="H120" i="4"/>
  <c r="G120" i="4"/>
  <c r="H139" i="4"/>
  <c r="G139" i="4"/>
  <c r="H89" i="4"/>
  <c r="G89" i="4"/>
  <c r="H34" i="4"/>
  <c r="G34" i="4"/>
  <c r="H70" i="4"/>
  <c r="G70" i="4"/>
  <c r="H143" i="4"/>
  <c r="G143" i="4"/>
  <c r="H152" i="4"/>
  <c r="G152" i="4"/>
  <c r="H155" i="4"/>
  <c r="G155" i="4"/>
  <c r="H45" i="4"/>
  <c r="G45" i="4"/>
  <c r="H126" i="4"/>
  <c r="G126" i="4"/>
  <c r="H39" i="4"/>
  <c r="G39" i="4"/>
  <c r="H27" i="4"/>
  <c r="G27" i="4"/>
  <c r="H88" i="4"/>
  <c r="G88" i="4"/>
  <c r="H106" i="4"/>
  <c r="G106" i="4"/>
  <c r="H55" i="4"/>
  <c r="G55" i="4"/>
  <c r="H37" i="4"/>
  <c r="G37" i="4"/>
  <c r="H31" i="4"/>
  <c r="G31" i="4"/>
  <c r="H81" i="4"/>
  <c r="G81" i="4"/>
  <c r="H86" i="4"/>
  <c r="G86" i="4"/>
  <c r="H66" i="4"/>
  <c r="G66" i="4"/>
  <c r="H93" i="4"/>
  <c r="G93" i="4"/>
  <c r="H140" i="4"/>
  <c r="G140" i="4"/>
  <c r="H142" i="4"/>
  <c r="G142" i="4"/>
  <c r="H4" i="4"/>
  <c r="G4" i="4"/>
  <c r="H6" i="4"/>
  <c r="G6" i="4"/>
  <c r="H115" i="4"/>
  <c r="G115" i="4"/>
  <c r="H73" i="4"/>
  <c r="G73" i="4"/>
  <c r="H9" i="4"/>
  <c r="G9" i="4"/>
  <c r="H58" i="4"/>
  <c r="G58" i="4"/>
  <c r="H13" i="4"/>
  <c r="G13" i="4"/>
  <c r="H78" i="4"/>
  <c r="G78" i="4"/>
  <c r="H121" i="4"/>
  <c r="G121" i="4"/>
  <c r="H149" i="4"/>
  <c r="G149" i="4"/>
  <c r="H130" i="4"/>
  <c r="G130" i="4"/>
  <c r="H151" i="4"/>
  <c r="G151" i="4"/>
  <c r="H141" i="4"/>
  <c r="G141" i="4"/>
  <c r="H32" i="4"/>
  <c r="G32" i="4"/>
  <c r="H17" i="4"/>
  <c r="G17" i="4"/>
  <c r="H16" i="4"/>
  <c r="G16" i="4"/>
  <c r="H15" i="4"/>
  <c r="G15" i="4"/>
  <c r="H60" i="4"/>
  <c r="G60" i="4"/>
  <c r="H132" i="4"/>
  <c r="G132" i="4"/>
  <c r="H92" i="4"/>
  <c r="G92" i="4"/>
  <c r="H53" i="4"/>
  <c r="G53" i="4"/>
  <c r="H35" i="4"/>
  <c r="G35" i="4"/>
  <c r="H97" i="4"/>
  <c r="G97" i="4"/>
  <c r="H91" i="4"/>
  <c r="G91" i="4"/>
  <c r="H54" i="4"/>
  <c r="G54" i="4"/>
  <c r="H22" i="4"/>
  <c r="G22" i="4"/>
  <c r="H19" i="4"/>
  <c r="G19" i="4"/>
  <c r="H11" i="4"/>
  <c r="G11" i="4"/>
  <c r="H8" i="4"/>
  <c r="G8" i="4"/>
  <c r="H3" i="4"/>
  <c r="G3" i="4"/>
  <c r="H103" i="4"/>
  <c r="G103" i="4"/>
  <c r="H144" i="4"/>
  <c r="G144" i="4"/>
  <c r="H154" i="4"/>
  <c r="G154" i="4"/>
  <c r="H36" i="4"/>
  <c r="G36" i="4"/>
  <c r="H104" i="4"/>
  <c r="G104" i="4"/>
  <c r="H56" i="4"/>
  <c r="G56" i="4"/>
  <c r="H87" i="4"/>
  <c r="G87" i="4"/>
  <c r="H65" i="4"/>
  <c r="G65" i="4"/>
  <c r="H63" i="4"/>
  <c r="G63" i="4"/>
  <c r="H77" i="4"/>
  <c r="G77" i="4"/>
  <c r="H42" i="4"/>
  <c r="G42" i="4"/>
  <c r="H67" i="4"/>
  <c r="G67" i="4"/>
  <c r="H20" i="4"/>
  <c r="G20" i="4"/>
  <c r="H160" i="4"/>
  <c r="G160" i="4"/>
  <c r="I137" i="5" l="1"/>
  <c r="I129" i="5"/>
  <c r="I108" i="5"/>
  <c r="I30" i="5"/>
  <c r="I195" i="5"/>
  <c r="I70" i="5"/>
  <c r="I55" i="5"/>
  <c r="I16" i="5"/>
  <c r="I61" i="5"/>
  <c r="I49" i="5"/>
  <c r="I92" i="5"/>
  <c r="I99" i="5"/>
  <c r="I170" i="5"/>
  <c r="I156" i="5"/>
  <c r="I4" i="6"/>
  <c r="I19" i="6"/>
  <c r="I167" i="5"/>
  <c r="I51" i="5"/>
  <c r="I15" i="5"/>
  <c r="I12" i="5"/>
  <c r="I157" i="5"/>
  <c r="I8" i="5"/>
  <c r="I165" i="5"/>
  <c r="I105" i="5"/>
  <c r="I62" i="5"/>
  <c r="I142" i="5"/>
  <c r="I184" i="5"/>
  <c r="G29" i="6"/>
  <c r="F31" i="6"/>
  <c r="I150" i="5"/>
  <c r="I124" i="5"/>
  <c r="I115" i="5"/>
  <c r="I183" i="5"/>
  <c r="I118" i="5"/>
  <c r="I85" i="5"/>
  <c r="I4" i="5"/>
  <c r="I47" i="5"/>
  <c r="I149" i="5"/>
  <c r="I67" i="5"/>
  <c r="I25" i="5"/>
  <c r="I33" i="5"/>
  <c r="I54" i="5"/>
  <c r="I136" i="5"/>
  <c r="I121" i="5"/>
  <c r="I132" i="5"/>
  <c r="I173" i="5"/>
  <c r="I71" i="5"/>
  <c r="I163" i="5"/>
  <c r="I103" i="5"/>
  <c r="I96" i="5"/>
  <c r="I40" i="5"/>
  <c r="I119" i="4"/>
  <c r="I36" i="4"/>
  <c r="I22" i="4"/>
  <c r="I147" i="4"/>
  <c r="I150" i="4"/>
  <c r="I47" i="4"/>
  <c r="I110" i="4"/>
  <c r="I57" i="4"/>
  <c r="I113" i="4"/>
  <c r="I117" i="4"/>
  <c r="I85" i="4"/>
  <c r="I59" i="4"/>
  <c r="I108" i="4"/>
  <c r="I26" i="4"/>
  <c r="I48" i="4"/>
  <c r="I38" i="4"/>
  <c r="I71" i="4"/>
  <c r="I24" i="4"/>
  <c r="I145" i="4"/>
  <c r="I33" i="4"/>
  <c r="I123" i="4"/>
  <c r="I131" i="4"/>
  <c r="I153" i="4"/>
  <c r="I114" i="4"/>
  <c r="I23" i="4"/>
  <c r="I137" i="4"/>
  <c r="I109" i="4"/>
  <c r="I157" i="4"/>
  <c r="I98" i="4"/>
  <c r="I41" i="4"/>
  <c r="I112" i="4"/>
  <c r="I124" i="4"/>
  <c r="I99" i="4"/>
  <c r="I72" i="4"/>
  <c r="I29" i="4"/>
  <c r="I101" i="4"/>
  <c r="I30" i="4"/>
  <c r="I79" i="4"/>
  <c r="I118" i="4"/>
  <c r="I25" i="4"/>
  <c r="I12" i="4"/>
  <c r="I158" i="4"/>
  <c r="I55" i="4"/>
  <c r="I45" i="4"/>
  <c r="I152" i="4"/>
  <c r="I89" i="4"/>
  <c r="I120" i="4"/>
  <c r="I20" i="4"/>
  <c r="I63" i="4"/>
  <c r="I103" i="4"/>
  <c r="I8" i="4"/>
  <c r="I54" i="4"/>
  <c r="I53" i="4"/>
  <c r="I9" i="4"/>
  <c r="I140" i="4"/>
  <c r="I66" i="4"/>
  <c r="I81" i="4"/>
  <c r="I126" i="4"/>
  <c r="I139" i="4"/>
  <c r="I156" i="4"/>
  <c r="I133" i="4"/>
  <c r="I75" i="5"/>
  <c r="I68" i="5"/>
  <c r="I38" i="5"/>
  <c r="I140" i="5"/>
  <c r="I79" i="5"/>
  <c r="I107" i="5"/>
  <c r="I63" i="5"/>
  <c r="I13" i="5"/>
  <c r="I83" i="5"/>
  <c r="I26" i="5"/>
  <c r="I93" i="5"/>
  <c r="I146" i="5"/>
  <c r="I141" i="5"/>
  <c r="I52" i="5"/>
  <c r="I153" i="5"/>
  <c r="I152" i="5"/>
  <c r="I69" i="5"/>
  <c r="I95" i="5"/>
  <c r="I14" i="5"/>
  <c r="I190" i="5"/>
  <c r="I122" i="5"/>
  <c r="I32" i="5"/>
  <c r="I155" i="5"/>
  <c r="I10" i="5"/>
  <c r="I181" i="5"/>
  <c r="I45" i="5"/>
  <c r="I23" i="5"/>
  <c r="I56" i="5"/>
  <c r="I36" i="5"/>
  <c r="I135" i="5"/>
  <c r="I144" i="5"/>
  <c r="I111" i="5"/>
  <c r="I94" i="5"/>
  <c r="I31" i="5"/>
  <c r="I73" i="5"/>
  <c r="I151" i="5"/>
  <c r="I29" i="5"/>
  <c r="I191" i="5"/>
  <c r="I185" i="5"/>
  <c r="I154" i="5"/>
  <c r="I21" i="5"/>
  <c r="I189" i="5"/>
  <c r="I187" i="5"/>
  <c r="I138" i="5"/>
  <c r="I66" i="5"/>
  <c r="I178" i="5"/>
  <c r="I126" i="5"/>
  <c r="I39" i="5"/>
  <c r="I58" i="5"/>
  <c r="I28" i="5"/>
  <c r="I48" i="5"/>
  <c r="I82" i="5"/>
  <c r="I179" i="5"/>
  <c r="I89" i="5"/>
  <c r="I57" i="5"/>
  <c r="I9" i="6"/>
  <c r="I15" i="6"/>
  <c r="I3" i="6"/>
  <c r="I17" i="6"/>
  <c r="I5" i="6"/>
  <c r="I18" i="6"/>
  <c r="I8" i="6"/>
  <c r="I10" i="6"/>
  <c r="I7" i="6"/>
  <c r="I27" i="6"/>
  <c r="I6" i="6"/>
  <c r="I12" i="6"/>
  <c r="I2" i="6"/>
  <c r="I21" i="6"/>
  <c r="I22" i="6"/>
  <c r="I26" i="6"/>
  <c r="I11" i="6"/>
  <c r="I16" i="6"/>
  <c r="I23" i="6"/>
  <c r="I91" i="5"/>
  <c r="I102" i="5"/>
  <c r="I2" i="5"/>
  <c r="I180" i="5"/>
  <c r="I127" i="5"/>
  <c r="I98" i="5"/>
  <c r="I188" i="5"/>
  <c r="I100" i="5"/>
  <c r="I19" i="5"/>
  <c r="I88" i="5"/>
  <c r="I64" i="5"/>
  <c r="I120" i="5"/>
  <c r="I5" i="5"/>
  <c r="I43" i="5"/>
  <c r="I174" i="5"/>
  <c r="I90" i="5"/>
  <c r="I87" i="5"/>
  <c r="I50" i="5"/>
  <c r="I117" i="5"/>
  <c r="I139" i="5"/>
  <c r="I192" i="5"/>
  <c r="I3" i="5"/>
  <c r="I106" i="5"/>
  <c r="I27" i="5"/>
  <c r="I177" i="5"/>
  <c r="I125" i="5"/>
  <c r="I44" i="5"/>
  <c r="I11" i="5"/>
  <c r="I148" i="5"/>
  <c r="I171" i="5"/>
  <c r="I18" i="5"/>
  <c r="I86" i="5"/>
  <c r="I24" i="5"/>
  <c r="I80" i="5"/>
  <c r="I53" i="5"/>
  <c r="I9" i="5"/>
  <c r="I169" i="5"/>
  <c r="I159" i="5"/>
  <c r="I46" i="5"/>
  <c r="I60" i="5"/>
  <c r="I186" i="5"/>
  <c r="I193" i="5"/>
  <c r="I147" i="5"/>
  <c r="I72" i="5"/>
  <c r="I161" i="5"/>
  <c r="I17" i="5"/>
  <c r="I123" i="5"/>
  <c r="I76" i="5"/>
  <c r="I35" i="5"/>
  <c r="I78" i="5"/>
  <c r="I176" i="5"/>
  <c r="I128" i="5"/>
  <c r="I81" i="5"/>
  <c r="I114" i="5"/>
  <c r="I22" i="5"/>
  <c r="I77" i="5"/>
  <c r="I34" i="5"/>
  <c r="I97" i="5"/>
  <c r="I131" i="5"/>
  <c r="I175" i="5"/>
  <c r="I164" i="5"/>
  <c r="I116" i="5"/>
  <c r="I194" i="5"/>
  <c r="I109" i="5"/>
  <c r="I134" i="5"/>
  <c r="I166" i="5"/>
  <c r="I130" i="5"/>
  <c r="I162" i="5"/>
  <c r="I59" i="5"/>
  <c r="I7" i="5"/>
  <c r="I154" i="4"/>
  <c r="I37" i="4"/>
  <c r="I102" i="4"/>
  <c r="I21" i="4"/>
  <c r="I122" i="4"/>
  <c r="I49" i="4"/>
  <c r="I77" i="4"/>
  <c r="I56" i="4"/>
  <c r="I144" i="4"/>
  <c r="I17" i="4"/>
  <c r="I141" i="4"/>
  <c r="I121" i="4"/>
  <c r="I4" i="4"/>
  <c r="I155" i="4"/>
  <c r="I70" i="4"/>
  <c r="I107" i="4"/>
  <c r="I14" i="4"/>
  <c r="H162" i="4"/>
  <c r="I35" i="4"/>
  <c r="I92" i="4"/>
  <c r="I60" i="4"/>
  <c r="I16" i="4"/>
  <c r="I151" i="4"/>
  <c r="I149" i="4"/>
  <c r="I78" i="4"/>
  <c r="I58" i="4"/>
  <c r="I73" i="4"/>
  <c r="I142" i="4"/>
  <c r="I93" i="4"/>
  <c r="I86" i="4"/>
  <c r="I106" i="4"/>
  <c r="I143" i="4"/>
  <c r="I129" i="4"/>
  <c r="I159" i="4"/>
  <c r="I51" i="4"/>
  <c r="I18" i="4"/>
  <c r="I64" i="4"/>
  <c r="I138" i="4"/>
  <c r="I46" i="4"/>
  <c r="I100" i="4"/>
  <c r="I2" i="4"/>
  <c r="I67" i="4"/>
  <c r="I104" i="4"/>
  <c r="I3" i="4"/>
  <c r="I11" i="4"/>
  <c r="I130" i="4"/>
  <c r="I13" i="4"/>
  <c r="I31" i="4"/>
  <c r="I34" i="4"/>
  <c r="I83" i="4"/>
  <c r="I68" i="4"/>
  <c r="I62" i="4"/>
  <c r="I5" i="4"/>
  <c r="I95" i="4"/>
  <c r="I125" i="4"/>
  <c r="I28" i="4"/>
  <c r="I50" i="4"/>
  <c r="I42" i="4"/>
  <c r="I65" i="4"/>
  <c r="I19" i="4"/>
  <c r="I91" i="4"/>
  <c r="I132" i="4"/>
  <c r="I115" i="4"/>
  <c r="I27" i="4"/>
  <c r="I69" i="4"/>
  <c r="I96" i="4"/>
  <c r="I94" i="4"/>
  <c r="I135" i="4"/>
  <c r="I74" i="4"/>
  <c r="I80" i="4"/>
  <c r="I10" i="4"/>
  <c r="H29" i="6"/>
  <c r="I28" i="6"/>
  <c r="I20" i="6"/>
  <c r="I14" i="6"/>
  <c r="I13" i="6"/>
  <c r="I24" i="6"/>
  <c r="I25" i="6"/>
  <c r="G196" i="5"/>
  <c r="H196" i="5"/>
  <c r="I145" i="5"/>
  <c r="I65" i="5"/>
  <c r="I37" i="5"/>
  <c r="I112" i="5"/>
  <c r="I6" i="5"/>
  <c r="I168" i="5"/>
  <c r="I119" i="5"/>
  <c r="I84" i="5"/>
  <c r="I113" i="5"/>
  <c r="I133" i="5"/>
  <c r="I104" i="5"/>
  <c r="I20" i="5"/>
  <c r="I110" i="5"/>
  <c r="I160" i="5"/>
  <c r="I41" i="5"/>
  <c r="I101" i="5"/>
  <c r="I74" i="5"/>
  <c r="I172" i="5"/>
  <c r="I42" i="5"/>
  <c r="I182" i="5"/>
  <c r="I143" i="5"/>
  <c r="I158" i="5"/>
  <c r="I160" i="4"/>
  <c r="I87" i="4"/>
  <c r="I97" i="4"/>
  <c r="G162" i="4"/>
  <c r="I15" i="4"/>
  <c r="I6" i="4"/>
  <c r="I39" i="4"/>
  <c r="I90" i="4"/>
  <c r="I75" i="4"/>
  <c r="I116" i="4"/>
  <c r="I148" i="4"/>
  <c r="I88" i="4"/>
  <c r="I136" i="4"/>
  <c r="I61" i="4"/>
  <c r="I44" i="4"/>
  <c r="I84" i="4"/>
  <c r="I146" i="4"/>
  <c r="I127" i="4"/>
  <c r="I43" i="4"/>
  <c r="I111" i="4"/>
  <c r="I40" i="4"/>
  <c r="I52" i="4"/>
  <c r="I128" i="4"/>
  <c r="I32" i="4"/>
  <c r="I7" i="4"/>
  <c r="I76" i="4"/>
  <c r="I105" i="4"/>
  <c r="I82" i="4"/>
  <c r="I134" i="4"/>
  <c r="I196" i="5" l="1"/>
  <c r="I29" i="6"/>
  <c r="I162" i="4"/>
</calcChain>
</file>

<file path=xl/sharedStrings.xml><?xml version="1.0" encoding="utf-8"?>
<sst xmlns="http://schemas.openxmlformats.org/spreadsheetml/2006/main" count="1640" uniqueCount="886">
  <si>
    <t>DPTO</t>
  </si>
  <si>
    <t>PROPIETARIOS</t>
  </si>
  <si>
    <t>ÁREA TECHADA</t>
  </si>
  <si>
    <t>ÁREA OCUPADA</t>
  </si>
  <si>
    <t>% PARTICIPACIÓN</t>
  </si>
  <si>
    <t>ESTAC.</t>
  </si>
  <si>
    <t>MENDOZA BAZAN SILVIA VERONICA</t>
  </si>
  <si>
    <t xml:space="preserve">VALERA ASPILLAGA FIORELLA VANESSA </t>
  </si>
  <si>
    <t>CORNEJO JORGE JOSE ADRIAN</t>
  </si>
  <si>
    <t>CURAHUA SANCHEZ FLOR DE MARIA</t>
  </si>
  <si>
    <t>RAMÍREZ PACHECO GIAN PAUL</t>
  </si>
  <si>
    <t>TORRES VALLEJOS CLAUDIA MARINA</t>
  </si>
  <si>
    <t>CHIA ALEGRE JORGE WILLIAMS</t>
  </si>
  <si>
    <t>VELASQUEZ MATOS KATHERINE SUSEI</t>
  </si>
  <si>
    <t>RODRIGUEZ CECILIA</t>
  </si>
  <si>
    <t>GUIMARAY RICARDO</t>
  </si>
  <si>
    <t>PARKER CHAVEZ DIANA MARIA</t>
  </si>
  <si>
    <t>VISO TOLEDO JAIME JUAN</t>
  </si>
  <si>
    <t>GUERRERO JIMENEZ SERGIO</t>
  </si>
  <si>
    <t>ZAPATA ARANA MIRTHA BELINDA</t>
  </si>
  <si>
    <t>DIAZ QUINTANA DAVID ENRIQUE</t>
  </si>
  <si>
    <t>PONCE DE LEON MARIA</t>
  </si>
  <si>
    <t>GUERRERO ABARCA MONICA JULIE</t>
  </si>
  <si>
    <t>SANCHEZ-SALAZAR OLCESE GLADYS MARIELA</t>
  </si>
  <si>
    <t>HUANAY MARTINEZ FRANZ CESAR</t>
  </si>
  <si>
    <t>NUÑEZ ESTRADA YULY CRISTINA</t>
  </si>
  <si>
    <t>SULLCAHUAMAN OTERO ORLANDO</t>
  </si>
  <si>
    <t>GONZALES VIDAL MIGUEL ANGEL</t>
  </si>
  <si>
    <t>CASTRO BARRERA ANITA MARITZA</t>
  </si>
  <si>
    <t>MOGOLLÓN ANGELES ANGEL GIOVANNI JOSÉ  - GUTIÉRREZ RREZ CÓRDOVA ANGELA PIERINA</t>
  </si>
  <si>
    <t>ESPINOZA PACHECO ELBIA ELIZABETH</t>
  </si>
  <si>
    <t>DE LA CRUZ DELGADO WALTER</t>
  </si>
  <si>
    <t>MESONES DEL RIO MARIA ISABEL</t>
  </si>
  <si>
    <t>ROBLES SOTELO ERICK EUGENIO</t>
  </si>
  <si>
    <t>GARCIA JOSE</t>
  </si>
  <si>
    <t>VEGA DAVID VICTOR</t>
  </si>
  <si>
    <t>CORRECHER DEL TORO GURMENSINDA</t>
  </si>
  <si>
    <t>GUERRERO BENNER ROLAN</t>
  </si>
  <si>
    <t>LIZARZABURU PETROZZI MIKEL ARITZ</t>
  </si>
  <si>
    <t>PERALTA PARI RUBEN</t>
  </si>
  <si>
    <t>JIMENEZ CARMEN</t>
  </si>
  <si>
    <t>RENTERIA CHIOK MARIA ISABEL</t>
  </si>
  <si>
    <t>MINIANO GARCIA PABLO ABEL</t>
  </si>
  <si>
    <t>GOMEZ BARTRA JOHANNA GORGETE</t>
  </si>
  <si>
    <t>SAAVEDRA MACHUCA DANY ELVIS</t>
  </si>
  <si>
    <t>FUENTES ALARCON PERVIS</t>
  </si>
  <si>
    <t>APARCANA ROSADIO LUIS MIGUEL</t>
  </si>
  <si>
    <t>OCHOA CESAR</t>
  </si>
  <si>
    <t>VALDIVIA OBANDO OSCAR</t>
  </si>
  <si>
    <t>CHAVEZ TAGLE SISLEY</t>
  </si>
  <si>
    <t>ANTON ENICE</t>
  </si>
  <si>
    <t>CARRILLO GALLO EDSON</t>
  </si>
  <si>
    <t>GOMEZ VILLENA ROLANDO MARTIN</t>
  </si>
  <si>
    <t>JURADO PAZ Y MIÑO VICTOR</t>
  </si>
  <si>
    <t>RUIZ GUTIERREZ ROSA</t>
  </si>
  <si>
    <t>BENITES CERNA CARLOS ENRIQUE</t>
  </si>
  <si>
    <t>FALCON RAMOS CAROLINA FRANCHESKA</t>
  </si>
  <si>
    <t>RAMOS GUTTI DANIEL</t>
  </si>
  <si>
    <t>ORELLANA VARGAS CARMEN ROSA</t>
  </si>
  <si>
    <t>IZQUIERDO ALATA LIAM JUAN PEDRO</t>
  </si>
  <si>
    <t>SANCHEZ DIAZ RUBEN</t>
  </si>
  <si>
    <t>SOTO CONDORI GIANFRANCO</t>
  </si>
  <si>
    <t>TORRES ANGELICA</t>
  </si>
  <si>
    <t>QUISPE JOSE LUIS</t>
  </si>
  <si>
    <t>MADUEÑO MORALES LUCIENNE</t>
  </si>
  <si>
    <t>RIVERA MADARIAGA FIORELLA VANESSA</t>
  </si>
  <si>
    <t>TIBURCIO GARCIA LIZETH ALEJANDRA</t>
  </si>
  <si>
    <t>TUPAYACHI VALLENAS DENIS ALFREDO</t>
  </si>
  <si>
    <t>PAZ ALATA JUAN DIEGO</t>
  </si>
  <si>
    <t>ORTEGA DELGADILLO EMPERATRIZ</t>
  </si>
  <si>
    <t>HAYA HIDALGO FERNANDO TEOBALDO</t>
  </si>
  <si>
    <t>ALEXANDER STRAHLE JURGEN</t>
  </si>
  <si>
    <t>NEGRINI WITHER JORGE ENRIQUE</t>
  </si>
  <si>
    <t>SAMANAMUD LOZANO NADIA</t>
  </si>
  <si>
    <t>GUERRERO GUERRERO JEAN MARCO</t>
  </si>
  <si>
    <t>GUERRERO GUERRERO KETY FAGNI</t>
  </si>
  <si>
    <t>NEIRA UN JAN MILAGROS ANDREA</t>
  </si>
  <si>
    <t>ALVARADO BRINGAS MILUSKA CARLA</t>
  </si>
  <si>
    <t>GODOY ACOSTA NORA EULALIA</t>
  </si>
  <si>
    <t>PAREDES SALAZAR SARITA DEL CARMEN</t>
  </si>
  <si>
    <t>OSORIO MOQUILLAZA JESUS ALFONSO</t>
  </si>
  <si>
    <t>LAURA MENDOZA YSELA ROCIO</t>
  </si>
  <si>
    <t>MORALES LANDAURO GERARDO ALBERTO</t>
  </si>
  <si>
    <t>CHIROQUE FLOR LOZANO</t>
  </si>
  <si>
    <t>TORRES VILANTOY SUSAN</t>
  </si>
  <si>
    <t>ESTRADA DIANA</t>
  </si>
  <si>
    <t>LOPEZ CORNELIO DAVID</t>
  </si>
  <si>
    <t>LEON PRISCILLA</t>
  </si>
  <si>
    <t>SALINAS SOUZA CARLOS ENRIQUE JOSE ALFREDO</t>
  </si>
  <si>
    <t>CARDENAS MORIANO WOLFGAN ANGEL</t>
  </si>
  <si>
    <t>MALDONADO DE LA CRUZ NORA TERESA</t>
  </si>
  <si>
    <t>CHAVEZ JULCAHUANCA VANESSA</t>
  </si>
  <si>
    <t>VALLEBUONA MAYTA LUIS ALBERTO</t>
  </si>
  <si>
    <t>CARMONA DIAZ MERY</t>
  </si>
  <si>
    <t>CASTILLA PEREZ CARMELA FERMINA</t>
  </si>
  <si>
    <t>HERRERA MENDOZA JEAN PIERRE</t>
  </si>
  <si>
    <t>TINEDO LOPEZ PEDRO LUIS</t>
  </si>
  <si>
    <t>HUERTA HUERTA CARLA ALESSANDRA</t>
  </si>
  <si>
    <t>MERINO BRIONES SUSY</t>
  </si>
  <si>
    <t>DURANGO CHAVEZ OLGA KARINA</t>
  </si>
  <si>
    <t>PASTOR NICOLAS ROSA MARIA</t>
  </si>
  <si>
    <t>JO RENZO</t>
  </si>
  <si>
    <t>LOPEZ FORTUNATO</t>
  </si>
  <si>
    <t>PALOMINO CRISTIAN</t>
  </si>
  <si>
    <t>CARRASCO BEAS ALFREDO EDILBERTO</t>
  </si>
  <si>
    <t>VALVERDE ROJAS MARIA ANTONIETA</t>
  </si>
  <si>
    <t>WILSON BUENO FRANK ERICK</t>
  </si>
  <si>
    <t>JUSTO NIETO MILENA KATHERINE</t>
  </si>
  <si>
    <t>CAO DACHAO</t>
  </si>
  <si>
    <t>ASTO VARGAS HANS PIERRE</t>
  </si>
  <si>
    <t>CHAFLOQUE MORENO ALEXIS JHONNY</t>
  </si>
  <si>
    <t>CALDERON MINCHOLA JUAN CARLOS</t>
  </si>
  <si>
    <t>GARFIAS HURTADO MARISOL</t>
  </si>
  <si>
    <t>CASTRO ALMEIDA RAUL ARMANDO</t>
  </si>
  <si>
    <t>MORALES CORDOVA JUAN ALARICO</t>
  </si>
  <si>
    <t>YOUNG GUERRERO MARIA GISELLA</t>
  </si>
  <si>
    <t>HUANGAL KESSLER JOSEFINA</t>
  </si>
  <si>
    <t>Chávez fustamante Brenda - León Márquez David</t>
  </si>
  <si>
    <t>ZAMBRANO JUAREZ VALERIA</t>
  </si>
  <si>
    <t>ZAPATA VELASCO ANGELA</t>
  </si>
  <si>
    <t>LOREDO RODRIGUEZ CESAR ANTONIO</t>
  </si>
  <si>
    <t>GARCIA TEJADA NORMA YSABEL</t>
  </si>
  <si>
    <t>VALDIVIA PASACHE GEORGE LOUIS ALEXANDER</t>
  </si>
  <si>
    <t>CANCINO APAZA MARYLIN MARYBEL</t>
  </si>
  <si>
    <t>LIANG YANQIU</t>
  </si>
  <si>
    <t>PANIAGUA SANDRO</t>
  </si>
  <si>
    <t>RAMOS REQUEJO MABEL LICER</t>
  </si>
  <si>
    <t>AYAQUE LARICO ISAAC ALFREDO</t>
  </si>
  <si>
    <t>GUTIERREZ GUERRERO YEISON MARTIN</t>
  </si>
  <si>
    <t>VALDEZ CADENILLAS AGUSTIN</t>
  </si>
  <si>
    <t>CARDENAS MORIANO HEVELYNE HILDA</t>
  </si>
  <si>
    <t>OLIVARES SAAVEDRA JAIME ALBERTO</t>
  </si>
  <si>
    <t>BLAS OLIVER LIDIA ROSALVA</t>
  </si>
  <si>
    <t>CORDERO VILCA PEDRO LUIS</t>
  </si>
  <si>
    <t>TINEO CASTAÑEDA CLAUDIA</t>
  </si>
  <si>
    <t>VERASTEGUI BUSTAMANTE DAVID</t>
  </si>
  <si>
    <t>YAIPEN PANTOJA ALEXIS</t>
  </si>
  <si>
    <t>MADUEÑO CHUMPITAZ LOURDES DE LOS ANGELES</t>
  </si>
  <si>
    <t>INDUSTRIAS GENERALES SAC</t>
  </si>
  <si>
    <t>ALVARES PEÑA CARLOS EDUARDO</t>
  </si>
  <si>
    <t>VERASTEGUI JUSTO</t>
  </si>
  <si>
    <t>CANEDO TAPIA MANUEL HERNAN</t>
  </si>
  <si>
    <t>LLANO QUISPE JOSE LUIS</t>
  </si>
  <si>
    <t>CISNEROS ISLA GLORIA LEONOR</t>
  </si>
  <si>
    <t>REJAS REYES TEOBALDO ALFREDO</t>
  </si>
  <si>
    <t>VILLAVICENCIO CARLOS</t>
  </si>
  <si>
    <t>AVENDAÑO SILVA MIRLEY JESUS</t>
  </si>
  <si>
    <t>AVILA JOEL ANTONIO</t>
  </si>
  <si>
    <t>RIOS JULCA NILTON</t>
  </si>
  <si>
    <t>ROJAS VICTOR</t>
  </si>
  <si>
    <t>GAVIDIA DIAZ ROSA TANIA</t>
  </si>
  <si>
    <t>AQUIJE MORON HERNAN</t>
  </si>
  <si>
    <t>NAVARRO VILLAVICENCIO JOSE KARLO</t>
  </si>
  <si>
    <t>AREA DE ESTACIONAMIENTOS</t>
  </si>
  <si>
    <t>AREA DEPOSITO</t>
  </si>
  <si>
    <t>CODIGO</t>
  </si>
  <si>
    <t>PROPIETARIO(S)</t>
  </si>
  <si>
    <t>PREDIO</t>
  </si>
  <si>
    <t>VALOR CUOTA</t>
  </si>
  <si>
    <t>AGUA CONSUMO</t>
  </si>
  <si>
    <t>SUMA</t>
  </si>
  <si>
    <t>PP-000</t>
  </si>
  <si>
    <t>SIN IDENTIFICAR</t>
  </si>
  <si>
    <t>PP-001</t>
  </si>
  <si>
    <t>AJK ASOCIADOS SAC</t>
  </si>
  <si>
    <t>ESTA-020</t>
  </si>
  <si>
    <t>PP-002</t>
  </si>
  <si>
    <t>ALBAN MALACHE CHABELI</t>
  </si>
  <si>
    <t>ESTA-067</t>
  </si>
  <si>
    <t>PP-003</t>
  </si>
  <si>
    <t>RUIZ JAVIER ALEJANDRO</t>
  </si>
  <si>
    <t>PP-004</t>
  </si>
  <si>
    <t>ESTA-042</t>
  </si>
  <si>
    <t>PP-005</t>
  </si>
  <si>
    <t>ALVA CUELLAR DUGLAS CONCEPCION</t>
  </si>
  <si>
    <t>ESTA-077</t>
  </si>
  <si>
    <t>PP-006</t>
  </si>
  <si>
    <t>ESTA-063</t>
  </si>
  <si>
    <t>PP-007</t>
  </si>
  <si>
    <t>PP-008</t>
  </si>
  <si>
    <t>ESTA-065</t>
  </si>
  <si>
    <t>PP-009</t>
  </si>
  <si>
    <t>PP-010</t>
  </si>
  <si>
    <t>ESTA-087</t>
  </si>
  <si>
    <t>PP-011</t>
  </si>
  <si>
    <t>ESTA-056</t>
  </si>
  <si>
    <t>PP-012</t>
  </si>
  <si>
    <t>ESTA-104</t>
  </si>
  <si>
    <t>PP-013</t>
  </si>
  <si>
    <t>BADA CARPIO OSCAR</t>
  </si>
  <si>
    <t>ESTA-036</t>
  </si>
  <si>
    <t>ESTA-153</t>
  </si>
  <si>
    <t>PP-014</t>
  </si>
  <si>
    <t xml:space="preserve">HENDRICK OSCAR  / HENDRICKLUISA </t>
  </si>
  <si>
    <t>ESTA-143</t>
  </si>
  <si>
    <t>PP-015</t>
  </si>
  <si>
    <t>ESTA-103</t>
  </si>
  <si>
    <t>PP-016</t>
  </si>
  <si>
    <t>BERTOLOTTO INVESTMENTS S.A.C</t>
  </si>
  <si>
    <t>ESTA-003</t>
  </si>
  <si>
    <t>ESTA-008</t>
  </si>
  <si>
    <t>ESTA-011</t>
  </si>
  <si>
    <t>ESTA-019</t>
  </si>
  <si>
    <t>ESTA-022</t>
  </si>
  <si>
    <t>ESTA-054</t>
  </si>
  <si>
    <t>ESTA-091</t>
  </si>
  <si>
    <t>ESTA-097</t>
  </si>
  <si>
    <t>PP-017</t>
  </si>
  <si>
    <t>DEPO-180</t>
  </si>
  <si>
    <t>ESTA-035</t>
  </si>
  <si>
    <t>PP-018</t>
  </si>
  <si>
    <t>ESTA-053</t>
  </si>
  <si>
    <t>PP-019</t>
  </si>
  <si>
    <t>ESTA-092</t>
  </si>
  <si>
    <t>PP-020</t>
  </si>
  <si>
    <t>ESTA-132</t>
  </si>
  <si>
    <t>PP-021</t>
  </si>
  <si>
    <t>ESTA-060</t>
  </si>
  <si>
    <t>PP-022</t>
  </si>
  <si>
    <t>DEPO-186</t>
  </si>
  <si>
    <t>PP-023</t>
  </si>
  <si>
    <t>DEPO-173</t>
  </si>
  <si>
    <t>PP-024</t>
  </si>
  <si>
    <t>DEPO-161</t>
  </si>
  <si>
    <t>ESTA-015</t>
  </si>
  <si>
    <t>ESTA-016</t>
  </si>
  <si>
    <t>ESTA-017</t>
  </si>
  <si>
    <t>PP-025</t>
  </si>
  <si>
    <t>ESTA-032</t>
  </si>
  <si>
    <t>PP-026</t>
  </si>
  <si>
    <t>PP-027</t>
  </si>
  <si>
    <t>CARRILLO PINEDA FERNANDO</t>
  </si>
  <si>
    <t>ESTA-140</t>
  </si>
  <si>
    <t>PP-028</t>
  </si>
  <si>
    <t>CASAS PEREA JOSE</t>
  </si>
  <si>
    <t>ESTA-150</t>
  </si>
  <si>
    <t>PP-029</t>
  </si>
  <si>
    <t>ESTA-130</t>
  </si>
  <si>
    <t>PP-030</t>
  </si>
  <si>
    <t>ESTA-148</t>
  </si>
  <si>
    <t>PP-031</t>
  </si>
  <si>
    <t>ESTA-121</t>
  </si>
  <si>
    <t>PP-032</t>
  </si>
  <si>
    <t>SOLARI ATOCHE MARIA CECILIA</t>
  </si>
  <si>
    <t>PP-033</t>
  </si>
  <si>
    <t>PP-034</t>
  </si>
  <si>
    <t>PP-035</t>
  </si>
  <si>
    <t>PP-036</t>
  </si>
  <si>
    <t>CHAVEZ MYLADY</t>
  </si>
  <si>
    <t>PP-037</t>
  </si>
  <si>
    <t>PP-038</t>
  </si>
  <si>
    <t>PP-039</t>
  </si>
  <si>
    <t>DEPO-160</t>
  </si>
  <si>
    <t>PP-040</t>
  </si>
  <si>
    <t>ESTA-078</t>
  </si>
  <si>
    <t>PP-041</t>
  </si>
  <si>
    <t>ESTA-013</t>
  </si>
  <si>
    <t>PP-042</t>
  </si>
  <si>
    <t>ESTA-058</t>
  </si>
  <si>
    <t>PP-043</t>
  </si>
  <si>
    <t>ESTA-009</t>
  </si>
  <si>
    <t>ESTA-073</t>
  </si>
  <si>
    <t>PP-044</t>
  </si>
  <si>
    <t>ESTA-115</t>
  </si>
  <si>
    <t>PP-045</t>
  </si>
  <si>
    <t>RUIZ SANDOVAL FLOR DE MARIA</t>
  </si>
  <si>
    <t>ESTA-006</t>
  </si>
  <si>
    <t>PP-046</t>
  </si>
  <si>
    <t>DE MATTEIS DANIELE</t>
  </si>
  <si>
    <t>ESTA-004</t>
  </si>
  <si>
    <t>PP-047</t>
  </si>
  <si>
    <t>ESTA-141</t>
  </si>
  <si>
    <t>PP-048</t>
  </si>
  <si>
    <t>PP-049</t>
  </si>
  <si>
    <t>HARO CABALLERO CAROL ELIZABETH</t>
  </si>
  <si>
    <t>DEPO-178</t>
  </si>
  <si>
    <t>ESTA-139</t>
  </si>
  <si>
    <t>PP-050</t>
  </si>
  <si>
    <t>PP-051</t>
  </si>
  <si>
    <t>PP-052</t>
  </si>
  <si>
    <t>PP-053</t>
  </si>
  <si>
    <t>FERRER MILAGROS</t>
  </si>
  <si>
    <t>ESTA-093</t>
  </si>
  <si>
    <t>PP-054</t>
  </si>
  <si>
    <t>ESTA-066</t>
  </si>
  <si>
    <t>PP-055</t>
  </si>
  <si>
    <t>GAMERO OSCAR</t>
  </si>
  <si>
    <t>ESTA-086</t>
  </si>
  <si>
    <t>PP-056</t>
  </si>
  <si>
    <t>GARCIA ARCE ANDRES DANIEL</t>
  </si>
  <si>
    <t>ESTA-081</t>
  </si>
  <si>
    <t>PP-057</t>
  </si>
  <si>
    <t>PP-058</t>
  </si>
  <si>
    <t>ESTA-031</t>
  </si>
  <si>
    <t>PP-059</t>
  </si>
  <si>
    <t>ESTA-037</t>
  </si>
  <si>
    <t>ESTA-055</t>
  </si>
  <si>
    <t>PP-060</t>
  </si>
  <si>
    <t>ESTA-106</t>
  </si>
  <si>
    <t>PP-061</t>
  </si>
  <si>
    <t>GHERSI GIURFA DANIEL DAVID</t>
  </si>
  <si>
    <t>ESTA-088</t>
  </si>
  <si>
    <t>PP-062</t>
  </si>
  <si>
    <t>ESTA-027</t>
  </si>
  <si>
    <t>PP-063</t>
  </si>
  <si>
    <t>ESTA-039</t>
  </si>
  <si>
    <t>PP-064</t>
  </si>
  <si>
    <t>DEPO-175</t>
  </si>
  <si>
    <t>ESTA-126</t>
  </si>
  <si>
    <t>PP-065</t>
  </si>
  <si>
    <t>ESTA-045</t>
  </si>
  <si>
    <t>PP-066</t>
  </si>
  <si>
    <t>GONZALES LUIS</t>
  </si>
  <si>
    <t>ESTA-154</t>
  </si>
  <si>
    <t>PP-067</t>
  </si>
  <si>
    <t>LOCK GOVEA JOSE</t>
  </si>
  <si>
    <t>ESTA-151</t>
  </si>
  <si>
    <t>PP-068</t>
  </si>
  <si>
    <t>PP-069</t>
  </si>
  <si>
    <t>PP-070</t>
  </si>
  <si>
    <t>PP-071</t>
  </si>
  <si>
    <t>PP-072</t>
  </si>
  <si>
    <t>GUERRERO JIMENEZ SERGIO adicional 1</t>
  </si>
  <si>
    <t>ESTA-142</t>
  </si>
  <si>
    <t>PP-073</t>
  </si>
  <si>
    <t>PP-074</t>
  </si>
  <si>
    <t>ESTA-070</t>
  </si>
  <si>
    <t>PP-075</t>
  </si>
  <si>
    <t>GUTIERREZ PECEROS ALBERTO</t>
  </si>
  <si>
    <t>DEPO-159</t>
  </si>
  <si>
    <t>DEPO-162</t>
  </si>
  <si>
    <t>ESTA-034</t>
  </si>
  <si>
    <t>ESTA-089</t>
  </si>
  <si>
    <t>PP-076</t>
  </si>
  <si>
    <t>ESTA-138</t>
  </si>
  <si>
    <t>PP-077</t>
  </si>
  <si>
    <t>HENOSTROZA DIAZ JULIAN</t>
  </si>
  <si>
    <t>ESTA-120</t>
  </si>
  <si>
    <t>PP-078</t>
  </si>
  <si>
    <t>HERNAN MORALES DIEGO</t>
  </si>
  <si>
    <t>ESTA-155</t>
  </si>
  <si>
    <t>PP-079</t>
  </si>
  <si>
    <t>DEPO-172</t>
  </si>
  <si>
    <t>ESTA-090</t>
  </si>
  <si>
    <t>PP-080</t>
  </si>
  <si>
    <t>ESTA-102</t>
  </si>
  <si>
    <t>PP-081</t>
  </si>
  <si>
    <t>PP-082</t>
  </si>
  <si>
    <t>PP-083</t>
  </si>
  <si>
    <t>ESTA-083</t>
  </si>
  <si>
    <t>PP-084</t>
  </si>
  <si>
    <t>INFANTES JHEYSON</t>
  </si>
  <si>
    <t>ESTA-133</t>
  </si>
  <si>
    <t>PP-085</t>
  </si>
  <si>
    <t xml:space="preserve">PARI NUÑEZ LEONOR </t>
  </si>
  <si>
    <t>ESTA-146</t>
  </si>
  <si>
    <t>PP-086</t>
  </si>
  <si>
    <t>ESTA-117</t>
  </si>
  <si>
    <t>PP-087</t>
  </si>
  <si>
    <t>JARA CISNEROS RICHARD</t>
  </si>
  <si>
    <t>ESTA-129</t>
  </si>
  <si>
    <t>PP-088</t>
  </si>
  <si>
    <t>DEPO-171</t>
  </si>
  <si>
    <t>PP-089</t>
  </si>
  <si>
    <t>ESTA-085</t>
  </si>
  <si>
    <t>PP-090</t>
  </si>
  <si>
    <t>PP-091</t>
  </si>
  <si>
    <t>ESTA-135</t>
  </si>
  <si>
    <t>PP-092</t>
  </si>
  <si>
    <t>LA MADRID JOSE</t>
  </si>
  <si>
    <t>ESTA-068</t>
  </si>
  <si>
    <t>PP-093</t>
  </si>
  <si>
    <t>MENDOZA TERESA LAURA</t>
  </si>
  <si>
    <t>ESTA-158</t>
  </si>
  <si>
    <t>PP-094</t>
  </si>
  <si>
    <t>ESTA-107</t>
  </si>
  <si>
    <t>PP-095</t>
  </si>
  <si>
    <t>PP-096</t>
  </si>
  <si>
    <t>ESTA-051</t>
  </si>
  <si>
    <t>PP-097</t>
  </si>
  <si>
    <t>DEPO-167</t>
  </si>
  <si>
    <t>ESTA-059</t>
  </si>
  <si>
    <t>ESTA-149</t>
  </si>
  <si>
    <t>PP-098</t>
  </si>
  <si>
    <t>PP-099</t>
  </si>
  <si>
    <t>ESTA-108</t>
  </si>
  <si>
    <t>PP-100</t>
  </si>
  <si>
    <t>ESTA-018</t>
  </si>
  <si>
    <t>ESTA-026</t>
  </si>
  <si>
    <t>PP-101</t>
  </si>
  <si>
    <t>ESTA-047</t>
  </si>
  <si>
    <t>ESTA-048</t>
  </si>
  <si>
    <t>PP-102</t>
  </si>
  <si>
    <t>DURAN ZANDRA LUZ</t>
  </si>
  <si>
    <t>PP-103</t>
  </si>
  <si>
    <t>ESTA-069</t>
  </si>
  <si>
    <t>PP-104</t>
  </si>
  <si>
    <t>PP-105</t>
  </si>
  <si>
    <t>SANCHEZ ALLAN ANDY MARCELO</t>
  </si>
  <si>
    <t>ESTA-021</t>
  </si>
  <si>
    <t>ESTA-110</t>
  </si>
  <si>
    <t>PP-106</t>
  </si>
  <si>
    <t>SPEICHER LUIS</t>
  </si>
  <si>
    <t>ESTA-061</t>
  </si>
  <si>
    <t>PP-107</t>
  </si>
  <si>
    <t xml:space="preserve">MENDIOLA LOPEZ MARIA ELENA </t>
  </si>
  <si>
    <t>ESTA-064</t>
  </si>
  <si>
    <t>PP-108</t>
  </si>
  <si>
    <t>PP-109</t>
  </si>
  <si>
    <t>ESTA-122</t>
  </si>
  <si>
    <t>PP-110</t>
  </si>
  <si>
    <t>ESTA-057</t>
  </si>
  <si>
    <t>PP-111</t>
  </si>
  <si>
    <t>ESTA-044</t>
  </si>
  <si>
    <t>PP-112</t>
  </si>
  <si>
    <t>MONTESINOS JORGE LUIS</t>
  </si>
  <si>
    <t>ESTA-096</t>
  </si>
  <si>
    <t>PP-113</t>
  </si>
  <si>
    <t>ESTA-075</t>
  </si>
  <si>
    <t>ESTA-137</t>
  </si>
  <si>
    <t>PP-114</t>
  </si>
  <si>
    <t>PP-115</t>
  </si>
  <si>
    <t>MORON JENNY</t>
  </si>
  <si>
    <t>ESTA-084</t>
  </si>
  <si>
    <t>PP-116</t>
  </si>
  <si>
    <t>ESTA-046</t>
  </si>
  <si>
    <t>ESTA-062</t>
  </si>
  <si>
    <t>ESTA-100</t>
  </si>
  <si>
    <t>PP-117</t>
  </si>
  <si>
    <t>PP-118</t>
  </si>
  <si>
    <t>ESTA-119</t>
  </si>
  <si>
    <t>PP-119</t>
  </si>
  <si>
    <t>ESTA-145</t>
  </si>
  <si>
    <t>PP-120</t>
  </si>
  <si>
    <t>ESTA-094</t>
  </si>
  <si>
    <t>PP-121</t>
  </si>
  <si>
    <t>PP-122</t>
  </si>
  <si>
    <t>PP-123</t>
  </si>
  <si>
    <t>ESTA-113</t>
  </si>
  <si>
    <t>PP-124</t>
  </si>
  <si>
    <t>PP-125</t>
  </si>
  <si>
    <t>PP-126</t>
  </si>
  <si>
    <t>PP-127</t>
  </si>
  <si>
    <t>ESTA-049</t>
  </si>
  <si>
    <t>PP-128</t>
  </si>
  <si>
    <t>ESTA-112</t>
  </si>
  <si>
    <t>PP-129</t>
  </si>
  <si>
    <t>PASSION FRESH SAC</t>
  </si>
  <si>
    <t>ESTA-038</t>
  </si>
  <si>
    <t>PP-130</t>
  </si>
  <si>
    <t>PP-131</t>
  </si>
  <si>
    <t>ESTA-134</t>
  </si>
  <si>
    <t>PP-132</t>
  </si>
  <si>
    <t>PP-133</t>
  </si>
  <si>
    <t>ESTA-071</t>
  </si>
  <si>
    <t>PP-134</t>
  </si>
  <si>
    <t xml:space="preserve">MONZON MILAGROS </t>
  </si>
  <si>
    <t>DEPO-185</t>
  </si>
  <si>
    <t>ESTA-127</t>
  </si>
  <si>
    <t>PP-135</t>
  </si>
  <si>
    <t>ESTA-005</t>
  </si>
  <si>
    <t>PP-136</t>
  </si>
  <si>
    <t>ESTA-124</t>
  </si>
  <si>
    <t>PP-137</t>
  </si>
  <si>
    <t>DEPO-164</t>
  </si>
  <si>
    <t>ESTA-024</t>
  </si>
  <si>
    <t>PP-138</t>
  </si>
  <si>
    <t>DEPO-184</t>
  </si>
  <si>
    <t>PP-139</t>
  </si>
  <si>
    <t>PP-140</t>
  </si>
  <si>
    <t>ESTA-074</t>
  </si>
  <si>
    <t>PP-141</t>
  </si>
  <si>
    <t>PP-142</t>
  </si>
  <si>
    <t>ROBLEDANO VICTOR</t>
  </si>
  <si>
    <t>PP-143</t>
  </si>
  <si>
    <t>PP-144</t>
  </si>
  <si>
    <t>ESTA-144</t>
  </si>
  <si>
    <t>PP-145</t>
  </si>
  <si>
    <t>ESTA-099</t>
  </si>
  <si>
    <t>PP-146</t>
  </si>
  <si>
    <t>ROSAS JHENIFER</t>
  </si>
  <si>
    <t>DEPO-182</t>
  </si>
  <si>
    <t>PP-147</t>
  </si>
  <si>
    <t>RUBIANO NELSON</t>
  </si>
  <si>
    <t>DEPO-170</t>
  </si>
  <si>
    <t>PP-148</t>
  </si>
  <si>
    <t>ESTA-033</t>
  </si>
  <si>
    <t>PP-149</t>
  </si>
  <si>
    <t>PP-150</t>
  </si>
  <si>
    <t>DEPO-169</t>
  </si>
  <si>
    <t>ESTA-072</t>
  </si>
  <si>
    <t>PP-151</t>
  </si>
  <si>
    <t>SALVADOR NILS</t>
  </si>
  <si>
    <t>ESTA-123</t>
  </si>
  <si>
    <t>PP-152</t>
  </si>
  <si>
    <t>ESTA-109</t>
  </si>
  <si>
    <t>PP-153</t>
  </si>
  <si>
    <t>PP-154</t>
  </si>
  <si>
    <t>PP-203</t>
  </si>
  <si>
    <t>PP-155</t>
  </si>
  <si>
    <t>SANDOVAL AMASIFUEN EDWARD</t>
  </si>
  <si>
    <t>DEPO-179</t>
  </si>
  <si>
    <t>ESTA-131</t>
  </si>
  <si>
    <t>PP-156</t>
  </si>
  <si>
    <t>MONTES DE OCA BRAMOSIO MARIA GABY</t>
  </si>
  <si>
    <t>ESTA-156</t>
  </si>
  <si>
    <t>PP-157</t>
  </si>
  <si>
    <t>BUSTAMANTE EDUARDO  - SARMIENTO INGRID</t>
  </si>
  <si>
    <t>DEPO-177</t>
  </si>
  <si>
    <t>ESTA-007</t>
  </si>
  <si>
    <t>PP-158</t>
  </si>
  <si>
    <t>MEDINA SARMIENTO JAVIER</t>
  </si>
  <si>
    <t>PP-159</t>
  </si>
  <si>
    <t>SAUÑE PACCO JOSE OSWALDO</t>
  </si>
  <si>
    <t>ESTA-098</t>
  </si>
  <si>
    <t>PP-160</t>
  </si>
  <si>
    <t>SEMINARIO OMAR</t>
  </si>
  <si>
    <t>PP-161</t>
  </si>
  <si>
    <t>PP-162</t>
  </si>
  <si>
    <t>ESTA-076</t>
  </si>
  <si>
    <t>PP-163</t>
  </si>
  <si>
    <t xml:space="preserve">HERZL THOMAS  - GONZALES MONICA </t>
  </si>
  <si>
    <t>ESTA-029</t>
  </si>
  <si>
    <t>PP-164</t>
  </si>
  <si>
    <t>ESTA-095</t>
  </si>
  <si>
    <t>PP-165</t>
  </si>
  <si>
    <t>ESTA-043</t>
  </si>
  <si>
    <t>PP-166</t>
  </si>
  <si>
    <t>DEPO-174</t>
  </si>
  <si>
    <t>PP-167</t>
  </si>
  <si>
    <t>TORANZO RUBEN</t>
  </si>
  <si>
    <t>ESTA-116</t>
  </si>
  <si>
    <t>PP-168</t>
  </si>
  <si>
    <t>TORRES HUANGAL RODRIGO GUILLERMO</t>
  </si>
  <si>
    <t>PP-169</t>
  </si>
  <si>
    <t>TORRES TORRES GUILLERMO</t>
  </si>
  <si>
    <t>PP-170</t>
  </si>
  <si>
    <t>ESTA-111</t>
  </si>
  <si>
    <t>PP-171</t>
  </si>
  <si>
    <t>ESTA-105</t>
  </si>
  <si>
    <t>PP-172</t>
  </si>
  <si>
    <t>ESTA-101</t>
  </si>
  <si>
    <t>PP-173</t>
  </si>
  <si>
    <t>ESTA-125</t>
  </si>
  <si>
    <t>PP-174</t>
  </si>
  <si>
    <t>DEPO-181</t>
  </si>
  <si>
    <t>ESTA-030</t>
  </si>
  <si>
    <t>PP-175</t>
  </si>
  <si>
    <t>PP-176</t>
  </si>
  <si>
    <t>PP-177</t>
  </si>
  <si>
    <t>DEPO-176</t>
  </si>
  <si>
    <t>PP-178</t>
  </si>
  <si>
    <t>ESTA-152</t>
  </si>
  <si>
    <t>PP-179</t>
  </si>
  <si>
    <t>PP-180</t>
  </si>
  <si>
    <t>ESTA-082</t>
  </si>
  <si>
    <t>PP-181</t>
  </si>
  <si>
    <t>VEGA LUIS</t>
  </si>
  <si>
    <t>ESTA-114</t>
  </si>
  <si>
    <t>PP-182</t>
  </si>
  <si>
    <t>ESTA-028</t>
  </si>
  <si>
    <t>PP-183</t>
  </si>
  <si>
    <t>ESTA-040</t>
  </si>
  <si>
    <t>ESTA-041</t>
  </si>
  <si>
    <t>PP-184</t>
  </si>
  <si>
    <t>ESTA-023</t>
  </si>
  <si>
    <t>PP-185</t>
  </si>
  <si>
    <t>ESTA-079</t>
  </si>
  <si>
    <t>PP-186</t>
  </si>
  <si>
    <t>DEPO-168</t>
  </si>
  <si>
    <t>ESTA-052</t>
  </si>
  <si>
    <t>PP-187</t>
  </si>
  <si>
    <t>PP-188</t>
  </si>
  <si>
    <t>ESTA-118</t>
  </si>
  <si>
    <t>ESTA-136</t>
  </si>
  <si>
    <t>PP-189</t>
  </si>
  <si>
    <t xml:space="preserve">LI XIAN YI </t>
  </si>
  <si>
    <t>ESTA-050</t>
  </si>
  <si>
    <t>PP-190</t>
  </si>
  <si>
    <t>ESTA-128</t>
  </si>
  <si>
    <t>PP-191</t>
  </si>
  <si>
    <t>PP-192</t>
  </si>
  <si>
    <t>DEPO-183</t>
  </si>
  <si>
    <t>ESTA-147</t>
  </si>
  <si>
    <t>PP-193</t>
  </si>
  <si>
    <t>ESTA-080</t>
  </si>
  <si>
    <t>PP-194</t>
  </si>
  <si>
    <t>PP-195</t>
  </si>
  <si>
    <t>ESTA-025</t>
  </si>
  <si>
    <t>PP-196</t>
  </si>
  <si>
    <t>ESTA-014</t>
  </si>
  <si>
    <t>PP-197</t>
  </si>
  <si>
    <t>ESTA-012</t>
  </si>
  <si>
    <t>PP-198</t>
  </si>
  <si>
    <t>ESTA-002</t>
  </si>
  <si>
    <t>PP-199</t>
  </si>
  <si>
    <t>ESTA-157</t>
  </si>
  <si>
    <t>PP-200</t>
  </si>
  <si>
    <t>DEPO-165</t>
  </si>
  <si>
    <t>DEPO-166</t>
  </si>
  <si>
    <t>PP-201</t>
  </si>
  <si>
    <t>ESTA-010</t>
  </si>
  <si>
    <t>PP-202</t>
  </si>
  <si>
    <t>DEP.</t>
  </si>
  <si>
    <t>TOTALES</t>
  </si>
  <si>
    <t>DEPO-165
DEPO-166</t>
  </si>
  <si>
    <t>DEPO-159
DEPO-162</t>
  </si>
  <si>
    <t>PARTICIPACIÓN</t>
  </si>
  <si>
    <t>ESTA-002
ESTA-157</t>
  </si>
  <si>
    <t>ESTA-015
ESTA-016
ESTA-017</t>
  </si>
  <si>
    <t>ESTA-018
ESTA-026</t>
  </si>
  <si>
    <t>ESTA-040
ESTA-041</t>
  </si>
  <si>
    <t>ESTA-047
ESTA-048</t>
  </si>
  <si>
    <t>ESTA-037
ESTA-055</t>
  </si>
  <si>
    <t>ESTA-034
ESTA-089</t>
  </si>
  <si>
    <t>ESTA-046
ESTA-062
ESTA-100</t>
  </si>
  <si>
    <t>ESTA-021
ESTA-110</t>
  </si>
  <si>
    <t>ESTA-118
ESTA-136</t>
  </si>
  <si>
    <t>ESTA-075
ESTA-137</t>
  </si>
  <si>
    <t>ESTA-036
ESTA-153</t>
  </si>
  <si>
    <t>% TOTAL</t>
  </si>
  <si>
    <t>DNI</t>
  </si>
  <si>
    <t>TELEFONO</t>
  </si>
  <si>
    <t>CORREO
 ELECTRONICO</t>
  </si>
  <si>
    <t>FECHA DE ENTREGA 
DEPARTAMENTO</t>
  </si>
  <si>
    <t>DEPARTAMENTOS</t>
  </si>
  <si>
    <t>ESTA-S/ID</t>
  </si>
  <si>
    <t>silbazan.09@gmail.com</t>
  </si>
  <si>
    <t>07959922</t>
  </si>
  <si>
    <t>gloritaleon,04@hotmail.com</t>
  </si>
  <si>
    <t>0016026323180</t>
  </si>
  <si>
    <t>susey16@hotmail.com</t>
  </si>
  <si>
    <t>JAVIER RUÍZ DE SOMOCURCIO</t>
  </si>
  <si>
    <t>Jruizdes@gmail.com</t>
  </si>
  <si>
    <t>08850592</t>
  </si>
  <si>
    <t>ruizsandovalflordemaria@gmail.com</t>
  </si>
  <si>
    <t xml:space="preserve">JENNY LORENA MORÓN CHOCANO </t>
  </si>
  <si>
    <t>RICARDO JAVIER GUIMARAY HERNÁNDEZ</t>
  </si>
  <si>
    <t>DIANA MARÍA PARKER CHÁVEZ</t>
  </si>
  <si>
    <t>lmoroncho@gmail.com</t>
  </si>
  <si>
    <t>09633351</t>
  </si>
  <si>
    <t>ricardo.guimaray@outlook.com</t>
  </si>
  <si>
    <t>diana_parkerch@hotmail.com</t>
  </si>
  <si>
    <t>drdiazquintana@gmail.com</t>
  </si>
  <si>
    <t>monicajulieguerrero@gmail.com</t>
  </si>
  <si>
    <t xml:space="preserve">RUBÉN DARÍO, TORANZO SILVA </t>
  </si>
  <si>
    <t>07934983</t>
  </si>
  <si>
    <t>trazos05@gmail.com</t>
  </si>
  <si>
    <t>franzchm@gmail.com</t>
  </si>
  <si>
    <t>Mgonzalesv@gmail.com</t>
  </si>
  <si>
    <t xml:space="preserve">MOGOLLÓN ANGELES ANGEL GIOVANNI JOSÉ </t>
  </si>
  <si>
    <t>Anny.26cb@gmail.com</t>
  </si>
  <si>
    <t>angelgiovanni4@gmail.com</t>
  </si>
  <si>
    <t>amenarrieta32@gmail.com</t>
  </si>
  <si>
    <t>Wdelacruzd@hotmail.com</t>
  </si>
  <si>
    <t xml:space="preserve">JOSÉ EZEQUIEL GARCÍA GUERRERO </t>
  </si>
  <si>
    <t>ecojosegarcia@hotmail.com</t>
  </si>
  <si>
    <t>davidvegad@gmail.com</t>
  </si>
  <si>
    <t xml:space="preserve">CARMEN ROSA JIMÉNEZ ROBLES </t>
  </si>
  <si>
    <t>Estrellasmarias marias@hotmail.com</t>
  </si>
  <si>
    <t>leonorpari372@hotmail.com</t>
  </si>
  <si>
    <t>pabel.mg@gmail.com</t>
  </si>
  <si>
    <t xml:space="preserve">CLAUDIA VILLAVICENCIO PONCE DE LEON </t>
  </si>
  <si>
    <t>JUAN ROMÁN MILLA RISCO</t>
  </si>
  <si>
    <t xml:space="preserve">CESAR AUGUSTO OCHOA ALEJOS </t>
  </si>
  <si>
    <t>claudiavillavicenciopdl@hotmail.com</t>
  </si>
  <si>
    <t>Juan.milla@millabc.com</t>
  </si>
  <si>
    <t xml:space="preserve">Cesar.ochoaa@pucp.pe </t>
  </si>
  <si>
    <t xml:space="preserve">ENICE ANTÓN RODRÍGUEZ </t>
  </si>
  <si>
    <t>enice_china@hotmail.com</t>
  </si>
  <si>
    <t>CAMILA CHANTAL GÓMEZ BARRIGA</t>
  </si>
  <si>
    <t xml:space="preserve">MARÍA ELENA MARTINA MENDIOLA LÓPEZ </t>
  </si>
  <si>
    <t xml:space="preserve">Camilchanti@icloud.com </t>
  </si>
  <si>
    <t>emendiola5@hotmail.com</t>
  </si>
  <si>
    <t>001894747</t>
  </si>
  <si>
    <t>Carolinafalconr@gmail.com</t>
  </si>
  <si>
    <t>liamizquierdo310596@gmail.com</t>
  </si>
  <si>
    <t>07636585</t>
  </si>
  <si>
    <t>daniel.ghersig@gmail.com</t>
  </si>
  <si>
    <t xml:space="preserve">JOSE LUIS QUISPE NUÑEZ </t>
  </si>
  <si>
    <t>ROXANA YSABEL CACHO NUÑEZ</t>
  </si>
  <si>
    <t>09507997</t>
  </si>
  <si>
    <t>jlcalident@hotmail.com</t>
  </si>
  <si>
    <t>Roxy.ysa@gmail.com</t>
  </si>
  <si>
    <t>lizeth6989@gmail.com</t>
  </si>
  <si>
    <t>aeec.contrata@gmail.com</t>
  </si>
  <si>
    <t>JHENIFER ROSAS</t>
  </si>
  <si>
    <t>000996460</t>
  </si>
  <si>
    <t xml:space="preserve">Diegogancia@gmail.com </t>
  </si>
  <si>
    <t>jhenifer05@gmail.com</t>
  </si>
  <si>
    <t>andres2017112000@gmail.com</t>
  </si>
  <si>
    <t>carolharoworldtraveler@hotmail.com</t>
  </si>
  <si>
    <t>maricesolari@hotmail.com</t>
  </si>
  <si>
    <t xml:space="preserve">ANDRÉS ALFREDO PAREDES SALAZAR </t>
  </si>
  <si>
    <t>andres.alfredo.paredes.salazar@gmail.com</t>
  </si>
  <si>
    <t>08561440</t>
  </si>
  <si>
    <t>josoriomoquillaza@gmail.com</t>
  </si>
  <si>
    <t>lmsv2912@gmail.com</t>
  </si>
  <si>
    <t>susan.torres.villantoy@gmail.com</t>
  </si>
  <si>
    <t>OSCAR ALEJANDRO HENDRICK FONG</t>
  </si>
  <si>
    <t>+1 301-332-8386</t>
  </si>
  <si>
    <t>ohendrick507@msn.com</t>
  </si>
  <si>
    <t>+17865531360</t>
  </si>
  <si>
    <t>carlos.salinas002@gmail.com</t>
  </si>
  <si>
    <t>Wolfgan305@gmail.com</t>
  </si>
  <si>
    <t xml:space="preserve">vch.espacios.felices@gmail.com </t>
  </si>
  <si>
    <t xml:space="preserve">974 06 88 63 </t>
  </si>
  <si>
    <t>carmelinacp1703@gmail.com</t>
  </si>
  <si>
    <t xml:space="preserve">MERINO BRIONES SUSY JENNIFER </t>
  </si>
  <si>
    <t>VANESA HERRERA CASTRO</t>
  </si>
  <si>
    <t xml:space="preserve">964 192 393 </t>
  </si>
  <si>
    <t>Carlahuertahuerta@gmail.com</t>
  </si>
  <si>
    <t>susymerino87@hotmail.com</t>
  </si>
  <si>
    <t>olgakarina2794@gmail.com</t>
  </si>
  <si>
    <t>vanesazarela9@gmail.com</t>
  </si>
  <si>
    <t xml:space="preserve">SILVIA BUENO CHÁVEZ </t>
  </si>
  <si>
    <t>Anyabel@gmail.com</t>
  </si>
  <si>
    <t>sbuenob@hotmail.com</t>
  </si>
  <si>
    <t>mjustonieto@gmail.com</t>
  </si>
  <si>
    <t>DENIS SEGUNDO CALDERON MINCHOLA</t>
  </si>
  <si>
    <t>alexischafloque@gmail.com</t>
  </si>
  <si>
    <t>eltumiart@yahoo.com, dcalderon1980s@gmail.com</t>
  </si>
  <si>
    <t>995 303133</t>
  </si>
  <si>
    <t>gabbymontesdeoca@gmail.com</t>
  </si>
  <si>
    <t>06765796</t>
  </si>
  <si>
    <t>mgyg67@gmail.com</t>
  </si>
  <si>
    <t xml:space="preserve">EDWARD SANDOVAL AMASIFUEN </t>
  </si>
  <si>
    <t>edwardsandoval1979@gmail.com</t>
  </si>
  <si>
    <t>Reyshel.mc@gmail.com</t>
  </si>
  <si>
    <t>003168857</t>
  </si>
  <si>
    <t>Nelrubar@hotmail.com</t>
  </si>
  <si>
    <t>MARÍA JOSEFINA HUANGAL KESSLER</t>
  </si>
  <si>
    <t>majosefhk@gmail.com</t>
  </si>
  <si>
    <t>SANDRO MIGUEL PANIAGUA HARTLEY</t>
  </si>
  <si>
    <t>gttpe@yahoo.com</t>
  </si>
  <si>
    <t>sandro_paniagua@hotmail.com</t>
  </si>
  <si>
    <t>08601803</t>
  </si>
  <si>
    <t>Mabel.umanzor9996@gmail.com</t>
  </si>
  <si>
    <t>MERY B. DAVILA SANTILLAN</t>
  </si>
  <si>
    <t>ymgg2601@gmail.com</t>
  </si>
  <si>
    <t>09557689</t>
  </si>
  <si>
    <t>mdavila102@outlook.com</t>
  </si>
  <si>
    <t>gatino.valdez@gmail.com</t>
  </si>
  <si>
    <t>drahevelynecardenas@gmail.com</t>
  </si>
  <si>
    <t>07463084</t>
  </si>
  <si>
    <t>+51 979 101 201</t>
  </si>
  <si>
    <t>jaimeolivar@hotmail.com</t>
  </si>
  <si>
    <t>lidia.blaso@gmail.com</t>
  </si>
  <si>
    <t>OSCAR ESTEBAN GAMERO RODRIGUEZ</t>
  </si>
  <si>
    <t>oscar.gamero@usil.pe</t>
  </si>
  <si>
    <t>lur_mch90@hotmail.com</t>
  </si>
  <si>
    <t>josesaunep@hotmail.com</t>
  </si>
  <si>
    <t>zluzduran@gmail.com</t>
  </si>
  <si>
    <t>YOLANDA  SANALEA  REAÑO</t>
  </si>
  <si>
    <t xml:space="preserve">959 508 284 </t>
  </si>
  <si>
    <t>Yolisanalea@hotmail.com</t>
  </si>
  <si>
    <t>hansastovargas@gmail.com</t>
  </si>
  <si>
    <t>mikel2203@gmail.com</t>
  </si>
  <si>
    <t>fk.franko.soto@gmail.com</t>
  </si>
  <si>
    <t>rosabel_2830@hotmail.com</t>
  </si>
  <si>
    <t>adriancornejo4@gmail.com</t>
  </si>
  <si>
    <t>csflordemaria2@gmail.com</t>
  </si>
  <si>
    <t>rtnalha@gmail.com</t>
  </si>
  <si>
    <t>juliahalegrep@hotmail.com</t>
  </si>
  <si>
    <t>gmsso@me.com</t>
  </si>
  <si>
    <t>ceparova@gmail.com</t>
  </si>
  <si>
    <t>jaimejuanviso@hotmail.com</t>
  </si>
  <si>
    <t>mirtha_rgg33@hotmail.com</t>
  </si>
  <si>
    <t>mirthaza60@gmail.com</t>
  </si>
  <si>
    <t>javiermedina20@hotmail.com</t>
  </si>
  <si>
    <t>mel83@hotmail.com</t>
  </si>
  <si>
    <t>ycristina27@gmail.com</t>
  </si>
  <si>
    <t>Orlan2911@gmail.com</t>
  </si>
  <si>
    <t>karimenacho8@gmail.com</t>
  </si>
  <si>
    <t>ebustamante@impulsoleon.com</t>
  </si>
  <si>
    <t>jose.e.lock@gmail.com</t>
  </si>
  <si>
    <t>erikroblesfutbol@gmail.com</t>
  </si>
  <si>
    <t>edipujol65@gmail.com</t>
  </si>
  <si>
    <t>elifiguemarq26@gmail.com</t>
  </si>
  <si>
    <t>ruben.rperalta@gmail.com</t>
  </si>
  <si>
    <t>milibrana66@gmail.com</t>
  </si>
  <si>
    <t>chavez.lindo.angie@gmail.com</t>
  </si>
  <si>
    <t>peregrinajes@gmail.com</t>
  </si>
  <si>
    <t>franciscobartra@yahoo.com</t>
  </si>
  <si>
    <t>danzaa007@hotmail.com</t>
  </si>
  <si>
    <t>comercialpercy@hotmail.com</t>
  </si>
  <si>
    <t>oskar.val3@gmail.com</t>
  </si>
  <si>
    <t>sisleychavezok@hotmail.com</t>
  </si>
  <si>
    <t>edsongolgol@hotmail.com</t>
  </si>
  <si>
    <t>calbanmalache@gmail.com</t>
  </si>
  <si>
    <t>Brunospy1@hotmail.com</t>
  </si>
  <si>
    <t>cpcperu12@gmail.com</t>
  </si>
  <si>
    <t>danielrgutti@gmail.com</t>
  </si>
  <si>
    <t>luannita1115@gmail.com</t>
  </si>
  <si>
    <t>li_am1999@hotmail.com</t>
  </si>
  <si>
    <t>Mariabenitesb@gmail.com</t>
  </si>
  <si>
    <t>angelvet6@hotmail.com</t>
  </si>
  <si>
    <t>lucienne_madueno@hotmail.com</t>
  </si>
  <si>
    <t>acandela.fx@gmail.com</t>
  </si>
  <si>
    <t>emperatrizod2019.peru@gmail.com</t>
  </si>
  <si>
    <t>fernando.haya.h@gmail.com</t>
  </si>
  <si>
    <t>jhayah78@gmail.com</t>
  </si>
  <si>
    <t>jorge_n84@hotmail.com</t>
  </si>
  <si>
    <t>nsamanamud@gmai.com</t>
  </si>
  <si>
    <t>davidsulca@gmail.com</t>
  </si>
  <si>
    <t>kefague@yahoo.es</t>
  </si>
  <si>
    <t>cruzlidia1968@gmail.com</t>
  </si>
  <si>
    <t>lore.sotelo@gmail.com</t>
  </si>
  <si>
    <t>mneiraun@gmail.com</t>
  </si>
  <si>
    <t>milualvadxn@gmail.com</t>
  </si>
  <si>
    <t>jcasaspe@gmail.com</t>
  </si>
  <si>
    <t>noragodoyacosta@hotmail.com</t>
  </si>
  <si>
    <t>miluti91@gmail.com</t>
  </si>
  <si>
    <t>marciasanti08@gmail.com</t>
  </si>
  <si>
    <t>luis_erick_ca@hotmail.com</t>
  </si>
  <si>
    <t>florchidugger@gmail.com</t>
  </si>
  <si>
    <t>a20207979@pucp.edu.pe</t>
  </si>
  <si>
    <t>davlzo26@gmail.com</t>
  </si>
  <si>
    <t>jbasterrechea@sansilvestre.edu.pe</t>
  </si>
  <si>
    <t>katherinegca21@gmail.com</t>
  </si>
  <si>
    <t>noram_28@hotmail.com</t>
  </si>
  <si>
    <t>imprentahenry@hotmail.com</t>
  </si>
  <si>
    <t>luis.vallebuona@gmail.com</t>
  </si>
  <si>
    <t>horaciomarulanda@yahoo.es</t>
  </si>
  <si>
    <t>duglas57.29@gmail.com</t>
  </si>
  <si>
    <t>bryanjoelherreramendoza@gmail.com</t>
  </si>
  <si>
    <t>pedro120488@gmail.com</t>
  </si>
  <si>
    <t>rjolaure@gmail.com</t>
  </si>
  <si>
    <t>Topinlg@hotmail.com</t>
  </si>
  <si>
    <t>agutierrez@cigutsac.com.pe</t>
  </si>
  <si>
    <t>finanzas@passionfresh.com.pe</t>
  </si>
  <si>
    <t>carrascobeas@hotmail.com</t>
  </si>
  <si>
    <t>andycaol@hotmail.com</t>
  </si>
  <si>
    <t>marisolgarfias86@gmail.com</t>
  </si>
  <si>
    <t>raul.castro.almeida@gmail.com</t>
  </si>
  <si>
    <t>juanmoralescordova@yahoo.com</t>
  </si>
  <si>
    <t>demael030823@hotmail.com</t>
  </si>
  <si>
    <t>vazambranoj@gmail.com</t>
  </si>
  <si>
    <t>angelapaty1168@gmail.com</t>
  </si>
  <si>
    <t>cesar.loredo2@gmail.com</t>
  </si>
  <si>
    <t>danielsolo19@gmail.com</t>
  </si>
  <si>
    <t>geovald79@gmail.com</t>
  </si>
  <si>
    <t>Nilaliang1988@gmail.com</t>
  </si>
  <si>
    <t>danigal1981@libero.it</t>
  </si>
  <si>
    <t>isaac0663@gmail.com</t>
  </si>
  <si>
    <t>maledu2do@gmail.com</t>
  </si>
  <si>
    <t>petruscord@hotmail.com</t>
  </si>
  <si>
    <t>crewards23@hotmail.com</t>
  </si>
  <si>
    <t>Verasteguih77@gmail.com</t>
  </si>
  <si>
    <t>alexis.yaipen@hotmail.com</t>
  </si>
  <si>
    <t>juancarlos.airlines@gmail.com</t>
  </si>
  <si>
    <t>cas@iccvperu.com</t>
  </si>
  <si>
    <t>recon0626@hotmail.com</t>
  </si>
  <si>
    <t>Allan_sancheza@hotmail.com</t>
  </si>
  <si>
    <t>manolony20@hotmail.com</t>
  </si>
  <si>
    <t>alfredorejas@gmail.com</t>
  </si>
  <si>
    <t>mirleyavenda18@gmail.com</t>
  </si>
  <si>
    <t>fernandobcp50@gmail.com</t>
  </si>
  <si>
    <t>cgarcia@transenaga.com</t>
  </si>
  <si>
    <t>BUSTAMANTE EDUARDO</t>
  </si>
  <si>
    <t>CARMEN PAZ Y MINO</t>
  </si>
  <si>
    <t>VALVERDE ROJAS MARIA ANTONIA</t>
  </si>
  <si>
    <t>928 346 668</t>
  </si>
  <si>
    <t>valeriagabancho@hotmail.com</t>
  </si>
  <si>
    <t>979 111 202</t>
  </si>
  <si>
    <t>PATRICIA VALDIVIESO</t>
  </si>
  <si>
    <t xml:space="preserve">patrilid23@hotmail.com </t>
  </si>
  <si>
    <t>997 903 220</t>
  </si>
  <si>
    <t>JOSE PALOMINO</t>
  </si>
  <si>
    <t>1 (203) 957-9273</t>
  </si>
  <si>
    <t>rodolfo_tlpv_94@outlook.com.</t>
  </si>
  <si>
    <t>rodolfo_tlpv_94@outlook.com</t>
  </si>
  <si>
    <t>1 (203) 601-0988</t>
  </si>
  <si>
    <t>rtafur@labok.com</t>
  </si>
  <si>
    <t>927 336 504</t>
  </si>
  <si>
    <t>912 934 982</t>
  </si>
  <si>
    <t>Agua:</t>
  </si>
  <si>
    <t>Luz:</t>
  </si>
  <si>
    <t>medida ant</t>
  </si>
  <si>
    <t>medida actual</t>
  </si>
  <si>
    <t>Consumo</t>
  </si>
  <si>
    <t>Total soles</t>
  </si>
  <si>
    <t>m3</t>
  </si>
  <si>
    <t>SSGG</t>
  </si>
  <si>
    <t>Factor común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</si>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</sst>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00"/>
    <numFmt numFmtId="165" formatCode="0.00000"/>
    <numFmt numFmtId="166" formatCode="0.0000%"/>
    <numFmt numFmtId="167" formatCode="_(* #,##0.00_);_(* \(#,##0.00\);_(* &quot;-&quot;??_);_(@_)"/>
    <numFmt numFmtId="168" formatCode="_(* #,##0.00000_);_(* \(#,##0.00000\);_(* &quot;-&quot;??_);_(@_)"/>
    <numFmt numFmtId="169" formatCode="#,##0.00000"/>
    <numFmt numFmtId="170" formatCode="0.00000%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7415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52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3" fontId="0" fillId="0" borderId="2" xfId="2" applyFont="1" applyBorder="1" applyAlignment="1">
      <alignment horizontal="center" vertical="center" wrapText="1"/>
    </xf>
    <xf numFmtId="166" fontId="0" fillId="0" borderId="2" xfId="1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43" fontId="0" fillId="0" borderId="2" xfId="2" applyFont="1" applyBorder="1"/>
    <xf numFmtId="166" fontId="0" fillId="0" borderId="2" xfId="1" applyNumberFormat="1" applyFont="1" applyBorder="1" applyAlignment="1">
      <alignment horizontal="center"/>
    </xf>
    <xf numFmtId="167" fontId="0" fillId="0" borderId="2" xfId="0" applyNumberFormat="1" applyBorder="1"/>
    <xf numFmtId="2" fontId="0" fillId="5" borderId="2" xfId="0" applyNumberFormat="1" applyFill="1" applyBorder="1" applyAlignment="1">
      <alignment horizontal="center" vertical="center"/>
    </xf>
    <xf numFmtId="2" fontId="0" fillId="0" borderId="2" xfId="0" applyNumberFormat="1" applyBorder="1"/>
    <xf numFmtId="0" fontId="0" fillId="0" borderId="2" xfId="0" applyBorder="1"/>
    <xf numFmtId="2" fontId="0" fillId="0" borderId="0" xfId="0" applyNumberFormat="1"/>
    <xf numFmtId="43" fontId="0" fillId="0" borderId="0" xfId="2" applyFont="1"/>
    <xf numFmtId="168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65" fontId="5" fillId="4" borderId="2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vertical="center"/>
    </xf>
    <xf numFmtId="169" fontId="0" fillId="0" borderId="2" xfId="1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6" fontId="0" fillId="0" borderId="0" xfId="1" applyNumberFormat="1" applyFont="1"/>
    <xf numFmtId="10" fontId="0" fillId="0" borderId="2" xfId="1" applyNumberFormat="1" applyFont="1" applyBorder="1" applyAlignment="1">
      <alignment horizontal="center"/>
    </xf>
    <xf numFmtId="170" fontId="0" fillId="0" borderId="2" xfId="1" applyNumberFormat="1" applyFont="1" applyBorder="1" applyAlignment="1">
      <alignment horizontal="center"/>
    </xf>
    <xf numFmtId="170" fontId="0" fillId="0" borderId="2" xfId="1" applyNumberFormat="1" applyFont="1" applyBorder="1" applyAlignment="1">
      <alignment horizontal="center" vertical="center" wrapText="1"/>
    </xf>
    <xf numFmtId="170" fontId="0" fillId="0" borderId="0" xfId="2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0" fontId="5" fillId="0" borderId="0" xfId="1" applyNumberFormat="1" applyFont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0" fontId="5" fillId="0" borderId="1" xfId="1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170" fontId="5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170" fontId="4" fillId="0" borderId="2" xfId="0" applyNumberFormat="1" applyFont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6" fillId="0" borderId="17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170" fontId="5" fillId="0" borderId="19" xfId="1" applyNumberFormat="1" applyFont="1" applyFill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 wrapText="1"/>
    </xf>
    <xf numFmtId="164" fontId="5" fillId="0" borderId="18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" fontId="6" fillId="3" borderId="20" xfId="0" applyNumberFormat="1" applyFont="1" applyFill="1" applyBorder="1" applyAlignment="1">
      <alignment horizontal="center" vertical="center" wrapText="1"/>
    </xf>
    <xf numFmtId="170" fontId="5" fillId="4" borderId="21" xfId="1" applyNumberFormat="1" applyFont="1" applyFill="1" applyBorder="1" applyAlignment="1">
      <alignment horizontal="center" vertical="center"/>
    </xf>
    <xf numFmtId="164" fontId="5" fillId="4" borderId="20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20" xfId="0" applyNumberFormat="1" applyFont="1" applyBorder="1" applyAlignment="1">
      <alignment horizontal="center" vertical="center" wrapText="1"/>
    </xf>
    <xf numFmtId="170" fontId="5" fillId="0" borderId="21" xfId="1" applyNumberFormat="1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170" fontId="5" fillId="0" borderId="22" xfId="1" applyNumberFormat="1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165" fontId="4" fillId="4" borderId="18" xfId="0" applyNumberFormat="1" applyFont="1" applyFill="1" applyBorder="1" applyAlignment="1">
      <alignment horizontal="center" vertical="center"/>
    </xf>
    <xf numFmtId="170" fontId="4" fillId="4" borderId="18" xfId="1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4" fontId="6" fillId="0" borderId="23" xfId="0" applyNumberFormat="1" applyFont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5" fillId="4" borderId="24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1" fontId="6" fillId="3" borderId="24" xfId="0" applyNumberFormat="1" applyFont="1" applyFill="1" applyBorder="1" applyAlignment="1">
      <alignment horizontal="center" vertical="center" wrapText="1"/>
    </xf>
    <xf numFmtId="2" fontId="8" fillId="0" borderId="25" xfId="0" applyNumberFormat="1" applyFont="1" applyBorder="1" applyAlignment="1">
      <alignment horizontal="center" vertical="center"/>
    </xf>
    <xf numFmtId="165" fontId="5" fillId="4" borderId="25" xfId="0" applyNumberFormat="1" applyFont="1" applyFill="1" applyBorder="1" applyAlignment="1">
      <alignment horizontal="center" vertical="center"/>
    </xf>
    <xf numFmtId="170" fontId="5" fillId="4" borderId="26" xfId="1" applyNumberFormat="1" applyFont="1" applyFill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0" fontId="1" fillId="0" borderId="0" xfId="0" applyFont="1"/>
    <xf numFmtId="0" fontId="0" fillId="8" borderId="0" xfId="0" applyFill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/>
    <xf numFmtId="165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2" fontId="11" fillId="5" borderId="0" xfId="0" applyNumberFormat="1" applyFont="1" applyFill="1"/>
    <xf numFmtId="0" fontId="9" fillId="5" borderId="14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 indent="1"/>
    </xf>
    <xf numFmtId="2" fontId="0" fillId="0" borderId="0" xfId="0" applyNumberFormat="1" applyAlignment="1">
      <alignment horizontal="right"/>
    </xf>
    <xf numFmtId="170" fontId="5" fillId="9" borderId="1" xfId="1" applyNumberFormat="1" applyFont="1" applyFill="1" applyBorder="1" applyAlignment="1">
      <alignment horizontal="center" vertical="center"/>
    </xf>
    <xf numFmtId="2" fontId="0" fillId="9" borderId="0" xfId="0" applyNumberFormat="1" applyFill="1"/>
    <xf numFmtId="0" fontId="4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1362075</xdr:colOff>
      <xdr:row>143</xdr:row>
      <xdr:rowOff>104775</xdr:rowOff>
    </xdr:from>
    <xdr:ext cx="66675" cy="3048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088350" y="42624375"/>
          <a:ext cx="66675" cy="3048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WORKS/Downloads/recib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pres"/>
      <sheetName val="calculo"/>
      <sheetName val="nombres"/>
      <sheetName val="reciboxmes (2)"/>
    </sheetNames>
    <sheetDataSet>
      <sheetData sheetId="0"/>
      <sheetData sheetId="1">
        <row r="2">
          <cell r="C2">
            <v>60116</v>
          </cell>
        </row>
      </sheetData>
      <sheetData sheetId="2">
        <row r="2">
          <cell r="F2">
            <v>4.4149999999999997E-3</v>
          </cell>
        </row>
        <row r="3">
          <cell r="F3">
            <v>4.4973999999999995E-3</v>
          </cell>
        </row>
        <row r="4">
          <cell r="F4">
            <v>1.2690000000000002E-3</v>
          </cell>
        </row>
        <row r="5">
          <cell r="F5">
            <v>4.4973999999999995E-3</v>
          </cell>
        </row>
        <row r="6">
          <cell r="F6">
            <v>1.2690000000000002E-3</v>
          </cell>
        </row>
        <row r="7">
          <cell r="F7">
            <v>2.6939000000000004E-3</v>
          </cell>
        </row>
        <row r="8">
          <cell r="F8">
            <v>4.4973999999999995E-3</v>
          </cell>
        </row>
        <row r="9">
          <cell r="F9">
            <v>1.2690000000000002E-3</v>
          </cell>
        </row>
        <row r="10">
          <cell r="F10">
            <v>4.4973999999999995E-3</v>
          </cell>
        </row>
        <row r="11">
          <cell r="F11">
            <v>1.2690000000000002E-3</v>
          </cell>
        </row>
        <row r="12">
          <cell r="F12">
            <v>5.6772999999999997E-3</v>
          </cell>
        </row>
        <row r="13">
          <cell r="F13">
            <v>1.2690000000000002E-3</v>
          </cell>
        </row>
        <row r="14">
          <cell r="F14">
            <v>4.4973999999999995E-3</v>
          </cell>
        </row>
        <row r="15">
          <cell r="F15">
            <v>2.6939000000000004E-3</v>
          </cell>
        </row>
        <row r="16">
          <cell r="F16">
            <v>1.2690000000000002E-3</v>
          </cell>
        </row>
        <row r="17">
          <cell r="F17">
            <v>2.6939000000000004E-3</v>
          </cell>
        </row>
        <row r="18">
          <cell r="F18">
            <v>1.2690000000000002E-3</v>
          </cell>
        </row>
        <row r="19">
          <cell r="F19">
            <v>4.4973999999999995E-3</v>
          </cell>
        </row>
        <row r="20">
          <cell r="F20">
            <v>1.2690000000000002E-3</v>
          </cell>
        </row>
        <row r="21">
          <cell r="F21">
            <v>4.4973999999999995E-3</v>
          </cell>
        </row>
        <row r="22">
          <cell r="F22">
            <v>1.2690000000000002E-3</v>
          </cell>
        </row>
        <row r="23">
          <cell r="F23">
            <v>6.2785000000000002E-3</v>
          </cell>
        </row>
        <row r="24">
          <cell r="F24">
            <v>1.2690000000000002E-3</v>
          </cell>
        </row>
        <row r="25">
          <cell r="F25">
            <v>1.2690000000000002E-3</v>
          </cell>
        </row>
        <row r="26">
          <cell r="F26">
            <v>5.6772999999999997E-3</v>
          </cell>
        </row>
        <row r="27">
          <cell r="F27">
            <v>1.2690000000000002E-3</v>
          </cell>
        </row>
        <row r="28">
          <cell r="F28">
            <v>2.6939000000000004E-3</v>
          </cell>
        </row>
        <row r="29">
          <cell r="F29">
            <v>2.6939000000000004E-3</v>
          </cell>
        </row>
        <row r="30">
          <cell r="F30">
            <v>1.2690000000000002E-3</v>
          </cell>
        </row>
        <row r="31">
          <cell r="F31">
            <v>4.4973999999999995E-3</v>
          </cell>
        </row>
        <row r="32">
          <cell r="F32">
            <v>1.2690000000000002E-3</v>
          </cell>
        </row>
        <row r="33">
          <cell r="F33">
            <v>1.2690000000000002E-3</v>
          </cell>
        </row>
        <row r="34">
          <cell r="F34">
            <v>1.2690000000000002E-3</v>
          </cell>
        </row>
        <row r="35">
          <cell r="F35">
            <v>1.2690000000000002E-3</v>
          </cell>
        </row>
        <row r="36">
          <cell r="F36">
            <v>1.2690000000000002E-3</v>
          </cell>
        </row>
        <row r="37">
          <cell r="F37">
            <v>1.2690000000000002E-3</v>
          </cell>
        </row>
        <row r="38">
          <cell r="F38">
            <v>1.2690000000000002E-3</v>
          </cell>
        </row>
        <row r="39">
          <cell r="F39">
            <v>1.2690000000000002E-3</v>
          </cell>
        </row>
        <row r="40">
          <cell r="F40">
            <v>2.6939000000000004E-3</v>
          </cell>
        </row>
        <row r="41">
          <cell r="F41">
            <v>3.6749999999999999E-4</v>
          </cell>
        </row>
        <row r="42">
          <cell r="F42">
            <v>1.2690000000000002E-3</v>
          </cell>
        </row>
        <row r="43">
          <cell r="F43">
            <v>5.6772999999999997E-3</v>
          </cell>
        </row>
        <row r="44">
          <cell r="F44">
            <v>1.2690000000000002E-3</v>
          </cell>
        </row>
        <row r="45">
          <cell r="F45">
            <v>4.4973999999999995E-3</v>
          </cell>
        </row>
        <row r="46">
          <cell r="F46">
            <v>1.2690000000000002E-3</v>
          </cell>
        </row>
        <row r="47">
          <cell r="F47">
            <v>4.4973999999999995E-3</v>
          </cell>
        </row>
        <row r="48">
          <cell r="F48">
            <v>1.2690000000000002E-3</v>
          </cell>
        </row>
        <row r="49">
          <cell r="F49">
            <v>4.4973999999999995E-3</v>
          </cell>
        </row>
        <row r="50">
          <cell r="F50">
            <v>1.2690000000000002E-3</v>
          </cell>
        </row>
        <row r="51">
          <cell r="F51">
            <v>4.4973999999999995E-3</v>
          </cell>
        </row>
        <row r="52">
          <cell r="F52">
            <v>3.6749999999999999E-4</v>
          </cell>
        </row>
        <row r="53">
          <cell r="F53">
            <v>4.4973999999999995E-3</v>
          </cell>
        </row>
        <row r="54">
          <cell r="F54">
            <v>3.6749999999999999E-4</v>
          </cell>
        </row>
        <row r="55">
          <cell r="F55">
            <v>9.9965000000000002E-3</v>
          </cell>
        </row>
        <row r="56">
          <cell r="F56">
            <v>3.6749999999999999E-4</v>
          </cell>
        </row>
        <row r="57">
          <cell r="F57">
            <v>1.2690000000000002E-3</v>
          </cell>
        </row>
        <row r="58">
          <cell r="F58">
            <v>1.2690000000000002E-3</v>
          </cell>
        </row>
        <row r="59">
          <cell r="F59">
            <v>1.2690000000000002E-3</v>
          </cell>
        </row>
        <row r="60">
          <cell r="F60">
            <v>2.6939000000000004E-3</v>
          </cell>
        </row>
        <row r="61">
          <cell r="F61">
            <v>1.2690000000000002E-3</v>
          </cell>
        </row>
        <row r="62">
          <cell r="F62">
            <v>2.6939000000000004E-3</v>
          </cell>
        </row>
        <row r="63">
          <cell r="F63">
            <v>1.2690000000000002E-3</v>
          </cell>
        </row>
        <row r="64">
          <cell r="F64">
            <v>4.4973999999999995E-3</v>
          </cell>
        </row>
        <row r="65">
          <cell r="F65">
            <v>1.2690000000000002E-3</v>
          </cell>
        </row>
        <row r="66">
          <cell r="F66">
            <v>4.4973999999999995E-3</v>
          </cell>
        </row>
        <row r="67">
          <cell r="F67">
            <v>1.2690000000000002E-3</v>
          </cell>
        </row>
        <row r="68">
          <cell r="F68">
            <v>4.4973999999999995E-3</v>
          </cell>
        </row>
        <row r="69">
          <cell r="F69">
            <v>1.2690000000000002E-3</v>
          </cell>
        </row>
        <row r="70">
          <cell r="F70">
            <v>4.4973999999999995E-3</v>
          </cell>
        </row>
        <row r="71">
          <cell r="F71">
            <v>1.2690000000000002E-3</v>
          </cell>
        </row>
        <row r="72">
          <cell r="F72">
            <v>4.4973999999999995E-3</v>
          </cell>
        </row>
        <row r="73">
          <cell r="F73">
            <v>4.4973999999999995E-3</v>
          </cell>
        </row>
        <row r="74">
          <cell r="F74">
            <v>2.6939000000000004E-3</v>
          </cell>
        </row>
        <row r="75">
          <cell r="F75">
            <v>2.6939000000000004E-3</v>
          </cell>
        </row>
        <row r="76">
          <cell r="F76">
            <v>4.4973999999999995E-3</v>
          </cell>
        </row>
        <row r="77">
          <cell r="F77">
            <v>4.4973999999999995E-3</v>
          </cell>
        </row>
        <row r="78">
          <cell r="F78">
            <v>2.6939000000000004E-3</v>
          </cell>
        </row>
        <row r="79">
          <cell r="F79">
            <v>3.6749999999999999E-4</v>
          </cell>
        </row>
        <row r="80">
          <cell r="F80">
            <v>4.4973999999999995E-3</v>
          </cell>
        </row>
        <row r="81">
          <cell r="F81">
            <v>1.2690000000000002E-3</v>
          </cell>
        </row>
        <row r="82">
          <cell r="F82">
            <v>4.4973999999999995E-3</v>
          </cell>
        </row>
        <row r="83">
          <cell r="F83">
            <v>1.2690000000000002E-3</v>
          </cell>
        </row>
        <row r="84">
          <cell r="F84">
            <v>4.4973999999999995E-3</v>
          </cell>
        </row>
        <row r="85">
          <cell r="F85">
            <v>1.2690000000000002E-3</v>
          </cell>
        </row>
        <row r="86">
          <cell r="F86">
            <v>6.2785000000000002E-3</v>
          </cell>
        </row>
        <row r="87">
          <cell r="F87">
            <v>4.4973999999999995E-3</v>
          </cell>
        </row>
        <row r="88">
          <cell r="F88">
            <v>1.2690000000000002E-3</v>
          </cell>
        </row>
        <row r="89">
          <cell r="F89">
            <v>1.2690000000000002E-3</v>
          </cell>
        </row>
        <row r="90">
          <cell r="F90">
            <v>4.4973999999999995E-3</v>
          </cell>
        </row>
        <row r="91">
          <cell r="F91">
            <v>1.2690000000000002E-3</v>
          </cell>
        </row>
        <row r="92">
          <cell r="F92">
            <v>4.4973999999999995E-3</v>
          </cell>
        </row>
        <row r="93">
          <cell r="F93">
            <v>1.2690000000000002E-3</v>
          </cell>
        </row>
        <row r="94">
          <cell r="F94">
            <v>2.6939000000000004E-3</v>
          </cell>
        </row>
        <row r="95">
          <cell r="F95">
            <v>1.2690000000000002E-3</v>
          </cell>
        </row>
        <row r="96">
          <cell r="F96">
            <v>4.4973999999999995E-3</v>
          </cell>
        </row>
        <row r="97">
          <cell r="F97">
            <v>1.2690000000000002E-3</v>
          </cell>
        </row>
        <row r="98">
          <cell r="F98">
            <v>4.4973999999999995E-3</v>
          </cell>
        </row>
        <row r="99">
          <cell r="F99">
            <v>4.4973999999999995E-3</v>
          </cell>
        </row>
        <row r="100">
          <cell r="F100">
            <v>3.6749999999999999E-4</v>
          </cell>
        </row>
        <row r="101">
          <cell r="F101">
            <v>1.2690000000000002E-3</v>
          </cell>
        </row>
        <row r="102">
          <cell r="F102">
            <v>2.6939000000000004E-3</v>
          </cell>
        </row>
        <row r="103">
          <cell r="F103">
            <v>4.4973999999999995E-3</v>
          </cell>
        </row>
        <row r="104">
          <cell r="F104">
            <v>4.4973999999999995E-3</v>
          </cell>
        </row>
        <row r="105">
          <cell r="F105">
            <v>4.4973999999999995E-3</v>
          </cell>
        </row>
        <row r="106">
          <cell r="F106">
            <v>1.2690000000000002E-3</v>
          </cell>
        </row>
        <row r="107">
          <cell r="F107">
            <v>4.4973999999999995E-3</v>
          </cell>
        </row>
        <row r="108">
          <cell r="F108">
            <v>1.2690000000000002E-3</v>
          </cell>
        </row>
        <row r="109">
          <cell r="F109">
            <v>4.4973999999999995E-3</v>
          </cell>
        </row>
        <row r="110">
          <cell r="F110">
            <v>1.2690000000000002E-3</v>
          </cell>
        </row>
        <row r="111">
          <cell r="F111">
            <v>4.4973999999999995E-3</v>
          </cell>
        </row>
        <row r="112">
          <cell r="F112">
            <v>1.2690000000000002E-3</v>
          </cell>
        </row>
        <row r="113">
          <cell r="F113">
            <v>4.4973999999999995E-3</v>
          </cell>
        </row>
        <row r="114">
          <cell r="F114">
            <v>5.6772999999999997E-3</v>
          </cell>
        </row>
        <row r="115">
          <cell r="F115">
            <v>1.2690000000000002E-3</v>
          </cell>
        </row>
        <row r="116">
          <cell r="F116">
            <v>4.4973999999999995E-3</v>
          </cell>
        </row>
        <row r="117">
          <cell r="F117">
            <v>1.2690000000000002E-3</v>
          </cell>
        </row>
        <row r="118">
          <cell r="F118">
            <v>1.2690000000000002E-3</v>
          </cell>
        </row>
        <row r="119">
          <cell r="F119">
            <v>1.2690000000000002E-3</v>
          </cell>
        </row>
        <row r="120">
          <cell r="F120">
            <v>4.4973999999999995E-3</v>
          </cell>
        </row>
        <row r="121">
          <cell r="F121">
            <v>1.2690000000000002E-3</v>
          </cell>
        </row>
        <row r="122">
          <cell r="F122">
            <v>4.4973999999999995E-3</v>
          </cell>
        </row>
        <row r="123">
          <cell r="F123">
            <v>1.2690000000000002E-3</v>
          </cell>
        </row>
        <row r="124">
          <cell r="F124">
            <v>4.4973999999999995E-3</v>
          </cell>
        </row>
        <row r="125">
          <cell r="F125">
            <v>1.2690000000000002E-3</v>
          </cell>
        </row>
        <row r="126">
          <cell r="F126">
            <v>9.9965000000000002E-3</v>
          </cell>
        </row>
        <row r="127">
          <cell r="F127">
            <v>3.6749999999999999E-4</v>
          </cell>
        </row>
        <row r="128">
          <cell r="F128">
            <v>1.2690000000000002E-3</v>
          </cell>
        </row>
        <row r="129">
          <cell r="F129">
            <v>4.4973999999999995E-3</v>
          </cell>
        </row>
        <row r="130">
          <cell r="F130">
            <v>1.2690000000000002E-3</v>
          </cell>
        </row>
        <row r="131">
          <cell r="F131">
            <v>4.4973999999999995E-3</v>
          </cell>
        </row>
        <row r="132">
          <cell r="F132">
            <v>1.2690000000000002E-3</v>
          </cell>
        </row>
        <row r="133">
          <cell r="F133">
            <v>2.6939000000000004E-3</v>
          </cell>
        </row>
        <row r="134">
          <cell r="F134">
            <v>1.2690000000000002E-3</v>
          </cell>
        </row>
        <row r="135">
          <cell r="F135">
            <v>4.4973999999999995E-3</v>
          </cell>
        </row>
        <row r="136">
          <cell r="F136">
            <v>2.6939000000000004E-3</v>
          </cell>
        </row>
        <row r="137">
          <cell r="F137">
            <v>2.6939000000000004E-3</v>
          </cell>
        </row>
        <row r="138">
          <cell r="F138">
            <v>4.4973999999999995E-3</v>
          </cell>
        </row>
        <row r="139">
          <cell r="F139">
            <v>4.4973999999999995E-3</v>
          </cell>
        </row>
        <row r="140">
          <cell r="F140">
            <v>1.2690000000000002E-3</v>
          </cell>
        </row>
        <row r="141">
          <cell r="F141">
            <v>2.6939000000000004E-3</v>
          </cell>
        </row>
        <row r="142">
          <cell r="F142">
            <v>4.4973999999999995E-3</v>
          </cell>
        </row>
        <row r="143">
          <cell r="F143">
            <v>1.2690000000000002E-3</v>
          </cell>
        </row>
        <row r="144">
          <cell r="F144">
            <v>4.4973999999999995E-3</v>
          </cell>
        </row>
        <row r="145">
          <cell r="F145">
            <v>3.6749999999999999E-4</v>
          </cell>
        </row>
        <row r="146">
          <cell r="F146">
            <v>3.6749999999999999E-4</v>
          </cell>
        </row>
        <row r="147">
          <cell r="F147">
            <v>1.2690000000000002E-3</v>
          </cell>
        </row>
        <row r="148">
          <cell r="F148">
            <v>1.2690000000000002E-3</v>
          </cell>
        </row>
        <row r="149">
          <cell r="F149">
            <v>5.6772999999999997E-3</v>
          </cell>
        </row>
        <row r="150">
          <cell r="F150">
            <v>1.2690000000000002E-3</v>
          </cell>
        </row>
        <row r="151">
          <cell r="F151">
            <v>4.4973999999999995E-3</v>
          </cell>
        </row>
        <row r="152">
          <cell r="F152">
            <v>1.2690000000000002E-3</v>
          </cell>
        </row>
        <row r="153">
          <cell r="F153">
            <v>4.4973999999999995E-3</v>
          </cell>
        </row>
        <row r="154">
          <cell r="F154">
            <v>1.2690000000000002E-3</v>
          </cell>
        </row>
        <row r="155">
          <cell r="F155">
            <v>2.6939000000000004E-3</v>
          </cell>
        </row>
        <row r="156">
          <cell r="F156">
            <v>3.6749999999999999E-4</v>
          </cell>
        </row>
        <row r="157">
          <cell r="F157">
            <v>1.2690000000000002E-3</v>
          </cell>
        </row>
        <row r="158">
          <cell r="F158">
            <v>4.4973999999999995E-3</v>
          </cell>
        </row>
        <row r="159">
          <cell r="F159">
            <v>1.2690000000000002E-3</v>
          </cell>
        </row>
        <row r="160">
          <cell r="F160">
            <v>2.6939000000000004E-3</v>
          </cell>
        </row>
        <row r="161">
          <cell r="F161">
            <v>2.6939000000000004E-3</v>
          </cell>
        </row>
        <row r="162">
          <cell r="F162">
            <v>4.4973999999999995E-3</v>
          </cell>
        </row>
        <row r="163">
          <cell r="F163">
            <v>1.2690000000000002E-3</v>
          </cell>
        </row>
        <row r="164">
          <cell r="F164">
            <v>1.2690000000000002E-3</v>
          </cell>
        </row>
        <row r="165">
          <cell r="F165">
            <v>4.4973999999999995E-3</v>
          </cell>
        </row>
        <row r="166">
          <cell r="F166">
            <v>1.2690000000000002E-3</v>
          </cell>
        </row>
        <row r="167">
          <cell r="F167">
            <v>4.4973999999999995E-3</v>
          </cell>
        </row>
        <row r="168">
          <cell r="F168">
            <v>1.2690000000000002E-3</v>
          </cell>
        </row>
        <row r="169">
          <cell r="F169">
            <v>4.4973999999999995E-3</v>
          </cell>
        </row>
        <row r="170">
          <cell r="F170">
            <v>1.2690000000000002E-3</v>
          </cell>
        </row>
        <row r="171">
          <cell r="F171">
            <v>2.6939000000000004E-3</v>
          </cell>
        </row>
        <row r="172">
          <cell r="F172">
            <v>3.6749999999999999E-4</v>
          </cell>
        </row>
        <row r="173">
          <cell r="F173">
            <v>4.4973999999999995E-3</v>
          </cell>
        </row>
        <row r="174">
          <cell r="F174">
            <v>1.2690000000000002E-3</v>
          </cell>
        </row>
        <row r="175">
          <cell r="F175">
            <v>4.4973999999999995E-3</v>
          </cell>
        </row>
        <row r="176">
          <cell r="F176">
            <v>2.6939000000000004E-3</v>
          </cell>
        </row>
        <row r="177">
          <cell r="F177">
            <v>1.2690000000000002E-3</v>
          </cell>
        </row>
        <row r="178">
          <cell r="F178">
            <v>4.4973999999999995E-3</v>
          </cell>
        </row>
        <row r="179">
          <cell r="F179">
            <v>1.2690000000000002E-3</v>
          </cell>
        </row>
        <row r="180">
          <cell r="F180">
            <v>2.6939000000000004E-3</v>
          </cell>
        </row>
        <row r="181">
          <cell r="F181">
            <v>1.2690000000000002E-3</v>
          </cell>
        </row>
        <row r="182">
          <cell r="F182">
            <v>2.6939000000000004E-3</v>
          </cell>
        </row>
        <row r="183">
          <cell r="F183">
            <v>1.2690000000000002E-3</v>
          </cell>
        </row>
        <row r="184">
          <cell r="F184">
            <v>4.4973999999999995E-3</v>
          </cell>
        </row>
        <row r="185">
          <cell r="F185">
            <v>4.4973999999999995E-3</v>
          </cell>
        </row>
        <row r="186">
          <cell r="F186">
            <v>1.2690000000000002E-3</v>
          </cell>
        </row>
        <row r="187">
          <cell r="F187">
            <v>4.4973999999999995E-3</v>
          </cell>
        </row>
        <row r="188">
          <cell r="F188">
            <v>2.6939000000000004E-3</v>
          </cell>
        </row>
        <row r="189">
          <cell r="F189">
            <v>3.6749999999999999E-4</v>
          </cell>
        </row>
        <row r="190">
          <cell r="F190">
            <v>1.2690000000000002E-3</v>
          </cell>
        </row>
        <row r="191">
          <cell r="F191">
            <v>1.2690000000000002E-3</v>
          </cell>
        </row>
        <row r="192">
          <cell r="F192">
            <v>4.4973999999999995E-3</v>
          </cell>
        </row>
        <row r="193">
          <cell r="F193">
            <v>4.4973999999999995E-3</v>
          </cell>
        </row>
        <row r="194">
          <cell r="F194">
            <v>1.2690000000000002E-3</v>
          </cell>
        </row>
        <row r="195">
          <cell r="F195">
            <v>5.6772999999999997E-3</v>
          </cell>
        </row>
        <row r="196">
          <cell r="F196">
            <v>1.2690000000000002E-3</v>
          </cell>
        </row>
        <row r="197">
          <cell r="F197">
            <v>1.2690000000000002E-3</v>
          </cell>
        </row>
        <row r="198">
          <cell r="F198">
            <v>5.6772999999999997E-3</v>
          </cell>
        </row>
        <row r="199">
          <cell r="F199">
            <v>1.2690000000000002E-3</v>
          </cell>
        </row>
        <row r="200">
          <cell r="F200">
            <v>1.2690000000000002E-3</v>
          </cell>
        </row>
        <row r="201">
          <cell r="F201">
            <v>2.6939000000000004E-3</v>
          </cell>
        </row>
        <row r="202">
          <cell r="F202">
            <v>4.4973999999999995E-3</v>
          </cell>
        </row>
        <row r="203">
          <cell r="F203">
            <v>1.2690000000000002E-3</v>
          </cell>
        </row>
        <row r="204">
          <cell r="F204">
            <v>2.6939000000000004E-3</v>
          </cell>
        </row>
        <row r="205">
          <cell r="F205">
            <v>2.6939000000000004E-3</v>
          </cell>
        </row>
        <row r="206">
          <cell r="F206">
            <v>1.2690000000000002E-3</v>
          </cell>
        </row>
        <row r="207">
          <cell r="F207">
            <v>1.2690000000000002E-3</v>
          </cell>
        </row>
        <row r="208">
          <cell r="F208">
            <v>4.4973999999999995E-3</v>
          </cell>
        </row>
        <row r="209">
          <cell r="F209">
            <v>1.2690000000000002E-3</v>
          </cell>
        </row>
        <row r="210">
          <cell r="F210">
            <v>1.2690000000000002E-3</v>
          </cell>
        </row>
        <row r="211">
          <cell r="F211">
            <v>4.4973999999999995E-3</v>
          </cell>
        </row>
        <row r="212">
          <cell r="F212">
            <v>2.6939000000000004E-3</v>
          </cell>
        </row>
        <row r="213">
          <cell r="F213">
            <v>1.2690000000000002E-3</v>
          </cell>
        </row>
        <row r="214">
          <cell r="F214">
            <v>2.6939000000000004E-3</v>
          </cell>
        </row>
        <row r="215">
          <cell r="F215">
            <v>1.2690000000000002E-3</v>
          </cell>
        </row>
        <row r="216">
          <cell r="F216">
            <v>5.6772999999999997E-3</v>
          </cell>
        </row>
        <row r="217">
          <cell r="F217">
            <v>1.2690000000000002E-3</v>
          </cell>
        </row>
        <row r="218">
          <cell r="F218">
            <v>2.6939000000000004E-3</v>
          </cell>
        </row>
        <row r="219">
          <cell r="F219">
            <v>1.2690000000000002E-3</v>
          </cell>
        </row>
        <row r="220">
          <cell r="F220">
            <v>4.4973999999999995E-3</v>
          </cell>
        </row>
        <row r="221">
          <cell r="F221">
            <v>1.2690000000000002E-3</v>
          </cell>
        </row>
        <row r="222">
          <cell r="F222">
            <v>1.2690000000000002E-3</v>
          </cell>
        </row>
        <row r="223">
          <cell r="F223">
            <v>4.4973999999999995E-3</v>
          </cell>
        </row>
        <row r="224">
          <cell r="F224">
            <v>4.4973999999999995E-3</v>
          </cell>
        </row>
        <row r="225">
          <cell r="F225">
            <v>1.2690000000000002E-3</v>
          </cell>
        </row>
        <row r="226">
          <cell r="F226">
            <v>1.2690000000000002E-3</v>
          </cell>
        </row>
        <row r="227">
          <cell r="F227">
            <v>1.2690000000000002E-3</v>
          </cell>
        </row>
        <row r="228">
          <cell r="F228">
            <v>1.2690000000000002E-3</v>
          </cell>
        </row>
        <row r="229">
          <cell r="F229">
            <v>4.4973999999999995E-3</v>
          </cell>
        </row>
        <row r="230">
          <cell r="F230">
            <v>4.4973999999999995E-3</v>
          </cell>
        </row>
        <row r="231">
          <cell r="F231">
            <v>1.2690000000000002E-3</v>
          </cell>
        </row>
        <row r="232">
          <cell r="F232">
            <v>5.6772999999999997E-3</v>
          </cell>
        </row>
        <row r="233">
          <cell r="F233">
            <v>1.2690000000000002E-3</v>
          </cell>
        </row>
        <row r="234">
          <cell r="F234">
            <v>4.4973999999999995E-3</v>
          </cell>
        </row>
        <row r="235">
          <cell r="F235">
            <v>1.2690000000000002E-3</v>
          </cell>
        </row>
        <row r="236">
          <cell r="F236">
            <v>2.6939000000000004E-3</v>
          </cell>
        </row>
        <row r="237">
          <cell r="F237">
            <v>2.6939000000000004E-3</v>
          </cell>
        </row>
        <row r="238">
          <cell r="F238">
            <v>2.6939000000000004E-3</v>
          </cell>
        </row>
        <row r="239">
          <cell r="F239">
            <v>1.2690000000000002E-3</v>
          </cell>
        </row>
        <row r="240">
          <cell r="F240">
            <v>4.4973999999999995E-3</v>
          </cell>
        </row>
        <row r="241">
          <cell r="F241">
            <v>2.6939000000000004E-3</v>
          </cell>
        </row>
        <row r="242">
          <cell r="F242">
            <v>4.4973999999999995E-3</v>
          </cell>
        </row>
        <row r="243">
          <cell r="F243">
            <v>4.4973999999999995E-3</v>
          </cell>
        </row>
        <row r="244">
          <cell r="F244">
            <v>1.2690000000000002E-3</v>
          </cell>
        </row>
        <row r="245">
          <cell r="F245">
            <v>4.4973999999999995E-3</v>
          </cell>
        </row>
        <row r="246">
          <cell r="F246">
            <v>1.2690000000000002E-3</v>
          </cell>
        </row>
        <row r="247">
          <cell r="F247">
            <v>4.4973999999999995E-3</v>
          </cell>
        </row>
        <row r="248">
          <cell r="F248">
            <v>1.2690000000000002E-3</v>
          </cell>
        </row>
        <row r="249">
          <cell r="F249">
            <v>2.6939000000000004E-3</v>
          </cell>
        </row>
        <row r="250">
          <cell r="F250">
            <v>2.6939000000000004E-3</v>
          </cell>
        </row>
        <row r="251">
          <cell r="F251">
            <v>1.2690000000000002E-3</v>
          </cell>
        </row>
        <row r="252">
          <cell r="F252">
            <v>4.4973999999999995E-3</v>
          </cell>
        </row>
        <row r="253">
          <cell r="F253">
            <v>2.6939000000000004E-3</v>
          </cell>
        </row>
        <row r="254">
          <cell r="F254">
            <v>1.2690000000000002E-3</v>
          </cell>
        </row>
        <row r="255">
          <cell r="F255">
            <v>2.6939000000000004E-3</v>
          </cell>
        </row>
        <row r="256">
          <cell r="F256">
            <v>3.6749999999999999E-4</v>
          </cell>
        </row>
        <row r="257">
          <cell r="F257">
            <v>1.2690000000000002E-3</v>
          </cell>
        </row>
        <row r="258">
          <cell r="F258">
            <v>4.4973999999999995E-3</v>
          </cell>
        </row>
        <row r="259">
          <cell r="F259">
            <v>1.2690000000000002E-3</v>
          </cell>
        </row>
        <row r="260">
          <cell r="F260">
            <v>2.6939000000000004E-3</v>
          </cell>
        </row>
        <row r="261">
          <cell r="F261">
            <v>1.2690000000000002E-3</v>
          </cell>
        </row>
        <row r="262">
          <cell r="F262">
            <v>5.6772999999999997E-3</v>
          </cell>
        </row>
        <row r="263">
          <cell r="F263">
            <v>3.6749999999999999E-4</v>
          </cell>
        </row>
        <row r="264">
          <cell r="F264">
            <v>1.2690000000000002E-3</v>
          </cell>
        </row>
        <row r="265">
          <cell r="F265">
            <v>3.6749999999999999E-4</v>
          </cell>
        </row>
        <row r="266">
          <cell r="F266">
            <v>2.6939000000000004E-3</v>
          </cell>
        </row>
        <row r="267">
          <cell r="F267">
            <v>1.2690000000000002E-3</v>
          </cell>
        </row>
        <row r="268">
          <cell r="F268">
            <v>2.6939000000000004E-3</v>
          </cell>
        </row>
        <row r="269">
          <cell r="F269">
            <v>4.4973999999999995E-3</v>
          </cell>
        </row>
        <row r="270">
          <cell r="F270">
            <v>4.4973999999999995E-3</v>
          </cell>
        </row>
        <row r="271">
          <cell r="F271">
            <v>2.6939000000000004E-3</v>
          </cell>
        </row>
        <row r="272">
          <cell r="F272">
            <v>1.2690000000000002E-3</v>
          </cell>
        </row>
        <row r="273">
          <cell r="F273">
            <v>4.4973999999999995E-3</v>
          </cell>
        </row>
        <row r="274">
          <cell r="F274">
            <v>1.2690000000000002E-3</v>
          </cell>
        </row>
        <row r="275">
          <cell r="F275">
            <v>2.6939000000000004E-3</v>
          </cell>
        </row>
        <row r="276">
          <cell r="F276">
            <v>3.6749999999999999E-4</v>
          </cell>
        </row>
        <row r="277">
          <cell r="F277">
            <v>4.4973999999999995E-3</v>
          </cell>
        </row>
        <row r="278">
          <cell r="F278">
            <v>3.6749999999999999E-4</v>
          </cell>
        </row>
        <row r="279">
          <cell r="F279">
            <v>4.4973999999999995E-3</v>
          </cell>
        </row>
        <row r="280">
          <cell r="F280">
            <v>1.2690000000000002E-3</v>
          </cell>
        </row>
        <row r="281">
          <cell r="F281">
            <v>4.4973999999999995E-3</v>
          </cell>
        </row>
        <row r="282">
          <cell r="F282">
            <v>2.6939000000000004E-3</v>
          </cell>
        </row>
        <row r="283">
          <cell r="F283">
            <v>3.6749999999999999E-4</v>
          </cell>
        </row>
        <row r="284">
          <cell r="F284">
            <v>1.2690000000000002E-3</v>
          </cell>
        </row>
        <row r="285">
          <cell r="F285">
            <v>4.4973999999999995E-3</v>
          </cell>
        </row>
        <row r="286">
          <cell r="F286">
            <v>1.2690000000000002E-3</v>
          </cell>
        </row>
        <row r="287">
          <cell r="F287">
            <v>2.6939000000000004E-3</v>
          </cell>
        </row>
        <row r="288">
          <cell r="F288">
            <v>1.2690000000000002E-3</v>
          </cell>
        </row>
        <row r="289">
          <cell r="F289">
            <v>2.6939000000000004E-3</v>
          </cell>
        </row>
        <row r="290">
          <cell r="F290">
            <v>2.6939000000000004E-3</v>
          </cell>
        </row>
        <row r="291">
          <cell r="F291">
            <v>2.6939000000000004E-3</v>
          </cell>
        </row>
        <row r="292">
          <cell r="F292">
            <v>4.4973999999999995E-3</v>
          </cell>
        </row>
        <row r="293">
          <cell r="F293">
            <v>3.6749999999999999E-4</v>
          </cell>
        </row>
        <row r="294">
          <cell r="F294">
            <v>1.2690000000000002E-3</v>
          </cell>
        </row>
        <row r="295">
          <cell r="F295">
            <v>4.4973999999999995E-3</v>
          </cell>
        </row>
        <row r="296">
          <cell r="F296">
            <v>1.2690000000000002E-3</v>
          </cell>
        </row>
        <row r="297">
          <cell r="F297">
            <v>4.4973999999999995E-3</v>
          </cell>
        </row>
        <row r="298">
          <cell r="F298">
            <v>3.6749999999999999E-4</v>
          </cell>
        </row>
        <row r="299">
          <cell r="F299">
            <v>1.2690000000000002E-3</v>
          </cell>
        </row>
        <row r="300">
          <cell r="F300">
            <v>2.6939000000000004E-3</v>
          </cell>
        </row>
        <row r="301">
          <cell r="F301">
            <v>4.4973999999999995E-3</v>
          </cell>
        </row>
        <row r="302">
          <cell r="F302">
            <v>1.2690000000000002E-3</v>
          </cell>
        </row>
        <row r="303">
          <cell r="F303">
            <v>2.6939000000000004E-3</v>
          </cell>
        </row>
        <row r="304">
          <cell r="F304">
            <v>2.6939000000000004E-3</v>
          </cell>
        </row>
        <row r="305">
          <cell r="F305">
            <v>5.6772999999999997E-3</v>
          </cell>
        </row>
        <row r="306">
          <cell r="F306">
            <v>4.4973999999999995E-3</v>
          </cell>
        </row>
        <row r="307">
          <cell r="F307">
            <v>1.2690000000000002E-3</v>
          </cell>
        </row>
        <row r="308">
          <cell r="F308">
            <v>2.6939000000000004E-3</v>
          </cell>
        </row>
        <row r="309">
          <cell r="F309">
            <v>1.2690000000000002E-3</v>
          </cell>
        </row>
        <row r="310">
          <cell r="F310">
            <v>4.4973999999999995E-3</v>
          </cell>
        </row>
        <row r="311">
          <cell r="F311">
            <v>1.2690000000000002E-3</v>
          </cell>
        </row>
        <row r="312">
          <cell r="F312">
            <v>4.4973999999999995E-3</v>
          </cell>
        </row>
        <row r="313">
          <cell r="F313">
            <v>1.2690000000000002E-3</v>
          </cell>
        </row>
        <row r="314">
          <cell r="F314">
            <v>2.6939000000000004E-3</v>
          </cell>
        </row>
        <row r="315">
          <cell r="F315">
            <v>3.6749999999999999E-4</v>
          </cell>
        </row>
        <row r="316">
          <cell r="F316">
            <v>2.6939000000000004E-3</v>
          </cell>
        </row>
        <row r="317">
          <cell r="F317">
            <v>1.2690000000000002E-3</v>
          </cell>
        </row>
        <row r="318">
          <cell r="F318">
            <v>2.6939000000000004E-3</v>
          </cell>
        </row>
        <row r="319">
          <cell r="F319">
            <v>2.6939000000000004E-3</v>
          </cell>
        </row>
        <row r="320">
          <cell r="F320">
            <v>2.6939000000000004E-3</v>
          </cell>
        </row>
        <row r="321">
          <cell r="F321">
            <v>1.2690000000000002E-3</v>
          </cell>
        </row>
        <row r="322">
          <cell r="F322">
            <v>4.4973999999999995E-3</v>
          </cell>
        </row>
        <row r="323">
          <cell r="F323">
            <v>1.2690000000000002E-3</v>
          </cell>
        </row>
        <row r="324">
          <cell r="F324">
            <v>4.4973999999999995E-3</v>
          </cell>
        </row>
        <row r="325">
          <cell r="F325">
            <v>1.2690000000000002E-3</v>
          </cell>
        </row>
        <row r="326">
          <cell r="F326">
            <v>2.6939000000000004E-3</v>
          </cell>
        </row>
        <row r="327">
          <cell r="F327">
            <v>1.2690000000000002E-3</v>
          </cell>
        </row>
        <row r="328">
          <cell r="F328">
            <v>2.6939000000000004E-3</v>
          </cell>
        </row>
        <row r="329">
          <cell r="F329">
            <v>3.6749999999999999E-4</v>
          </cell>
        </row>
        <row r="330">
          <cell r="F330">
            <v>1.2690000000000002E-3</v>
          </cell>
        </row>
        <row r="331">
          <cell r="F331">
            <v>2.6939000000000004E-3</v>
          </cell>
        </row>
        <row r="332">
          <cell r="F332">
            <v>4.4973999999999995E-3</v>
          </cell>
        </row>
        <row r="333">
          <cell r="F333">
            <v>2.6939000000000004E-3</v>
          </cell>
        </row>
        <row r="334">
          <cell r="F334">
            <v>3.6749999999999999E-4</v>
          </cell>
        </row>
        <row r="335">
          <cell r="F335">
            <v>4.4973999999999995E-3</v>
          </cell>
        </row>
        <row r="336">
          <cell r="F336">
            <v>1.2690000000000002E-3</v>
          </cell>
        </row>
        <row r="337">
          <cell r="F337">
            <v>4.4973999999999995E-3</v>
          </cell>
        </row>
        <row r="338">
          <cell r="F338">
            <v>4.4973999999999995E-3</v>
          </cell>
        </row>
        <row r="339">
          <cell r="F339">
            <v>1.2690000000000002E-3</v>
          </cell>
        </row>
        <row r="340">
          <cell r="F340">
            <v>4.4973999999999995E-3</v>
          </cell>
        </row>
        <row r="341">
          <cell r="F341">
            <v>1.2690000000000002E-3</v>
          </cell>
        </row>
        <row r="342">
          <cell r="F342">
            <v>4.4973999999999995E-3</v>
          </cell>
        </row>
        <row r="343">
          <cell r="F343">
            <v>1.2690000000000002E-3</v>
          </cell>
        </row>
        <row r="344">
          <cell r="F344">
            <v>5.6772999999999997E-3</v>
          </cell>
        </row>
        <row r="345">
          <cell r="F345">
            <v>1.2690000000000002E-3</v>
          </cell>
        </row>
        <row r="346">
          <cell r="F346">
            <v>1.2690000000000002E-3</v>
          </cell>
        </row>
        <row r="347">
          <cell r="F347">
            <v>2.6939000000000004E-3</v>
          </cell>
        </row>
        <row r="348">
          <cell r="F348">
            <v>1.2690000000000002E-3</v>
          </cell>
        </row>
        <row r="349">
          <cell r="F349">
            <v>4.4973999999999995E-3</v>
          </cell>
        </row>
        <row r="350">
          <cell r="F350">
            <v>1.2690000000000002E-3</v>
          </cell>
        </row>
        <row r="351">
          <cell r="F351">
            <v>5.6772999999999997E-3</v>
          </cell>
        </row>
        <row r="352">
          <cell r="F352">
            <v>3.6749999999999999E-4</v>
          </cell>
        </row>
        <row r="353">
          <cell r="F353">
            <v>1.2690000000000002E-3</v>
          </cell>
        </row>
        <row r="354">
          <cell r="F354">
            <v>2.6939000000000004E-3</v>
          </cell>
        </row>
        <row r="355">
          <cell r="F355">
            <v>4.4973999999999995E-3</v>
          </cell>
        </row>
        <row r="356">
          <cell r="F356">
            <v>1.2690000000000002E-3</v>
          </cell>
        </row>
        <row r="357">
          <cell r="F357">
            <v>1.2690000000000002E-3</v>
          </cell>
        </row>
        <row r="358">
          <cell r="F358">
            <v>4.4973999999999995E-3</v>
          </cell>
        </row>
        <row r="359">
          <cell r="F359">
            <v>1.2690000000000002E-3</v>
          </cell>
        </row>
        <row r="360">
          <cell r="F360">
            <v>4.4973999999999995E-3</v>
          </cell>
        </row>
        <row r="361">
          <cell r="F361">
            <v>1.2690000000000002E-3</v>
          </cell>
        </row>
        <row r="362">
          <cell r="F362">
            <v>2.6939000000000004E-3</v>
          </cell>
        </row>
        <row r="363">
          <cell r="F363">
            <v>4.4973999999999995E-3</v>
          </cell>
        </row>
        <row r="364">
          <cell r="F364">
            <v>3.6749999999999999E-4</v>
          </cell>
        </row>
        <row r="365">
          <cell r="F365">
            <v>1.2690000000000002E-3</v>
          </cell>
        </row>
        <row r="366">
          <cell r="F366">
            <v>4.4973999999999995E-3</v>
          </cell>
        </row>
        <row r="367">
          <cell r="F367">
            <v>1.2689999999999999E-3</v>
          </cell>
        </row>
        <row r="368">
          <cell r="F368">
            <v>2.6939000000000004E-3</v>
          </cell>
        </row>
        <row r="369">
          <cell r="F369">
            <v>4.4973999999999995E-3</v>
          </cell>
        </row>
        <row r="370">
          <cell r="F370">
            <v>1.2690000000000002E-3</v>
          </cell>
        </row>
        <row r="371">
          <cell r="F371">
            <v>4.4973999999999995E-3</v>
          </cell>
        </row>
        <row r="372">
          <cell r="F372">
            <v>1.2690000000000002E-3</v>
          </cell>
        </row>
        <row r="373">
          <cell r="F373">
            <v>6.2785000000000002E-3</v>
          </cell>
        </row>
        <row r="374">
          <cell r="F374">
            <v>1.2690000000000002E-3</v>
          </cell>
        </row>
        <row r="375">
          <cell r="F375">
            <v>1.2690000000000002E-3</v>
          </cell>
        </row>
        <row r="376">
          <cell r="F376">
            <v>1.2690000000000002E-3</v>
          </cell>
        </row>
        <row r="377">
          <cell r="F377">
            <v>3.6749999999999999E-4</v>
          </cell>
        </row>
        <row r="378">
          <cell r="F378">
            <v>3.6749999999999999E-4</v>
          </cell>
        </row>
        <row r="379">
          <cell r="F379">
            <v>1.2690000000000002E-3</v>
          </cell>
        </row>
        <row r="380">
          <cell r="F380">
            <v>4.4973999999999995E-3</v>
          </cell>
        </row>
        <row r="381">
          <cell r="F381">
            <v>1.2690000000000002E-3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dolfo_tlpv_94@outlook.com." TargetMode="External"/><Relationship Id="rId2" Type="http://schemas.openxmlformats.org/officeDocument/2006/relationships/hyperlink" Target="mailto:patrilid23@hotmail.com" TargetMode="External"/><Relationship Id="rId1" Type="http://schemas.openxmlformats.org/officeDocument/2006/relationships/hyperlink" Target="mailto:cgarcia@transenaga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dolfo_tlpv_94@outlook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3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08" sqref="J208"/>
    </sheetView>
  </sheetViews>
  <sheetFormatPr baseColWidth="10" defaultColWidth="14.42578125" defaultRowHeight="23.25" customHeight="1" x14ac:dyDescent="0.25"/>
  <cols>
    <col min="1" max="1" width="11.140625" style="97" customWidth="1"/>
    <col min="2" max="2" width="37.140625" style="98" customWidth="1"/>
    <col min="3" max="4" width="14.140625" style="97" customWidth="1"/>
    <col min="5" max="6" width="24" style="48" customWidth="1"/>
    <col min="7" max="7" width="8" style="47" customWidth="1"/>
    <col min="8" max="8" width="9.42578125" style="47" customWidth="1"/>
    <col min="9" max="9" width="10.7109375" style="47" customWidth="1"/>
    <col min="10" max="10" width="17" style="47" customWidth="1"/>
    <col min="11" max="11" width="15.28515625" style="47" customWidth="1"/>
    <col min="12" max="12" width="12.42578125" style="47" customWidth="1"/>
    <col min="13" max="15" width="12.7109375" style="47" customWidth="1"/>
    <col min="16" max="16" width="8.7109375" style="47" customWidth="1"/>
    <col min="17" max="20" width="12.7109375" style="47" customWidth="1"/>
    <col min="21" max="21" width="10.7109375" style="47" customWidth="1"/>
    <col min="22" max="22" width="16.7109375" style="47" customWidth="1"/>
    <col min="23" max="23" width="15.140625" style="47" customWidth="1"/>
    <col min="24" max="24" width="15.7109375" style="47" customWidth="1"/>
    <col min="25" max="25" width="14" style="47" customWidth="1"/>
    <col min="26" max="26" width="16.140625" style="47" customWidth="1"/>
    <col min="27" max="27" width="17.85546875" style="47" customWidth="1"/>
    <col min="28" max="37" width="10.7109375" style="47" customWidth="1"/>
    <col min="38" max="16384" width="14.42578125" style="47"/>
  </cols>
  <sheetData>
    <row r="1" spans="1:37" ht="23.25" customHeight="1" thickBot="1" x14ac:dyDescent="0.3">
      <c r="A1" s="143" t="s">
        <v>0</v>
      </c>
      <c r="B1" s="145" t="s">
        <v>1</v>
      </c>
      <c r="C1" s="145" t="s">
        <v>621</v>
      </c>
      <c r="D1" s="145" t="s">
        <v>622</v>
      </c>
      <c r="E1" s="145" t="s">
        <v>623</v>
      </c>
      <c r="F1" s="147" t="s">
        <v>624</v>
      </c>
      <c r="G1" s="149" t="s">
        <v>625</v>
      </c>
      <c r="H1" s="150"/>
      <c r="I1" s="150"/>
      <c r="J1" s="150"/>
      <c r="K1" s="151"/>
      <c r="L1" s="150" t="s">
        <v>153</v>
      </c>
      <c r="M1" s="150"/>
      <c r="N1" s="150"/>
      <c r="O1" s="150"/>
      <c r="P1" s="149" t="s">
        <v>154</v>
      </c>
      <c r="Q1" s="150"/>
      <c r="R1" s="150"/>
      <c r="S1" s="151"/>
      <c r="T1" s="42"/>
      <c r="W1" s="141"/>
      <c r="X1" s="142"/>
      <c r="Y1" s="142"/>
    </row>
    <row r="2" spans="1:37" ht="23.25" customHeight="1" thickBot="1" x14ac:dyDescent="0.3">
      <c r="A2" s="144"/>
      <c r="B2" s="146"/>
      <c r="C2" s="146"/>
      <c r="D2" s="146"/>
      <c r="E2" s="146"/>
      <c r="F2" s="148"/>
      <c r="G2" s="59" t="s">
        <v>0</v>
      </c>
      <c r="H2" s="60" t="s">
        <v>2</v>
      </c>
      <c r="I2" s="60" t="s">
        <v>3</v>
      </c>
      <c r="J2" s="60" t="s">
        <v>607</v>
      </c>
      <c r="K2" s="134" t="s">
        <v>4</v>
      </c>
      <c r="L2" s="61" t="s">
        <v>5</v>
      </c>
      <c r="M2" s="60" t="s">
        <v>3</v>
      </c>
      <c r="N2" s="60" t="s">
        <v>607</v>
      </c>
      <c r="O2" s="135" t="s">
        <v>4</v>
      </c>
      <c r="P2" s="59" t="s">
        <v>603</v>
      </c>
      <c r="Q2" s="60" t="s">
        <v>3</v>
      </c>
      <c r="R2" s="60" t="s">
        <v>607</v>
      </c>
      <c r="S2" s="134" t="s">
        <v>4</v>
      </c>
      <c r="T2" s="43"/>
      <c r="U2" s="1"/>
      <c r="V2" s="2"/>
      <c r="W2" s="1"/>
      <c r="X2" s="1"/>
      <c r="Y2" s="1"/>
      <c r="Z2" s="1"/>
      <c r="AA2" s="1"/>
      <c r="AB2" s="1"/>
      <c r="AC2" s="3"/>
      <c r="AD2" s="3"/>
      <c r="AE2" s="3"/>
      <c r="AF2" s="3"/>
      <c r="AG2" s="3"/>
      <c r="AH2" s="3"/>
      <c r="AI2" s="3"/>
      <c r="AJ2" s="3"/>
      <c r="AK2" s="3"/>
    </row>
    <row r="3" spans="1:37" ht="23.25" customHeight="1" x14ac:dyDescent="0.25">
      <c r="A3" s="99">
        <v>101</v>
      </c>
      <c r="B3" s="100" t="s">
        <v>189</v>
      </c>
      <c r="C3" s="101"/>
      <c r="D3" s="101"/>
      <c r="E3" s="102" t="s">
        <v>759</v>
      </c>
      <c r="F3" s="103"/>
      <c r="G3" s="62">
        <v>101</v>
      </c>
      <c r="H3" s="63">
        <v>138.55000000000001</v>
      </c>
      <c r="I3" s="64">
        <v>158.86000000000001</v>
      </c>
      <c r="J3" s="65">
        <v>0.62785000000000002</v>
      </c>
      <c r="K3" s="66">
        <v>6.2785000000000002E-3</v>
      </c>
      <c r="L3" s="67" t="s">
        <v>619</v>
      </c>
      <c r="M3" s="68">
        <v>0</v>
      </c>
      <c r="N3" s="65">
        <v>0.25380000000000003</v>
      </c>
      <c r="O3" s="66">
        <v>2.5380000000000003E-3</v>
      </c>
      <c r="P3" s="69"/>
      <c r="Q3" s="68"/>
      <c r="R3" s="68">
        <v>0</v>
      </c>
      <c r="S3" s="66">
        <v>0</v>
      </c>
      <c r="T3" s="33"/>
    </row>
    <row r="4" spans="1:37" ht="23.25" customHeight="1" x14ac:dyDescent="0.25">
      <c r="A4" s="70">
        <v>102</v>
      </c>
      <c r="B4" s="6" t="s">
        <v>6</v>
      </c>
      <c r="C4" s="71">
        <v>48046103</v>
      </c>
      <c r="D4" s="71">
        <v>992470225</v>
      </c>
      <c r="E4" s="71" t="s">
        <v>627</v>
      </c>
      <c r="F4" s="104"/>
      <c r="G4" s="72">
        <v>102</v>
      </c>
      <c r="H4" s="9">
        <v>64.900000000000006</v>
      </c>
      <c r="I4" s="9">
        <v>64.900000000000006</v>
      </c>
      <c r="J4" s="27">
        <v>0.44973999999999997</v>
      </c>
      <c r="K4" s="73">
        <v>4.4973999999999995E-3</v>
      </c>
      <c r="L4" s="74"/>
      <c r="M4" s="8"/>
      <c r="N4" s="27">
        <v>0</v>
      </c>
      <c r="O4" s="73">
        <v>0</v>
      </c>
      <c r="P4" s="74"/>
      <c r="Q4" s="8"/>
      <c r="R4" s="8">
        <v>0</v>
      </c>
      <c r="S4" s="73">
        <v>0</v>
      </c>
      <c r="T4" s="33"/>
    </row>
    <row r="5" spans="1:37" ht="23.25" customHeight="1" x14ac:dyDescent="0.25">
      <c r="A5" s="70">
        <v>103</v>
      </c>
      <c r="B5" s="4" t="s">
        <v>7</v>
      </c>
      <c r="C5" s="52"/>
      <c r="D5" s="52"/>
      <c r="E5" s="71"/>
      <c r="F5" s="105"/>
      <c r="G5" s="72">
        <v>103</v>
      </c>
      <c r="H5" s="9">
        <v>43.35</v>
      </c>
      <c r="I5" s="9">
        <v>43.35</v>
      </c>
      <c r="J5" s="27">
        <v>0.26939000000000002</v>
      </c>
      <c r="K5" s="73">
        <v>2.6939000000000004E-3</v>
      </c>
      <c r="L5" s="74"/>
      <c r="M5" s="8"/>
      <c r="N5" s="27">
        <v>0</v>
      </c>
      <c r="O5" s="73">
        <v>0</v>
      </c>
      <c r="P5" s="74" t="s">
        <v>550</v>
      </c>
      <c r="Q5" s="8">
        <v>0</v>
      </c>
      <c r="R5" s="8">
        <v>3.6749999999999998E-2</v>
      </c>
      <c r="S5" s="73">
        <v>3.6749999999999999E-4</v>
      </c>
      <c r="T5" s="44"/>
    </row>
    <row r="6" spans="1:37" ht="23.25" customHeight="1" x14ac:dyDescent="0.25">
      <c r="A6" s="70">
        <v>104</v>
      </c>
      <c r="B6" s="51" t="s">
        <v>8</v>
      </c>
      <c r="C6" s="75"/>
      <c r="D6" s="75"/>
      <c r="E6" s="71" t="s">
        <v>760</v>
      </c>
      <c r="F6" s="106"/>
      <c r="G6" s="76">
        <v>104</v>
      </c>
      <c r="H6" s="53">
        <v>85.5</v>
      </c>
      <c r="I6" s="53">
        <v>85.5</v>
      </c>
      <c r="J6" s="49">
        <v>0.44973999999999997</v>
      </c>
      <c r="K6" s="77">
        <v>4.4973999999999995E-3</v>
      </c>
      <c r="L6" s="78" t="s">
        <v>256</v>
      </c>
      <c r="M6" s="50">
        <v>0</v>
      </c>
      <c r="N6" s="49">
        <v>0.12690000000000001</v>
      </c>
      <c r="O6" s="77">
        <v>1.2690000000000002E-3</v>
      </c>
      <c r="P6" s="78"/>
      <c r="Q6" s="50"/>
      <c r="R6" s="50">
        <v>0</v>
      </c>
      <c r="S6" s="77">
        <v>0</v>
      </c>
      <c r="T6" s="33"/>
    </row>
    <row r="7" spans="1:37" ht="23.25" customHeight="1" x14ac:dyDescent="0.25">
      <c r="A7" s="70">
        <v>105</v>
      </c>
      <c r="B7" s="4" t="s">
        <v>9</v>
      </c>
      <c r="C7" s="52"/>
      <c r="D7" s="52"/>
      <c r="E7" s="71" t="s">
        <v>761</v>
      </c>
      <c r="F7" s="105"/>
      <c r="G7" s="76">
        <v>105</v>
      </c>
      <c r="H7" s="53">
        <v>127.96</v>
      </c>
      <c r="I7" s="53">
        <v>185.73</v>
      </c>
      <c r="J7" s="49">
        <v>0.62785000000000002</v>
      </c>
      <c r="K7" s="77">
        <v>6.2785000000000002E-3</v>
      </c>
      <c r="L7" s="78" t="s">
        <v>260</v>
      </c>
      <c r="M7" s="50">
        <v>0</v>
      </c>
      <c r="N7" s="49">
        <v>0.12690000000000001</v>
      </c>
      <c r="O7" s="77">
        <v>1.2690000000000002E-3</v>
      </c>
      <c r="P7" s="78"/>
      <c r="Q7" s="50"/>
      <c r="R7" s="50">
        <v>0</v>
      </c>
      <c r="S7" s="77">
        <v>0</v>
      </c>
      <c r="T7" s="33"/>
    </row>
    <row r="8" spans="1:37" ht="23.25" customHeight="1" x14ac:dyDescent="0.25">
      <c r="A8" s="70">
        <v>106</v>
      </c>
      <c r="B8" s="4" t="s">
        <v>10</v>
      </c>
      <c r="C8" s="52"/>
      <c r="D8" s="52">
        <v>902565766</v>
      </c>
      <c r="E8" s="71" t="s">
        <v>863</v>
      </c>
      <c r="F8" s="105"/>
      <c r="G8" s="76">
        <v>106</v>
      </c>
      <c r="H8" s="53">
        <v>128.6</v>
      </c>
      <c r="I8" s="53">
        <v>171.1</v>
      </c>
      <c r="J8" s="49">
        <v>0.62785000000000002</v>
      </c>
      <c r="K8" s="77">
        <v>6.2785000000000002E-3</v>
      </c>
      <c r="L8" s="78" t="s">
        <v>592</v>
      </c>
      <c r="M8" s="50">
        <v>0</v>
      </c>
      <c r="N8" s="49">
        <v>0.12690000000000001</v>
      </c>
      <c r="O8" s="77">
        <v>1.2690000000000002E-3</v>
      </c>
      <c r="P8" s="78"/>
      <c r="Q8" s="50"/>
      <c r="R8" s="50">
        <v>0</v>
      </c>
      <c r="S8" s="77">
        <v>0</v>
      </c>
      <c r="T8" s="33"/>
    </row>
    <row r="9" spans="1:37" ht="23.25" customHeight="1" x14ac:dyDescent="0.25">
      <c r="A9" s="70">
        <v>107</v>
      </c>
      <c r="B9" s="51" t="s">
        <v>11</v>
      </c>
      <c r="C9" s="75"/>
      <c r="D9" s="75"/>
      <c r="E9" s="71" t="s">
        <v>762</v>
      </c>
      <c r="F9" s="106"/>
      <c r="G9" s="76">
        <v>107</v>
      </c>
      <c r="H9" s="53">
        <v>40</v>
      </c>
      <c r="I9" s="53">
        <v>40</v>
      </c>
      <c r="J9" s="49">
        <v>0.26939000000000002</v>
      </c>
      <c r="K9" s="77">
        <v>2.6939000000000004E-3</v>
      </c>
      <c r="L9" s="78" t="s">
        <v>537</v>
      </c>
      <c r="M9" s="50">
        <v>0</v>
      </c>
      <c r="N9" s="49">
        <v>0.12690000000000001</v>
      </c>
      <c r="O9" s="77">
        <v>1.2690000000000002E-3</v>
      </c>
      <c r="P9" s="78"/>
      <c r="Q9" s="50"/>
      <c r="R9" s="50">
        <v>0</v>
      </c>
      <c r="S9" s="77">
        <v>0</v>
      </c>
      <c r="T9" s="33"/>
    </row>
    <row r="10" spans="1:37" ht="23.25" customHeight="1" x14ac:dyDescent="0.25">
      <c r="A10" s="70">
        <v>201</v>
      </c>
      <c r="B10" s="6" t="s">
        <v>473</v>
      </c>
      <c r="C10" s="71"/>
      <c r="D10" s="71"/>
      <c r="E10" s="71" t="s">
        <v>858</v>
      </c>
      <c r="F10" s="104"/>
      <c r="G10" s="72">
        <v>201</v>
      </c>
      <c r="H10" s="9">
        <v>67.400000000000006</v>
      </c>
      <c r="I10" s="9">
        <v>67.400000000000006</v>
      </c>
      <c r="J10" s="27">
        <v>0.44973999999999997</v>
      </c>
      <c r="K10" s="73">
        <v>4.4973999999999995E-3</v>
      </c>
      <c r="L10" s="74"/>
      <c r="M10" s="8"/>
      <c r="N10" s="27">
        <v>0</v>
      </c>
      <c r="O10" s="73">
        <v>0</v>
      </c>
      <c r="P10" s="74"/>
      <c r="Q10" s="8"/>
      <c r="R10" s="8">
        <v>0</v>
      </c>
      <c r="S10" s="73">
        <v>0</v>
      </c>
      <c r="T10" s="33"/>
    </row>
    <row r="11" spans="1:37" ht="23.25" customHeight="1" x14ac:dyDescent="0.25">
      <c r="A11" s="70">
        <v>202</v>
      </c>
      <c r="B11" s="6" t="s">
        <v>12</v>
      </c>
      <c r="C11" s="71"/>
      <c r="D11" s="71"/>
      <c r="E11" s="71" t="s">
        <v>763</v>
      </c>
      <c r="F11" s="104"/>
      <c r="G11" s="72">
        <v>202</v>
      </c>
      <c r="H11" s="9">
        <v>68</v>
      </c>
      <c r="I11" s="9">
        <v>68</v>
      </c>
      <c r="J11" s="27">
        <v>0.44973999999999997</v>
      </c>
      <c r="K11" s="73">
        <v>4.4973999999999995E-3</v>
      </c>
      <c r="L11" s="74"/>
      <c r="M11" s="8"/>
      <c r="N11" s="27">
        <v>0</v>
      </c>
      <c r="O11" s="73">
        <v>0</v>
      </c>
      <c r="P11" s="74"/>
      <c r="Q11" s="8"/>
      <c r="R11" s="8">
        <v>0</v>
      </c>
      <c r="S11" s="73">
        <v>0</v>
      </c>
      <c r="T11" s="33"/>
    </row>
    <row r="12" spans="1:37" ht="23.25" customHeight="1" x14ac:dyDescent="0.25">
      <c r="A12" s="70">
        <v>203</v>
      </c>
      <c r="B12" s="51" t="s">
        <v>13</v>
      </c>
      <c r="C12" s="75">
        <v>43607049</v>
      </c>
      <c r="D12" s="75" t="s">
        <v>630</v>
      </c>
      <c r="E12" s="71" t="s">
        <v>631</v>
      </c>
      <c r="F12" s="106"/>
      <c r="G12" s="76">
        <v>203</v>
      </c>
      <c r="H12" s="52">
        <v>76.150000000000006</v>
      </c>
      <c r="I12" s="52">
        <v>76.150000000000006</v>
      </c>
      <c r="J12" s="49">
        <v>0.44973999999999997</v>
      </c>
      <c r="K12" s="77">
        <v>4.4973999999999995E-3</v>
      </c>
      <c r="L12" s="78" t="s">
        <v>560</v>
      </c>
      <c r="M12" s="50">
        <v>0</v>
      </c>
      <c r="N12" s="49">
        <v>0.12690000000000001</v>
      </c>
      <c r="O12" s="77">
        <v>1.2690000000000002E-3</v>
      </c>
      <c r="P12" s="78"/>
      <c r="Q12" s="50"/>
      <c r="R12" s="50">
        <v>0</v>
      </c>
      <c r="S12" s="77">
        <v>0</v>
      </c>
      <c r="T12" s="33"/>
    </row>
    <row r="13" spans="1:37" ht="23.25" customHeight="1" x14ac:dyDescent="0.25">
      <c r="A13" s="70">
        <v>204</v>
      </c>
      <c r="B13" s="51" t="s">
        <v>632</v>
      </c>
      <c r="C13" s="107">
        <v>40724377</v>
      </c>
      <c r="D13" s="75">
        <v>995501649</v>
      </c>
      <c r="E13" s="71" t="s">
        <v>633</v>
      </c>
      <c r="F13" s="106"/>
      <c r="G13" s="76">
        <v>204</v>
      </c>
      <c r="H13" s="52">
        <v>43.35</v>
      </c>
      <c r="I13" s="52">
        <v>43.35</v>
      </c>
      <c r="J13" s="49">
        <v>0.26939000000000002</v>
      </c>
      <c r="K13" s="77">
        <v>2.6939000000000004E-3</v>
      </c>
      <c r="L13" s="79" t="s">
        <v>608</v>
      </c>
      <c r="M13" s="50">
        <v>0</v>
      </c>
      <c r="N13" s="49">
        <v>0.25380000000000003</v>
      </c>
      <c r="O13" s="77">
        <v>2.5380000000000003E-3</v>
      </c>
      <c r="P13" s="78" t="s">
        <v>481</v>
      </c>
      <c r="Q13" s="50">
        <v>0</v>
      </c>
      <c r="R13" s="50">
        <v>3.6749999999999998E-2</v>
      </c>
      <c r="S13" s="77">
        <v>3.6749999999999999E-4</v>
      </c>
      <c r="T13" s="33"/>
    </row>
    <row r="14" spans="1:37" ht="23.25" customHeight="1" x14ac:dyDescent="0.25">
      <c r="A14" s="70">
        <v>205</v>
      </c>
      <c r="B14" s="51" t="s">
        <v>265</v>
      </c>
      <c r="C14" s="75" t="s">
        <v>634</v>
      </c>
      <c r="D14" s="75">
        <v>941682780</v>
      </c>
      <c r="E14" s="71" t="s">
        <v>635</v>
      </c>
      <c r="F14" s="106"/>
      <c r="G14" s="76">
        <v>205</v>
      </c>
      <c r="H14" s="52">
        <v>66.45</v>
      </c>
      <c r="I14" s="52">
        <v>66.45</v>
      </c>
      <c r="J14" s="49">
        <v>0.44973999999999997</v>
      </c>
      <c r="K14" s="77">
        <v>4.4973999999999995E-3</v>
      </c>
      <c r="L14" s="78" t="s">
        <v>266</v>
      </c>
      <c r="M14" s="50">
        <v>0</v>
      </c>
      <c r="N14" s="49">
        <v>0.12690000000000001</v>
      </c>
      <c r="O14" s="77">
        <v>1.2690000000000002E-3</v>
      </c>
      <c r="P14" s="78"/>
      <c r="Q14" s="50"/>
      <c r="R14" s="50">
        <v>0</v>
      </c>
      <c r="S14" s="77">
        <v>0</v>
      </c>
      <c r="T14" s="33"/>
    </row>
    <row r="15" spans="1:37" ht="23.25" customHeight="1" x14ac:dyDescent="0.25">
      <c r="A15" s="70">
        <v>206</v>
      </c>
      <c r="B15" s="6" t="s">
        <v>23</v>
      </c>
      <c r="C15" s="71"/>
      <c r="D15" s="71">
        <v>974418894</v>
      </c>
      <c r="E15" s="71" t="s">
        <v>764</v>
      </c>
      <c r="F15" s="104"/>
      <c r="G15" s="72">
        <v>206</v>
      </c>
      <c r="H15" s="9">
        <v>33.200000000000003</v>
      </c>
      <c r="I15" s="9">
        <v>33.200000000000003</v>
      </c>
      <c r="J15" s="27">
        <v>0.26939000000000002</v>
      </c>
      <c r="K15" s="73">
        <v>2.6939000000000004E-3</v>
      </c>
      <c r="L15" s="74"/>
      <c r="M15" s="8"/>
      <c r="N15" s="27">
        <v>0</v>
      </c>
      <c r="O15" s="73">
        <v>0</v>
      </c>
      <c r="P15" s="74"/>
      <c r="Q15" s="8"/>
      <c r="R15" s="8">
        <v>0</v>
      </c>
      <c r="S15" s="73">
        <v>0</v>
      </c>
      <c r="T15" s="33"/>
    </row>
    <row r="16" spans="1:37" ht="23.25" customHeight="1" x14ac:dyDescent="0.25">
      <c r="A16" s="70">
        <v>207</v>
      </c>
      <c r="B16" s="51" t="s">
        <v>14</v>
      </c>
      <c r="C16" s="75"/>
      <c r="D16" s="75"/>
      <c r="E16" s="71" t="s">
        <v>765</v>
      </c>
      <c r="F16" s="106"/>
      <c r="G16" s="76">
        <v>207</v>
      </c>
      <c r="H16" s="52">
        <v>44.45</v>
      </c>
      <c r="I16" s="52">
        <v>44.45</v>
      </c>
      <c r="J16" s="49">
        <v>0.26939000000000002</v>
      </c>
      <c r="K16" s="77">
        <v>2.6939000000000004E-3</v>
      </c>
      <c r="L16" s="78" t="s">
        <v>476</v>
      </c>
      <c r="M16" s="50">
        <v>0</v>
      </c>
      <c r="N16" s="49">
        <v>0.12690000000000001</v>
      </c>
      <c r="O16" s="77">
        <v>1.2690000000000002E-3</v>
      </c>
      <c r="P16" s="78"/>
      <c r="Q16" s="50"/>
      <c r="R16" s="50">
        <v>0</v>
      </c>
      <c r="S16" s="77">
        <v>0</v>
      </c>
      <c r="T16" s="33"/>
    </row>
    <row r="17" spans="1:20" ht="21" customHeight="1" x14ac:dyDescent="0.25">
      <c r="A17" s="70">
        <v>208</v>
      </c>
      <c r="B17" s="51" t="s">
        <v>636</v>
      </c>
      <c r="C17" s="108">
        <v>40147811</v>
      </c>
      <c r="D17" s="75">
        <v>949237526</v>
      </c>
      <c r="E17" s="71" t="s">
        <v>639</v>
      </c>
      <c r="F17" s="106"/>
      <c r="G17" s="76">
        <v>208</v>
      </c>
      <c r="H17" s="53">
        <v>81</v>
      </c>
      <c r="I17" s="53">
        <v>81</v>
      </c>
      <c r="J17" s="49">
        <v>0.44973999999999997</v>
      </c>
      <c r="K17" s="77">
        <v>4.4973999999999995E-3</v>
      </c>
      <c r="L17" s="78" t="s">
        <v>423</v>
      </c>
      <c r="M17" s="50">
        <v>0</v>
      </c>
      <c r="N17" s="49">
        <v>0.12690000000000001</v>
      </c>
      <c r="O17" s="77">
        <v>1.2690000000000002E-3</v>
      </c>
      <c r="P17" s="78"/>
      <c r="Q17" s="50"/>
      <c r="R17" s="50">
        <v>0</v>
      </c>
      <c r="S17" s="77">
        <v>0</v>
      </c>
      <c r="T17" s="33"/>
    </row>
    <row r="18" spans="1:20" ht="21" customHeight="1" x14ac:dyDescent="0.25">
      <c r="A18" s="70">
        <v>209</v>
      </c>
      <c r="B18" s="4" t="s">
        <v>637</v>
      </c>
      <c r="C18" s="52" t="s">
        <v>640</v>
      </c>
      <c r="D18" s="52">
        <v>997910838</v>
      </c>
      <c r="E18" s="71" t="s">
        <v>641</v>
      </c>
      <c r="F18" s="105"/>
      <c r="G18" s="72">
        <v>209</v>
      </c>
      <c r="H18" s="9">
        <v>33</v>
      </c>
      <c r="I18" s="9">
        <v>33</v>
      </c>
      <c r="J18" s="27">
        <v>0.26939000000000002</v>
      </c>
      <c r="K18" s="73">
        <v>2.6939000000000004E-3</v>
      </c>
      <c r="L18" s="74"/>
      <c r="M18" s="8"/>
      <c r="N18" s="27">
        <v>0</v>
      </c>
      <c r="O18" s="73">
        <v>0</v>
      </c>
      <c r="P18" s="74"/>
      <c r="Q18" s="8"/>
      <c r="R18" s="8">
        <v>0</v>
      </c>
      <c r="S18" s="73">
        <v>0</v>
      </c>
      <c r="T18" s="33"/>
    </row>
    <row r="19" spans="1:20" ht="21" customHeight="1" x14ac:dyDescent="0.25">
      <c r="A19" s="70">
        <v>210</v>
      </c>
      <c r="B19" s="4" t="s">
        <v>638</v>
      </c>
      <c r="C19" s="80">
        <v>25539181</v>
      </c>
      <c r="D19" s="80">
        <v>987240002</v>
      </c>
      <c r="E19" s="71" t="s">
        <v>642</v>
      </c>
      <c r="F19" s="109"/>
      <c r="G19" s="76">
        <v>210</v>
      </c>
      <c r="H19" s="53">
        <v>74.599999999999994</v>
      </c>
      <c r="I19" s="53">
        <v>74.599999999999994</v>
      </c>
      <c r="J19" s="49">
        <v>0.44973999999999997</v>
      </c>
      <c r="K19" s="77">
        <v>4.4973999999999995E-3</v>
      </c>
      <c r="L19" s="78" t="s">
        <v>445</v>
      </c>
      <c r="M19" s="50">
        <v>0</v>
      </c>
      <c r="N19" s="49">
        <v>0.12690000000000001</v>
      </c>
      <c r="O19" s="77">
        <v>1.2690000000000002E-3</v>
      </c>
      <c r="P19" s="78"/>
      <c r="Q19" s="50"/>
      <c r="R19" s="50">
        <v>0</v>
      </c>
      <c r="S19" s="77">
        <v>0</v>
      </c>
      <c r="T19" s="33"/>
    </row>
    <row r="20" spans="1:20" ht="21" customHeight="1" x14ac:dyDescent="0.25">
      <c r="A20" s="70">
        <v>301</v>
      </c>
      <c r="B20" s="51" t="s">
        <v>17</v>
      </c>
      <c r="C20" s="75"/>
      <c r="D20" s="75"/>
      <c r="E20" s="71" t="s">
        <v>766</v>
      </c>
      <c r="F20" s="106"/>
      <c r="G20" s="76">
        <v>301</v>
      </c>
      <c r="H20" s="53">
        <v>92.5</v>
      </c>
      <c r="I20" s="53">
        <v>92.5</v>
      </c>
      <c r="J20" s="49">
        <v>0.56772999999999996</v>
      </c>
      <c r="K20" s="77">
        <v>5.6772999999999997E-3</v>
      </c>
      <c r="L20" s="78" t="s">
        <v>570</v>
      </c>
      <c r="M20" s="50">
        <v>0</v>
      </c>
      <c r="N20" s="49">
        <v>0.12690000000000001</v>
      </c>
      <c r="O20" s="77">
        <v>1.2690000000000002E-3</v>
      </c>
      <c r="P20" s="78" t="s">
        <v>569</v>
      </c>
      <c r="Q20" s="50">
        <v>0</v>
      </c>
      <c r="R20" s="50">
        <v>3.6749999999999998E-2</v>
      </c>
      <c r="S20" s="77">
        <v>3.6749999999999999E-4</v>
      </c>
      <c r="T20" s="33"/>
    </row>
    <row r="21" spans="1:20" ht="21" customHeight="1" x14ac:dyDescent="0.25">
      <c r="A21" s="70">
        <v>302</v>
      </c>
      <c r="B21" s="4" t="s">
        <v>18</v>
      </c>
      <c r="C21" s="52"/>
      <c r="D21" s="52"/>
      <c r="E21" s="71" t="s">
        <v>767</v>
      </c>
      <c r="F21" s="105"/>
      <c r="G21" s="72">
        <v>302</v>
      </c>
      <c r="H21" s="7">
        <v>77.05</v>
      </c>
      <c r="I21" s="7">
        <v>77.05</v>
      </c>
      <c r="J21" s="27">
        <v>0.44973999999999997</v>
      </c>
      <c r="K21" s="73">
        <v>4.4973999999999995E-3</v>
      </c>
      <c r="L21" s="74"/>
      <c r="M21" s="8"/>
      <c r="N21" s="27">
        <v>0</v>
      </c>
      <c r="O21" s="73">
        <v>0</v>
      </c>
      <c r="P21" s="74"/>
      <c r="Q21" s="8"/>
      <c r="R21" s="8">
        <v>0</v>
      </c>
      <c r="S21" s="73">
        <v>0</v>
      </c>
      <c r="T21" s="33"/>
    </row>
    <row r="22" spans="1:20" ht="21" customHeight="1" x14ac:dyDescent="0.25">
      <c r="A22" s="70">
        <v>303</v>
      </c>
      <c r="B22" s="51" t="s">
        <v>19</v>
      </c>
      <c r="C22" s="75"/>
      <c r="D22" s="75">
        <v>948827326</v>
      </c>
      <c r="E22" s="71" t="s">
        <v>768</v>
      </c>
      <c r="F22" s="106"/>
      <c r="G22" s="76">
        <v>303</v>
      </c>
      <c r="H22" s="53">
        <v>68</v>
      </c>
      <c r="I22" s="53">
        <v>68</v>
      </c>
      <c r="J22" s="49">
        <v>0.44973999999999997</v>
      </c>
      <c r="K22" s="77">
        <v>4.4973999999999995E-3</v>
      </c>
      <c r="L22" s="78" t="s">
        <v>583</v>
      </c>
      <c r="M22" s="50">
        <v>0</v>
      </c>
      <c r="N22" s="49">
        <v>0.12690000000000001</v>
      </c>
      <c r="O22" s="77">
        <v>1.2690000000000002E-3</v>
      </c>
      <c r="P22" s="78" t="s">
        <v>582</v>
      </c>
      <c r="Q22" s="50">
        <v>0</v>
      </c>
      <c r="R22" s="50">
        <v>3.6749999999999998E-2</v>
      </c>
      <c r="S22" s="77">
        <v>3.6749999999999999E-4</v>
      </c>
      <c r="T22" s="33"/>
    </row>
    <row r="23" spans="1:20" ht="21" customHeight="1" x14ac:dyDescent="0.25">
      <c r="A23" s="70">
        <v>304</v>
      </c>
      <c r="B23" s="51" t="s">
        <v>20</v>
      </c>
      <c r="C23" s="75">
        <v>40552352</v>
      </c>
      <c r="D23" s="75">
        <v>989972879</v>
      </c>
      <c r="E23" s="71" t="s">
        <v>643</v>
      </c>
      <c r="F23" s="106"/>
      <c r="G23" s="76">
        <v>304</v>
      </c>
      <c r="H23" s="52">
        <v>76.150000000000006</v>
      </c>
      <c r="I23" s="52">
        <v>76.150000000000006</v>
      </c>
      <c r="J23" s="49">
        <v>0.44973999999999997</v>
      </c>
      <c r="K23" s="77">
        <v>4.4973999999999995E-3</v>
      </c>
      <c r="L23" s="78" t="s">
        <v>271</v>
      </c>
      <c r="M23" s="50">
        <v>0</v>
      </c>
      <c r="N23" s="49">
        <v>0.12690000000000001</v>
      </c>
      <c r="O23" s="77">
        <v>1.2690000000000002E-3</v>
      </c>
      <c r="P23" s="78"/>
      <c r="Q23" s="50"/>
      <c r="R23" s="50">
        <v>0</v>
      </c>
      <c r="S23" s="77">
        <v>0</v>
      </c>
      <c r="T23" s="33"/>
    </row>
    <row r="24" spans="1:20" ht="21" customHeight="1" x14ac:dyDescent="0.25">
      <c r="A24" s="70">
        <v>305</v>
      </c>
      <c r="B24" s="4" t="s">
        <v>9</v>
      </c>
      <c r="C24" s="52"/>
      <c r="D24" s="52"/>
      <c r="E24" s="71"/>
      <c r="F24" s="105"/>
      <c r="G24" s="76">
        <v>305</v>
      </c>
      <c r="H24" s="52">
        <v>78.95</v>
      </c>
      <c r="I24" s="52">
        <v>78.95</v>
      </c>
      <c r="J24" s="49">
        <v>0.44973999999999997</v>
      </c>
      <c r="K24" s="77">
        <v>4.4973999999999995E-3</v>
      </c>
      <c r="L24" s="78" t="s">
        <v>261</v>
      </c>
      <c r="M24" s="50">
        <v>0</v>
      </c>
      <c r="N24" s="49">
        <v>0.12690000000000001</v>
      </c>
      <c r="O24" s="77">
        <v>1.2690000000000002E-3</v>
      </c>
      <c r="P24" s="78"/>
      <c r="Q24" s="50"/>
      <c r="R24" s="50">
        <v>0</v>
      </c>
      <c r="S24" s="77">
        <v>0</v>
      </c>
      <c r="T24" s="33"/>
    </row>
    <row r="25" spans="1:20" ht="21" customHeight="1" x14ac:dyDescent="0.25">
      <c r="A25" s="70">
        <v>306</v>
      </c>
      <c r="B25" s="51" t="s">
        <v>21</v>
      </c>
      <c r="C25" s="75"/>
      <c r="D25" s="75"/>
      <c r="E25" s="71"/>
      <c r="F25" s="106"/>
      <c r="G25" s="76">
        <v>306</v>
      </c>
      <c r="H25" s="52">
        <v>43.35</v>
      </c>
      <c r="I25" s="52">
        <v>43.35</v>
      </c>
      <c r="J25" s="49">
        <v>0.26939000000000002</v>
      </c>
      <c r="K25" s="77">
        <v>2.6939000000000004E-3</v>
      </c>
      <c r="L25" s="78" t="s">
        <v>454</v>
      </c>
      <c r="M25" s="50">
        <v>0</v>
      </c>
      <c r="N25" s="49">
        <v>0.12690000000000001</v>
      </c>
      <c r="O25" s="77">
        <v>1.2690000000000002E-3</v>
      </c>
      <c r="P25" s="78"/>
      <c r="Q25" s="50"/>
      <c r="R25" s="50">
        <v>0</v>
      </c>
      <c r="S25" s="77">
        <v>0</v>
      </c>
      <c r="T25" s="33"/>
    </row>
    <row r="26" spans="1:20" ht="21" customHeight="1" x14ac:dyDescent="0.25">
      <c r="A26" s="70">
        <v>307</v>
      </c>
      <c r="B26" s="6" t="s">
        <v>22</v>
      </c>
      <c r="C26" s="71">
        <v>46404226</v>
      </c>
      <c r="D26" s="71">
        <v>991390217</v>
      </c>
      <c r="E26" s="71" t="s">
        <v>644</v>
      </c>
      <c r="F26" s="104"/>
      <c r="G26" s="72">
        <v>307</v>
      </c>
      <c r="H26" s="7">
        <v>66.45</v>
      </c>
      <c r="I26" s="7">
        <v>66.45</v>
      </c>
      <c r="J26" s="27">
        <v>0.44973999999999997</v>
      </c>
      <c r="K26" s="73">
        <v>4.4973999999999995E-3</v>
      </c>
      <c r="L26" s="74"/>
      <c r="M26" s="8"/>
      <c r="N26" s="27">
        <v>0</v>
      </c>
      <c r="O26" s="73">
        <v>0</v>
      </c>
      <c r="P26" s="74"/>
      <c r="Q26" s="8"/>
      <c r="R26" s="8">
        <v>0</v>
      </c>
      <c r="S26" s="73">
        <v>0</v>
      </c>
      <c r="T26" s="33"/>
    </row>
    <row r="27" spans="1:20" ht="21" customHeight="1" x14ac:dyDescent="0.25">
      <c r="A27" s="70">
        <v>308</v>
      </c>
      <c r="B27" s="4" t="s">
        <v>23</v>
      </c>
      <c r="C27" s="52"/>
      <c r="D27" s="71">
        <v>974418894</v>
      </c>
      <c r="E27" s="71" t="s">
        <v>764</v>
      </c>
      <c r="F27" s="105"/>
      <c r="G27" s="72">
        <v>308</v>
      </c>
      <c r="H27" s="9">
        <v>33.200000000000003</v>
      </c>
      <c r="I27" s="9">
        <v>33.200000000000003</v>
      </c>
      <c r="J27" s="27">
        <v>0.26939000000000002</v>
      </c>
      <c r="K27" s="73">
        <v>2.6939000000000004E-3</v>
      </c>
      <c r="L27" s="74"/>
      <c r="M27" s="8"/>
      <c r="N27" s="27">
        <v>0</v>
      </c>
      <c r="O27" s="73">
        <v>0</v>
      </c>
      <c r="P27" s="74"/>
      <c r="Q27" s="8"/>
      <c r="R27" s="8">
        <v>0</v>
      </c>
      <c r="S27" s="73">
        <v>0</v>
      </c>
      <c r="T27" s="33"/>
    </row>
    <row r="28" spans="1:20" ht="21" customHeight="1" x14ac:dyDescent="0.25">
      <c r="A28" s="70">
        <v>309</v>
      </c>
      <c r="B28" s="51" t="s">
        <v>645</v>
      </c>
      <c r="C28" s="75" t="s">
        <v>646</v>
      </c>
      <c r="D28" s="75">
        <v>985053882</v>
      </c>
      <c r="E28" s="71" t="s">
        <v>647</v>
      </c>
      <c r="F28" s="106"/>
      <c r="G28" s="76">
        <v>309</v>
      </c>
      <c r="H28" s="52">
        <v>44.45</v>
      </c>
      <c r="I28" s="52">
        <v>44.45</v>
      </c>
      <c r="J28" s="49">
        <v>0.26939000000000002</v>
      </c>
      <c r="K28" s="77">
        <v>2.6939000000000004E-3</v>
      </c>
      <c r="L28" s="78" t="s">
        <v>531</v>
      </c>
      <c r="M28" s="50">
        <v>0</v>
      </c>
      <c r="N28" s="49">
        <v>0.12690000000000001</v>
      </c>
      <c r="O28" s="77">
        <v>1.2690000000000002E-3</v>
      </c>
      <c r="P28" s="78"/>
      <c r="Q28" s="50"/>
      <c r="R28" s="50">
        <v>0</v>
      </c>
      <c r="S28" s="77">
        <v>0</v>
      </c>
      <c r="T28" s="33"/>
    </row>
    <row r="29" spans="1:20" ht="21" customHeight="1" x14ac:dyDescent="0.25">
      <c r="A29" s="70">
        <v>310</v>
      </c>
      <c r="B29" s="51" t="s">
        <v>24</v>
      </c>
      <c r="C29" s="75">
        <v>45471993</v>
      </c>
      <c r="D29" s="75">
        <v>999941526</v>
      </c>
      <c r="E29" s="71" t="s">
        <v>648</v>
      </c>
      <c r="F29" s="106"/>
      <c r="G29" s="76">
        <v>310</v>
      </c>
      <c r="H29" s="53">
        <v>81</v>
      </c>
      <c r="I29" s="53">
        <v>81</v>
      </c>
      <c r="J29" s="49">
        <v>0.44973999999999997</v>
      </c>
      <c r="K29" s="77">
        <v>4.4973999999999995E-3</v>
      </c>
      <c r="L29" s="78" t="s">
        <v>345</v>
      </c>
      <c r="M29" s="50">
        <v>0</v>
      </c>
      <c r="N29" s="49">
        <v>0.12690000000000001</v>
      </c>
      <c r="O29" s="77">
        <v>1.2690000000000002E-3</v>
      </c>
      <c r="P29" s="78"/>
      <c r="Q29" s="50"/>
      <c r="R29" s="50">
        <v>0</v>
      </c>
      <c r="S29" s="77">
        <v>0</v>
      </c>
      <c r="T29" s="33"/>
    </row>
    <row r="30" spans="1:20" ht="21" customHeight="1" x14ac:dyDescent="0.25">
      <c r="A30" s="70">
        <v>311</v>
      </c>
      <c r="B30" s="6" t="s">
        <v>511</v>
      </c>
      <c r="C30" s="71"/>
      <c r="D30" s="71">
        <v>969352768</v>
      </c>
      <c r="E30" s="71" t="s">
        <v>769</v>
      </c>
      <c r="F30" s="104"/>
      <c r="G30" s="72">
        <v>311</v>
      </c>
      <c r="H30" s="9">
        <v>33</v>
      </c>
      <c r="I30" s="9">
        <v>33</v>
      </c>
      <c r="J30" s="27">
        <v>0.26939000000000002</v>
      </c>
      <c r="K30" s="73">
        <v>2.6939000000000004E-3</v>
      </c>
      <c r="L30" s="74"/>
      <c r="M30" s="8"/>
      <c r="N30" s="27">
        <v>0</v>
      </c>
      <c r="O30" s="73">
        <v>0</v>
      </c>
      <c r="P30" s="74"/>
      <c r="Q30" s="8"/>
      <c r="R30" s="8">
        <v>0</v>
      </c>
      <c r="S30" s="73">
        <v>0</v>
      </c>
      <c r="T30" s="33"/>
    </row>
    <row r="31" spans="1:20" ht="21" customHeight="1" x14ac:dyDescent="0.25">
      <c r="A31" s="70">
        <v>312</v>
      </c>
      <c r="B31" s="51" t="s">
        <v>312</v>
      </c>
      <c r="C31" s="75"/>
      <c r="D31" s="75"/>
      <c r="E31" s="71" t="s">
        <v>770</v>
      </c>
      <c r="F31" s="106"/>
      <c r="G31" s="76">
        <v>312</v>
      </c>
      <c r="H31" s="53">
        <v>74.599999999999994</v>
      </c>
      <c r="I31" s="53">
        <v>74.599999999999994</v>
      </c>
      <c r="J31" s="49">
        <v>0.44973999999999997</v>
      </c>
      <c r="K31" s="77">
        <v>4.4973999999999995E-3</v>
      </c>
      <c r="L31" s="78" t="s">
        <v>313</v>
      </c>
      <c r="M31" s="50">
        <v>0</v>
      </c>
      <c r="N31" s="49">
        <v>0.12690000000000001</v>
      </c>
      <c r="O31" s="77">
        <v>1.2690000000000002E-3</v>
      </c>
      <c r="P31" s="78"/>
      <c r="Q31" s="50"/>
      <c r="R31" s="50">
        <v>0</v>
      </c>
      <c r="S31" s="77">
        <v>0</v>
      </c>
      <c r="T31" s="33"/>
    </row>
    <row r="32" spans="1:20" ht="21" customHeight="1" x14ac:dyDescent="0.25">
      <c r="A32" s="70">
        <v>401</v>
      </c>
      <c r="B32" s="51" t="s">
        <v>25</v>
      </c>
      <c r="C32" s="75"/>
      <c r="D32" s="75"/>
      <c r="E32" s="71" t="s">
        <v>771</v>
      </c>
      <c r="F32" s="106"/>
      <c r="G32" s="76">
        <v>401</v>
      </c>
      <c r="H32" s="53">
        <v>92.5</v>
      </c>
      <c r="I32" s="53">
        <v>92.5</v>
      </c>
      <c r="J32" s="49">
        <v>0.56772999999999996</v>
      </c>
      <c r="K32" s="77">
        <v>5.6772999999999997E-3</v>
      </c>
      <c r="L32" s="78" t="s">
        <v>432</v>
      </c>
      <c r="M32" s="50">
        <v>0</v>
      </c>
      <c r="N32" s="49">
        <v>0.12690000000000001</v>
      </c>
      <c r="O32" s="77">
        <v>1.2690000000000002E-3</v>
      </c>
      <c r="P32" s="78"/>
      <c r="Q32" s="50"/>
      <c r="R32" s="50">
        <v>0</v>
      </c>
      <c r="S32" s="77">
        <v>0</v>
      </c>
      <c r="T32" s="33"/>
    </row>
    <row r="33" spans="1:20" ht="21" customHeight="1" x14ac:dyDescent="0.25">
      <c r="A33" s="70">
        <v>402</v>
      </c>
      <c r="B33" s="4" t="s">
        <v>26</v>
      </c>
      <c r="C33" s="52"/>
      <c r="D33" s="52"/>
      <c r="E33" s="71" t="s">
        <v>772</v>
      </c>
      <c r="F33" s="105"/>
      <c r="G33" s="76">
        <v>402</v>
      </c>
      <c r="H33" s="52">
        <v>77.05</v>
      </c>
      <c r="I33" s="52">
        <v>77.05</v>
      </c>
      <c r="J33" s="49">
        <v>0.44973999999999997</v>
      </c>
      <c r="K33" s="77">
        <v>4.4973999999999995E-3</v>
      </c>
      <c r="L33" s="78" t="s">
        <v>519</v>
      </c>
      <c r="M33" s="50">
        <v>0</v>
      </c>
      <c r="N33" s="49">
        <v>0.12690000000000001</v>
      </c>
      <c r="O33" s="77">
        <v>1.2690000000000002E-3</v>
      </c>
      <c r="P33" s="78"/>
      <c r="Q33" s="50"/>
      <c r="R33" s="50">
        <v>0</v>
      </c>
      <c r="S33" s="77">
        <v>0</v>
      </c>
      <c r="T33" s="33"/>
    </row>
    <row r="34" spans="1:20" ht="21" customHeight="1" x14ac:dyDescent="0.25">
      <c r="A34" s="70">
        <v>403</v>
      </c>
      <c r="B34" s="51" t="s">
        <v>18</v>
      </c>
      <c r="C34" s="75"/>
      <c r="D34" s="75"/>
      <c r="E34" s="71" t="s">
        <v>773</v>
      </c>
      <c r="F34" s="106"/>
      <c r="G34" s="76">
        <v>403</v>
      </c>
      <c r="H34" s="53">
        <v>68</v>
      </c>
      <c r="I34" s="53">
        <v>68</v>
      </c>
      <c r="J34" s="49">
        <v>0.44973999999999997</v>
      </c>
      <c r="K34" s="77">
        <v>4.4973999999999995E-3</v>
      </c>
      <c r="L34" s="78" t="s">
        <v>323</v>
      </c>
      <c r="M34" s="50">
        <v>0</v>
      </c>
      <c r="N34" s="49">
        <v>0.12690000000000001</v>
      </c>
      <c r="O34" s="77">
        <v>1.2690000000000002E-3</v>
      </c>
      <c r="P34" s="78"/>
      <c r="Q34" s="50"/>
      <c r="R34" s="50">
        <v>0</v>
      </c>
      <c r="S34" s="77">
        <v>0</v>
      </c>
      <c r="T34" s="33"/>
    </row>
    <row r="35" spans="1:20" ht="21" customHeight="1" x14ac:dyDescent="0.25">
      <c r="A35" s="70">
        <v>404</v>
      </c>
      <c r="B35" s="51" t="s">
        <v>27</v>
      </c>
      <c r="C35" s="75">
        <v>45919392</v>
      </c>
      <c r="D35" s="75">
        <v>947948940</v>
      </c>
      <c r="E35" s="71" t="s">
        <v>649</v>
      </c>
      <c r="F35" s="106"/>
      <c r="G35" s="76">
        <v>404</v>
      </c>
      <c r="H35" s="52">
        <v>76.150000000000006</v>
      </c>
      <c r="I35" s="52">
        <v>76.150000000000006</v>
      </c>
      <c r="J35" s="49">
        <v>0.44973999999999997</v>
      </c>
      <c r="K35" s="77">
        <v>4.4973999999999995E-3</v>
      </c>
      <c r="L35" s="78" t="s">
        <v>310</v>
      </c>
      <c r="M35" s="50">
        <v>0</v>
      </c>
      <c r="N35" s="49">
        <v>0.12690000000000001</v>
      </c>
      <c r="O35" s="77">
        <v>1.2690000000000002E-3</v>
      </c>
      <c r="P35" s="78"/>
      <c r="Q35" s="50"/>
      <c r="R35" s="50">
        <v>0</v>
      </c>
      <c r="S35" s="77">
        <v>0</v>
      </c>
      <c r="T35" s="33"/>
    </row>
    <row r="36" spans="1:20" ht="21" customHeight="1" x14ac:dyDescent="0.25">
      <c r="A36" s="70">
        <v>405</v>
      </c>
      <c r="B36" s="51" t="s">
        <v>859</v>
      </c>
      <c r="C36" s="75"/>
      <c r="D36" s="75"/>
      <c r="E36" s="71" t="s">
        <v>774</v>
      </c>
      <c r="F36" s="106"/>
      <c r="G36" s="76">
        <v>405</v>
      </c>
      <c r="H36" s="52">
        <v>78.95</v>
      </c>
      <c r="I36" s="52">
        <v>78.95</v>
      </c>
      <c r="J36" s="49">
        <v>0.44973999999999997</v>
      </c>
      <c r="K36" s="77">
        <v>4.4973999999999995E-3</v>
      </c>
      <c r="L36" s="78" t="s">
        <v>509</v>
      </c>
      <c r="M36" s="50">
        <v>0</v>
      </c>
      <c r="N36" s="49">
        <v>0.12690000000000001</v>
      </c>
      <c r="O36" s="77">
        <v>1.2690000000000002E-3</v>
      </c>
      <c r="P36" s="78" t="s">
        <v>508</v>
      </c>
      <c r="Q36" s="50">
        <v>0</v>
      </c>
      <c r="R36" s="50">
        <v>3.6749999999999998E-2</v>
      </c>
      <c r="S36" s="77">
        <v>3.6749999999999999E-4</v>
      </c>
      <c r="T36" s="33"/>
    </row>
    <row r="37" spans="1:20" ht="21" customHeight="1" x14ac:dyDescent="0.25">
      <c r="A37" s="70">
        <v>406</v>
      </c>
      <c r="B37" s="51" t="s">
        <v>315</v>
      </c>
      <c r="C37" s="75"/>
      <c r="D37" s="75"/>
      <c r="E37" s="71" t="s">
        <v>775</v>
      </c>
      <c r="F37" s="106"/>
      <c r="G37" s="76">
        <v>406</v>
      </c>
      <c r="H37" s="52">
        <v>43.35</v>
      </c>
      <c r="I37" s="52">
        <v>43.35</v>
      </c>
      <c r="J37" s="49">
        <v>0.26939000000000002</v>
      </c>
      <c r="K37" s="77">
        <v>2.6939000000000004E-3</v>
      </c>
      <c r="L37" s="78" t="s">
        <v>316</v>
      </c>
      <c r="M37" s="50">
        <v>0</v>
      </c>
      <c r="N37" s="49">
        <v>0.12690000000000001</v>
      </c>
      <c r="O37" s="77">
        <v>1.2690000000000002E-3</v>
      </c>
      <c r="P37" s="78"/>
      <c r="Q37" s="50"/>
      <c r="R37" s="50">
        <v>0</v>
      </c>
      <c r="S37" s="77">
        <v>0</v>
      </c>
      <c r="T37" s="33"/>
    </row>
    <row r="38" spans="1:20" ht="21" customHeight="1" x14ac:dyDescent="0.25">
      <c r="A38" s="70">
        <v>407</v>
      </c>
      <c r="B38" s="51" t="s">
        <v>28</v>
      </c>
      <c r="C38" s="75">
        <v>47608787</v>
      </c>
      <c r="D38" s="75">
        <v>930529597</v>
      </c>
      <c r="E38" s="71" t="s">
        <v>651</v>
      </c>
      <c r="F38" s="106"/>
      <c r="G38" s="76">
        <v>407</v>
      </c>
      <c r="H38" s="52">
        <v>66.45</v>
      </c>
      <c r="I38" s="52">
        <v>66.45</v>
      </c>
      <c r="J38" s="49">
        <v>0.44973999999999997</v>
      </c>
      <c r="K38" s="77">
        <v>4.4974000000000004E-3</v>
      </c>
      <c r="L38" s="78" t="s">
        <v>241</v>
      </c>
      <c r="M38" s="50">
        <v>0</v>
      </c>
      <c r="N38" s="49">
        <v>0.12690000000000001</v>
      </c>
      <c r="O38" s="77">
        <v>1.2689999999999999E-3</v>
      </c>
      <c r="P38" s="78"/>
      <c r="Q38" s="50"/>
      <c r="R38" s="50">
        <v>0</v>
      </c>
      <c r="S38" s="77">
        <v>0</v>
      </c>
      <c r="T38" s="33"/>
    </row>
    <row r="39" spans="1:20" ht="21" customHeight="1" x14ac:dyDescent="0.25">
      <c r="A39" s="70">
        <v>408</v>
      </c>
      <c r="B39" s="5" t="s">
        <v>650</v>
      </c>
      <c r="C39" s="81">
        <v>73212521</v>
      </c>
      <c r="D39" s="81">
        <v>934562236</v>
      </c>
      <c r="E39" s="71" t="s">
        <v>652</v>
      </c>
      <c r="F39" s="110"/>
      <c r="G39" s="72">
        <v>408</v>
      </c>
      <c r="H39" s="9">
        <v>33.200000000000003</v>
      </c>
      <c r="I39" s="9">
        <v>33.200000000000003</v>
      </c>
      <c r="J39" s="27">
        <v>0.26939000000000002</v>
      </c>
      <c r="K39" s="73">
        <v>2.6939000000000004E-3</v>
      </c>
      <c r="L39" s="74"/>
      <c r="M39" s="8"/>
      <c r="N39" s="27">
        <v>0</v>
      </c>
      <c r="O39" s="73">
        <v>0</v>
      </c>
      <c r="P39" s="74"/>
      <c r="Q39" s="8"/>
      <c r="R39" s="8">
        <v>0</v>
      </c>
      <c r="S39" s="73">
        <v>0</v>
      </c>
      <c r="T39" s="33"/>
    </row>
    <row r="40" spans="1:20" ht="21" customHeight="1" x14ac:dyDescent="0.25">
      <c r="A40" s="70">
        <v>409</v>
      </c>
      <c r="B40" s="4" t="s">
        <v>30</v>
      </c>
      <c r="C40" s="52">
        <v>41835915</v>
      </c>
      <c r="D40" s="52">
        <v>971120913</v>
      </c>
      <c r="E40" s="71" t="s">
        <v>653</v>
      </c>
      <c r="F40" s="105"/>
      <c r="G40" s="72">
        <v>409</v>
      </c>
      <c r="H40" s="7">
        <v>44.45</v>
      </c>
      <c r="I40" s="7">
        <v>44.45</v>
      </c>
      <c r="J40" s="27">
        <v>0.26939000000000002</v>
      </c>
      <c r="K40" s="73">
        <v>2.6939000000000004E-3</v>
      </c>
      <c r="L40" s="74"/>
      <c r="M40" s="8"/>
      <c r="N40" s="27">
        <v>0</v>
      </c>
      <c r="O40" s="73">
        <v>0</v>
      </c>
      <c r="P40" s="74"/>
      <c r="Q40" s="8"/>
      <c r="R40" s="8">
        <v>0</v>
      </c>
      <c r="S40" s="73">
        <v>0</v>
      </c>
      <c r="T40" s="33"/>
    </row>
    <row r="41" spans="1:20" ht="21" customHeight="1" x14ac:dyDescent="0.25">
      <c r="A41" s="70">
        <v>410</v>
      </c>
      <c r="B41" s="51" t="s">
        <v>31</v>
      </c>
      <c r="C41" s="75">
        <v>10658877</v>
      </c>
      <c r="D41" s="75">
        <v>985825915</v>
      </c>
      <c r="E41" s="71" t="s">
        <v>654</v>
      </c>
      <c r="F41" s="106"/>
      <c r="G41" s="76">
        <v>410</v>
      </c>
      <c r="H41" s="53">
        <v>81</v>
      </c>
      <c r="I41" s="53">
        <v>81</v>
      </c>
      <c r="J41" s="49">
        <v>0.44973999999999997</v>
      </c>
      <c r="K41" s="77">
        <v>4.4973999999999995E-3</v>
      </c>
      <c r="L41" s="78" t="s">
        <v>263</v>
      </c>
      <c r="M41" s="50">
        <v>0</v>
      </c>
      <c r="N41" s="49">
        <v>0.12690000000000001</v>
      </c>
      <c r="O41" s="77">
        <v>1.2690000000000002E-3</v>
      </c>
      <c r="P41" s="78"/>
      <c r="Q41" s="50"/>
      <c r="R41" s="50">
        <v>0</v>
      </c>
      <c r="S41" s="77">
        <v>0</v>
      </c>
      <c r="T41" s="33"/>
    </row>
    <row r="42" spans="1:20" ht="21" customHeight="1" x14ac:dyDescent="0.25">
      <c r="A42" s="70">
        <v>411</v>
      </c>
      <c r="B42" s="4" t="s">
        <v>32</v>
      </c>
      <c r="C42" s="52"/>
      <c r="D42" s="52"/>
      <c r="E42" s="71"/>
      <c r="F42" s="105"/>
      <c r="G42" s="76">
        <v>411</v>
      </c>
      <c r="H42" s="53">
        <v>33</v>
      </c>
      <c r="I42" s="53">
        <v>33</v>
      </c>
      <c r="J42" s="49">
        <v>0.26939000000000002</v>
      </c>
      <c r="K42" s="77">
        <v>2.6939000000000004E-3</v>
      </c>
      <c r="L42" s="78" t="s">
        <v>411</v>
      </c>
      <c r="M42" s="50">
        <v>0</v>
      </c>
      <c r="N42" s="49">
        <v>0.12690000000000001</v>
      </c>
      <c r="O42" s="77">
        <v>1.2690000000000002E-3</v>
      </c>
      <c r="P42" s="78"/>
      <c r="Q42" s="50"/>
      <c r="R42" s="50">
        <v>0</v>
      </c>
      <c r="S42" s="77">
        <v>0</v>
      </c>
      <c r="T42" s="33"/>
    </row>
    <row r="43" spans="1:20" ht="21" customHeight="1" x14ac:dyDescent="0.25">
      <c r="A43" s="70">
        <v>412</v>
      </c>
      <c r="B43" s="6" t="s">
        <v>33</v>
      </c>
      <c r="C43" s="71"/>
      <c r="D43" s="71"/>
      <c r="E43" s="71" t="s">
        <v>776</v>
      </c>
      <c r="F43" s="104"/>
      <c r="G43" s="72">
        <v>412</v>
      </c>
      <c r="H43" s="9">
        <v>74.599999999999994</v>
      </c>
      <c r="I43" s="9">
        <v>74.599999999999994</v>
      </c>
      <c r="J43" s="27">
        <v>0.44973999999999997</v>
      </c>
      <c r="K43" s="73">
        <v>4.4973999999999995E-3</v>
      </c>
      <c r="L43" s="74"/>
      <c r="M43" s="8"/>
      <c r="N43" s="27">
        <v>0</v>
      </c>
      <c r="O43" s="73">
        <v>0</v>
      </c>
      <c r="P43" s="74"/>
      <c r="Q43" s="8"/>
      <c r="R43" s="8">
        <v>0</v>
      </c>
      <c r="S43" s="73">
        <v>0</v>
      </c>
      <c r="T43" s="33"/>
    </row>
    <row r="44" spans="1:20" ht="21" customHeight="1" x14ac:dyDescent="0.25">
      <c r="A44" s="70">
        <v>501</v>
      </c>
      <c r="B44" s="4" t="s">
        <v>655</v>
      </c>
      <c r="C44" s="52">
        <v>21419868</v>
      </c>
      <c r="D44" s="52">
        <v>956664000</v>
      </c>
      <c r="E44" s="71" t="s">
        <v>656</v>
      </c>
      <c r="F44" s="105"/>
      <c r="G44" s="76">
        <v>501</v>
      </c>
      <c r="H44" s="53">
        <v>92.5</v>
      </c>
      <c r="I44" s="53">
        <v>92.5</v>
      </c>
      <c r="J44" s="49">
        <v>0.56772999999999996</v>
      </c>
      <c r="K44" s="77">
        <v>5.6772999999999997E-3</v>
      </c>
      <c r="L44" s="78" t="s">
        <v>293</v>
      </c>
      <c r="M44" s="50">
        <v>0</v>
      </c>
      <c r="N44" s="49">
        <v>0.12690000000000001</v>
      </c>
      <c r="O44" s="77">
        <v>1.2690000000000002E-3</v>
      </c>
      <c r="P44" s="78"/>
      <c r="Q44" s="50"/>
      <c r="R44" s="50">
        <v>0</v>
      </c>
      <c r="S44" s="77">
        <v>0</v>
      </c>
      <c r="T44" s="33"/>
    </row>
    <row r="45" spans="1:20" ht="21" customHeight="1" x14ac:dyDescent="0.25">
      <c r="A45" s="70">
        <v>502</v>
      </c>
      <c r="B45" s="4" t="s">
        <v>35</v>
      </c>
      <c r="C45" s="52">
        <v>44115165</v>
      </c>
      <c r="D45" s="52">
        <v>980413558</v>
      </c>
      <c r="E45" s="71" t="s">
        <v>657</v>
      </c>
      <c r="F45" s="105"/>
      <c r="G45" s="76">
        <v>502</v>
      </c>
      <c r="H45" s="52">
        <v>77.05</v>
      </c>
      <c r="I45" s="52">
        <v>77.05</v>
      </c>
      <c r="J45" s="49">
        <v>0.44973999999999997</v>
      </c>
      <c r="K45" s="77">
        <v>4.4973999999999995E-3</v>
      </c>
      <c r="L45" s="78" t="s">
        <v>555</v>
      </c>
      <c r="M45" s="50">
        <v>0</v>
      </c>
      <c r="N45" s="49">
        <v>0.12690000000000001</v>
      </c>
      <c r="O45" s="77">
        <v>1.2690000000000002E-3</v>
      </c>
      <c r="P45" s="78"/>
      <c r="Q45" s="50"/>
      <c r="R45" s="50">
        <v>0</v>
      </c>
      <c r="S45" s="77">
        <v>0</v>
      </c>
      <c r="T45" s="33"/>
    </row>
    <row r="46" spans="1:20" ht="21" customHeight="1" x14ac:dyDescent="0.25">
      <c r="A46" s="70">
        <v>503</v>
      </c>
      <c r="B46" s="51" t="s">
        <v>36</v>
      </c>
      <c r="C46" s="75"/>
      <c r="D46" s="75"/>
      <c r="E46" s="71" t="s">
        <v>777</v>
      </c>
      <c r="F46" s="106"/>
      <c r="G46" s="76">
        <v>503</v>
      </c>
      <c r="H46" s="53">
        <v>68</v>
      </c>
      <c r="I46" s="53">
        <v>68</v>
      </c>
      <c r="J46" s="49">
        <v>0.44973999999999997</v>
      </c>
      <c r="K46" s="77">
        <v>4.4973999999999995E-3</v>
      </c>
      <c r="L46" s="78" t="s">
        <v>258</v>
      </c>
      <c r="M46" s="50">
        <v>0</v>
      </c>
      <c r="N46" s="49">
        <v>0.12690000000000001</v>
      </c>
      <c r="O46" s="77">
        <v>1.2690000000000002E-3</v>
      </c>
      <c r="P46" s="78"/>
      <c r="Q46" s="50"/>
      <c r="R46" s="50">
        <v>0</v>
      </c>
      <c r="S46" s="77">
        <v>0</v>
      </c>
      <c r="T46" s="33"/>
    </row>
    <row r="47" spans="1:20" ht="21" customHeight="1" x14ac:dyDescent="0.25">
      <c r="A47" s="70">
        <v>504</v>
      </c>
      <c r="B47" s="4" t="s">
        <v>37</v>
      </c>
      <c r="C47" s="52"/>
      <c r="D47" s="52"/>
      <c r="E47" s="71"/>
      <c r="F47" s="105"/>
      <c r="G47" s="76">
        <v>504</v>
      </c>
      <c r="H47" s="52">
        <v>76.150000000000006</v>
      </c>
      <c r="I47" s="52">
        <v>76.150000000000006</v>
      </c>
      <c r="J47" s="49">
        <v>0.44973999999999997</v>
      </c>
      <c r="K47" s="77">
        <v>4.4973999999999995E-3</v>
      </c>
      <c r="L47" s="78" t="s">
        <v>588</v>
      </c>
      <c r="M47" s="50">
        <v>0</v>
      </c>
      <c r="N47" s="49">
        <v>0.12690000000000001</v>
      </c>
      <c r="O47" s="77">
        <v>1.2690000000000002E-3</v>
      </c>
      <c r="P47" s="78"/>
      <c r="Q47" s="50"/>
      <c r="R47" s="50">
        <v>0</v>
      </c>
      <c r="S47" s="77">
        <v>0</v>
      </c>
      <c r="T47" s="33"/>
    </row>
    <row r="48" spans="1:20" ht="21" customHeight="1" x14ac:dyDescent="0.25">
      <c r="A48" s="70">
        <v>505</v>
      </c>
      <c r="B48" s="51" t="s">
        <v>557</v>
      </c>
      <c r="C48" s="75"/>
      <c r="D48" s="75"/>
      <c r="E48" s="71" t="s">
        <v>778</v>
      </c>
      <c r="F48" s="106"/>
      <c r="G48" s="76">
        <v>505</v>
      </c>
      <c r="H48" s="52">
        <v>78.95</v>
      </c>
      <c r="I48" s="52">
        <v>78.95</v>
      </c>
      <c r="J48" s="49">
        <v>0.44973999999999997</v>
      </c>
      <c r="K48" s="77">
        <v>4.4973999999999995E-3</v>
      </c>
      <c r="L48" s="78" t="s">
        <v>558</v>
      </c>
      <c r="M48" s="50">
        <v>0</v>
      </c>
      <c r="N48" s="49">
        <v>0.12690000000000001</v>
      </c>
      <c r="O48" s="77">
        <v>1.2690000000000002E-3</v>
      </c>
      <c r="P48" s="78"/>
      <c r="Q48" s="50"/>
      <c r="R48" s="50">
        <v>0</v>
      </c>
      <c r="S48" s="77">
        <v>0</v>
      </c>
      <c r="T48" s="33"/>
    </row>
    <row r="49" spans="1:20" ht="21" customHeight="1" x14ac:dyDescent="0.25">
      <c r="A49" s="70">
        <v>506</v>
      </c>
      <c r="B49" s="4" t="s">
        <v>38</v>
      </c>
      <c r="C49" s="52">
        <v>44949569</v>
      </c>
      <c r="D49" s="52">
        <v>959402203</v>
      </c>
      <c r="E49" s="71" t="s">
        <v>757</v>
      </c>
      <c r="F49" s="105"/>
      <c r="G49" s="76">
        <v>506</v>
      </c>
      <c r="H49" s="52">
        <v>43.35</v>
      </c>
      <c r="I49" s="52">
        <v>43.35</v>
      </c>
      <c r="J49" s="49">
        <v>0.26939000000000002</v>
      </c>
      <c r="K49" s="77">
        <v>2.6939000000000004E-3</v>
      </c>
      <c r="L49" s="78" t="s">
        <v>382</v>
      </c>
      <c r="M49" s="50">
        <v>0</v>
      </c>
      <c r="N49" s="49">
        <v>0.12690000000000001</v>
      </c>
      <c r="O49" s="77">
        <v>1.2690000000000002E-3</v>
      </c>
      <c r="P49" s="78"/>
      <c r="Q49" s="50"/>
      <c r="R49" s="50">
        <v>0</v>
      </c>
      <c r="S49" s="77">
        <v>0</v>
      </c>
      <c r="T49" s="33"/>
    </row>
    <row r="50" spans="1:20" ht="21" customHeight="1" x14ac:dyDescent="0.25">
      <c r="A50" s="70">
        <v>507</v>
      </c>
      <c r="B50" s="6" t="s">
        <v>39</v>
      </c>
      <c r="C50" s="71"/>
      <c r="D50" s="71"/>
      <c r="E50" s="71" t="s">
        <v>779</v>
      </c>
      <c r="F50" s="104"/>
      <c r="G50" s="72">
        <v>507</v>
      </c>
      <c r="H50" s="7">
        <v>66.45</v>
      </c>
      <c r="I50" s="7">
        <v>66.45</v>
      </c>
      <c r="J50" s="27">
        <v>0.44973999999999997</v>
      </c>
      <c r="K50" s="73">
        <v>4.4973999999999995E-3</v>
      </c>
      <c r="L50" s="74"/>
      <c r="M50" s="8"/>
      <c r="N50" s="27">
        <v>0</v>
      </c>
      <c r="O50" s="73">
        <v>0</v>
      </c>
      <c r="P50" s="74"/>
      <c r="Q50" s="8"/>
      <c r="R50" s="8">
        <v>0</v>
      </c>
      <c r="S50" s="73">
        <v>0</v>
      </c>
      <c r="T50" s="33"/>
    </row>
    <row r="51" spans="1:20" ht="21" customHeight="1" x14ac:dyDescent="0.25">
      <c r="A51" s="70">
        <v>508</v>
      </c>
      <c r="B51" s="4" t="s">
        <v>658</v>
      </c>
      <c r="C51" s="52">
        <v>4447908</v>
      </c>
      <c r="D51" s="52">
        <v>913277137</v>
      </c>
      <c r="E51" s="71" t="s">
        <v>659</v>
      </c>
      <c r="F51" s="105"/>
      <c r="G51" s="72">
        <v>508</v>
      </c>
      <c r="H51" s="9">
        <v>33.200000000000003</v>
      </c>
      <c r="I51" s="9">
        <v>33.200000000000003</v>
      </c>
      <c r="J51" s="27">
        <v>0.26939000000000002</v>
      </c>
      <c r="K51" s="73">
        <v>2.6939000000000004E-3</v>
      </c>
      <c r="L51" s="74"/>
      <c r="M51" s="8"/>
      <c r="N51" s="27">
        <v>0</v>
      </c>
      <c r="O51" s="73">
        <v>0</v>
      </c>
      <c r="P51" s="74" t="s">
        <v>362</v>
      </c>
      <c r="Q51" s="8">
        <v>0</v>
      </c>
      <c r="R51" s="8">
        <v>3.6749999999999998E-2</v>
      </c>
      <c r="S51" s="73">
        <v>3.6749999999999999E-4</v>
      </c>
      <c r="T51" s="33"/>
    </row>
    <row r="52" spans="1:20" ht="21" customHeight="1" x14ac:dyDescent="0.25">
      <c r="A52" s="70">
        <v>509</v>
      </c>
      <c r="B52" s="51" t="s">
        <v>456</v>
      </c>
      <c r="C52" s="75"/>
      <c r="D52" s="75"/>
      <c r="E52" s="71" t="s">
        <v>780</v>
      </c>
      <c r="F52" s="106"/>
      <c r="G52" s="76">
        <v>509</v>
      </c>
      <c r="H52" s="52">
        <v>44.45</v>
      </c>
      <c r="I52" s="52">
        <v>44.45</v>
      </c>
      <c r="J52" s="49">
        <v>0.26939000000000002</v>
      </c>
      <c r="K52" s="77">
        <v>2.6939000000000004E-3</v>
      </c>
      <c r="L52" s="78" t="s">
        <v>458</v>
      </c>
      <c r="M52" s="50">
        <v>0</v>
      </c>
      <c r="N52" s="49">
        <v>0.12690000000000001</v>
      </c>
      <c r="O52" s="77">
        <v>1.2690000000000002E-3</v>
      </c>
      <c r="P52" s="78" t="s">
        <v>457</v>
      </c>
      <c r="Q52" s="50">
        <v>0</v>
      </c>
      <c r="R52" s="50">
        <v>3.6749999999999998E-2</v>
      </c>
      <c r="S52" s="77">
        <v>3.6749999999999999E-4</v>
      </c>
      <c r="T52" s="33"/>
    </row>
    <row r="53" spans="1:20" ht="21" customHeight="1" x14ac:dyDescent="0.25">
      <c r="A53" s="70">
        <v>510</v>
      </c>
      <c r="B53" s="6" t="s">
        <v>248</v>
      </c>
      <c r="C53" s="71"/>
      <c r="D53" s="71"/>
      <c r="E53" s="71" t="s">
        <v>781</v>
      </c>
      <c r="F53" s="104"/>
      <c r="G53" s="72">
        <v>510</v>
      </c>
      <c r="H53" s="9">
        <v>81</v>
      </c>
      <c r="I53" s="9">
        <v>81</v>
      </c>
      <c r="J53" s="27">
        <v>0.44973999999999997</v>
      </c>
      <c r="K53" s="73">
        <v>4.4973999999999995E-3</v>
      </c>
      <c r="L53" s="74"/>
      <c r="M53" s="8"/>
      <c r="N53" s="27">
        <v>0</v>
      </c>
      <c r="O53" s="73">
        <v>0</v>
      </c>
      <c r="P53" s="74"/>
      <c r="Q53" s="8"/>
      <c r="R53" s="8">
        <v>0</v>
      </c>
      <c r="S53" s="73">
        <v>0</v>
      </c>
      <c r="T53" s="33"/>
    </row>
    <row r="54" spans="1:20" ht="21" customHeight="1" x14ac:dyDescent="0.25">
      <c r="A54" s="70">
        <v>511</v>
      </c>
      <c r="B54" s="6" t="s">
        <v>41</v>
      </c>
      <c r="C54" s="71"/>
      <c r="D54" s="71"/>
      <c r="E54" s="71" t="s">
        <v>782</v>
      </c>
      <c r="F54" s="104"/>
      <c r="G54" s="72">
        <v>511</v>
      </c>
      <c r="H54" s="9">
        <v>33</v>
      </c>
      <c r="I54" s="9">
        <v>33</v>
      </c>
      <c r="J54" s="27">
        <v>0.26939000000000002</v>
      </c>
      <c r="K54" s="73">
        <v>2.6939000000000004E-3</v>
      </c>
      <c r="L54" s="74"/>
      <c r="M54" s="8"/>
      <c r="N54" s="27">
        <v>0</v>
      </c>
      <c r="O54" s="73">
        <v>0</v>
      </c>
      <c r="P54" s="74"/>
      <c r="Q54" s="8"/>
      <c r="R54" s="8">
        <v>0</v>
      </c>
      <c r="S54" s="73">
        <v>0</v>
      </c>
      <c r="T54" s="33"/>
    </row>
    <row r="55" spans="1:20" ht="21" customHeight="1" x14ac:dyDescent="0.25">
      <c r="A55" s="70">
        <v>512</v>
      </c>
      <c r="B55" s="51" t="s">
        <v>354</v>
      </c>
      <c r="C55" s="75">
        <v>40706727</v>
      </c>
      <c r="D55" s="75">
        <v>960346717</v>
      </c>
      <c r="E55" s="71" t="s">
        <v>660</v>
      </c>
      <c r="F55" s="106"/>
      <c r="G55" s="76">
        <v>512</v>
      </c>
      <c r="H55" s="53">
        <v>74.599999999999994</v>
      </c>
      <c r="I55" s="53">
        <v>74.599999999999994</v>
      </c>
      <c r="J55" s="49">
        <v>0.44973999999999997</v>
      </c>
      <c r="K55" s="77">
        <v>4.4973999999999995E-3</v>
      </c>
      <c r="L55" s="78" t="s">
        <v>355</v>
      </c>
      <c r="M55" s="50">
        <v>0</v>
      </c>
      <c r="N55" s="49">
        <v>0.12690000000000001</v>
      </c>
      <c r="O55" s="77">
        <v>1.2690000000000002E-3</v>
      </c>
      <c r="P55" s="78"/>
      <c r="Q55" s="50"/>
      <c r="R55" s="50">
        <v>0</v>
      </c>
      <c r="S55" s="77">
        <v>0</v>
      </c>
      <c r="T55" s="33"/>
    </row>
    <row r="56" spans="1:20" ht="21" customHeight="1" x14ac:dyDescent="0.25">
      <c r="A56" s="70">
        <v>601</v>
      </c>
      <c r="B56" s="51" t="s">
        <v>42</v>
      </c>
      <c r="C56" s="75">
        <v>40372065</v>
      </c>
      <c r="D56" s="75">
        <v>989327897</v>
      </c>
      <c r="E56" s="71" t="s">
        <v>661</v>
      </c>
      <c r="F56" s="106"/>
      <c r="G56" s="76">
        <v>601</v>
      </c>
      <c r="H56" s="53">
        <v>92.5</v>
      </c>
      <c r="I56" s="53">
        <v>92.5</v>
      </c>
      <c r="J56" s="49">
        <v>0.56772999999999996</v>
      </c>
      <c r="K56" s="77">
        <v>5.6772999999999997E-3</v>
      </c>
      <c r="L56" s="78" t="s">
        <v>413</v>
      </c>
      <c r="M56" s="50">
        <v>0</v>
      </c>
      <c r="N56" s="49">
        <v>0.12690000000000001</v>
      </c>
      <c r="O56" s="77">
        <v>1.2690000000000002E-3</v>
      </c>
      <c r="P56" s="78"/>
      <c r="Q56" s="50"/>
      <c r="R56" s="50">
        <v>0</v>
      </c>
      <c r="S56" s="77">
        <v>0</v>
      </c>
      <c r="T56" s="33"/>
    </row>
    <row r="57" spans="1:20" ht="21" customHeight="1" x14ac:dyDescent="0.25">
      <c r="A57" s="70">
        <v>602</v>
      </c>
      <c r="B57" s="51" t="s">
        <v>43</v>
      </c>
      <c r="C57" s="75"/>
      <c r="D57" s="75"/>
      <c r="E57" s="71" t="s">
        <v>783</v>
      </c>
      <c r="F57" s="106"/>
      <c r="G57" s="76">
        <v>602</v>
      </c>
      <c r="H57" s="53">
        <v>77.05</v>
      </c>
      <c r="I57" s="53">
        <v>77.05</v>
      </c>
      <c r="J57" s="49">
        <v>0.44973999999999997</v>
      </c>
      <c r="K57" s="77">
        <v>4.4973999999999995E-3</v>
      </c>
      <c r="L57" s="78" t="s">
        <v>305</v>
      </c>
      <c r="M57" s="50">
        <v>0</v>
      </c>
      <c r="N57" s="49">
        <v>0.12690000000000001</v>
      </c>
      <c r="O57" s="77">
        <v>1.2690000000000002E-3</v>
      </c>
      <c r="P57" s="78"/>
      <c r="Q57" s="50"/>
      <c r="R57" s="50">
        <v>0</v>
      </c>
      <c r="S57" s="77">
        <v>0</v>
      </c>
      <c r="T57" s="33"/>
    </row>
    <row r="58" spans="1:20" ht="21" customHeight="1" x14ac:dyDescent="0.25">
      <c r="A58" s="70">
        <v>603</v>
      </c>
      <c r="B58" s="6" t="s">
        <v>44</v>
      </c>
      <c r="C58" s="71"/>
      <c r="D58" s="71"/>
      <c r="E58" s="71" t="s">
        <v>784</v>
      </c>
      <c r="F58" s="104"/>
      <c r="G58" s="72">
        <v>603</v>
      </c>
      <c r="H58" s="9">
        <v>68</v>
      </c>
      <c r="I58" s="9">
        <v>68</v>
      </c>
      <c r="J58" s="27">
        <v>0.44973999999999997</v>
      </c>
      <c r="K58" s="73">
        <v>4.4973999999999995E-3</v>
      </c>
      <c r="L58" s="74"/>
      <c r="M58" s="8"/>
      <c r="N58" s="27">
        <v>0</v>
      </c>
      <c r="O58" s="73">
        <v>0</v>
      </c>
      <c r="P58" s="74"/>
      <c r="Q58" s="8"/>
      <c r="R58" s="8">
        <v>0</v>
      </c>
      <c r="S58" s="73">
        <v>0</v>
      </c>
      <c r="T58" s="33"/>
    </row>
    <row r="59" spans="1:20" ht="21" customHeight="1" x14ac:dyDescent="0.25">
      <c r="A59" s="70">
        <v>604</v>
      </c>
      <c r="B59" s="51" t="s">
        <v>45</v>
      </c>
      <c r="C59" s="75"/>
      <c r="D59" s="75"/>
      <c r="E59" s="71" t="s">
        <v>785</v>
      </c>
      <c r="F59" s="106"/>
      <c r="G59" s="76">
        <v>604</v>
      </c>
      <c r="H59" s="53">
        <v>76.150000000000006</v>
      </c>
      <c r="I59" s="53">
        <v>76.150000000000006</v>
      </c>
      <c r="J59" s="49">
        <v>0.44973999999999997</v>
      </c>
      <c r="K59" s="77">
        <v>4.4973999999999995E-3</v>
      </c>
      <c r="L59" s="78" t="s">
        <v>284</v>
      </c>
      <c r="M59" s="50">
        <v>0</v>
      </c>
      <c r="N59" s="49">
        <v>0.12690000000000001</v>
      </c>
      <c r="O59" s="77">
        <v>1.2690000000000002E-3</v>
      </c>
      <c r="P59" s="78"/>
      <c r="Q59" s="50"/>
      <c r="R59" s="50">
        <v>0</v>
      </c>
      <c r="S59" s="77">
        <v>0</v>
      </c>
      <c r="T59" s="33"/>
    </row>
    <row r="60" spans="1:20" ht="21" customHeight="1" x14ac:dyDescent="0.25">
      <c r="A60" s="70">
        <v>605</v>
      </c>
      <c r="B60" s="51" t="s">
        <v>662</v>
      </c>
      <c r="C60" s="75">
        <v>10798739</v>
      </c>
      <c r="D60" s="75">
        <v>950894314</v>
      </c>
      <c r="E60" s="71" t="s">
        <v>665</v>
      </c>
      <c r="F60" s="106"/>
      <c r="G60" s="76">
        <v>605</v>
      </c>
      <c r="H60" s="53">
        <v>78.95</v>
      </c>
      <c r="I60" s="53">
        <v>78.95</v>
      </c>
      <c r="J60" s="49">
        <v>0.44973999999999997</v>
      </c>
      <c r="K60" s="77">
        <v>4.4973999999999995E-3</v>
      </c>
      <c r="L60" s="78" t="s">
        <v>567</v>
      </c>
      <c r="M60" s="50">
        <v>0</v>
      </c>
      <c r="N60" s="49">
        <v>0.12690000000000001</v>
      </c>
      <c r="O60" s="77">
        <v>1.2690000000000002E-3</v>
      </c>
      <c r="P60" s="79" t="s">
        <v>605</v>
      </c>
      <c r="Q60" s="50">
        <v>0</v>
      </c>
      <c r="R60" s="50">
        <v>7.3499999999999996E-2</v>
      </c>
      <c r="S60" s="77">
        <v>7.3499999999999998E-4</v>
      </c>
      <c r="T60" s="33"/>
    </row>
    <row r="61" spans="1:20" ht="21" customHeight="1" x14ac:dyDescent="0.25">
      <c r="A61" s="70">
        <v>606</v>
      </c>
      <c r="B61" s="51" t="s">
        <v>663</v>
      </c>
      <c r="C61" s="75">
        <v>18073772</v>
      </c>
      <c r="D61" s="75">
        <v>965758899</v>
      </c>
      <c r="E61" s="71" t="s">
        <v>666</v>
      </c>
      <c r="F61" s="106"/>
      <c r="G61" s="76">
        <v>606</v>
      </c>
      <c r="H61" s="53">
        <v>43.35</v>
      </c>
      <c r="I61" s="53">
        <v>43.35</v>
      </c>
      <c r="J61" s="49">
        <v>0.26939000000000002</v>
      </c>
      <c r="K61" s="77">
        <v>2.6939000000000004E-3</v>
      </c>
      <c r="L61" s="78" t="s">
        <v>180</v>
      </c>
      <c r="M61" s="50">
        <v>0</v>
      </c>
      <c r="N61" s="49">
        <v>0.12690000000000001</v>
      </c>
      <c r="O61" s="77">
        <v>1.2690000000000002E-3</v>
      </c>
      <c r="P61" s="78"/>
      <c r="Q61" s="50"/>
      <c r="R61" s="50">
        <v>0</v>
      </c>
      <c r="S61" s="77">
        <v>0</v>
      </c>
      <c r="T61" s="33"/>
    </row>
    <row r="62" spans="1:20" ht="21" customHeight="1" x14ac:dyDescent="0.25">
      <c r="A62" s="70">
        <v>607</v>
      </c>
      <c r="B62" s="51" t="s">
        <v>664</v>
      </c>
      <c r="C62" s="75">
        <v>44910211</v>
      </c>
      <c r="D62" s="75">
        <v>913096325</v>
      </c>
      <c r="E62" s="71" t="s">
        <v>667</v>
      </c>
      <c r="F62" s="106"/>
      <c r="G62" s="76">
        <v>607</v>
      </c>
      <c r="H62" s="53">
        <v>66.45</v>
      </c>
      <c r="I62" s="53">
        <v>66.45</v>
      </c>
      <c r="J62" s="49">
        <v>0.44973999999999997</v>
      </c>
      <c r="K62" s="77">
        <v>4.4973999999999995E-3</v>
      </c>
      <c r="L62" s="78" t="s">
        <v>434</v>
      </c>
      <c r="M62" s="50">
        <v>0</v>
      </c>
      <c r="N62" s="49">
        <v>0.12690000000000001</v>
      </c>
      <c r="O62" s="77">
        <v>1.2690000000000002E-3</v>
      </c>
      <c r="P62" s="78"/>
      <c r="Q62" s="50"/>
      <c r="R62" s="50">
        <v>0</v>
      </c>
      <c r="S62" s="77">
        <v>0</v>
      </c>
      <c r="T62" s="33"/>
    </row>
    <row r="63" spans="1:20" ht="21" customHeight="1" x14ac:dyDescent="0.25">
      <c r="A63" s="70">
        <v>608</v>
      </c>
      <c r="B63" s="6" t="s">
        <v>48</v>
      </c>
      <c r="C63" s="71"/>
      <c r="D63" s="71" t="s">
        <v>862</v>
      </c>
      <c r="E63" s="71" t="s">
        <v>786</v>
      </c>
      <c r="F63" s="104"/>
      <c r="G63" s="72">
        <v>608</v>
      </c>
      <c r="H63" s="9">
        <v>33.200000000000003</v>
      </c>
      <c r="I63" s="9">
        <v>33.200000000000003</v>
      </c>
      <c r="J63" s="27">
        <v>0.26939000000000002</v>
      </c>
      <c r="K63" s="73">
        <v>2.6939000000000004E-3</v>
      </c>
      <c r="L63" s="74"/>
      <c r="M63" s="8"/>
      <c r="N63" s="27">
        <v>0</v>
      </c>
      <c r="O63" s="73">
        <v>0</v>
      </c>
      <c r="P63" s="74"/>
      <c r="Q63" s="8"/>
      <c r="R63" s="8">
        <v>0</v>
      </c>
      <c r="S63" s="73">
        <v>0</v>
      </c>
      <c r="T63" s="33"/>
    </row>
    <row r="64" spans="1:20" ht="21" customHeight="1" x14ac:dyDescent="0.25">
      <c r="A64" s="70">
        <v>609</v>
      </c>
      <c r="B64" s="6" t="s">
        <v>49</v>
      </c>
      <c r="C64" s="71"/>
      <c r="D64" s="71"/>
      <c r="E64" s="71" t="s">
        <v>787</v>
      </c>
      <c r="F64" s="104"/>
      <c r="G64" s="72">
        <v>609</v>
      </c>
      <c r="H64" s="9">
        <v>44.45</v>
      </c>
      <c r="I64" s="9">
        <v>44.45</v>
      </c>
      <c r="J64" s="27">
        <v>0.26939000000000002</v>
      </c>
      <c r="K64" s="73">
        <v>2.6939000000000004E-3</v>
      </c>
      <c r="L64" s="74"/>
      <c r="M64" s="8"/>
      <c r="N64" s="27">
        <v>0</v>
      </c>
      <c r="O64" s="73">
        <v>0</v>
      </c>
      <c r="P64" s="74"/>
      <c r="Q64" s="8"/>
      <c r="R64" s="8">
        <v>0</v>
      </c>
      <c r="S64" s="73">
        <v>0</v>
      </c>
      <c r="T64" s="33"/>
    </row>
    <row r="65" spans="1:20" ht="21" customHeight="1" x14ac:dyDescent="0.25">
      <c r="A65" s="70">
        <v>610</v>
      </c>
      <c r="B65" s="6" t="s">
        <v>668</v>
      </c>
      <c r="C65" s="71">
        <v>41257497</v>
      </c>
      <c r="D65" s="71">
        <v>986999173</v>
      </c>
      <c r="E65" s="71" t="s">
        <v>669</v>
      </c>
      <c r="F65" s="104"/>
      <c r="G65" s="72">
        <v>610</v>
      </c>
      <c r="H65" s="9">
        <v>81</v>
      </c>
      <c r="I65" s="9">
        <v>81</v>
      </c>
      <c r="J65" s="27">
        <v>0.44973999999999997</v>
      </c>
      <c r="K65" s="73">
        <v>4.4973999999999995E-3</v>
      </c>
      <c r="L65" s="74"/>
      <c r="M65" s="8"/>
      <c r="N65" s="27">
        <v>0</v>
      </c>
      <c r="O65" s="73">
        <v>0</v>
      </c>
      <c r="P65" s="74"/>
      <c r="Q65" s="8"/>
      <c r="R65" s="8">
        <v>0</v>
      </c>
      <c r="S65" s="73">
        <v>0</v>
      </c>
      <c r="T65" s="33"/>
    </row>
    <row r="66" spans="1:20" ht="21" customHeight="1" x14ac:dyDescent="0.25">
      <c r="A66" s="70">
        <v>611</v>
      </c>
      <c r="B66" s="6" t="s">
        <v>51</v>
      </c>
      <c r="C66" s="71"/>
      <c r="D66" s="71"/>
      <c r="E66" s="71" t="s">
        <v>788</v>
      </c>
      <c r="F66" s="104"/>
      <c r="G66" s="72">
        <v>611</v>
      </c>
      <c r="H66" s="9">
        <v>33</v>
      </c>
      <c r="I66" s="9">
        <v>33</v>
      </c>
      <c r="J66" s="27">
        <v>0.26939000000000002</v>
      </c>
      <c r="K66" s="73">
        <v>2.6939000000000004E-3</v>
      </c>
      <c r="L66" s="74"/>
      <c r="M66" s="8"/>
      <c r="N66" s="27">
        <v>0</v>
      </c>
      <c r="O66" s="73">
        <v>0</v>
      </c>
      <c r="P66" s="74"/>
      <c r="Q66" s="8"/>
      <c r="R66" s="8">
        <v>0</v>
      </c>
      <c r="S66" s="73">
        <v>0</v>
      </c>
      <c r="T66" s="33"/>
    </row>
    <row r="67" spans="1:20" ht="21" customHeight="1" x14ac:dyDescent="0.25">
      <c r="A67" s="70">
        <v>612</v>
      </c>
      <c r="B67" s="51" t="s">
        <v>167</v>
      </c>
      <c r="C67" s="75"/>
      <c r="D67" s="75"/>
      <c r="E67" s="71" t="s">
        <v>789</v>
      </c>
      <c r="F67" s="106"/>
      <c r="G67" s="76">
        <v>612</v>
      </c>
      <c r="H67" s="53">
        <v>74.599999999999994</v>
      </c>
      <c r="I67" s="53">
        <v>74.599999999999994</v>
      </c>
      <c r="J67" s="49">
        <v>0.44973999999999997</v>
      </c>
      <c r="K67" s="77">
        <v>4.4973999999999995E-3</v>
      </c>
      <c r="L67" s="78" t="s">
        <v>168</v>
      </c>
      <c r="M67" s="50">
        <v>0</v>
      </c>
      <c r="N67" s="49">
        <v>0.12690000000000001</v>
      </c>
      <c r="O67" s="77">
        <v>1.2690000000000002E-3</v>
      </c>
      <c r="P67" s="78"/>
      <c r="Q67" s="50"/>
      <c r="R67" s="50">
        <v>0</v>
      </c>
      <c r="S67" s="77">
        <v>0</v>
      </c>
      <c r="T67" s="33"/>
    </row>
    <row r="68" spans="1:20" ht="21" customHeight="1" x14ac:dyDescent="0.25">
      <c r="A68" s="70">
        <v>701</v>
      </c>
      <c r="B68" s="51" t="s">
        <v>670</v>
      </c>
      <c r="C68" s="111">
        <v>73641553</v>
      </c>
      <c r="D68" s="75">
        <v>933847257</v>
      </c>
      <c r="E68" s="71" t="s">
        <v>672</v>
      </c>
      <c r="F68" s="106"/>
      <c r="G68" s="76">
        <v>701</v>
      </c>
      <c r="H68" s="52">
        <v>178.72</v>
      </c>
      <c r="I68" s="52">
        <v>178.72</v>
      </c>
      <c r="J68" s="49">
        <v>0.99965000000000004</v>
      </c>
      <c r="K68" s="77">
        <v>9.9965000000000002E-3</v>
      </c>
      <c r="L68" s="78" t="s">
        <v>308</v>
      </c>
      <c r="M68" s="50">
        <v>0</v>
      </c>
      <c r="N68" s="49">
        <v>0.12690000000000001</v>
      </c>
      <c r="O68" s="77">
        <v>1.2690000000000002E-3</v>
      </c>
      <c r="P68" s="78" t="s">
        <v>307</v>
      </c>
      <c r="Q68" s="50">
        <v>0</v>
      </c>
      <c r="R68" s="50">
        <v>3.6749999999999998E-2</v>
      </c>
      <c r="S68" s="77">
        <v>3.6749999999999999E-4</v>
      </c>
      <c r="T68" s="33"/>
    </row>
    <row r="69" spans="1:20" ht="21" customHeight="1" x14ac:dyDescent="0.25">
      <c r="A69" s="70">
        <v>703</v>
      </c>
      <c r="B69" s="6" t="s">
        <v>860</v>
      </c>
      <c r="C69" s="71"/>
      <c r="D69" s="71">
        <v>12012590078</v>
      </c>
      <c r="E69" s="71" t="s">
        <v>790</v>
      </c>
      <c r="F69" s="104"/>
      <c r="G69" s="72">
        <v>703</v>
      </c>
      <c r="H69" s="9">
        <v>68</v>
      </c>
      <c r="I69" s="9">
        <v>68</v>
      </c>
      <c r="J69" s="27">
        <v>0.44973999999999997</v>
      </c>
      <c r="K69" s="73">
        <v>4.4973999999999995E-3</v>
      </c>
      <c r="L69" s="74"/>
      <c r="M69" s="8"/>
      <c r="N69" s="27">
        <v>0</v>
      </c>
      <c r="O69" s="73">
        <v>0</v>
      </c>
      <c r="P69" s="74"/>
      <c r="Q69" s="8"/>
      <c r="R69" s="8">
        <v>0</v>
      </c>
      <c r="S69" s="73">
        <v>0</v>
      </c>
      <c r="T69" s="33"/>
    </row>
    <row r="70" spans="1:20" ht="21" customHeight="1" x14ac:dyDescent="0.25">
      <c r="A70" s="70">
        <v>704</v>
      </c>
      <c r="B70" s="4" t="s">
        <v>54</v>
      </c>
      <c r="C70" s="52"/>
      <c r="D70" s="52" t="s">
        <v>874</v>
      </c>
      <c r="E70" s="71" t="s">
        <v>791</v>
      </c>
      <c r="F70" s="105"/>
      <c r="G70" s="76">
        <v>704</v>
      </c>
      <c r="H70" s="52">
        <v>76.150000000000006</v>
      </c>
      <c r="I70" s="52">
        <v>76.150000000000006</v>
      </c>
      <c r="J70" s="49">
        <v>0.44973999999999997</v>
      </c>
      <c r="K70" s="77">
        <v>4.4973999999999995E-3</v>
      </c>
      <c r="L70" s="78" t="s">
        <v>486</v>
      </c>
      <c r="M70" s="50">
        <v>0</v>
      </c>
      <c r="N70" s="49">
        <v>0.12690000000000001</v>
      </c>
      <c r="O70" s="77">
        <v>1.2690000000000002E-3</v>
      </c>
      <c r="P70" s="78"/>
      <c r="Q70" s="50"/>
      <c r="R70" s="50">
        <v>0</v>
      </c>
      <c r="S70" s="77">
        <v>0</v>
      </c>
      <c r="T70" s="33"/>
    </row>
    <row r="71" spans="1:20" ht="21" customHeight="1" x14ac:dyDescent="0.25">
      <c r="A71" s="70">
        <v>705</v>
      </c>
      <c r="B71" s="51" t="s">
        <v>671</v>
      </c>
      <c r="C71" s="112">
        <v>22248072</v>
      </c>
      <c r="D71" s="75">
        <v>987319796</v>
      </c>
      <c r="E71" s="71" t="s">
        <v>673</v>
      </c>
      <c r="F71" s="106"/>
      <c r="G71" s="76">
        <v>705</v>
      </c>
      <c r="H71" s="52">
        <v>78.95</v>
      </c>
      <c r="I71" s="52">
        <v>78.95</v>
      </c>
      <c r="J71" s="49">
        <v>0.44973999999999997</v>
      </c>
      <c r="K71" s="77">
        <v>4.4973999999999995E-3</v>
      </c>
      <c r="L71" s="78" t="s">
        <v>403</v>
      </c>
      <c r="M71" s="50">
        <v>0</v>
      </c>
      <c r="N71" s="49">
        <v>0.12690000000000001</v>
      </c>
      <c r="O71" s="77">
        <v>1.2690000000000002E-3</v>
      </c>
      <c r="P71" s="78"/>
      <c r="Q71" s="50"/>
      <c r="R71" s="50">
        <v>0</v>
      </c>
      <c r="S71" s="77">
        <v>0</v>
      </c>
      <c r="T71" s="33"/>
    </row>
    <row r="72" spans="1:20" ht="21" customHeight="1" x14ac:dyDescent="0.25">
      <c r="A72" s="70">
        <v>706</v>
      </c>
      <c r="B72" s="4" t="s">
        <v>55</v>
      </c>
      <c r="C72" s="52"/>
      <c r="D72" s="52"/>
      <c r="E72" s="71"/>
      <c r="F72" s="105"/>
      <c r="G72" s="76">
        <v>706</v>
      </c>
      <c r="H72" s="52">
        <v>43.35</v>
      </c>
      <c r="I72" s="52">
        <v>43.35</v>
      </c>
      <c r="J72" s="49">
        <v>0.26939000000000002</v>
      </c>
      <c r="K72" s="77">
        <v>2.6939000000000004E-3</v>
      </c>
      <c r="L72" s="78" t="s">
        <v>196</v>
      </c>
      <c r="M72" s="50">
        <v>0</v>
      </c>
      <c r="N72" s="49">
        <v>0.12690000000000001</v>
      </c>
      <c r="O72" s="77">
        <v>1.2690000000000002E-3</v>
      </c>
      <c r="P72" s="78"/>
      <c r="Q72" s="50"/>
      <c r="R72" s="50">
        <v>0</v>
      </c>
      <c r="S72" s="77">
        <v>0</v>
      </c>
      <c r="T72" s="33"/>
    </row>
    <row r="73" spans="1:20" ht="21" customHeight="1" x14ac:dyDescent="0.25">
      <c r="A73" s="70">
        <v>707</v>
      </c>
      <c r="B73" s="6" t="s">
        <v>56</v>
      </c>
      <c r="C73" s="71" t="s">
        <v>674</v>
      </c>
      <c r="D73" s="71">
        <v>987198687</v>
      </c>
      <c r="E73" s="71" t="s">
        <v>675</v>
      </c>
      <c r="F73" s="104"/>
      <c r="G73" s="72">
        <v>707</v>
      </c>
      <c r="H73" s="7">
        <v>66.45</v>
      </c>
      <c r="I73" s="7">
        <v>66.45</v>
      </c>
      <c r="J73" s="27">
        <v>0.44973999999999997</v>
      </c>
      <c r="K73" s="73">
        <v>4.4973999999999995E-3</v>
      </c>
      <c r="L73" s="74"/>
      <c r="M73" s="8"/>
      <c r="N73" s="27">
        <v>0</v>
      </c>
      <c r="O73" s="73">
        <v>0</v>
      </c>
      <c r="P73" s="74"/>
      <c r="Q73" s="8"/>
      <c r="R73" s="8">
        <v>0</v>
      </c>
      <c r="S73" s="73">
        <v>0</v>
      </c>
      <c r="T73" s="33"/>
    </row>
    <row r="74" spans="1:20" ht="21" customHeight="1" x14ac:dyDescent="0.25">
      <c r="A74" s="70">
        <v>708</v>
      </c>
      <c r="B74" s="51" t="s">
        <v>57</v>
      </c>
      <c r="C74" s="75"/>
      <c r="D74" s="75"/>
      <c r="E74" s="71" t="s">
        <v>792</v>
      </c>
      <c r="F74" s="106"/>
      <c r="G74" s="76">
        <v>708</v>
      </c>
      <c r="H74" s="53">
        <v>33.200000000000003</v>
      </c>
      <c r="I74" s="53">
        <v>33.200000000000003</v>
      </c>
      <c r="J74" s="49">
        <v>0.26939000000000002</v>
      </c>
      <c r="K74" s="77">
        <v>2.6939000000000004E-3</v>
      </c>
      <c r="L74" s="78" t="s">
        <v>462</v>
      </c>
      <c r="M74" s="50">
        <v>0</v>
      </c>
      <c r="N74" s="49">
        <v>0.12690000000000001</v>
      </c>
      <c r="O74" s="77">
        <v>1.2690000000000002E-3</v>
      </c>
      <c r="P74" s="78"/>
      <c r="Q74" s="50"/>
      <c r="R74" s="50">
        <v>0</v>
      </c>
      <c r="S74" s="77">
        <v>0</v>
      </c>
      <c r="T74" s="33"/>
    </row>
    <row r="75" spans="1:20" ht="21" customHeight="1" x14ac:dyDescent="0.25">
      <c r="A75" s="70">
        <v>709</v>
      </c>
      <c r="B75" s="51" t="s">
        <v>58</v>
      </c>
      <c r="C75" s="75"/>
      <c r="D75" s="75"/>
      <c r="E75" s="71" t="s">
        <v>793</v>
      </c>
      <c r="F75" s="106"/>
      <c r="G75" s="76">
        <v>709</v>
      </c>
      <c r="H75" s="52">
        <v>44.45</v>
      </c>
      <c r="I75" s="52">
        <v>44.45</v>
      </c>
      <c r="J75" s="49">
        <v>0.26939000000000002</v>
      </c>
      <c r="K75" s="77">
        <v>2.6939000000000004E-3</v>
      </c>
      <c r="L75" s="78" t="s">
        <v>438</v>
      </c>
      <c r="M75" s="50">
        <v>0</v>
      </c>
      <c r="N75" s="49">
        <v>0.12690000000000001</v>
      </c>
      <c r="O75" s="77">
        <v>1.2690000000000002E-3</v>
      </c>
      <c r="P75" s="78"/>
      <c r="Q75" s="50"/>
      <c r="R75" s="50">
        <v>0</v>
      </c>
      <c r="S75" s="77">
        <v>0</v>
      </c>
      <c r="T75" s="33"/>
    </row>
    <row r="76" spans="1:20" ht="21" customHeight="1" x14ac:dyDescent="0.25">
      <c r="A76" s="70">
        <v>710</v>
      </c>
      <c r="B76" s="51" t="s">
        <v>59</v>
      </c>
      <c r="C76" s="75">
        <v>70254753</v>
      </c>
      <c r="D76" s="75">
        <v>907683953</v>
      </c>
      <c r="E76" s="71" t="s">
        <v>676</v>
      </c>
      <c r="F76" s="106"/>
      <c r="G76" s="76">
        <v>710</v>
      </c>
      <c r="H76" s="53">
        <v>81</v>
      </c>
      <c r="I76" s="53">
        <v>81</v>
      </c>
      <c r="J76" s="49">
        <v>0.44973999999999997</v>
      </c>
      <c r="K76" s="77">
        <v>4.4973999999999995E-3</v>
      </c>
      <c r="L76" s="78" t="s">
        <v>357</v>
      </c>
      <c r="M76" s="50">
        <v>0</v>
      </c>
      <c r="N76" s="49">
        <v>0.12690000000000001</v>
      </c>
      <c r="O76" s="77">
        <v>1.2690000000000002E-3</v>
      </c>
      <c r="P76" s="78"/>
      <c r="Q76" s="50"/>
      <c r="R76" s="50">
        <v>0</v>
      </c>
      <c r="S76" s="77">
        <v>0</v>
      </c>
      <c r="T76" s="33"/>
    </row>
    <row r="77" spans="1:20" ht="21" customHeight="1" x14ac:dyDescent="0.25">
      <c r="A77" s="70">
        <v>711</v>
      </c>
      <c r="B77" s="6" t="s">
        <v>60</v>
      </c>
      <c r="C77" s="71"/>
      <c r="D77" s="71"/>
      <c r="E77" s="71" t="s">
        <v>795</v>
      </c>
      <c r="F77" s="104"/>
      <c r="G77" s="72">
        <v>711</v>
      </c>
      <c r="H77" s="9">
        <v>33</v>
      </c>
      <c r="I77" s="9">
        <v>33</v>
      </c>
      <c r="J77" s="27">
        <v>0.26939000000000002</v>
      </c>
      <c r="K77" s="73">
        <v>2.6939000000000004E-3</v>
      </c>
      <c r="L77" s="74"/>
      <c r="M77" s="8"/>
      <c r="N77" s="27">
        <v>0</v>
      </c>
      <c r="O77" s="73">
        <v>0</v>
      </c>
      <c r="P77" s="74"/>
      <c r="Q77" s="8"/>
      <c r="R77" s="8">
        <v>0</v>
      </c>
      <c r="S77" s="73">
        <v>0</v>
      </c>
      <c r="T77" s="33"/>
    </row>
    <row r="78" spans="1:20" ht="21" customHeight="1" x14ac:dyDescent="0.25">
      <c r="A78" s="70">
        <v>712</v>
      </c>
      <c r="B78" s="51" t="s">
        <v>300</v>
      </c>
      <c r="C78" s="75" t="s">
        <v>677</v>
      </c>
      <c r="D78" s="75">
        <v>942988963</v>
      </c>
      <c r="E78" s="71" t="s">
        <v>678</v>
      </c>
      <c r="F78" s="106"/>
      <c r="G78" s="76">
        <v>712</v>
      </c>
      <c r="H78" s="53">
        <v>74.599999999999994</v>
      </c>
      <c r="I78" s="53">
        <v>74.599999999999994</v>
      </c>
      <c r="J78" s="49">
        <v>0.44973999999999997</v>
      </c>
      <c r="K78" s="77">
        <v>4.4973999999999995E-3</v>
      </c>
      <c r="L78" s="78" t="s">
        <v>301</v>
      </c>
      <c r="M78" s="50">
        <v>0</v>
      </c>
      <c r="N78" s="49">
        <v>0.12690000000000001</v>
      </c>
      <c r="O78" s="77">
        <v>1.2690000000000002E-3</v>
      </c>
      <c r="P78" s="78"/>
      <c r="Q78" s="50"/>
      <c r="R78" s="50">
        <v>0</v>
      </c>
      <c r="S78" s="77">
        <v>0</v>
      </c>
      <c r="T78" s="33"/>
    </row>
    <row r="79" spans="1:20" ht="21" customHeight="1" x14ac:dyDescent="0.25">
      <c r="A79" s="70">
        <v>801</v>
      </c>
      <c r="B79" s="4" t="s">
        <v>61</v>
      </c>
      <c r="C79" s="52">
        <v>47510758</v>
      </c>
      <c r="D79" s="52">
        <v>902712261</v>
      </c>
      <c r="E79" s="71" t="s">
        <v>758</v>
      </c>
      <c r="F79" s="105"/>
      <c r="G79" s="72">
        <v>801</v>
      </c>
      <c r="H79" s="9">
        <v>92.5</v>
      </c>
      <c r="I79" s="9">
        <v>92.5</v>
      </c>
      <c r="J79" s="27">
        <v>0.56772999999999996</v>
      </c>
      <c r="K79" s="73">
        <v>5.6772999999999997E-3</v>
      </c>
      <c r="L79" s="74"/>
      <c r="M79" s="8"/>
      <c r="N79" s="27">
        <v>0</v>
      </c>
      <c r="O79" s="73">
        <v>0</v>
      </c>
      <c r="P79" s="74"/>
      <c r="Q79" s="8"/>
      <c r="R79" s="8">
        <v>0</v>
      </c>
      <c r="S79" s="73">
        <v>0</v>
      </c>
      <c r="T79" s="33"/>
    </row>
    <row r="80" spans="1:20" ht="21" customHeight="1" x14ac:dyDescent="0.25">
      <c r="A80" s="70">
        <v>802</v>
      </c>
      <c r="B80" s="4" t="s">
        <v>62</v>
      </c>
      <c r="C80" s="52"/>
      <c r="D80" s="52" t="s">
        <v>875</v>
      </c>
      <c r="E80" s="71" t="s">
        <v>796</v>
      </c>
      <c r="F80" s="105"/>
      <c r="G80" s="76">
        <v>802</v>
      </c>
      <c r="H80" s="52">
        <v>77.05</v>
      </c>
      <c r="I80" s="52">
        <v>77.05</v>
      </c>
      <c r="J80" s="49">
        <v>0.44973999999999997</v>
      </c>
      <c r="K80" s="77">
        <v>4.4973999999999995E-3</v>
      </c>
      <c r="L80" s="78" t="s">
        <v>541</v>
      </c>
      <c r="M80" s="50">
        <v>0</v>
      </c>
      <c r="N80" s="49">
        <v>0.12690000000000001</v>
      </c>
      <c r="O80" s="77">
        <v>1.2690000000000002E-3</v>
      </c>
      <c r="P80" s="78"/>
      <c r="Q80" s="50"/>
      <c r="R80" s="50">
        <v>0</v>
      </c>
      <c r="S80" s="77">
        <v>0</v>
      </c>
      <c r="T80" s="33"/>
    </row>
    <row r="81" spans="1:20" ht="21" customHeight="1" x14ac:dyDescent="0.25">
      <c r="A81" s="70">
        <v>803</v>
      </c>
      <c r="B81" s="51" t="s">
        <v>679</v>
      </c>
      <c r="C81" s="75" t="s">
        <v>681</v>
      </c>
      <c r="D81" s="75">
        <v>991232163</v>
      </c>
      <c r="E81" s="71" t="s">
        <v>682</v>
      </c>
      <c r="F81" s="106"/>
      <c r="G81" s="76">
        <v>803</v>
      </c>
      <c r="H81" s="53">
        <v>68</v>
      </c>
      <c r="I81" s="53">
        <v>68</v>
      </c>
      <c r="J81" s="49">
        <v>0.44973999999999997</v>
      </c>
      <c r="K81" s="77">
        <v>4.4973999999999995E-3</v>
      </c>
      <c r="L81" s="78" t="s">
        <v>460</v>
      </c>
      <c r="M81" s="50">
        <v>0</v>
      </c>
      <c r="N81" s="49">
        <v>0.12690000000000001</v>
      </c>
      <c r="O81" s="77">
        <v>1.2690000000000002E-3</v>
      </c>
      <c r="P81" s="78"/>
      <c r="Q81" s="50"/>
      <c r="R81" s="50">
        <v>0</v>
      </c>
      <c r="S81" s="77">
        <v>0</v>
      </c>
      <c r="T81" s="33"/>
    </row>
    <row r="82" spans="1:20" ht="21" customHeight="1" x14ac:dyDescent="0.25">
      <c r="A82" s="70">
        <v>804</v>
      </c>
      <c r="B82" s="51" t="s">
        <v>680</v>
      </c>
      <c r="C82" s="75">
        <v>40629306</v>
      </c>
      <c r="D82" s="75">
        <v>906092169</v>
      </c>
      <c r="E82" s="71" t="s">
        <v>683</v>
      </c>
      <c r="F82" s="106"/>
      <c r="G82" s="76">
        <v>804</v>
      </c>
      <c r="H82" s="52">
        <v>76.150000000000006</v>
      </c>
      <c r="I82" s="52">
        <v>76.150000000000006</v>
      </c>
      <c r="J82" s="49">
        <v>0.44973999999999997</v>
      </c>
      <c r="K82" s="77">
        <v>4.4973999999999995E-3</v>
      </c>
      <c r="L82" s="78" t="s">
        <v>185</v>
      </c>
      <c r="M82" s="50">
        <v>0</v>
      </c>
      <c r="N82" s="49">
        <v>0.12690000000000001</v>
      </c>
      <c r="O82" s="77">
        <v>1.2690000000000002E-3</v>
      </c>
      <c r="P82" s="78"/>
      <c r="Q82" s="50"/>
      <c r="R82" s="50">
        <v>0</v>
      </c>
      <c r="S82" s="77">
        <v>0</v>
      </c>
      <c r="T82" s="33"/>
    </row>
    <row r="83" spans="1:20" ht="21" customHeight="1" x14ac:dyDescent="0.25">
      <c r="A83" s="70">
        <v>805</v>
      </c>
      <c r="B83" s="51" t="s">
        <v>64</v>
      </c>
      <c r="C83" s="75"/>
      <c r="D83" s="75"/>
      <c r="E83" s="71" t="s">
        <v>797</v>
      </c>
      <c r="F83" s="106"/>
      <c r="G83" s="76">
        <v>805</v>
      </c>
      <c r="H83" s="52">
        <v>78.95</v>
      </c>
      <c r="I83" s="52">
        <v>78.95</v>
      </c>
      <c r="J83" s="49">
        <v>0.44973999999999997</v>
      </c>
      <c r="K83" s="77">
        <v>4.4973999999999995E-3</v>
      </c>
      <c r="L83" s="78" t="s">
        <v>395</v>
      </c>
      <c r="M83" s="50">
        <v>0</v>
      </c>
      <c r="N83" s="49">
        <v>0.12690000000000001</v>
      </c>
      <c r="O83" s="77">
        <v>1.2690000000000002E-3</v>
      </c>
      <c r="P83" s="78"/>
      <c r="Q83" s="50"/>
      <c r="R83" s="50">
        <v>0</v>
      </c>
      <c r="S83" s="77">
        <v>0</v>
      </c>
      <c r="T83" s="33"/>
    </row>
    <row r="84" spans="1:20" ht="21" customHeight="1" x14ac:dyDescent="0.25">
      <c r="A84" s="70">
        <v>806</v>
      </c>
      <c r="B84" s="6" t="s">
        <v>65</v>
      </c>
      <c r="C84" s="71"/>
      <c r="D84" s="71"/>
      <c r="E84" s="71" t="s">
        <v>798</v>
      </c>
      <c r="F84" s="104"/>
      <c r="G84" s="72">
        <v>806</v>
      </c>
      <c r="H84" s="7">
        <v>43.35</v>
      </c>
      <c r="I84" s="7">
        <v>43.35</v>
      </c>
      <c r="J84" s="27">
        <v>0.26939000000000002</v>
      </c>
      <c r="K84" s="73">
        <v>2.6939000000000004E-3</v>
      </c>
      <c r="L84" s="74"/>
      <c r="M84" s="8"/>
      <c r="N84" s="27">
        <v>0</v>
      </c>
      <c r="O84" s="73">
        <v>0</v>
      </c>
      <c r="P84" s="74"/>
      <c r="Q84" s="8"/>
      <c r="R84" s="8">
        <v>0</v>
      </c>
      <c r="S84" s="73">
        <v>0</v>
      </c>
      <c r="T84" s="33"/>
    </row>
    <row r="85" spans="1:20" ht="21" customHeight="1" x14ac:dyDescent="0.25">
      <c r="A85" s="70">
        <v>807</v>
      </c>
      <c r="B85" s="51" t="s">
        <v>66</v>
      </c>
      <c r="C85" s="75">
        <v>46034675</v>
      </c>
      <c r="D85" s="75">
        <v>961724160</v>
      </c>
      <c r="E85" s="71" t="s">
        <v>684</v>
      </c>
      <c r="F85" s="106"/>
      <c r="G85" s="76">
        <v>807</v>
      </c>
      <c r="H85" s="52">
        <v>66.45</v>
      </c>
      <c r="I85" s="52">
        <v>66.45</v>
      </c>
      <c r="J85" s="49">
        <v>0.44973999999999997</v>
      </c>
      <c r="K85" s="77">
        <v>4.4973999999999995E-3</v>
      </c>
      <c r="L85" s="78" t="s">
        <v>524</v>
      </c>
      <c r="M85" s="50">
        <v>0</v>
      </c>
      <c r="N85" s="49">
        <v>0.12690000000000001</v>
      </c>
      <c r="O85" s="77">
        <v>1.2690000000000002E-3</v>
      </c>
      <c r="P85" s="78"/>
      <c r="Q85" s="50"/>
      <c r="R85" s="50">
        <v>0</v>
      </c>
      <c r="S85" s="77">
        <v>0</v>
      </c>
      <c r="T85" s="33"/>
    </row>
    <row r="86" spans="1:20" ht="21" customHeight="1" x14ac:dyDescent="0.25">
      <c r="A86" s="70">
        <v>808</v>
      </c>
      <c r="B86" s="51" t="s">
        <v>67</v>
      </c>
      <c r="C86" s="75">
        <v>42306668</v>
      </c>
      <c r="D86" s="75">
        <v>959311593</v>
      </c>
      <c r="E86" s="71" t="s">
        <v>685</v>
      </c>
      <c r="F86" s="106"/>
      <c r="G86" s="76">
        <v>808</v>
      </c>
      <c r="H86" s="53">
        <v>33.200000000000003</v>
      </c>
      <c r="I86" s="53">
        <v>33.200000000000003</v>
      </c>
      <c r="J86" s="49">
        <v>0.26939000000000002</v>
      </c>
      <c r="K86" s="77">
        <v>2.6939000000000004E-3</v>
      </c>
      <c r="L86" s="78" t="s">
        <v>543</v>
      </c>
      <c r="M86" s="50">
        <v>0</v>
      </c>
      <c r="N86" s="49">
        <v>0.12690000000000001</v>
      </c>
      <c r="O86" s="77">
        <v>1.2690000000000002E-3</v>
      </c>
      <c r="P86" s="78"/>
      <c r="Q86" s="50"/>
      <c r="R86" s="50">
        <v>0</v>
      </c>
      <c r="S86" s="77">
        <v>0</v>
      </c>
      <c r="T86" s="33"/>
    </row>
    <row r="87" spans="1:20" ht="21" customHeight="1" x14ac:dyDescent="0.25">
      <c r="A87" s="70">
        <v>809</v>
      </c>
      <c r="B87" s="51" t="s">
        <v>68</v>
      </c>
      <c r="C87" s="75"/>
      <c r="D87" s="75"/>
      <c r="E87" s="71" t="s">
        <v>794</v>
      </c>
      <c r="F87" s="106"/>
      <c r="G87" s="76">
        <v>809</v>
      </c>
      <c r="H87" s="52">
        <v>44.45</v>
      </c>
      <c r="I87" s="52">
        <v>44.45</v>
      </c>
      <c r="J87" s="49">
        <v>0.26939000000000002</v>
      </c>
      <c r="K87" s="77">
        <v>2.6939000000000004E-3</v>
      </c>
      <c r="L87" s="78" t="s">
        <v>451</v>
      </c>
      <c r="M87" s="50">
        <v>0</v>
      </c>
      <c r="N87" s="49">
        <v>0.12690000000000001</v>
      </c>
      <c r="O87" s="77">
        <v>1.2690000000000002E-3</v>
      </c>
      <c r="P87" s="78"/>
      <c r="Q87" s="50"/>
      <c r="R87" s="50">
        <v>0</v>
      </c>
      <c r="S87" s="77">
        <v>0</v>
      </c>
      <c r="T87" s="33"/>
    </row>
    <row r="88" spans="1:20" ht="21" customHeight="1" x14ac:dyDescent="0.25">
      <c r="A88" s="70">
        <v>810</v>
      </c>
      <c r="B88" s="51" t="s">
        <v>339</v>
      </c>
      <c r="C88" s="75" t="s">
        <v>687</v>
      </c>
      <c r="D88" s="75">
        <v>992245023</v>
      </c>
      <c r="E88" s="71" t="s">
        <v>688</v>
      </c>
      <c r="F88" s="106"/>
      <c r="G88" s="76">
        <v>810</v>
      </c>
      <c r="H88" s="53">
        <v>81</v>
      </c>
      <c r="I88" s="53">
        <v>81</v>
      </c>
      <c r="J88" s="49">
        <v>0.44973999999999997</v>
      </c>
      <c r="K88" s="77">
        <v>4.4973999999999995E-3</v>
      </c>
      <c r="L88" s="78" t="s">
        <v>340</v>
      </c>
      <c r="M88" s="50">
        <v>0</v>
      </c>
      <c r="N88" s="49">
        <v>0.12690000000000001</v>
      </c>
      <c r="O88" s="77">
        <v>1.2690000000000002E-3</v>
      </c>
      <c r="P88" s="78"/>
      <c r="Q88" s="50"/>
      <c r="R88" s="50">
        <v>0</v>
      </c>
      <c r="S88" s="77">
        <v>0</v>
      </c>
      <c r="T88" s="33"/>
    </row>
    <row r="89" spans="1:20" ht="21" customHeight="1" x14ac:dyDescent="0.25">
      <c r="A89" s="70">
        <v>811</v>
      </c>
      <c r="B89" s="6" t="s">
        <v>686</v>
      </c>
      <c r="C89" s="71">
        <v>40662946</v>
      </c>
      <c r="D89" s="71">
        <v>945205617</v>
      </c>
      <c r="E89" s="71" t="s">
        <v>689</v>
      </c>
      <c r="F89" s="104"/>
      <c r="G89" s="72">
        <v>811</v>
      </c>
      <c r="H89" s="9">
        <v>33</v>
      </c>
      <c r="I89" s="9">
        <v>33</v>
      </c>
      <c r="J89" s="27">
        <v>0.26939000000000002</v>
      </c>
      <c r="K89" s="73">
        <v>2.6939000000000004E-3</v>
      </c>
      <c r="L89" s="74"/>
      <c r="M89" s="8"/>
      <c r="N89" s="27">
        <v>0</v>
      </c>
      <c r="O89" s="73">
        <v>0</v>
      </c>
      <c r="P89" s="74"/>
      <c r="Q89" s="8"/>
      <c r="R89" s="8">
        <v>0</v>
      </c>
      <c r="S89" s="73">
        <v>0</v>
      </c>
      <c r="T89" s="33"/>
    </row>
    <row r="90" spans="1:20" ht="21" customHeight="1" x14ac:dyDescent="0.25">
      <c r="A90" s="70">
        <v>812</v>
      </c>
      <c r="B90" s="6" t="s">
        <v>69</v>
      </c>
      <c r="C90" s="71"/>
      <c r="D90" s="71"/>
      <c r="E90" s="71" t="s">
        <v>799</v>
      </c>
      <c r="F90" s="104"/>
      <c r="G90" s="72">
        <v>812</v>
      </c>
      <c r="H90" s="9">
        <v>74.599999999999994</v>
      </c>
      <c r="I90" s="9">
        <v>74.599999999999994</v>
      </c>
      <c r="J90" s="27">
        <v>0.44973999999999997</v>
      </c>
      <c r="K90" s="73">
        <v>4.4973999999999995E-3</v>
      </c>
      <c r="L90" s="74"/>
      <c r="M90" s="8"/>
      <c r="N90" s="27">
        <v>0</v>
      </c>
      <c r="O90" s="73">
        <v>0</v>
      </c>
      <c r="P90" s="74"/>
      <c r="Q90" s="8"/>
      <c r="R90" s="8">
        <v>0</v>
      </c>
      <c r="S90" s="73">
        <v>0</v>
      </c>
      <c r="T90" s="33"/>
    </row>
    <row r="91" spans="1:20" ht="21" customHeight="1" x14ac:dyDescent="0.25">
      <c r="A91" s="70">
        <v>901</v>
      </c>
      <c r="B91" s="51" t="s">
        <v>70</v>
      </c>
      <c r="C91" s="75"/>
      <c r="D91" s="75"/>
      <c r="E91" s="71" t="s">
        <v>800</v>
      </c>
      <c r="F91" s="106"/>
      <c r="G91" s="76">
        <v>901</v>
      </c>
      <c r="H91" s="53">
        <v>92.5</v>
      </c>
      <c r="I91" s="53">
        <v>92.5</v>
      </c>
      <c r="J91" s="49">
        <v>0.56772999999999996</v>
      </c>
      <c r="K91" s="77">
        <v>5.6772999999999997E-3</v>
      </c>
      <c r="L91" s="78" t="s">
        <v>334</v>
      </c>
      <c r="M91" s="50">
        <v>0</v>
      </c>
      <c r="N91" s="49">
        <v>0.12690000000000001</v>
      </c>
      <c r="O91" s="77">
        <v>1.2690000000000002E-3</v>
      </c>
      <c r="P91" s="78"/>
      <c r="Q91" s="50"/>
      <c r="R91" s="50">
        <v>0</v>
      </c>
      <c r="S91" s="77">
        <v>0</v>
      </c>
      <c r="T91" s="33"/>
    </row>
    <row r="92" spans="1:20" ht="21" customHeight="1" x14ac:dyDescent="0.25">
      <c r="A92" s="70">
        <v>902</v>
      </c>
      <c r="B92" s="51" t="s">
        <v>71</v>
      </c>
      <c r="C92" s="75"/>
      <c r="D92" s="75"/>
      <c r="E92" s="71" t="s">
        <v>801</v>
      </c>
      <c r="F92" s="106"/>
      <c r="G92" s="76">
        <v>902</v>
      </c>
      <c r="H92" s="52">
        <v>77.05</v>
      </c>
      <c r="I92" s="52">
        <v>77.05</v>
      </c>
      <c r="J92" s="49">
        <v>0.44973999999999997</v>
      </c>
      <c r="K92" s="77">
        <v>4.4973999999999995E-3</v>
      </c>
      <c r="L92" s="78" t="s">
        <v>172</v>
      </c>
      <c r="M92" s="50">
        <v>0</v>
      </c>
      <c r="N92" s="49">
        <v>0.12690000000000001</v>
      </c>
      <c r="O92" s="77">
        <v>1.2690000000000002E-3</v>
      </c>
      <c r="P92" s="78"/>
      <c r="Q92" s="50"/>
      <c r="R92" s="50">
        <v>0</v>
      </c>
      <c r="S92" s="77">
        <v>0</v>
      </c>
      <c r="T92" s="33"/>
    </row>
    <row r="93" spans="1:20" ht="21" customHeight="1" x14ac:dyDescent="0.25">
      <c r="A93" s="70">
        <v>903</v>
      </c>
      <c r="B93" s="51" t="s">
        <v>289</v>
      </c>
      <c r="C93" s="75">
        <v>72035326</v>
      </c>
      <c r="D93" s="75">
        <v>924734999</v>
      </c>
      <c r="E93" s="71" t="s">
        <v>690</v>
      </c>
      <c r="F93" s="106"/>
      <c r="G93" s="76">
        <v>903</v>
      </c>
      <c r="H93" s="53">
        <v>68</v>
      </c>
      <c r="I93" s="53">
        <v>68</v>
      </c>
      <c r="J93" s="49">
        <v>0.44973999999999997</v>
      </c>
      <c r="K93" s="77">
        <v>4.4973999999999995E-3</v>
      </c>
      <c r="L93" s="78" t="s">
        <v>290</v>
      </c>
      <c r="M93" s="50">
        <v>0</v>
      </c>
      <c r="N93" s="49">
        <v>0.12690000000000001</v>
      </c>
      <c r="O93" s="77">
        <v>1.2690000000000002E-3</v>
      </c>
      <c r="P93" s="78"/>
      <c r="Q93" s="50"/>
      <c r="R93" s="50">
        <v>0</v>
      </c>
      <c r="S93" s="77">
        <v>0</v>
      </c>
      <c r="T93" s="33"/>
    </row>
    <row r="94" spans="1:20" ht="21" customHeight="1" x14ac:dyDescent="0.25">
      <c r="A94" s="70">
        <v>904</v>
      </c>
      <c r="B94" s="51" t="s">
        <v>274</v>
      </c>
      <c r="C94" s="75">
        <v>46754590</v>
      </c>
      <c r="D94" s="75">
        <v>947920770</v>
      </c>
      <c r="E94" s="71" t="s">
        <v>691</v>
      </c>
      <c r="F94" s="106"/>
      <c r="G94" s="76">
        <v>904</v>
      </c>
      <c r="H94" s="52">
        <v>76.150000000000006</v>
      </c>
      <c r="I94" s="52">
        <v>76.150000000000006</v>
      </c>
      <c r="J94" s="49">
        <v>0.44973999999999997</v>
      </c>
      <c r="K94" s="77">
        <v>4.4973999999999995E-3</v>
      </c>
      <c r="L94" s="78" t="s">
        <v>276</v>
      </c>
      <c r="M94" s="50">
        <v>0</v>
      </c>
      <c r="N94" s="49">
        <v>0.12690000000000001</v>
      </c>
      <c r="O94" s="77">
        <v>1.2690000000000002E-3</v>
      </c>
      <c r="P94" s="78" t="s">
        <v>275</v>
      </c>
      <c r="Q94" s="50">
        <v>0</v>
      </c>
      <c r="R94" s="50">
        <v>3.6749999999999998E-2</v>
      </c>
      <c r="S94" s="77">
        <v>3.6749999999999999E-4</v>
      </c>
      <c r="T94" s="33"/>
    </row>
    <row r="95" spans="1:20" ht="21" customHeight="1" x14ac:dyDescent="0.25">
      <c r="A95" s="70">
        <v>905</v>
      </c>
      <c r="B95" s="4" t="s">
        <v>72</v>
      </c>
      <c r="C95" s="52"/>
      <c r="D95" s="52"/>
      <c r="E95" s="71" t="s">
        <v>802</v>
      </c>
      <c r="F95" s="105"/>
      <c r="G95" s="72">
        <v>905</v>
      </c>
      <c r="H95" s="7">
        <v>78.95</v>
      </c>
      <c r="I95" s="7">
        <v>78.95</v>
      </c>
      <c r="J95" s="27">
        <v>0.44973999999999997</v>
      </c>
      <c r="K95" s="73">
        <v>4.4973999999999995E-3</v>
      </c>
      <c r="L95" s="74"/>
      <c r="M95" s="8"/>
      <c r="N95" s="27">
        <v>0</v>
      </c>
      <c r="O95" s="73">
        <v>0</v>
      </c>
      <c r="P95" s="74"/>
      <c r="Q95" s="8"/>
      <c r="R95" s="8">
        <v>0</v>
      </c>
      <c r="S95" s="73">
        <v>0</v>
      </c>
      <c r="T95" s="33"/>
    </row>
    <row r="96" spans="1:20" ht="21" customHeight="1" x14ac:dyDescent="0.25">
      <c r="A96" s="70">
        <v>906</v>
      </c>
      <c r="B96" s="51" t="s">
        <v>73</v>
      </c>
      <c r="C96" s="75"/>
      <c r="D96" s="75"/>
      <c r="E96" s="71" t="s">
        <v>803</v>
      </c>
      <c r="F96" s="106"/>
      <c r="G96" s="76">
        <v>906</v>
      </c>
      <c r="H96" s="52">
        <v>43.35</v>
      </c>
      <c r="I96" s="52">
        <v>43.35</v>
      </c>
      <c r="J96" s="49">
        <v>0.26939000000000002</v>
      </c>
      <c r="K96" s="77">
        <v>2.6939000000000004E-3</v>
      </c>
      <c r="L96" s="78" t="s">
        <v>495</v>
      </c>
      <c r="M96" s="50">
        <v>0</v>
      </c>
      <c r="N96" s="49">
        <v>0.12690000000000001</v>
      </c>
      <c r="O96" s="77">
        <v>1.2690000000000002E-3</v>
      </c>
      <c r="P96" s="78"/>
      <c r="Q96" s="50"/>
      <c r="R96" s="50">
        <v>0</v>
      </c>
      <c r="S96" s="77">
        <v>0</v>
      </c>
      <c r="T96" s="33"/>
    </row>
    <row r="97" spans="1:20" ht="21" customHeight="1" x14ac:dyDescent="0.25">
      <c r="A97" s="70">
        <v>907</v>
      </c>
      <c r="B97" s="6" t="s">
        <v>243</v>
      </c>
      <c r="C97" s="71">
        <v>76541816</v>
      </c>
      <c r="D97" s="71">
        <v>949147404</v>
      </c>
      <c r="E97" s="71" t="s">
        <v>692</v>
      </c>
      <c r="F97" s="104"/>
      <c r="G97" s="72">
        <v>907</v>
      </c>
      <c r="H97" s="7">
        <v>66.45</v>
      </c>
      <c r="I97" s="7">
        <v>66.45</v>
      </c>
      <c r="J97" s="27">
        <v>0.44973999999999997</v>
      </c>
      <c r="K97" s="73">
        <v>4.4973999999999995E-3</v>
      </c>
      <c r="L97" s="74"/>
      <c r="M97" s="8"/>
      <c r="N97" s="27">
        <v>0</v>
      </c>
      <c r="O97" s="73">
        <v>0</v>
      </c>
      <c r="P97" s="74"/>
      <c r="Q97" s="8"/>
      <c r="R97" s="8">
        <v>0</v>
      </c>
      <c r="S97" s="73">
        <v>0</v>
      </c>
      <c r="T97" s="33"/>
    </row>
    <row r="98" spans="1:20" ht="21" customHeight="1" x14ac:dyDescent="0.25">
      <c r="A98" s="70">
        <v>908</v>
      </c>
      <c r="B98" s="6" t="s">
        <v>74</v>
      </c>
      <c r="C98" s="71"/>
      <c r="D98" s="71"/>
      <c r="E98" s="71" t="s">
        <v>804</v>
      </c>
      <c r="F98" s="104"/>
      <c r="G98" s="72">
        <v>908</v>
      </c>
      <c r="H98" s="9">
        <v>33.200000000000003</v>
      </c>
      <c r="I98" s="9">
        <v>33.200000000000003</v>
      </c>
      <c r="J98" s="27">
        <v>0.26939000000000002</v>
      </c>
      <c r="K98" s="73">
        <v>2.6939000000000004E-3</v>
      </c>
      <c r="L98" s="74"/>
      <c r="M98" s="8"/>
      <c r="N98" s="27">
        <v>0</v>
      </c>
      <c r="O98" s="73">
        <v>0</v>
      </c>
      <c r="P98" s="74"/>
      <c r="Q98" s="8"/>
      <c r="R98" s="8">
        <v>0</v>
      </c>
      <c r="S98" s="73">
        <v>0</v>
      </c>
      <c r="T98" s="33"/>
    </row>
    <row r="99" spans="1:20" ht="21" customHeight="1" x14ac:dyDescent="0.25">
      <c r="A99" s="70">
        <v>909</v>
      </c>
      <c r="B99" s="6" t="s">
        <v>75</v>
      </c>
      <c r="C99" s="71"/>
      <c r="D99" s="71"/>
      <c r="E99" s="71" t="s">
        <v>805</v>
      </c>
      <c r="F99" s="104"/>
      <c r="G99" s="72">
        <v>909</v>
      </c>
      <c r="H99" s="7">
        <v>44.45</v>
      </c>
      <c r="I99" s="7">
        <v>44.45</v>
      </c>
      <c r="J99" s="27">
        <v>0.26939000000000002</v>
      </c>
      <c r="K99" s="73">
        <v>2.6939000000000004E-3</v>
      </c>
      <c r="L99" s="74"/>
      <c r="M99" s="8"/>
      <c r="N99" s="27">
        <v>0</v>
      </c>
      <c r="O99" s="73">
        <v>0</v>
      </c>
      <c r="P99" s="74"/>
      <c r="Q99" s="8"/>
      <c r="R99" s="8">
        <v>0</v>
      </c>
      <c r="S99" s="73">
        <v>0</v>
      </c>
      <c r="T99" s="33"/>
    </row>
    <row r="100" spans="1:20" ht="21" customHeight="1" x14ac:dyDescent="0.25">
      <c r="A100" s="70">
        <v>910</v>
      </c>
      <c r="B100" s="51" t="s">
        <v>336</v>
      </c>
      <c r="C100" s="75"/>
      <c r="D100" s="75"/>
      <c r="E100" s="71" t="s">
        <v>806</v>
      </c>
      <c r="F100" s="106"/>
      <c r="G100" s="76">
        <v>910</v>
      </c>
      <c r="H100" s="53">
        <v>81</v>
      </c>
      <c r="I100" s="53">
        <v>81</v>
      </c>
      <c r="J100" s="49">
        <v>0.44973999999999997</v>
      </c>
      <c r="K100" s="77">
        <v>4.4973999999999995E-3</v>
      </c>
      <c r="L100" s="78" t="s">
        <v>337</v>
      </c>
      <c r="M100" s="50">
        <v>0</v>
      </c>
      <c r="N100" s="49">
        <v>0.12690000000000001</v>
      </c>
      <c r="O100" s="77">
        <v>1.2690000000000002E-3</v>
      </c>
      <c r="P100" s="78"/>
      <c r="Q100" s="50"/>
      <c r="R100" s="50">
        <v>0</v>
      </c>
      <c r="S100" s="77">
        <v>0</v>
      </c>
      <c r="T100" s="33"/>
    </row>
    <row r="101" spans="1:20" ht="21" customHeight="1" x14ac:dyDescent="0.25">
      <c r="A101" s="70">
        <v>911</v>
      </c>
      <c r="B101" s="6" t="s">
        <v>516</v>
      </c>
      <c r="C101" s="71"/>
      <c r="D101" s="71"/>
      <c r="E101" s="71" t="s">
        <v>807</v>
      </c>
      <c r="F101" s="104"/>
      <c r="G101" s="72">
        <v>911</v>
      </c>
      <c r="H101" s="9">
        <v>33</v>
      </c>
      <c r="I101" s="9">
        <v>33</v>
      </c>
      <c r="J101" s="27">
        <v>0.26939000000000002</v>
      </c>
      <c r="K101" s="73">
        <v>2.6939000000000004E-3</v>
      </c>
      <c r="L101" s="74"/>
      <c r="M101" s="8"/>
      <c r="N101" s="27">
        <v>0</v>
      </c>
      <c r="O101" s="73">
        <v>0</v>
      </c>
      <c r="P101" s="74"/>
      <c r="Q101" s="8"/>
      <c r="R101" s="8">
        <v>0</v>
      </c>
      <c r="S101" s="73">
        <v>0</v>
      </c>
      <c r="T101" s="33"/>
    </row>
    <row r="102" spans="1:20" ht="21" customHeight="1" x14ac:dyDescent="0.25">
      <c r="A102" s="70">
        <v>912</v>
      </c>
      <c r="B102" s="51" t="s">
        <v>76</v>
      </c>
      <c r="C102" s="75"/>
      <c r="D102" s="75"/>
      <c r="E102" s="71" t="s">
        <v>808</v>
      </c>
      <c r="F102" s="106"/>
      <c r="G102" s="76">
        <v>912</v>
      </c>
      <c r="H102" s="53">
        <v>74.599999999999994</v>
      </c>
      <c r="I102" s="53">
        <v>74.599999999999994</v>
      </c>
      <c r="J102" s="49">
        <v>0.44973999999999997</v>
      </c>
      <c r="K102" s="77">
        <v>4.4973999999999995E-3</v>
      </c>
      <c r="L102" s="78" t="s">
        <v>430</v>
      </c>
      <c r="M102" s="50">
        <v>0</v>
      </c>
      <c r="N102" s="49">
        <v>0.12690000000000001</v>
      </c>
      <c r="O102" s="77">
        <v>1.2690000000000002E-3</v>
      </c>
      <c r="P102" s="78"/>
      <c r="Q102" s="50"/>
      <c r="R102" s="50">
        <v>0</v>
      </c>
      <c r="S102" s="77">
        <v>0</v>
      </c>
      <c r="T102" s="33"/>
    </row>
    <row r="103" spans="1:20" ht="21" customHeight="1" x14ac:dyDescent="0.25">
      <c r="A103" s="70">
        <v>1001</v>
      </c>
      <c r="B103" s="51" t="s">
        <v>77</v>
      </c>
      <c r="C103" s="75"/>
      <c r="D103" s="75"/>
      <c r="E103" s="71" t="s">
        <v>809</v>
      </c>
      <c r="F103" s="106"/>
      <c r="G103" s="76">
        <v>1001</v>
      </c>
      <c r="H103" s="53">
        <v>92.5</v>
      </c>
      <c r="I103" s="53">
        <v>92.5</v>
      </c>
      <c r="J103" s="49">
        <v>0.56772999999999996</v>
      </c>
      <c r="K103" s="77">
        <v>5.6772999999999997E-3</v>
      </c>
      <c r="L103" s="78" t="s">
        <v>177</v>
      </c>
      <c r="M103" s="50">
        <v>0</v>
      </c>
      <c r="N103" s="49">
        <v>0.12690000000000001</v>
      </c>
      <c r="O103" s="77">
        <v>1.2690000000000002E-3</v>
      </c>
      <c r="P103" s="78"/>
      <c r="Q103" s="50"/>
      <c r="R103" s="50">
        <v>0</v>
      </c>
      <c r="S103" s="77">
        <v>0</v>
      </c>
      <c r="T103" s="33"/>
    </row>
    <row r="104" spans="1:20" ht="21" customHeight="1" x14ac:dyDescent="0.25">
      <c r="A104" s="70">
        <v>1002</v>
      </c>
      <c r="B104" s="51" t="s">
        <v>234</v>
      </c>
      <c r="C104" s="75"/>
      <c r="D104" s="75"/>
      <c r="E104" s="71" t="s">
        <v>810</v>
      </c>
      <c r="F104" s="106"/>
      <c r="G104" s="76">
        <v>1002</v>
      </c>
      <c r="H104" s="52">
        <v>77.05</v>
      </c>
      <c r="I104" s="52">
        <v>77.05</v>
      </c>
      <c r="J104" s="49">
        <v>0.44973999999999997</v>
      </c>
      <c r="K104" s="77">
        <v>4.4973999999999995E-3</v>
      </c>
      <c r="L104" s="78" t="s">
        <v>235</v>
      </c>
      <c r="M104" s="50">
        <v>0</v>
      </c>
      <c r="N104" s="49">
        <v>0.12690000000000001</v>
      </c>
      <c r="O104" s="77">
        <v>1.2690000000000002E-3</v>
      </c>
      <c r="P104" s="78"/>
      <c r="Q104" s="50"/>
      <c r="R104" s="50">
        <v>0</v>
      </c>
      <c r="S104" s="77">
        <v>0</v>
      </c>
      <c r="T104" s="33"/>
    </row>
    <row r="105" spans="1:20" ht="21" customHeight="1" x14ac:dyDescent="0.25">
      <c r="A105" s="70">
        <v>1003</v>
      </c>
      <c r="B105" s="51" t="s">
        <v>78</v>
      </c>
      <c r="C105" s="75"/>
      <c r="D105" s="75">
        <v>34637757796</v>
      </c>
      <c r="E105" s="71" t="s">
        <v>811</v>
      </c>
      <c r="F105" s="106"/>
      <c r="G105" s="76">
        <v>1003</v>
      </c>
      <c r="H105" s="53">
        <v>68</v>
      </c>
      <c r="I105" s="53">
        <v>68</v>
      </c>
      <c r="J105" s="49">
        <v>0.44973999999999997</v>
      </c>
      <c r="K105" s="77">
        <v>4.4973999999999995E-3</v>
      </c>
      <c r="L105" s="78" t="s">
        <v>303</v>
      </c>
      <c r="M105" s="50">
        <v>0</v>
      </c>
      <c r="N105" s="49">
        <v>0.12690000000000001</v>
      </c>
      <c r="O105" s="77">
        <v>1.2690000000000002E-3</v>
      </c>
      <c r="P105" s="78"/>
      <c r="Q105" s="50"/>
      <c r="R105" s="50">
        <v>0</v>
      </c>
      <c r="S105" s="77">
        <v>0</v>
      </c>
      <c r="T105" s="33"/>
    </row>
    <row r="106" spans="1:20" ht="21" customHeight="1" x14ac:dyDescent="0.25">
      <c r="A106" s="70">
        <v>1004</v>
      </c>
      <c r="B106" s="51" t="s">
        <v>281</v>
      </c>
      <c r="C106" s="75"/>
      <c r="D106" s="75"/>
      <c r="E106" s="71" t="s">
        <v>812</v>
      </c>
      <c r="F106" s="106"/>
      <c r="G106" s="76">
        <v>1004</v>
      </c>
      <c r="H106" s="52">
        <v>76.150000000000006</v>
      </c>
      <c r="I106" s="52">
        <v>76.150000000000006</v>
      </c>
      <c r="J106" s="49">
        <v>0.44973999999999997</v>
      </c>
      <c r="K106" s="77">
        <v>4.4973999999999995E-3</v>
      </c>
      <c r="L106" s="78" t="s">
        <v>282</v>
      </c>
      <c r="M106" s="50">
        <v>0</v>
      </c>
      <c r="N106" s="49">
        <v>0.12690000000000001</v>
      </c>
      <c r="O106" s="77">
        <v>1.2690000000000002E-3</v>
      </c>
      <c r="P106" s="78"/>
      <c r="Q106" s="50"/>
      <c r="R106" s="50">
        <v>0</v>
      </c>
      <c r="S106" s="77">
        <v>0</v>
      </c>
      <c r="T106" s="33"/>
    </row>
    <row r="107" spans="1:20" ht="21" customHeight="1" x14ac:dyDescent="0.25">
      <c r="A107" s="70">
        <v>1005</v>
      </c>
      <c r="B107" s="51" t="s">
        <v>693</v>
      </c>
      <c r="C107" s="75">
        <v>46551883</v>
      </c>
      <c r="D107" s="75">
        <v>924859551</v>
      </c>
      <c r="E107" s="71" t="s">
        <v>694</v>
      </c>
      <c r="F107" s="106"/>
      <c r="G107" s="76">
        <v>1005</v>
      </c>
      <c r="H107" s="52">
        <v>78.95</v>
      </c>
      <c r="I107" s="52">
        <v>78.95</v>
      </c>
      <c r="J107" s="49">
        <v>0.44973999999999997</v>
      </c>
      <c r="K107" s="77">
        <v>4.4973999999999995E-3</v>
      </c>
      <c r="L107" s="78" t="s">
        <v>443</v>
      </c>
      <c r="M107" s="50">
        <v>0</v>
      </c>
      <c r="N107" s="49">
        <v>0.12690000000000001</v>
      </c>
      <c r="O107" s="77">
        <v>1.2690000000000002E-3</v>
      </c>
      <c r="P107" s="78"/>
      <c r="Q107" s="50"/>
      <c r="R107" s="50">
        <v>0</v>
      </c>
      <c r="S107" s="77">
        <v>0</v>
      </c>
      <c r="T107" s="33"/>
    </row>
    <row r="108" spans="1:20" ht="21" customHeight="1" x14ac:dyDescent="0.25">
      <c r="A108" s="70">
        <v>1006</v>
      </c>
      <c r="B108" s="51" t="s">
        <v>55</v>
      </c>
      <c r="C108" s="75"/>
      <c r="D108" s="75"/>
      <c r="E108" s="71" t="s">
        <v>795</v>
      </c>
      <c r="F108" s="106"/>
      <c r="G108" s="76">
        <v>1006</v>
      </c>
      <c r="H108" s="52">
        <v>43.35</v>
      </c>
      <c r="I108" s="52">
        <v>43.35</v>
      </c>
      <c r="J108" s="49">
        <v>0.26939000000000002</v>
      </c>
      <c r="K108" s="77">
        <v>2.6939000000000004E-3</v>
      </c>
      <c r="L108" s="78"/>
      <c r="M108" s="50"/>
      <c r="N108" s="49"/>
      <c r="O108" s="77"/>
      <c r="P108" s="78"/>
      <c r="Q108" s="50"/>
      <c r="R108" s="50">
        <v>0</v>
      </c>
      <c r="S108" s="77">
        <v>0</v>
      </c>
      <c r="T108" s="33"/>
    </row>
    <row r="109" spans="1:20" ht="21" customHeight="1" x14ac:dyDescent="0.25">
      <c r="A109" s="70">
        <v>1007</v>
      </c>
      <c r="B109" s="51" t="s">
        <v>369</v>
      </c>
      <c r="C109" s="75"/>
      <c r="D109" s="75"/>
      <c r="E109" s="71" t="s">
        <v>813</v>
      </c>
      <c r="F109" s="106"/>
      <c r="G109" s="76">
        <v>1007</v>
      </c>
      <c r="H109" s="52">
        <v>66.45</v>
      </c>
      <c r="I109" s="52">
        <v>66.45</v>
      </c>
      <c r="J109" s="49">
        <v>0.44973999999999997</v>
      </c>
      <c r="K109" s="77">
        <v>4.4973999999999995E-3</v>
      </c>
      <c r="L109" s="78" t="s">
        <v>370</v>
      </c>
      <c r="M109" s="50">
        <v>0</v>
      </c>
      <c r="N109" s="49">
        <v>0.12690000000000001</v>
      </c>
      <c r="O109" s="77">
        <v>1.2690000000000002E-3</v>
      </c>
      <c r="P109" s="78"/>
      <c r="Q109" s="50"/>
      <c r="R109" s="50">
        <v>0</v>
      </c>
      <c r="S109" s="77">
        <v>0</v>
      </c>
      <c r="T109" s="33"/>
    </row>
    <row r="110" spans="1:20" ht="21" customHeight="1" x14ac:dyDescent="0.25">
      <c r="A110" s="70">
        <v>1008</v>
      </c>
      <c r="B110" s="6" t="s">
        <v>80</v>
      </c>
      <c r="C110" s="71" t="s">
        <v>695</v>
      </c>
      <c r="D110" s="71">
        <v>989282296</v>
      </c>
      <c r="E110" s="71" t="s">
        <v>696</v>
      </c>
      <c r="F110" s="104"/>
      <c r="G110" s="72">
        <v>1008</v>
      </c>
      <c r="H110" s="9">
        <v>33.200000000000003</v>
      </c>
      <c r="I110" s="9">
        <v>33.200000000000003</v>
      </c>
      <c r="J110" s="27">
        <v>0.26939000000000002</v>
      </c>
      <c r="K110" s="73">
        <v>2.6939000000000004E-3</v>
      </c>
      <c r="L110" s="74"/>
      <c r="M110" s="8"/>
      <c r="N110" s="27">
        <v>0</v>
      </c>
      <c r="O110" s="73">
        <v>0</v>
      </c>
      <c r="P110" s="74"/>
      <c r="Q110" s="8"/>
      <c r="R110" s="8">
        <v>0</v>
      </c>
      <c r="S110" s="73">
        <v>0</v>
      </c>
      <c r="T110" s="33"/>
    </row>
    <row r="111" spans="1:20" ht="21" customHeight="1" x14ac:dyDescent="0.25">
      <c r="A111" s="70">
        <v>1009</v>
      </c>
      <c r="B111" s="51" t="s">
        <v>81</v>
      </c>
      <c r="C111" s="75">
        <v>25757801</v>
      </c>
      <c r="D111" s="75">
        <v>989147337</v>
      </c>
      <c r="E111" s="71" t="s">
        <v>697</v>
      </c>
      <c r="F111" s="106"/>
      <c r="G111" s="76">
        <v>1009</v>
      </c>
      <c r="H111" s="52">
        <v>44.45</v>
      </c>
      <c r="I111" s="52">
        <v>44.45</v>
      </c>
      <c r="J111" s="49">
        <v>0.26939000000000002</v>
      </c>
      <c r="K111" s="77">
        <v>2.6939000000000004E-3</v>
      </c>
      <c r="L111" s="78" t="s">
        <v>375</v>
      </c>
      <c r="M111" s="50">
        <v>0</v>
      </c>
      <c r="N111" s="49">
        <v>0.12690000000000001</v>
      </c>
      <c r="O111" s="77">
        <v>1.2690000000000002E-3</v>
      </c>
      <c r="P111" s="78"/>
      <c r="Q111" s="50"/>
      <c r="R111" s="50">
        <v>0</v>
      </c>
      <c r="S111" s="77">
        <v>0</v>
      </c>
      <c r="T111" s="33"/>
    </row>
    <row r="112" spans="1:20" ht="21" customHeight="1" x14ac:dyDescent="0.25">
      <c r="A112" s="70">
        <v>1010</v>
      </c>
      <c r="B112" s="6" t="s">
        <v>82</v>
      </c>
      <c r="C112" s="71"/>
      <c r="D112" s="71"/>
      <c r="E112" s="71" t="s">
        <v>814</v>
      </c>
      <c r="F112" s="104"/>
      <c r="G112" s="72">
        <v>1010</v>
      </c>
      <c r="H112" s="9">
        <v>81</v>
      </c>
      <c r="I112" s="9">
        <v>81</v>
      </c>
      <c r="J112" s="27">
        <v>0.44973999999999997</v>
      </c>
      <c r="K112" s="73">
        <v>4.4973999999999995E-3</v>
      </c>
      <c r="L112" s="74"/>
      <c r="M112" s="8"/>
      <c r="N112" s="27">
        <v>0</v>
      </c>
      <c r="O112" s="73">
        <v>0</v>
      </c>
      <c r="P112" s="74"/>
      <c r="Q112" s="8"/>
      <c r="R112" s="8">
        <v>0</v>
      </c>
      <c r="S112" s="73">
        <v>0</v>
      </c>
      <c r="T112" s="33"/>
    </row>
    <row r="113" spans="1:22" ht="21" customHeight="1" x14ac:dyDescent="0.25">
      <c r="A113" s="70">
        <v>1011</v>
      </c>
      <c r="B113" s="6" t="s">
        <v>83</v>
      </c>
      <c r="C113" s="71"/>
      <c r="D113" s="75">
        <v>19043820889</v>
      </c>
      <c r="E113" s="71" t="s">
        <v>815</v>
      </c>
      <c r="F113" s="104"/>
      <c r="G113" s="72">
        <v>1011</v>
      </c>
      <c r="H113" s="9">
        <v>33</v>
      </c>
      <c r="I113" s="9">
        <v>33</v>
      </c>
      <c r="J113" s="27">
        <v>0.26939000000000002</v>
      </c>
      <c r="K113" s="73">
        <v>2.6939000000000004E-3</v>
      </c>
      <c r="L113" s="74"/>
      <c r="M113" s="8"/>
      <c r="N113" s="27">
        <v>0</v>
      </c>
      <c r="O113" s="73">
        <v>0</v>
      </c>
      <c r="P113" s="74"/>
      <c r="Q113" s="8"/>
      <c r="R113" s="8">
        <v>0</v>
      </c>
      <c r="S113" s="73">
        <v>0</v>
      </c>
      <c r="T113" s="33"/>
    </row>
    <row r="114" spans="1:22" ht="21" customHeight="1" x14ac:dyDescent="0.25">
      <c r="A114" s="70">
        <v>1012</v>
      </c>
      <c r="B114" s="51" t="s">
        <v>84</v>
      </c>
      <c r="C114" s="75">
        <v>41406465</v>
      </c>
      <c r="D114" s="75">
        <v>962356387</v>
      </c>
      <c r="E114" s="71" t="s">
        <v>698</v>
      </c>
      <c r="F114" s="106"/>
      <c r="G114" s="76">
        <v>1012</v>
      </c>
      <c r="H114" s="53">
        <v>74.599999999999994</v>
      </c>
      <c r="I114" s="53">
        <v>74.599999999999994</v>
      </c>
      <c r="J114" s="49">
        <v>0.44973999999999997</v>
      </c>
      <c r="K114" s="77">
        <v>4.4973999999999995E-3</v>
      </c>
      <c r="L114" s="78" t="s">
        <v>539</v>
      </c>
      <c r="M114" s="50">
        <v>0</v>
      </c>
      <c r="N114" s="49">
        <v>0.12690000000000001</v>
      </c>
      <c r="O114" s="77">
        <v>1.2690000000000002E-3</v>
      </c>
      <c r="P114" s="78"/>
      <c r="Q114" s="50"/>
      <c r="R114" s="50">
        <v>0</v>
      </c>
      <c r="S114" s="77">
        <v>0</v>
      </c>
      <c r="T114" s="33"/>
    </row>
    <row r="115" spans="1:22" ht="21" customHeight="1" x14ac:dyDescent="0.25">
      <c r="A115" s="70">
        <v>1101</v>
      </c>
      <c r="B115" s="51" t="s">
        <v>699</v>
      </c>
      <c r="C115" s="75">
        <v>10062705</v>
      </c>
      <c r="D115" s="75" t="s">
        <v>700</v>
      </c>
      <c r="E115" s="71" t="s">
        <v>701</v>
      </c>
      <c r="F115" s="106"/>
      <c r="G115" s="76">
        <v>1101</v>
      </c>
      <c r="H115" s="53">
        <v>92.5</v>
      </c>
      <c r="I115" s="53">
        <v>92.5</v>
      </c>
      <c r="J115" s="49">
        <v>0.56772999999999996</v>
      </c>
      <c r="K115" s="77">
        <v>5.6772999999999997E-3</v>
      </c>
      <c r="L115" s="78" t="s">
        <v>194</v>
      </c>
      <c r="M115" s="50">
        <v>0</v>
      </c>
      <c r="N115" s="49">
        <v>0.12690000000000001</v>
      </c>
      <c r="O115" s="77">
        <v>1.2690000000000002E-3</v>
      </c>
      <c r="P115" s="78"/>
      <c r="Q115" s="50"/>
      <c r="R115" s="50">
        <v>0</v>
      </c>
      <c r="S115" s="77">
        <v>0</v>
      </c>
      <c r="T115" s="33"/>
    </row>
    <row r="116" spans="1:22" ht="21" customHeight="1" x14ac:dyDescent="0.25">
      <c r="A116" s="70">
        <v>1102</v>
      </c>
      <c r="B116" s="6" t="s">
        <v>85</v>
      </c>
      <c r="C116" s="71"/>
      <c r="D116" s="71"/>
      <c r="E116" s="71" t="s">
        <v>816</v>
      </c>
      <c r="F116" s="104"/>
      <c r="G116" s="72">
        <v>1102</v>
      </c>
      <c r="H116" s="7">
        <v>77.05</v>
      </c>
      <c r="I116" s="7">
        <v>77.05</v>
      </c>
      <c r="J116" s="27">
        <v>0.44973999999999997</v>
      </c>
      <c r="K116" s="73">
        <v>4.4973999999999995E-3</v>
      </c>
      <c r="L116" s="74"/>
      <c r="M116" s="8"/>
      <c r="N116" s="27">
        <v>0</v>
      </c>
      <c r="O116" s="73">
        <v>0</v>
      </c>
      <c r="P116" s="74"/>
      <c r="Q116" s="8"/>
      <c r="R116" s="8">
        <v>0</v>
      </c>
      <c r="S116" s="73">
        <v>0</v>
      </c>
      <c r="T116" s="33"/>
    </row>
    <row r="117" spans="1:22" ht="21" customHeight="1" x14ac:dyDescent="0.25">
      <c r="A117" s="70">
        <v>1103</v>
      </c>
      <c r="B117" s="51" t="s">
        <v>86</v>
      </c>
      <c r="C117" s="75"/>
      <c r="D117" s="75"/>
      <c r="E117" s="71" t="s">
        <v>817</v>
      </c>
      <c r="F117" s="106"/>
      <c r="G117" s="76">
        <v>1103</v>
      </c>
      <c r="H117" s="53">
        <v>68</v>
      </c>
      <c r="I117" s="53">
        <v>68</v>
      </c>
      <c r="J117" s="49">
        <v>0.44973999999999997</v>
      </c>
      <c r="K117" s="77">
        <v>4.4973999999999995E-3</v>
      </c>
      <c r="L117" s="78" t="s">
        <v>385</v>
      </c>
      <c r="M117" s="50">
        <v>0</v>
      </c>
      <c r="N117" s="49">
        <v>0.12690000000000001</v>
      </c>
      <c r="O117" s="77">
        <v>1.2690000000000002E-3</v>
      </c>
      <c r="P117" s="78"/>
      <c r="Q117" s="50"/>
      <c r="R117" s="50">
        <v>0</v>
      </c>
      <c r="S117" s="77">
        <v>0</v>
      </c>
      <c r="T117" s="33"/>
    </row>
    <row r="118" spans="1:22" ht="21" customHeight="1" x14ac:dyDescent="0.25">
      <c r="A118" s="70">
        <v>1104</v>
      </c>
      <c r="B118" s="6" t="s">
        <v>87</v>
      </c>
      <c r="C118" s="71"/>
      <c r="D118" s="71"/>
      <c r="E118" s="71" t="s">
        <v>818</v>
      </c>
      <c r="F118" s="104"/>
      <c r="G118" s="72">
        <v>1104</v>
      </c>
      <c r="H118" s="7">
        <v>76.150000000000006</v>
      </c>
      <c r="I118" s="7">
        <v>76.150000000000006</v>
      </c>
      <c r="J118" s="27">
        <v>0.44973999999999997</v>
      </c>
      <c r="K118" s="73">
        <v>4.4973999999999995E-3</v>
      </c>
      <c r="L118" s="74"/>
      <c r="M118" s="8"/>
      <c r="N118" s="27">
        <v>0</v>
      </c>
      <c r="O118" s="73">
        <v>0</v>
      </c>
      <c r="P118" s="74"/>
      <c r="Q118" s="8"/>
      <c r="R118" s="8">
        <v>0</v>
      </c>
      <c r="S118" s="73">
        <v>0</v>
      </c>
      <c r="T118" s="33"/>
    </row>
    <row r="119" spans="1:22" ht="21" customHeight="1" x14ac:dyDescent="0.25">
      <c r="A119" s="70">
        <v>1105</v>
      </c>
      <c r="B119" s="51" t="s">
        <v>492</v>
      </c>
      <c r="C119" s="75"/>
      <c r="D119" s="75"/>
      <c r="E119" s="71" t="s">
        <v>819</v>
      </c>
      <c r="F119" s="106"/>
      <c r="G119" s="76">
        <v>1105</v>
      </c>
      <c r="H119" s="52">
        <v>78.95</v>
      </c>
      <c r="I119" s="52">
        <v>78.95</v>
      </c>
      <c r="J119" s="49">
        <v>0.44973999999999997</v>
      </c>
      <c r="K119" s="77">
        <v>4.4973999999999995E-3</v>
      </c>
      <c r="L119" s="78" t="s">
        <v>493</v>
      </c>
      <c r="M119" s="50">
        <v>0</v>
      </c>
      <c r="N119" s="49">
        <v>0.12690000000000001</v>
      </c>
      <c r="O119" s="77">
        <v>1.2690000000000002E-3</v>
      </c>
      <c r="P119" s="78"/>
      <c r="Q119" s="50"/>
      <c r="R119" s="50">
        <v>0</v>
      </c>
      <c r="S119" s="77">
        <v>0</v>
      </c>
      <c r="T119" s="33"/>
    </row>
    <row r="120" spans="1:22" ht="21" customHeight="1" x14ac:dyDescent="0.25">
      <c r="A120" s="70">
        <v>1106</v>
      </c>
      <c r="B120" s="51" t="s">
        <v>88</v>
      </c>
      <c r="C120" s="75">
        <v>10435345</v>
      </c>
      <c r="D120" s="75" t="s">
        <v>702</v>
      </c>
      <c r="E120" s="71" t="s">
        <v>703</v>
      </c>
      <c r="F120" s="106"/>
      <c r="G120" s="76">
        <v>1106</v>
      </c>
      <c r="H120" s="52">
        <v>43.35</v>
      </c>
      <c r="I120" s="52">
        <v>43.35</v>
      </c>
      <c r="J120" s="49">
        <v>0.26939000000000002</v>
      </c>
      <c r="K120" s="77">
        <v>2.6939000000000004E-3</v>
      </c>
      <c r="L120" s="78" t="s">
        <v>490</v>
      </c>
      <c r="M120" s="50">
        <v>0</v>
      </c>
      <c r="N120" s="49">
        <v>0.12690000000000001</v>
      </c>
      <c r="O120" s="77">
        <v>1.2690000000000002E-3</v>
      </c>
      <c r="P120" s="78" t="s">
        <v>489</v>
      </c>
      <c r="Q120" s="50">
        <v>0</v>
      </c>
      <c r="R120" s="50">
        <v>3.6749999999999998E-2</v>
      </c>
      <c r="S120" s="77">
        <v>3.6749999999999999E-4</v>
      </c>
      <c r="T120" s="33"/>
    </row>
    <row r="121" spans="1:22" ht="21" customHeight="1" x14ac:dyDescent="0.25">
      <c r="A121" s="70">
        <v>1107</v>
      </c>
      <c r="B121" s="4" t="s">
        <v>89</v>
      </c>
      <c r="C121" s="52">
        <v>45018611</v>
      </c>
      <c r="D121" s="52">
        <v>992077193</v>
      </c>
      <c r="E121" s="71" t="s">
        <v>704</v>
      </c>
      <c r="F121" s="105"/>
      <c r="G121" s="72">
        <v>1107</v>
      </c>
      <c r="H121" s="7">
        <v>66.45</v>
      </c>
      <c r="I121" s="7">
        <v>66.45</v>
      </c>
      <c r="J121" s="27">
        <v>0.44973999999999997</v>
      </c>
      <c r="K121" s="73">
        <v>4.4973999999999995E-3</v>
      </c>
      <c r="L121" s="74"/>
      <c r="M121" s="8"/>
      <c r="N121" s="27">
        <v>0</v>
      </c>
      <c r="O121" s="73">
        <v>0</v>
      </c>
      <c r="P121" s="74" t="s">
        <v>221</v>
      </c>
      <c r="Q121" s="8">
        <v>0</v>
      </c>
      <c r="R121" s="8">
        <v>3.6749999999999998E-2</v>
      </c>
      <c r="S121" s="73">
        <v>3.6749999999999999E-4</v>
      </c>
      <c r="T121" s="33"/>
    </row>
    <row r="122" spans="1:22" ht="21" customHeight="1" x14ac:dyDescent="0.25">
      <c r="A122" s="70">
        <v>1108</v>
      </c>
      <c r="B122" s="6" t="s">
        <v>90</v>
      </c>
      <c r="C122" s="71"/>
      <c r="D122" s="52">
        <v>902712261</v>
      </c>
      <c r="E122" s="71" t="s">
        <v>820</v>
      </c>
      <c r="F122" s="104"/>
      <c r="G122" s="72">
        <v>1108</v>
      </c>
      <c r="H122" s="9">
        <v>33.200000000000003</v>
      </c>
      <c r="I122" s="9">
        <v>33.200000000000003</v>
      </c>
      <c r="J122" s="27">
        <v>0.26939000000000002</v>
      </c>
      <c r="K122" s="73">
        <v>2.6939000000000004E-3</v>
      </c>
      <c r="L122" s="74"/>
      <c r="M122" s="8"/>
      <c r="N122" s="27">
        <v>0</v>
      </c>
      <c r="O122" s="73">
        <v>0</v>
      </c>
      <c r="P122" s="74"/>
      <c r="Q122" s="8"/>
      <c r="R122" s="8">
        <v>0</v>
      </c>
      <c r="S122" s="73">
        <v>0</v>
      </c>
      <c r="T122" s="33"/>
    </row>
    <row r="123" spans="1:22" ht="21" customHeight="1" x14ac:dyDescent="0.25">
      <c r="A123" s="70">
        <v>1109</v>
      </c>
      <c r="B123" s="4" t="s">
        <v>61</v>
      </c>
      <c r="C123" s="52">
        <v>47510758</v>
      </c>
      <c r="D123" s="52">
        <v>902712261</v>
      </c>
      <c r="E123" s="71" t="s">
        <v>758</v>
      </c>
      <c r="F123" s="105"/>
      <c r="G123" s="72">
        <v>1109</v>
      </c>
      <c r="H123" s="7">
        <v>44.45</v>
      </c>
      <c r="I123" s="7">
        <v>44.45</v>
      </c>
      <c r="J123" s="27">
        <v>0.26939000000000002</v>
      </c>
      <c r="K123" s="73">
        <v>2.6939000000000004E-3</v>
      </c>
      <c r="L123" s="74"/>
      <c r="M123" s="8"/>
      <c r="N123" s="27">
        <v>0</v>
      </c>
      <c r="O123" s="73">
        <v>0</v>
      </c>
      <c r="P123" s="74"/>
      <c r="Q123" s="8"/>
      <c r="R123" s="8">
        <v>0</v>
      </c>
      <c r="S123" s="73">
        <v>0</v>
      </c>
      <c r="T123" s="33"/>
    </row>
    <row r="124" spans="1:22" ht="21" customHeight="1" x14ac:dyDescent="0.25">
      <c r="A124" s="70">
        <v>1110</v>
      </c>
      <c r="B124" s="51" t="s">
        <v>149</v>
      </c>
      <c r="C124" s="75"/>
      <c r="D124" s="75"/>
      <c r="E124" s="71" t="s">
        <v>821</v>
      </c>
      <c r="F124" s="106"/>
      <c r="G124" s="76">
        <v>1110</v>
      </c>
      <c r="H124" s="53">
        <v>81</v>
      </c>
      <c r="I124" s="53">
        <v>81</v>
      </c>
      <c r="J124" s="49">
        <v>0.44973999999999997</v>
      </c>
      <c r="K124" s="77">
        <v>4.4973999999999995E-3</v>
      </c>
      <c r="L124" s="78" t="s">
        <v>478</v>
      </c>
      <c r="M124" s="50">
        <v>0</v>
      </c>
      <c r="N124" s="49">
        <v>0.12690000000000001</v>
      </c>
      <c r="O124" s="77">
        <v>1.2690000000000002E-3</v>
      </c>
      <c r="P124" s="78"/>
      <c r="Q124" s="50"/>
      <c r="R124" s="50">
        <v>0</v>
      </c>
      <c r="S124" s="77">
        <v>0</v>
      </c>
      <c r="T124" s="33"/>
      <c r="V124" s="48"/>
    </row>
    <row r="125" spans="1:22" ht="21" customHeight="1" x14ac:dyDescent="0.25">
      <c r="A125" s="70">
        <v>1111</v>
      </c>
      <c r="B125" s="6" t="s">
        <v>91</v>
      </c>
      <c r="C125" s="71">
        <v>42278658</v>
      </c>
      <c r="D125" s="71">
        <v>945287782</v>
      </c>
      <c r="E125" s="71" t="s">
        <v>705</v>
      </c>
      <c r="F125" s="104"/>
      <c r="G125" s="72">
        <v>1111</v>
      </c>
      <c r="H125" s="9">
        <v>33</v>
      </c>
      <c r="I125" s="9">
        <v>33</v>
      </c>
      <c r="J125" s="27">
        <v>0.26939000000000002</v>
      </c>
      <c r="K125" s="73">
        <v>2.6939000000000004E-3</v>
      </c>
      <c r="L125" s="74"/>
      <c r="M125" s="8"/>
      <c r="N125" s="27">
        <v>0</v>
      </c>
      <c r="O125" s="73">
        <v>0</v>
      </c>
      <c r="P125" s="74"/>
      <c r="Q125" s="8"/>
      <c r="R125" s="8">
        <v>0</v>
      </c>
      <c r="S125" s="73">
        <v>0</v>
      </c>
      <c r="T125" s="33"/>
      <c r="V125" s="48"/>
    </row>
    <row r="126" spans="1:22" ht="21" customHeight="1" x14ac:dyDescent="0.25">
      <c r="A126" s="70">
        <v>1112</v>
      </c>
      <c r="B126" s="51" t="s">
        <v>92</v>
      </c>
      <c r="C126" s="75"/>
      <c r="D126" s="75"/>
      <c r="E126" s="71" t="s">
        <v>822</v>
      </c>
      <c r="F126" s="106"/>
      <c r="G126" s="76">
        <v>1112</v>
      </c>
      <c r="H126" s="53">
        <v>74.599999999999994</v>
      </c>
      <c r="I126" s="53">
        <v>74.599999999999994</v>
      </c>
      <c r="J126" s="49">
        <v>0.44973999999999997</v>
      </c>
      <c r="K126" s="77">
        <v>4.4973999999999995E-3</v>
      </c>
      <c r="L126" s="78" t="s">
        <v>552</v>
      </c>
      <c r="M126" s="50">
        <v>0</v>
      </c>
      <c r="N126" s="49">
        <v>0.12690000000000001</v>
      </c>
      <c r="O126" s="77">
        <v>1.2690000000000002E-3</v>
      </c>
      <c r="P126" s="78"/>
      <c r="Q126" s="50"/>
      <c r="R126" s="50">
        <v>0</v>
      </c>
      <c r="S126" s="77">
        <v>0</v>
      </c>
      <c r="T126" s="33"/>
      <c r="V126" s="48"/>
    </row>
    <row r="127" spans="1:22" ht="21" customHeight="1" x14ac:dyDescent="0.25">
      <c r="A127" s="70">
        <v>1201</v>
      </c>
      <c r="B127" s="51" t="s">
        <v>93</v>
      </c>
      <c r="C127" s="75"/>
      <c r="D127" s="75"/>
      <c r="E127" s="71" t="s">
        <v>823</v>
      </c>
      <c r="F127" s="106"/>
      <c r="G127" s="76">
        <v>1201</v>
      </c>
      <c r="H127" s="52">
        <v>248.79</v>
      </c>
      <c r="I127" s="52">
        <v>248.79</v>
      </c>
      <c r="J127" s="49">
        <v>0.99965999999999999</v>
      </c>
      <c r="K127" s="77">
        <v>9.9965999999999996E-3</v>
      </c>
      <c r="L127" s="79" t="s">
        <v>609</v>
      </c>
      <c r="M127" s="50">
        <v>0</v>
      </c>
      <c r="N127" s="49">
        <v>0.38070000000000004</v>
      </c>
      <c r="O127" s="77">
        <v>3.8070000000000005E-3</v>
      </c>
      <c r="P127" s="78" t="s">
        <v>223</v>
      </c>
      <c r="Q127" s="50">
        <v>0</v>
      </c>
      <c r="R127" s="50">
        <v>3.6749999999999998E-2</v>
      </c>
      <c r="S127" s="77">
        <v>3.6749999999999999E-4</v>
      </c>
      <c r="T127" s="33"/>
    </row>
    <row r="128" spans="1:22" ht="21" customHeight="1" x14ac:dyDescent="0.25">
      <c r="A128" s="70">
        <v>1204</v>
      </c>
      <c r="B128" s="4" t="s">
        <v>94</v>
      </c>
      <c r="C128" s="52">
        <v>40934587</v>
      </c>
      <c r="D128" s="52" t="s">
        <v>706</v>
      </c>
      <c r="E128" s="71" t="s">
        <v>707</v>
      </c>
      <c r="F128" s="105"/>
      <c r="G128" s="76">
        <v>1204</v>
      </c>
      <c r="H128" s="52">
        <v>76.150000000000006</v>
      </c>
      <c r="I128" s="52">
        <v>76.150000000000006</v>
      </c>
      <c r="J128" s="49">
        <v>0.44973999999999997</v>
      </c>
      <c r="K128" s="77">
        <v>4.4973999999999995E-3</v>
      </c>
      <c r="L128" s="78" t="s">
        <v>237</v>
      </c>
      <c r="M128" s="50">
        <v>0</v>
      </c>
      <c r="N128" s="49">
        <v>0.12690000000000001</v>
      </c>
      <c r="O128" s="77">
        <v>1.2690000000000002E-3</v>
      </c>
      <c r="P128" s="78"/>
      <c r="Q128" s="50"/>
      <c r="R128" s="50">
        <v>0</v>
      </c>
      <c r="S128" s="77">
        <v>0</v>
      </c>
      <c r="T128" s="33"/>
    </row>
    <row r="129" spans="1:20" ht="21" customHeight="1" x14ac:dyDescent="0.25">
      <c r="A129" s="70">
        <v>1205</v>
      </c>
      <c r="B129" s="51" t="s">
        <v>174</v>
      </c>
      <c r="C129" s="75"/>
      <c r="D129" s="75"/>
      <c r="E129" s="71" t="s">
        <v>824</v>
      </c>
      <c r="F129" s="106"/>
      <c r="G129" s="76">
        <v>1205</v>
      </c>
      <c r="H129" s="52">
        <v>78.95</v>
      </c>
      <c r="I129" s="52">
        <v>78.95</v>
      </c>
      <c r="J129" s="49">
        <v>0.44973999999999997</v>
      </c>
      <c r="K129" s="77">
        <v>4.4973999999999995E-3</v>
      </c>
      <c r="L129" s="78" t="s">
        <v>175</v>
      </c>
      <c r="M129" s="50">
        <v>0</v>
      </c>
      <c r="N129" s="49">
        <v>0.12690000000000001</v>
      </c>
      <c r="O129" s="77">
        <v>1.2690000000000002E-3</v>
      </c>
      <c r="P129" s="78"/>
      <c r="Q129" s="50"/>
      <c r="R129" s="50">
        <v>0</v>
      </c>
      <c r="S129" s="77">
        <v>0</v>
      </c>
      <c r="T129" s="33"/>
    </row>
    <row r="130" spans="1:20" ht="21" customHeight="1" x14ac:dyDescent="0.25">
      <c r="A130" s="70">
        <v>1206</v>
      </c>
      <c r="B130" s="51" t="s">
        <v>95</v>
      </c>
      <c r="C130" s="75"/>
      <c r="D130" s="75"/>
      <c r="E130" s="71" t="s">
        <v>825</v>
      </c>
      <c r="F130" s="106"/>
      <c r="G130" s="76">
        <v>1206</v>
      </c>
      <c r="H130" s="52">
        <v>43.35</v>
      </c>
      <c r="I130" s="52">
        <v>43.35</v>
      </c>
      <c r="J130" s="49">
        <v>0.26939000000000002</v>
      </c>
      <c r="K130" s="77">
        <v>2.6939000000000004E-3</v>
      </c>
      <c r="L130" s="78" t="s">
        <v>343</v>
      </c>
      <c r="M130" s="50">
        <v>0</v>
      </c>
      <c r="N130" s="49">
        <v>0.12690000000000001</v>
      </c>
      <c r="O130" s="77">
        <v>1.2690000000000002E-3</v>
      </c>
      <c r="P130" s="78" t="s">
        <v>342</v>
      </c>
      <c r="Q130" s="50">
        <v>0</v>
      </c>
      <c r="R130" s="50">
        <v>3.6749999999999998E-2</v>
      </c>
      <c r="S130" s="77">
        <v>3.6749999999999999E-4</v>
      </c>
      <c r="T130" s="33"/>
    </row>
    <row r="131" spans="1:20" ht="21" customHeight="1" x14ac:dyDescent="0.25">
      <c r="A131" s="70">
        <v>1207</v>
      </c>
      <c r="B131" s="51" t="s">
        <v>96</v>
      </c>
      <c r="C131" s="75"/>
      <c r="D131" s="75" t="s">
        <v>864</v>
      </c>
      <c r="E131" s="71" t="s">
        <v>826</v>
      </c>
      <c r="F131" s="106"/>
      <c r="G131" s="76">
        <v>1207</v>
      </c>
      <c r="H131" s="52">
        <v>66.45</v>
      </c>
      <c r="I131" s="52">
        <v>66.45</v>
      </c>
      <c r="J131" s="49">
        <v>0.44973999999999997</v>
      </c>
      <c r="K131" s="77">
        <v>4.4973999999999995E-3</v>
      </c>
      <c r="L131" s="78" t="s">
        <v>526</v>
      </c>
      <c r="M131" s="50">
        <v>0</v>
      </c>
      <c r="N131" s="49">
        <v>0.12690000000000001</v>
      </c>
      <c r="O131" s="77">
        <v>1.2690000000000002E-3</v>
      </c>
      <c r="P131" s="78"/>
      <c r="Q131" s="50"/>
      <c r="R131" s="50">
        <v>0</v>
      </c>
      <c r="S131" s="77">
        <v>0</v>
      </c>
      <c r="T131" s="33"/>
    </row>
    <row r="132" spans="1:20" ht="21" customHeight="1" x14ac:dyDescent="0.25">
      <c r="A132" s="70">
        <v>1208</v>
      </c>
      <c r="B132" s="6" t="s">
        <v>97</v>
      </c>
      <c r="C132" s="71">
        <v>41707363</v>
      </c>
      <c r="D132" s="71" t="s">
        <v>710</v>
      </c>
      <c r="E132" s="71" t="s">
        <v>711</v>
      </c>
      <c r="F132" s="104"/>
      <c r="G132" s="72">
        <v>1208</v>
      </c>
      <c r="H132" s="9">
        <v>33.200000000000003</v>
      </c>
      <c r="I132" s="9">
        <v>33.200000000000003</v>
      </c>
      <c r="J132" s="27">
        <v>0.26939000000000002</v>
      </c>
      <c r="K132" s="73">
        <v>2.6939000000000004E-3</v>
      </c>
      <c r="L132" s="74"/>
      <c r="M132" s="8"/>
      <c r="N132" s="27">
        <v>0</v>
      </c>
      <c r="O132" s="73">
        <v>0</v>
      </c>
      <c r="P132" s="74"/>
      <c r="Q132" s="8"/>
      <c r="R132" s="8">
        <v>0</v>
      </c>
      <c r="S132" s="73">
        <v>0</v>
      </c>
      <c r="T132" s="33"/>
    </row>
    <row r="133" spans="1:20" ht="21" customHeight="1" x14ac:dyDescent="0.25">
      <c r="A133" s="70">
        <v>1209</v>
      </c>
      <c r="B133" s="51" t="s">
        <v>708</v>
      </c>
      <c r="C133" s="75">
        <v>70008290</v>
      </c>
      <c r="D133" s="75">
        <v>955459547</v>
      </c>
      <c r="E133" s="71" t="s">
        <v>712</v>
      </c>
      <c r="F133" s="106"/>
      <c r="G133" s="76">
        <v>1209</v>
      </c>
      <c r="H133" s="52">
        <v>44.45</v>
      </c>
      <c r="I133" s="52">
        <v>44.45</v>
      </c>
      <c r="J133" s="49">
        <v>0.26939000000000002</v>
      </c>
      <c r="K133" s="77">
        <v>2.6939000000000004E-3</v>
      </c>
      <c r="L133" s="78" t="s">
        <v>409</v>
      </c>
      <c r="M133" s="50">
        <v>0</v>
      </c>
      <c r="N133" s="49">
        <v>0.12690000000000001</v>
      </c>
      <c r="O133" s="77">
        <v>1.2690000000000002E-3</v>
      </c>
      <c r="P133" s="78"/>
      <c r="Q133" s="50"/>
      <c r="R133" s="50">
        <v>0</v>
      </c>
      <c r="S133" s="77">
        <v>0</v>
      </c>
      <c r="T133" s="33"/>
    </row>
    <row r="134" spans="1:20" ht="21" customHeight="1" x14ac:dyDescent="0.25">
      <c r="A134" s="70">
        <v>1210</v>
      </c>
      <c r="B134" s="6" t="s">
        <v>99</v>
      </c>
      <c r="C134" s="71">
        <v>72169804</v>
      </c>
      <c r="D134" s="71">
        <v>974245054</v>
      </c>
      <c r="E134" s="71" t="s">
        <v>713</v>
      </c>
      <c r="F134" s="104"/>
      <c r="G134" s="72">
        <v>1210</v>
      </c>
      <c r="H134" s="9">
        <v>81</v>
      </c>
      <c r="I134" s="9">
        <v>81</v>
      </c>
      <c r="J134" s="27">
        <v>0.44973999999999997</v>
      </c>
      <c r="K134" s="73">
        <v>4.4973999999999995E-3</v>
      </c>
      <c r="L134" s="74"/>
      <c r="M134" s="8"/>
      <c r="N134" s="27">
        <v>0</v>
      </c>
      <c r="O134" s="73">
        <v>0</v>
      </c>
      <c r="P134" s="74"/>
      <c r="Q134" s="8"/>
      <c r="R134" s="8">
        <v>0</v>
      </c>
      <c r="S134" s="73">
        <v>0</v>
      </c>
      <c r="T134" s="33"/>
    </row>
    <row r="135" spans="1:20" ht="21" customHeight="1" x14ac:dyDescent="0.25">
      <c r="A135" s="70">
        <v>1211</v>
      </c>
      <c r="B135" s="6" t="s">
        <v>709</v>
      </c>
      <c r="C135" s="71">
        <v>72181763</v>
      </c>
      <c r="D135" s="71">
        <v>912789890</v>
      </c>
      <c r="E135" s="71" t="s">
        <v>714</v>
      </c>
      <c r="F135" s="104"/>
      <c r="G135" s="72">
        <v>1211</v>
      </c>
      <c r="H135" s="9">
        <v>33</v>
      </c>
      <c r="I135" s="9">
        <v>33</v>
      </c>
      <c r="J135" s="27">
        <v>0.26939000000000002</v>
      </c>
      <c r="K135" s="73">
        <v>2.6939000000000004E-3</v>
      </c>
      <c r="L135" s="74"/>
      <c r="M135" s="8"/>
      <c r="N135" s="27">
        <v>0</v>
      </c>
      <c r="O135" s="73">
        <v>0</v>
      </c>
      <c r="P135" s="74"/>
      <c r="Q135" s="8"/>
      <c r="R135" s="8">
        <v>0</v>
      </c>
      <c r="S135" s="73">
        <v>0</v>
      </c>
      <c r="T135" s="33"/>
    </row>
    <row r="136" spans="1:20" ht="21" customHeight="1" x14ac:dyDescent="0.25">
      <c r="A136" s="70">
        <v>1212</v>
      </c>
      <c r="B136" s="51" t="s">
        <v>101</v>
      </c>
      <c r="C136" s="75"/>
      <c r="D136" s="75"/>
      <c r="E136" s="71" t="s">
        <v>827</v>
      </c>
      <c r="F136" s="106"/>
      <c r="G136" s="76">
        <v>1212</v>
      </c>
      <c r="H136" s="53">
        <v>74.599999999999994</v>
      </c>
      <c r="I136" s="53">
        <v>74.599999999999994</v>
      </c>
      <c r="J136" s="49">
        <v>0.44973999999999997</v>
      </c>
      <c r="K136" s="77">
        <v>4.4973999999999995E-3</v>
      </c>
      <c r="L136" s="78" t="s">
        <v>364</v>
      </c>
      <c r="M136" s="50">
        <v>0</v>
      </c>
      <c r="N136" s="49">
        <v>0.12690000000000001</v>
      </c>
      <c r="O136" s="77">
        <v>1.2690000000000002E-3</v>
      </c>
      <c r="P136" s="78"/>
      <c r="Q136" s="50"/>
      <c r="R136" s="50">
        <v>0</v>
      </c>
      <c r="S136" s="77">
        <v>0</v>
      </c>
      <c r="T136" s="33"/>
    </row>
    <row r="137" spans="1:20" ht="21" customHeight="1" x14ac:dyDescent="0.25">
      <c r="A137" s="70">
        <v>1301</v>
      </c>
      <c r="B137" s="51" t="s">
        <v>102</v>
      </c>
      <c r="C137" s="75"/>
      <c r="D137" s="75"/>
      <c r="E137" s="71" t="s">
        <v>828</v>
      </c>
      <c r="F137" s="106"/>
      <c r="G137" s="76">
        <v>1301</v>
      </c>
      <c r="H137" s="53">
        <v>92.5</v>
      </c>
      <c r="I137" s="53">
        <v>92.5</v>
      </c>
      <c r="J137" s="49">
        <v>0.56772999999999996</v>
      </c>
      <c r="K137" s="77">
        <v>5.6772999999999997E-3</v>
      </c>
      <c r="L137" s="79" t="s">
        <v>610</v>
      </c>
      <c r="M137" s="50">
        <v>0</v>
      </c>
      <c r="N137" s="49">
        <v>0.25380000000000003</v>
      </c>
      <c r="O137" s="77">
        <v>2.5380000000000003E-3</v>
      </c>
      <c r="P137" s="78"/>
      <c r="Q137" s="50"/>
      <c r="R137" s="50">
        <v>0</v>
      </c>
      <c r="S137" s="77">
        <v>0</v>
      </c>
      <c r="T137" s="33"/>
    </row>
    <row r="138" spans="1:20" ht="21" customHeight="1" x14ac:dyDescent="0.25">
      <c r="A138" s="70">
        <v>1302</v>
      </c>
      <c r="B138" s="54" t="s">
        <v>328</v>
      </c>
      <c r="C138" s="80"/>
      <c r="D138" s="80"/>
      <c r="E138" s="71" t="s">
        <v>829</v>
      </c>
      <c r="F138" s="109"/>
      <c r="G138" s="76">
        <v>1302</v>
      </c>
      <c r="H138" s="52">
        <v>77.05</v>
      </c>
      <c r="I138" s="52">
        <v>77.05</v>
      </c>
      <c r="J138" s="49">
        <v>0.44973999999999997</v>
      </c>
      <c r="K138" s="77">
        <v>4.4973999999999995E-3</v>
      </c>
      <c r="L138" s="79" t="s">
        <v>614</v>
      </c>
      <c r="M138" s="50">
        <v>0</v>
      </c>
      <c r="N138" s="49">
        <v>0.25380000000000003</v>
      </c>
      <c r="O138" s="77">
        <v>2.5380000000000003E-3</v>
      </c>
      <c r="P138" s="79" t="s">
        <v>606</v>
      </c>
      <c r="Q138" s="50">
        <v>0</v>
      </c>
      <c r="R138" s="50">
        <v>7.3499999999999996E-2</v>
      </c>
      <c r="S138" s="77">
        <v>7.3499999999999998E-4</v>
      </c>
      <c r="T138" s="33"/>
    </row>
    <row r="139" spans="1:20" ht="21" customHeight="1" x14ac:dyDescent="0.25">
      <c r="A139" s="70">
        <v>1303</v>
      </c>
      <c r="B139" s="4" t="s">
        <v>868</v>
      </c>
      <c r="C139" s="52"/>
      <c r="D139" s="52" t="s">
        <v>872</v>
      </c>
      <c r="E139" s="52" t="s">
        <v>871</v>
      </c>
      <c r="F139" s="105"/>
      <c r="G139" s="76">
        <v>1303</v>
      </c>
      <c r="H139" s="53">
        <v>68</v>
      </c>
      <c r="I139" s="53">
        <v>68</v>
      </c>
      <c r="J139" s="49">
        <v>0.44973999999999997</v>
      </c>
      <c r="K139" s="77">
        <v>4.4973999999999995E-3</v>
      </c>
      <c r="L139" s="78" t="s">
        <v>352</v>
      </c>
      <c r="M139" s="50">
        <v>0</v>
      </c>
      <c r="N139" s="49">
        <v>0.12690000000000001</v>
      </c>
      <c r="O139" s="77">
        <v>1.2690000000000002E-3</v>
      </c>
      <c r="P139" s="78"/>
      <c r="Q139" s="50"/>
      <c r="R139" s="50">
        <v>0</v>
      </c>
      <c r="S139" s="77">
        <v>0</v>
      </c>
      <c r="T139" s="33"/>
    </row>
    <row r="140" spans="1:20" ht="21" customHeight="1" x14ac:dyDescent="0.25">
      <c r="A140" s="70">
        <v>1304</v>
      </c>
      <c r="B140" s="51" t="s">
        <v>38</v>
      </c>
      <c r="C140" s="75">
        <v>44949569</v>
      </c>
      <c r="D140" s="75">
        <v>959402203</v>
      </c>
      <c r="E140" s="71" t="s">
        <v>757</v>
      </c>
      <c r="F140" s="106"/>
      <c r="G140" s="76">
        <v>1304</v>
      </c>
      <c r="H140" s="52">
        <v>76.150000000000006</v>
      </c>
      <c r="I140" s="52">
        <v>76.150000000000006</v>
      </c>
      <c r="J140" s="49">
        <v>0.44973999999999997</v>
      </c>
      <c r="K140" s="77">
        <v>4.4973999999999995E-3</v>
      </c>
      <c r="L140" s="78" t="s">
        <v>381</v>
      </c>
      <c r="M140" s="50">
        <v>0</v>
      </c>
      <c r="N140" s="49">
        <v>0.12690000000000001</v>
      </c>
      <c r="O140" s="77">
        <v>1.2690000000000002E-3</v>
      </c>
      <c r="P140" s="78" t="s">
        <v>380</v>
      </c>
      <c r="Q140" s="50">
        <v>0</v>
      </c>
      <c r="R140" s="50">
        <v>3.6749999999999998E-2</v>
      </c>
      <c r="S140" s="77">
        <v>3.6749999999999999E-4</v>
      </c>
      <c r="T140" s="33"/>
    </row>
    <row r="141" spans="1:20" ht="21" customHeight="1" x14ac:dyDescent="0.25">
      <c r="A141" s="70">
        <v>1305</v>
      </c>
      <c r="B141" s="54" t="s">
        <v>447</v>
      </c>
      <c r="C141" s="80"/>
      <c r="D141" s="80"/>
      <c r="E141" s="71" t="s">
        <v>830</v>
      </c>
      <c r="F141" s="109"/>
      <c r="G141" s="76">
        <v>1305</v>
      </c>
      <c r="H141" s="52">
        <v>78.95</v>
      </c>
      <c r="I141" s="52">
        <v>78.95</v>
      </c>
      <c r="J141" s="49">
        <v>0.44973999999999997</v>
      </c>
      <c r="K141" s="77">
        <v>4.4973999999999995E-3</v>
      </c>
      <c r="L141" s="78" t="s">
        <v>448</v>
      </c>
      <c r="M141" s="50">
        <v>0</v>
      </c>
      <c r="N141" s="49">
        <v>0.12690000000000001</v>
      </c>
      <c r="O141" s="77">
        <v>1.2690000000000002E-3</v>
      </c>
      <c r="P141" s="78"/>
      <c r="Q141" s="50"/>
      <c r="R141" s="50">
        <v>0</v>
      </c>
      <c r="S141" s="77">
        <v>0</v>
      </c>
      <c r="T141" s="33"/>
    </row>
    <row r="142" spans="1:20" ht="21" customHeight="1" x14ac:dyDescent="0.25">
      <c r="A142" s="70">
        <v>1306</v>
      </c>
      <c r="B142" s="51" t="s">
        <v>104</v>
      </c>
      <c r="C142" s="75"/>
      <c r="D142" s="75"/>
      <c r="E142" s="71" t="s">
        <v>831</v>
      </c>
      <c r="F142" s="106"/>
      <c r="G142" s="76">
        <v>1306</v>
      </c>
      <c r="H142" s="52">
        <v>43.35</v>
      </c>
      <c r="I142" s="52">
        <v>43.35</v>
      </c>
      <c r="J142" s="49">
        <v>0.26939000000000002</v>
      </c>
      <c r="K142" s="77">
        <v>2.6939000000000004E-3</v>
      </c>
      <c r="L142" s="78" t="s">
        <v>228</v>
      </c>
      <c r="M142" s="50">
        <v>0</v>
      </c>
      <c r="N142" s="49">
        <v>0.12690000000000001</v>
      </c>
      <c r="O142" s="77">
        <v>1.2690000000000002E-3</v>
      </c>
      <c r="P142" s="78"/>
      <c r="Q142" s="50"/>
      <c r="R142" s="50">
        <v>0</v>
      </c>
      <c r="S142" s="77">
        <v>0</v>
      </c>
      <c r="T142" s="33"/>
    </row>
    <row r="143" spans="1:20" ht="21" customHeight="1" x14ac:dyDescent="0.25">
      <c r="A143" s="70">
        <v>1307</v>
      </c>
      <c r="B143" s="4" t="s">
        <v>861</v>
      </c>
      <c r="C143" s="52">
        <v>40199283</v>
      </c>
      <c r="D143" s="52">
        <v>981184842</v>
      </c>
      <c r="E143" s="71" t="s">
        <v>716</v>
      </c>
      <c r="F143" s="105"/>
      <c r="G143" s="72">
        <v>1307</v>
      </c>
      <c r="H143" s="7">
        <v>66.45</v>
      </c>
      <c r="I143" s="7">
        <v>66.45</v>
      </c>
      <c r="J143" s="27">
        <v>0.44973999999999997</v>
      </c>
      <c r="K143" s="73">
        <v>4.4973999999999995E-3</v>
      </c>
      <c r="L143" s="74"/>
      <c r="M143" s="8"/>
      <c r="N143" s="27">
        <v>0</v>
      </c>
      <c r="O143" s="73">
        <v>0</v>
      </c>
      <c r="P143" s="74"/>
      <c r="Q143" s="8"/>
      <c r="R143" s="8">
        <v>0</v>
      </c>
      <c r="S143" s="73">
        <v>0</v>
      </c>
      <c r="T143" s="33"/>
    </row>
    <row r="144" spans="1:20" ht="21" customHeight="1" x14ac:dyDescent="0.25">
      <c r="A144" s="70">
        <v>1308</v>
      </c>
      <c r="B144" s="6" t="s">
        <v>715</v>
      </c>
      <c r="C144" s="71">
        <v>23846007</v>
      </c>
      <c r="D144" s="71">
        <v>906488322</v>
      </c>
      <c r="E144" s="71" t="s">
        <v>717</v>
      </c>
      <c r="F144" s="104"/>
      <c r="G144" s="72">
        <v>1308</v>
      </c>
      <c r="H144" s="9">
        <v>33.200000000000003</v>
      </c>
      <c r="I144" s="9">
        <v>33.200000000000003</v>
      </c>
      <c r="J144" s="27">
        <v>0.26939000000000002</v>
      </c>
      <c r="K144" s="73">
        <v>2.6939000000000004E-3</v>
      </c>
      <c r="L144" s="74"/>
      <c r="M144" s="8"/>
      <c r="N144" s="27">
        <v>0</v>
      </c>
      <c r="O144" s="73">
        <v>0</v>
      </c>
      <c r="P144" s="74"/>
      <c r="Q144" s="8"/>
      <c r="R144" s="8">
        <v>0</v>
      </c>
      <c r="S144" s="73">
        <v>0</v>
      </c>
      <c r="T144" s="33"/>
    </row>
    <row r="145" spans="1:20" ht="21" customHeight="1" x14ac:dyDescent="0.25">
      <c r="A145" s="70">
        <v>1309</v>
      </c>
      <c r="B145" s="4" t="s">
        <v>107</v>
      </c>
      <c r="C145" s="52">
        <v>43773784</v>
      </c>
      <c r="D145" s="52">
        <v>954777665</v>
      </c>
      <c r="E145" s="71" t="s">
        <v>718</v>
      </c>
      <c r="F145" s="105"/>
      <c r="G145" s="76">
        <v>1309</v>
      </c>
      <c r="H145" s="52">
        <v>44.45</v>
      </c>
      <c r="I145" s="52">
        <v>44.45</v>
      </c>
      <c r="J145" s="49">
        <v>0.26939000000000002</v>
      </c>
      <c r="K145" s="77">
        <v>2.6939000000000004E-3</v>
      </c>
      <c r="L145" s="78" t="s">
        <v>367</v>
      </c>
      <c r="M145" s="50">
        <v>0</v>
      </c>
      <c r="N145" s="49">
        <v>0.12690000000000001</v>
      </c>
      <c r="O145" s="77">
        <v>1.2690000000000002E-3</v>
      </c>
      <c r="P145" s="78"/>
      <c r="Q145" s="50"/>
      <c r="R145" s="50">
        <v>0</v>
      </c>
      <c r="S145" s="77">
        <v>0</v>
      </c>
      <c r="T145" s="33"/>
    </row>
    <row r="146" spans="1:20" ht="21" customHeight="1" x14ac:dyDescent="0.25">
      <c r="A146" s="70">
        <v>1310</v>
      </c>
      <c r="B146" s="51" t="s">
        <v>108</v>
      </c>
      <c r="C146" s="75"/>
      <c r="D146" s="75"/>
      <c r="E146" s="71" t="s">
        <v>832</v>
      </c>
      <c r="F146" s="106"/>
      <c r="G146" s="76">
        <v>1310</v>
      </c>
      <c r="H146" s="53">
        <v>81</v>
      </c>
      <c r="I146" s="53">
        <v>81</v>
      </c>
      <c r="J146" s="49">
        <v>0.44973999999999997</v>
      </c>
      <c r="K146" s="77">
        <v>4.4973999999999995E-3</v>
      </c>
      <c r="L146" s="78" t="s">
        <v>217</v>
      </c>
      <c r="M146" s="50">
        <v>0</v>
      </c>
      <c r="N146" s="49">
        <v>0.12690000000000001</v>
      </c>
      <c r="O146" s="77">
        <v>1.2690000000000002E-3</v>
      </c>
      <c r="P146" s="78"/>
      <c r="Q146" s="50"/>
      <c r="R146" s="50">
        <v>0</v>
      </c>
      <c r="S146" s="77">
        <v>0</v>
      </c>
      <c r="T146" s="33"/>
    </row>
    <row r="147" spans="1:20" ht="21" customHeight="1" x14ac:dyDescent="0.25">
      <c r="A147" s="70">
        <v>1311</v>
      </c>
      <c r="B147" s="6" t="s">
        <v>109</v>
      </c>
      <c r="C147" s="71">
        <v>41049035</v>
      </c>
      <c r="D147" s="71">
        <v>986847435</v>
      </c>
      <c r="E147" s="71" t="s">
        <v>756</v>
      </c>
      <c r="F147" s="104"/>
      <c r="G147" s="72">
        <v>1311</v>
      </c>
      <c r="H147" s="9">
        <v>33</v>
      </c>
      <c r="I147" s="9">
        <v>33</v>
      </c>
      <c r="J147" s="27">
        <v>0.26939000000000002</v>
      </c>
      <c r="K147" s="73">
        <v>2.6939000000000004E-3</v>
      </c>
      <c r="L147" s="74"/>
      <c r="M147" s="8"/>
      <c r="N147" s="27">
        <v>0</v>
      </c>
      <c r="O147" s="73">
        <v>0</v>
      </c>
      <c r="P147" s="74"/>
      <c r="Q147" s="8"/>
      <c r="R147" s="8">
        <v>0</v>
      </c>
      <c r="S147" s="73">
        <v>0</v>
      </c>
      <c r="T147" s="33"/>
    </row>
    <row r="148" spans="1:20" ht="21" customHeight="1" x14ac:dyDescent="0.25">
      <c r="A148" s="70">
        <v>1312</v>
      </c>
      <c r="B148" s="4" t="s">
        <v>110</v>
      </c>
      <c r="C148" s="52">
        <v>71747014</v>
      </c>
      <c r="D148" s="52">
        <v>952462558</v>
      </c>
      <c r="E148" s="71" t="s">
        <v>720</v>
      </c>
      <c r="F148" s="105"/>
      <c r="G148" s="72">
        <v>1312</v>
      </c>
      <c r="H148" s="9">
        <v>74.599999999999994</v>
      </c>
      <c r="I148" s="9">
        <v>74.599999999999994</v>
      </c>
      <c r="J148" s="27">
        <v>0.44973999999999997</v>
      </c>
      <c r="K148" s="73">
        <v>4.4973999999999995E-3</v>
      </c>
      <c r="L148" s="74"/>
      <c r="M148" s="8"/>
      <c r="N148" s="27">
        <v>0</v>
      </c>
      <c r="O148" s="73">
        <v>0</v>
      </c>
      <c r="P148" s="74"/>
      <c r="Q148" s="8"/>
      <c r="R148" s="8">
        <v>0</v>
      </c>
      <c r="S148" s="73">
        <v>0</v>
      </c>
      <c r="T148" s="33"/>
    </row>
    <row r="149" spans="1:20" ht="21" customHeight="1" x14ac:dyDescent="0.25">
      <c r="A149" s="70">
        <v>1401</v>
      </c>
      <c r="B149" s="51" t="s">
        <v>719</v>
      </c>
      <c r="C149" s="75">
        <v>47674795</v>
      </c>
      <c r="D149" s="75">
        <v>934023973</v>
      </c>
      <c r="E149" s="71" t="s">
        <v>721</v>
      </c>
      <c r="F149" s="106"/>
      <c r="G149" s="76">
        <v>1401</v>
      </c>
      <c r="H149" s="53">
        <v>92.5</v>
      </c>
      <c r="I149" s="53">
        <v>92.5</v>
      </c>
      <c r="J149" s="49">
        <v>0.56772999999999996</v>
      </c>
      <c r="K149" s="77">
        <v>5.6772999999999997E-3</v>
      </c>
      <c r="L149" s="78" t="s">
        <v>211</v>
      </c>
      <c r="M149" s="50">
        <v>0</v>
      </c>
      <c r="N149" s="49">
        <v>0.12690000000000001</v>
      </c>
      <c r="O149" s="77">
        <v>1.2690000000000002E-3</v>
      </c>
      <c r="P149" s="78"/>
      <c r="Q149" s="50"/>
      <c r="R149" s="50">
        <v>0</v>
      </c>
      <c r="S149" s="77">
        <v>0</v>
      </c>
      <c r="T149" s="33"/>
    </row>
    <row r="150" spans="1:20" ht="21" customHeight="1" x14ac:dyDescent="0.25">
      <c r="A150" s="70">
        <v>1402</v>
      </c>
      <c r="B150" s="54" t="s">
        <v>112</v>
      </c>
      <c r="C150" s="80"/>
      <c r="D150" s="80"/>
      <c r="E150" s="71" t="s">
        <v>833</v>
      </c>
      <c r="F150" s="109"/>
      <c r="G150" s="76">
        <v>1402</v>
      </c>
      <c r="H150" s="52">
        <v>77.05</v>
      </c>
      <c r="I150" s="52">
        <v>77.05</v>
      </c>
      <c r="J150" s="49">
        <v>0.44973999999999997</v>
      </c>
      <c r="K150" s="77">
        <v>4.4973999999999995E-3</v>
      </c>
      <c r="L150" s="79" t="s">
        <v>613</v>
      </c>
      <c r="M150" s="50">
        <v>0</v>
      </c>
      <c r="N150" s="49">
        <v>0.25380000000000003</v>
      </c>
      <c r="O150" s="77">
        <v>2.5380000000000003E-3</v>
      </c>
      <c r="P150" s="78"/>
      <c r="Q150" s="50"/>
      <c r="R150" s="50">
        <v>0</v>
      </c>
      <c r="S150" s="77">
        <v>0</v>
      </c>
      <c r="T150" s="33"/>
    </row>
    <row r="151" spans="1:20" ht="21" customHeight="1" x14ac:dyDescent="0.25">
      <c r="A151" s="70">
        <v>1403</v>
      </c>
      <c r="B151" s="51" t="s">
        <v>113</v>
      </c>
      <c r="C151" s="75"/>
      <c r="D151" s="75"/>
      <c r="E151" s="71" t="s">
        <v>834</v>
      </c>
      <c r="F151" s="106"/>
      <c r="G151" s="76">
        <v>1403</v>
      </c>
      <c r="H151" s="53">
        <v>68</v>
      </c>
      <c r="I151" s="53">
        <v>68</v>
      </c>
      <c r="J151" s="49">
        <v>0.44973999999999997</v>
      </c>
      <c r="K151" s="77">
        <v>4.4973999999999995E-3</v>
      </c>
      <c r="L151" s="78" t="s">
        <v>239</v>
      </c>
      <c r="M151" s="50">
        <v>0</v>
      </c>
      <c r="N151" s="49">
        <v>0.12690000000000001</v>
      </c>
      <c r="O151" s="77">
        <v>1.2690000000000002E-3</v>
      </c>
      <c r="P151" s="78"/>
      <c r="Q151" s="50"/>
      <c r="R151" s="50">
        <v>0</v>
      </c>
      <c r="S151" s="77">
        <v>0</v>
      </c>
      <c r="T151" s="33"/>
    </row>
    <row r="152" spans="1:20" ht="21" customHeight="1" x14ac:dyDescent="0.25">
      <c r="A152" s="70">
        <v>1404</v>
      </c>
      <c r="B152" s="51" t="s">
        <v>504</v>
      </c>
      <c r="C152" s="75">
        <v>25513554</v>
      </c>
      <c r="D152" s="75" t="s">
        <v>722</v>
      </c>
      <c r="E152" s="71" t="s">
        <v>723</v>
      </c>
      <c r="F152" s="106"/>
      <c r="G152" s="76">
        <v>1404</v>
      </c>
      <c r="H152" s="52">
        <v>76.150000000000006</v>
      </c>
      <c r="I152" s="52">
        <v>76.150000000000006</v>
      </c>
      <c r="J152" s="49">
        <v>0.44973999999999997</v>
      </c>
      <c r="K152" s="77">
        <v>4.4973999999999995E-3</v>
      </c>
      <c r="L152" s="78" t="s">
        <v>505</v>
      </c>
      <c r="M152" s="50">
        <v>0</v>
      </c>
      <c r="N152" s="49">
        <v>0.12690000000000001</v>
      </c>
      <c r="O152" s="77">
        <v>1.2690000000000002E-3</v>
      </c>
      <c r="P152" s="78"/>
      <c r="Q152" s="50"/>
      <c r="R152" s="50">
        <v>0</v>
      </c>
      <c r="S152" s="77">
        <v>0</v>
      </c>
      <c r="T152" s="33"/>
    </row>
    <row r="153" spans="1:20" ht="21" customHeight="1" x14ac:dyDescent="0.25">
      <c r="A153" s="70">
        <v>1405</v>
      </c>
      <c r="B153" s="51" t="s">
        <v>114</v>
      </c>
      <c r="C153" s="75"/>
      <c r="D153" s="75"/>
      <c r="E153" s="71" t="s">
        <v>835</v>
      </c>
      <c r="F153" s="106"/>
      <c r="G153" s="76">
        <v>1405</v>
      </c>
      <c r="H153" s="52">
        <v>78.95</v>
      </c>
      <c r="I153" s="52">
        <v>78.95</v>
      </c>
      <c r="J153" s="49">
        <v>0.44973999999999997</v>
      </c>
      <c r="K153" s="77">
        <v>4.4973999999999995E-3</v>
      </c>
      <c r="L153" s="79" t="s">
        <v>618</v>
      </c>
      <c r="M153" s="50">
        <v>0</v>
      </c>
      <c r="N153" s="49">
        <v>0.25380000000000003</v>
      </c>
      <c r="O153" s="77">
        <v>2.5380000000000003E-3</v>
      </c>
      <c r="P153" s="78"/>
      <c r="Q153" s="50"/>
      <c r="R153" s="50">
        <v>0</v>
      </c>
      <c r="S153" s="77">
        <v>0</v>
      </c>
      <c r="T153" s="33"/>
    </row>
    <row r="154" spans="1:20" ht="21" customHeight="1" x14ac:dyDescent="0.25">
      <c r="A154" s="70">
        <v>1406</v>
      </c>
      <c r="B154" s="51" t="s">
        <v>372</v>
      </c>
      <c r="C154" s="75"/>
      <c r="D154" s="75">
        <v>930792211</v>
      </c>
      <c r="E154" s="71" t="s">
        <v>836</v>
      </c>
      <c r="F154" s="106"/>
      <c r="G154" s="76">
        <v>1406</v>
      </c>
      <c r="H154" s="52">
        <v>43.35</v>
      </c>
      <c r="I154" s="52">
        <v>43.35</v>
      </c>
      <c r="J154" s="49">
        <v>0.26939000000000002</v>
      </c>
      <c r="K154" s="77">
        <v>2.6939000000000004E-3</v>
      </c>
      <c r="L154" s="78" t="s">
        <v>373</v>
      </c>
      <c r="M154" s="50">
        <v>0</v>
      </c>
      <c r="N154" s="49">
        <v>0.12690000000000001</v>
      </c>
      <c r="O154" s="77">
        <v>1.2690000000000002E-3</v>
      </c>
      <c r="P154" s="78"/>
      <c r="Q154" s="50"/>
      <c r="R154" s="50">
        <v>0</v>
      </c>
      <c r="S154" s="77">
        <v>0</v>
      </c>
      <c r="T154" s="33"/>
    </row>
    <row r="155" spans="1:20" ht="21" customHeight="1" x14ac:dyDescent="0.25">
      <c r="A155" s="70">
        <v>1407</v>
      </c>
      <c r="B155" s="51" t="s">
        <v>115</v>
      </c>
      <c r="C155" s="75" t="s">
        <v>724</v>
      </c>
      <c r="D155" s="75">
        <v>987321252</v>
      </c>
      <c r="E155" s="71" t="s">
        <v>725</v>
      </c>
      <c r="F155" s="106"/>
      <c r="G155" s="76">
        <v>1407</v>
      </c>
      <c r="H155" s="52">
        <v>66.45</v>
      </c>
      <c r="I155" s="52">
        <v>66.45</v>
      </c>
      <c r="J155" s="49">
        <v>0.44973999999999997</v>
      </c>
      <c r="K155" s="77">
        <v>4.4973999999999995E-3</v>
      </c>
      <c r="L155" s="78" t="s">
        <v>579</v>
      </c>
      <c r="M155" s="50">
        <v>0</v>
      </c>
      <c r="N155" s="49">
        <v>0.12690000000000001</v>
      </c>
      <c r="O155" s="77">
        <v>1.2690000000000002E-3</v>
      </c>
      <c r="P155" s="78"/>
      <c r="Q155" s="50"/>
      <c r="R155" s="50">
        <v>0</v>
      </c>
      <c r="S155" s="77">
        <v>0</v>
      </c>
      <c r="T155" s="33"/>
    </row>
    <row r="156" spans="1:20" ht="21" customHeight="1" x14ac:dyDescent="0.25">
      <c r="A156" s="70">
        <v>1408</v>
      </c>
      <c r="B156" s="6" t="s">
        <v>533</v>
      </c>
      <c r="C156" s="71"/>
      <c r="D156" s="71"/>
      <c r="E156" s="71" t="s">
        <v>835</v>
      </c>
      <c r="F156" s="104"/>
      <c r="G156" s="72">
        <v>1408</v>
      </c>
      <c r="H156" s="9">
        <v>33.200000000000003</v>
      </c>
      <c r="I156" s="9">
        <v>33.200000000000003</v>
      </c>
      <c r="J156" s="27">
        <v>0.26939000000000002</v>
      </c>
      <c r="K156" s="73">
        <v>2.6939000000000004E-3</v>
      </c>
      <c r="L156" s="74"/>
      <c r="M156" s="8"/>
      <c r="N156" s="27">
        <v>0</v>
      </c>
      <c r="O156" s="73">
        <v>0</v>
      </c>
      <c r="P156" s="74"/>
      <c r="Q156" s="8"/>
      <c r="R156" s="8">
        <v>0</v>
      </c>
      <c r="S156" s="73">
        <v>0</v>
      </c>
      <c r="T156" s="33"/>
    </row>
    <row r="157" spans="1:20" ht="21" customHeight="1" x14ac:dyDescent="0.25">
      <c r="A157" s="70">
        <v>1409</v>
      </c>
      <c r="B157" s="51" t="s">
        <v>415</v>
      </c>
      <c r="C157" s="75"/>
      <c r="D157" s="75"/>
      <c r="E157" s="71"/>
      <c r="F157" s="106"/>
      <c r="G157" s="76">
        <v>1409</v>
      </c>
      <c r="H157" s="52">
        <v>44.45</v>
      </c>
      <c r="I157" s="52">
        <v>44.45</v>
      </c>
      <c r="J157" s="49">
        <v>0.26939000000000002</v>
      </c>
      <c r="K157" s="77">
        <v>2.6939000000000004E-3</v>
      </c>
      <c r="L157" s="78" t="s">
        <v>416</v>
      </c>
      <c r="M157" s="50">
        <v>0</v>
      </c>
      <c r="N157" s="49">
        <v>0.12690000000000001</v>
      </c>
      <c r="O157" s="77">
        <v>1.2690000000000002E-3</v>
      </c>
      <c r="P157" s="78"/>
      <c r="Q157" s="50"/>
      <c r="R157" s="50">
        <v>0</v>
      </c>
      <c r="S157" s="77">
        <v>0</v>
      </c>
      <c r="T157" s="33"/>
    </row>
    <row r="158" spans="1:20" ht="21" customHeight="1" x14ac:dyDescent="0.25">
      <c r="A158" s="70">
        <v>1410</v>
      </c>
      <c r="B158" s="4" t="s">
        <v>726</v>
      </c>
      <c r="C158" s="52">
        <v>40360379</v>
      </c>
      <c r="D158" s="52">
        <v>999433045</v>
      </c>
      <c r="E158" s="71" t="s">
        <v>727</v>
      </c>
      <c r="F158" s="105"/>
      <c r="G158" s="72">
        <v>1410</v>
      </c>
      <c r="H158" s="9">
        <v>81</v>
      </c>
      <c r="I158" s="9">
        <v>81</v>
      </c>
      <c r="J158" s="27">
        <v>0.44973999999999997</v>
      </c>
      <c r="K158" s="73">
        <v>4.4973999999999995E-3</v>
      </c>
      <c r="L158" s="74"/>
      <c r="M158" s="8"/>
      <c r="N158" s="27">
        <v>0</v>
      </c>
      <c r="O158" s="73">
        <v>0</v>
      </c>
      <c r="P158" s="74"/>
      <c r="Q158" s="8"/>
      <c r="R158" s="8">
        <v>0</v>
      </c>
      <c r="S158" s="73">
        <v>0</v>
      </c>
      <c r="T158" s="33"/>
    </row>
    <row r="159" spans="1:20" ht="21" customHeight="1" x14ac:dyDescent="0.25">
      <c r="A159" s="70">
        <v>1411</v>
      </c>
      <c r="B159" s="6" t="s">
        <v>118</v>
      </c>
      <c r="C159" s="71"/>
      <c r="D159" s="71"/>
      <c r="E159" s="71" t="s">
        <v>837</v>
      </c>
      <c r="F159" s="104"/>
      <c r="G159" s="72">
        <v>1411</v>
      </c>
      <c r="H159" s="9">
        <v>33</v>
      </c>
      <c r="I159" s="9">
        <v>33</v>
      </c>
      <c r="J159" s="27">
        <v>0.26939000000000002</v>
      </c>
      <c r="K159" s="73">
        <v>2.6939000000000004E-3</v>
      </c>
      <c r="L159" s="74"/>
      <c r="M159" s="8"/>
      <c r="N159" s="27">
        <v>0</v>
      </c>
      <c r="O159" s="73">
        <v>0</v>
      </c>
      <c r="P159" s="74"/>
      <c r="Q159" s="8"/>
      <c r="R159" s="8">
        <v>0</v>
      </c>
      <c r="S159" s="73">
        <v>0</v>
      </c>
      <c r="T159" s="33"/>
    </row>
    <row r="160" spans="1:20" ht="21" customHeight="1" x14ac:dyDescent="0.25">
      <c r="A160" s="70">
        <v>1412</v>
      </c>
      <c r="B160" s="51" t="s">
        <v>119</v>
      </c>
      <c r="C160" s="75"/>
      <c r="D160" s="75" t="s">
        <v>867</v>
      </c>
      <c r="E160" s="71" t="s">
        <v>838</v>
      </c>
      <c r="F160" s="106"/>
      <c r="G160" s="76">
        <v>1412</v>
      </c>
      <c r="H160" s="53">
        <v>74.599999999999994</v>
      </c>
      <c r="I160" s="53">
        <v>74.599999999999994</v>
      </c>
      <c r="J160" s="49">
        <v>0.44973999999999997</v>
      </c>
      <c r="K160" s="77">
        <v>4.4973999999999995E-3</v>
      </c>
      <c r="L160" s="78" t="s">
        <v>585</v>
      </c>
      <c r="M160" s="50">
        <v>0</v>
      </c>
      <c r="N160" s="49">
        <v>0.12689999999999999</v>
      </c>
      <c r="O160" s="77">
        <v>1.2689999999999999E-3</v>
      </c>
      <c r="P160" s="78"/>
      <c r="Q160" s="50"/>
      <c r="R160" s="50">
        <v>0</v>
      </c>
      <c r="S160" s="77">
        <v>0</v>
      </c>
      <c r="T160" s="33"/>
    </row>
    <row r="161" spans="1:22" ht="21" customHeight="1" x14ac:dyDescent="0.25">
      <c r="A161" s="70">
        <v>1501</v>
      </c>
      <c r="B161" s="51" t="s">
        <v>120</v>
      </c>
      <c r="C161" s="75"/>
      <c r="D161" s="75"/>
      <c r="E161" s="71" t="s">
        <v>839</v>
      </c>
      <c r="F161" s="106"/>
      <c r="G161" s="76">
        <v>1501</v>
      </c>
      <c r="H161" s="53">
        <v>92.5</v>
      </c>
      <c r="I161" s="53">
        <v>92.5</v>
      </c>
      <c r="J161" s="49">
        <v>0.56772999999999996</v>
      </c>
      <c r="K161" s="77">
        <v>5.6772999999999997E-3</v>
      </c>
      <c r="L161" s="79" t="s">
        <v>612</v>
      </c>
      <c r="M161" s="50">
        <v>0</v>
      </c>
      <c r="N161" s="49">
        <v>0.25380000000000003</v>
      </c>
      <c r="O161" s="77">
        <v>2.5380000000000003E-3</v>
      </c>
      <c r="P161" s="78"/>
      <c r="Q161" s="50"/>
      <c r="R161" s="50">
        <v>0</v>
      </c>
      <c r="S161" s="77">
        <v>0</v>
      </c>
      <c r="T161" s="33"/>
    </row>
    <row r="162" spans="1:22" ht="21" customHeight="1" x14ac:dyDescent="0.25">
      <c r="A162" s="70">
        <v>1502</v>
      </c>
      <c r="B162" s="6" t="s">
        <v>121</v>
      </c>
      <c r="C162" s="71"/>
      <c r="D162" s="71"/>
      <c r="E162" s="71" t="s">
        <v>840</v>
      </c>
      <c r="F162" s="104"/>
      <c r="G162" s="72">
        <v>1502</v>
      </c>
      <c r="H162" s="7">
        <v>77.05</v>
      </c>
      <c r="I162" s="7">
        <v>77.05</v>
      </c>
      <c r="J162" s="27">
        <v>0.44973999999999997</v>
      </c>
      <c r="K162" s="73">
        <v>4.4973999999999995E-3</v>
      </c>
      <c r="L162" s="74"/>
      <c r="M162" s="8"/>
      <c r="N162" s="27">
        <v>0</v>
      </c>
      <c r="O162" s="73">
        <v>0</v>
      </c>
      <c r="P162" s="74"/>
      <c r="Q162" s="8"/>
      <c r="R162" s="8">
        <v>0</v>
      </c>
      <c r="S162" s="73">
        <v>0</v>
      </c>
      <c r="T162" s="33"/>
    </row>
    <row r="163" spans="1:22" ht="21" customHeight="1" x14ac:dyDescent="0.25">
      <c r="A163" s="70">
        <v>1503</v>
      </c>
      <c r="B163" s="6" t="s">
        <v>122</v>
      </c>
      <c r="C163" s="71"/>
      <c r="D163" s="71"/>
      <c r="E163" s="71" t="s">
        <v>841</v>
      </c>
      <c r="F163" s="104"/>
      <c r="G163" s="72">
        <v>1503</v>
      </c>
      <c r="H163" s="9">
        <v>68</v>
      </c>
      <c r="I163" s="9">
        <v>68</v>
      </c>
      <c r="J163" s="27">
        <v>0.44973999999999997</v>
      </c>
      <c r="K163" s="73">
        <v>4.4973999999999995E-3</v>
      </c>
      <c r="L163" s="74"/>
      <c r="M163" s="8"/>
      <c r="N163" s="27">
        <v>0</v>
      </c>
      <c r="O163" s="73">
        <v>0</v>
      </c>
      <c r="P163" s="74"/>
      <c r="Q163" s="8"/>
      <c r="R163" s="8">
        <v>0</v>
      </c>
      <c r="S163" s="73">
        <v>0</v>
      </c>
      <c r="T163" s="33"/>
    </row>
    <row r="164" spans="1:22" ht="21" customHeight="1" x14ac:dyDescent="0.25">
      <c r="A164" s="70">
        <v>1504</v>
      </c>
      <c r="B164" s="4" t="s">
        <v>123</v>
      </c>
      <c r="C164" s="52">
        <v>41804835</v>
      </c>
      <c r="D164" s="52">
        <v>944465647</v>
      </c>
      <c r="E164" s="71" t="s">
        <v>728</v>
      </c>
      <c r="F164" s="105"/>
      <c r="G164" s="76">
        <v>1504</v>
      </c>
      <c r="H164" s="52">
        <v>76.150000000000006</v>
      </c>
      <c r="I164" s="52">
        <v>76.150000000000006</v>
      </c>
      <c r="J164" s="49">
        <v>0.44973999999999997</v>
      </c>
      <c r="K164" s="77">
        <v>4.4973999999999995E-3</v>
      </c>
      <c r="L164" s="78" t="s">
        <v>213</v>
      </c>
      <c r="M164" s="50">
        <v>0</v>
      </c>
      <c r="N164" s="49">
        <v>0.12690000000000001</v>
      </c>
      <c r="O164" s="77">
        <v>1.2690000000000002E-3</v>
      </c>
      <c r="P164" s="78"/>
      <c r="Q164" s="50"/>
      <c r="R164" s="50">
        <v>0</v>
      </c>
      <c r="S164" s="77">
        <v>0</v>
      </c>
      <c r="T164" s="33"/>
    </row>
    <row r="165" spans="1:22" ht="21" customHeight="1" x14ac:dyDescent="0.25">
      <c r="A165" s="70">
        <v>1505</v>
      </c>
      <c r="B165" s="51" t="s">
        <v>124</v>
      </c>
      <c r="C165" s="75"/>
      <c r="D165" s="75">
        <v>993490208</v>
      </c>
      <c r="E165" s="71" t="s">
        <v>842</v>
      </c>
      <c r="F165" s="106"/>
      <c r="G165" s="76">
        <v>1505</v>
      </c>
      <c r="H165" s="52">
        <v>78.95</v>
      </c>
      <c r="I165" s="52">
        <v>78.95</v>
      </c>
      <c r="J165" s="49">
        <v>0.44973999999999997</v>
      </c>
      <c r="K165" s="77">
        <v>4.4973999999999995E-3</v>
      </c>
      <c r="L165" s="78" t="s">
        <v>378</v>
      </c>
      <c r="M165" s="50">
        <v>0</v>
      </c>
      <c r="N165" s="49">
        <v>0.12690000000000001</v>
      </c>
      <c r="O165" s="77">
        <v>1.2690000000000002E-3</v>
      </c>
      <c r="P165" s="78"/>
      <c r="Q165" s="50"/>
      <c r="R165" s="50">
        <v>0</v>
      </c>
      <c r="S165" s="77">
        <v>0</v>
      </c>
      <c r="T165" s="33"/>
      <c r="V165" s="48"/>
    </row>
    <row r="166" spans="1:22" ht="21" customHeight="1" x14ac:dyDescent="0.25">
      <c r="A166" s="70">
        <v>1506</v>
      </c>
      <c r="B166" s="51" t="s">
        <v>521</v>
      </c>
      <c r="C166" s="75"/>
      <c r="D166" s="75"/>
      <c r="E166" s="71" t="s">
        <v>795</v>
      </c>
      <c r="F166" s="106"/>
      <c r="G166" s="76">
        <v>1506</v>
      </c>
      <c r="H166" s="52">
        <v>43.35</v>
      </c>
      <c r="I166" s="52">
        <v>43.35</v>
      </c>
      <c r="J166" s="49">
        <v>0.26939000000000002</v>
      </c>
      <c r="K166" s="77">
        <v>2.6939000000000004E-3</v>
      </c>
      <c r="L166" s="78" t="s">
        <v>522</v>
      </c>
      <c r="M166" s="50">
        <v>0</v>
      </c>
      <c r="N166" s="49">
        <v>0.12690000000000001</v>
      </c>
      <c r="O166" s="77">
        <v>1.2690000000000002E-3</v>
      </c>
      <c r="P166" s="78"/>
      <c r="Q166" s="50"/>
      <c r="R166" s="50">
        <v>0</v>
      </c>
      <c r="S166" s="77">
        <v>0</v>
      </c>
      <c r="T166" s="33"/>
    </row>
    <row r="167" spans="1:22" ht="21" customHeight="1" x14ac:dyDescent="0.25">
      <c r="A167" s="70">
        <v>1507</v>
      </c>
      <c r="B167" s="6" t="s">
        <v>483</v>
      </c>
      <c r="C167" s="71" t="s">
        <v>729</v>
      </c>
      <c r="D167" s="71">
        <v>959235605</v>
      </c>
      <c r="E167" s="71" t="s">
        <v>730</v>
      </c>
      <c r="F167" s="104"/>
      <c r="G167" s="72">
        <v>1507</v>
      </c>
      <c r="H167" s="7">
        <v>66.45</v>
      </c>
      <c r="I167" s="7">
        <v>66.45</v>
      </c>
      <c r="J167" s="27">
        <v>0.44973999999999997</v>
      </c>
      <c r="K167" s="73">
        <v>4.4973999999999995E-3</v>
      </c>
      <c r="L167" s="74"/>
      <c r="M167" s="8"/>
      <c r="N167" s="27">
        <v>0</v>
      </c>
      <c r="O167" s="73">
        <v>0</v>
      </c>
      <c r="P167" s="74" t="s">
        <v>484</v>
      </c>
      <c r="Q167" s="8">
        <v>0</v>
      </c>
      <c r="R167" s="8">
        <v>3.6749999999999998E-2</v>
      </c>
      <c r="S167" s="73">
        <v>3.6749999999999999E-4</v>
      </c>
      <c r="T167" s="33"/>
    </row>
    <row r="168" spans="1:22" ht="21" customHeight="1" x14ac:dyDescent="0.25">
      <c r="A168" s="70">
        <v>1508</v>
      </c>
      <c r="B168" s="6" t="s">
        <v>731</v>
      </c>
      <c r="C168" s="6">
        <v>16736624</v>
      </c>
      <c r="D168" s="71">
        <v>945101588</v>
      </c>
      <c r="E168" s="71" t="s">
        <v>732</v>
      </c>
      <c r="F168" s="104"/>
      <c r="G168" s="72">
        <v>1508</v>
      </c>
      <c r="H168" s="9">
        <v>33.200000000000003</v>
      </c>
      <c r="I168" s="9">
        <v>33.200000000000003</v>
      </c>
      <c r="J168" s="27">
        <v>0.26939000000000002</v>
      </c>
      <c r="K168" s="73">
        <v>2.6939000000000004E-3</v>
      </c>
      <c r="L168" s="74"/>
      <c r="M168" s="8"/>
      <c r="N168" s="27">
        <v>0</v>
      </c>
      <c r="O168" s="73">
        <v>0</v>
      </c>
      <c r="P168" s="74"/>
      <c r="Q168" s="8"/>
      <c r="R168" s="8">
        <v>0</v>
      </c>
      <c r="S168" s="73">
        <v>0</v>
      </c>
      <c r="T168" s="33"/>
    </row>
    <row r="169" spans="1:22" ht="21" customHeight="1" x14ac:dyDescent="0.25">
      <c r="A169" s="70">
        <v>1509</v>
      </c>
      <c r="B169" s="51" t="s">
        <v>268</v>
      </c>
      <c r="C169" s="75"/>
      <c r="D169" s="75"/>
      <c r="E169" s="71" t="s">
        <v>843</v>
      </c>
      <c r="F169" s="106"/>
      <c r="G169" s="76">
        <v>1509</v>
      </c>
      <c r="H169" s="52">
        <v>44.45</v>
      </c>
      <c r="I169" s="52">
        <v>44.45</v>
      </c>
      <c r="J169" s="49">
        <v>0.26939000000000002</v>
      </c>
      <c r="K169" s="77">
        <v>2.6939000000000004E-3</v>
      </c>
      <c r="L169" s="78" t="s">
        <v>269</v>
      </c>
      <c r="M169" s="50">
        <v>0</v>
      </c>
      <c r="N169" s="49">
        <v>0.12690000000000001</v>
      </c>
      <c r="O169" s="77">
        <v>1.2690000000000002E-3</v>
      </c>
      <c r="P169" s="78"/>
      <c r="Q169" s="50"/>
      <c r="R169" s="50">
        <v>0</v>
      </c>
      <c r="S169" s="77">
        <v>0</v>
      </c>
      <c r="T169" s="33"/>
    </row>
    <row r="170" spans="1:22" ht="21" customHeight="1" x14ac:dyDescent="0.25">
      <c r="A170" s="70">
        <v>1510</v>
      </c>
      <c r="B170" s="51" t="s">
        <v>576</v>
      </c>
      <c r="C170" s="75"/>
      <c r="D170" s="75"/>
      <c r="E170" s="71" t="s">
        <v>842</v>
      </c>
      <c r="F170" s="106"/>
      <c r="G170" s="76">
        <v>1510</v>
      </c>
      <c r="H170" s="53">
        <v>81</v>
      </c>
      <c r="I170" s="53">
        <v>81</v>
      </c>
      <c r="J170" s="49">
        <v>0.44973999999999997</v>
      </c>
      <c r="K170" s="77">
        <v>4.4973999999999995E-3</v>
      </c>
      <c r="L170" s="78" t="s">
        <v>577</v>
      </c>
      <c r="M170" s="50">
        <v>0</v>
      </c>
      <c r="N170" s="49">
        <v>0.12690000000000001</v>
      </c>
      <c r="O170" s="77">
        <v>1.2690000000000002E-3</v>
      </c>
      <c r="P170" s="78"/>
      <c r="Q170" s="50"/>
      <c r="R170" s="50">
        <v>0</v>
      </c>
      <c r="S170" s="77">
        <v>0</v>
      </c>
      <c r="T170" s="33"/>
    </row>
    <row r="171" spans="1:22" ht="21" customHeight="1" x14ac:dyDescent="0.25">
      <c r="A171" s="70">
        <v>1511</v>
      </c>
      <c r="B171" s="6" t="s">
        <v>535</v>
      </c>
      <c r="C171" s="71">
        <v>18165137</v>
      </c>
      <c r="D171" s="71">
        <v>954679117</v>
      </c>
      <c r="E171" s="71" t="s">
        <v>734</v>
      </c>
      <c r="F171" s="104"/>
      <c r="G171" s="72">
        <v>1511</v>
      </c>
      <c r="H171" s="9">
        <v>33</v>
      </c>
      <c r="I171" s="9">
        <v>33</v>
      </c>
      <c r="J171" s="27">
        <v>0.26939000000000002</v>
      </c>
      <c r="K171" s="73">
        <v>2.6939000000000004E-3</v>
      </c>
      <c r="L171" s="74"/>
      <c r="M171" s="8"/>
      <c r="N171" s="27">
        <v>0</v>
      </c>
      <c r="O171" s="73">
        <v>0</v>
      </c>
      <c r="P171" s="74"/>
      <c r="Q171" s="8"/>
      <c r="R171" s="8">
        <v>0</v>
      </c>
      <c r="S171" s="73">
        <v>0</v>
      </c>
      <c r="T171" s="33"/>
    </row>
    <row r="172" spans="1:22" ht="21" customHeight="1" x14ac:dyDescent="0.25">
      <c r="A172" s="70">
        <v>1512</v>
      </c>
      <c r="B172" s="6" t="s">
        <v>733</v>
      </c>
      <c r="C172" s="71">
        <v>25728740</v>
      </c>
      <c r="D172" s="71">
        <v>985782280</v>
      </c>
      <c r="E172" s="71" t="s">
        <v>735</v>
      </c>
      <c r="F172" s="104"/>
      <c r="G172" s="72">
        <v>1512</v>
      </c>
      <c r="H172" s="9">
        <v>74.599999999999994</v>
      </c>
      <c r="I172" s="9">
        <v>74.599999999999994</v>
      </c>
      <c r="J172" s="27">
        <v>0.44973999999999997</v>
      </c>
      <c r="K172" s="73">
        <v>4.4973999999999995E-3</v>
      </c>
      <c r="L172" s="74"/>
      <c r="M172" s="8"/>
      <c r="N172" s="27">
        <v>0</v>
      </c>
      <c r="O172" s="73">
        <v>0</v>
      </c>
      <c r="P172" s="74"/>
      <c r="Q172" s="8"/>
      <c r="R172" s="8">
        <v>0</v>
      </c>
      <c r="S172" s="73">
        <v>0</v>
      </c>
      <c r="T172" s="33"/>
    </row>
    <row r="173" spans="1:22" ht="21" customHeight="1" x14ac:dyDescent="0.25">
      <c r="A173" s="70">
        <v>1601</v>
      </c>
      <c r="B173" s="51" t="s">
        <v>126</v>
      </c>
      <c r="C173" s="75" t="s">
        <v>736</v>
      </c>
      <c r="D173" s="75">
        <v>5713326600</v>
      </c>
      <c r="E173" s="71" t="s">
        <v>737</v>
      </c>
      <c r="F173" s="106"/>
      <c r="G173" s="76">
        <v>1601</v>
      </c>
      <c r="H173" s="53">
        <v>92.5</v>
      </c>
      <c r="I173" s="53">
        <v>92.5</v>
      </c>
      <c r="J173" s="49">
        <v>0.56772999999999996</v>
      </c>
      <c r="K173" s="77">
        <v>5.6772999999999997E-3</v>
      </c>
      <c r="L173" s="78" t="s">
        <v>465</v>
      </c>
      <c r="M173" s="50">
        <v>0</v>
      </c>
      <c r="N173" s="49">
        <v>0.12690000000000001</v>
      </c>
      <c r="O173" s="77">
        <v>1.2690000000000002E-3</v>
      </c>
      <c r="P173" s="78" t="s">
        <v>464</v>
      </c>
      <c r="Q173" s="50">
        <v>0</v>
      </c>
      <c r="R173" s="50">
        <v>3.6749999999999998E-2</v>
      </c>
      <c r="S173" s="77">
        <v>3.6749999999999999E-4</v>
      </c>
      <c r="T173" s="33"/>
    </row>
    <row r="174" spans="1:22" ht="21" customHeight="1" x14ac:dyDescent="0.25">
      <c r="A174" s="70">
        <v>1602</v>
      </c>
      <c r="B174" s="4" t="s">
        <v>127</v>
      </c>
      <c r="C174" s="52"/>
      <c r="D174" s="52"/>
      <c r="E174" s="71" t="s">
        <v>844</v>
      </c>
      <c r="F174" s="105"/>
      <c r="G174" s="76">
        <v>1602</v>
      </c>
      <c r="H174" s="52">
        <v>77.05</v>
      </c>
      <c r="I174" s="52">
        <v>77.05</v>
      </c>
      <c r="J174" s="49">
        <v>0.44973999999999997</v>
      </c>
      <c r="K174" s="77">
        <v>4.4973999999999995E-3</v>
      </c>
      <c r="L174" s="78" t="s">
        <v>187</v>
      </c>
      <c r="M174" s="50">
        <v>0</v>
      </c>
      <c r="N174" s="49">
        <v>0.12690000000000001</v>
      </c>
      <c r="O174" s="77">
        <v>1.2690000000000002E-3</v>
      </c>
      <c r="P174" s="78"/>
      <c r="Q174" s="50"/>
      <c r="R174" s="50">
        <v>0</v>
      </c>
      <c r="S174" s="77">
        <v>0</v>
      </c>
      <c r="T174" s="33"/>
    </row>
    <row r="175" spans="1:22" ht="21" customHeight="1" x14ac:dyDescent="0.25">
      <c r="A175" s="70">
        <v>1603</v>
      </c>
      <c r="B175" s="51" t="s">
        <v>128</v>
      </c>
      <c r="C175" s="75">
        <v>46732169</v>
      </c>
      <c r="D175" s="75">
        <v>975147838</v>
      </c>
      <c r="E175" s="71" t="s">
        <v>739</v>
      </c>
      <c r="F175" s="106"/>
      <c r="G175" s="76">
        <v>1603</v>
      </c>
      <c r="H175" s="53">
        <v>68</v>
      </c>
      <c r="I175" s="53">
        <v>68</v>
      </c>
      <c r="J175" s="49">
        <v>0.44973999999999997</v>
      </c>
      <c r="K175" s="77">
        <v>4.4973999999999995E-3</v>
      </c>
      <c r="L175" s="78" t="s">
        <v>326</v>
      </c>
      <c r="M175" s="50">
        <v>0</v>
      </c>
      <c r="N175" s="49">
        <v>0.12690000000000001</v>
      </c>
      <c r="O175" s="77">
        <v>1.2690000000000002E-3</v>
      </c>
      <c r="P175" s="78"/>
      <c r="Q175" s="50"/>
      <c r="R175" s="50">
        <v>0</v>
      </c>
      <c r="S175" s="77">
        <v>0</v>
      </c>
      <c r="T175" s="33"/>
    </row>
    <row r="176" spans="1:22" ht="21" customHeight="1" x14ac:dyDescent="0.25">
      <c r="A176" s="70">
        <v>1604</v>
      </c>
      <c r="B176" s="55" t="s">
        <v>738</v>
      </c>
      <c r="C176" s="82" t="s">
        <v>740</v>
      </c>
      <c r="D176" s="82">
        <v>5513133412</v>
      </c>
      <c r="E176" s="71" t="s">
        <v>741</v>
      </c>
      <c r="F176" s="113"/>
      <c r="G176" s="76">
        <v>1604</v>
      </c>
      <c r="H176" s="52">
        <v>76.150000000000006</v>
      </c>
      <c r="I176" s="52">
        <v>76.150000000000006</v>
      </c>
      <c r="J176" s="49">
        <v>0.44973999999999997</v>
      </c>
      <c r="K176" s="77">
        <v>4.4973999999999995E-3</v>
      </c>
      <c r="L176" s="78" t="s">
        <v>360</v>
      </c>
      <c r="M176" s="50">
        <v>0</v>
      </c>
      <c r="N176" s="49">
        <v>0.12690000000000001</v>
      </c>
      <c r="O176" s="77">
        <v>1.2690000000000002E-3</v>
      </c>
      <c r="P176" s="78"/>
      <c r="Q176" s="50"/>
      <c r="R176" s="50">
        <v>0</v>
      </c>
      <c r="S176" s="77">
        <v>0</v>
      </c>
      <c r="T176" s="33"/>
    </row>
    <row r="177" spans="1:20" ht="21" customHeight="1" x14ac:dyDescent="0.25">
      <c r="A177" s="70">
        <v>1605</v>
      </c>
      <c r="B177" s="51" t="s">
        <v>164</v>
      </c>
      <c r="C177" s="75"/>
      <c r="D177" s="75"/>
      <c r="E177" s="71" t="s">
        <v>845</v>
      </c>
      <c r="F177" s="106"/>
      <c r="G177" s="76">
        <v>1605</v>
      </c>
      <c r="H177" s="52">
        <v>78.95</v>
      </c>
      <c r="I177" s="52">
        <v>78.95</v>
      </c>
      <c r="J177" s="49">
        <v>0.44973999999999997</v>
      </c>
      <c r="K177" s="77">
        <v>4.4973999999999995E-3</v>
      </c>
      <c r="L177" s="78" t="s">
        <v>165</v>
      </c>
      <c r="M177" s="50">
        <v>0</v>
      </c>
      <c r="N177" s="49">
        <v>0.12690000000000001</v>
      </c>
      <c r="O177" s="77">
        <v>1.2690000000000002E-3</v>
      </c>
      <c r="P177" s="78"/>
      <c r="Q177" s="50"/>
      <c r="R177" s="50">
        <v>0</v>
      </c>
      <c r="S177" s="77">
        <v>0</v>
      </c>
      <c r="T177" s="33"/>
    </row>
    <row r="178" spans="1:20" ht="21" customHeight="1" x14ac:dyDescent="0.25">
      <c r="A178" s="70">
        <v>1606</v>
      </c>
      <c r="B178" s="51" t="s">
        <v>129</v>
      </c>
      <c r="C178" s="75">
        <v>10219690</v>
      </c>
      <c r="D178" s="75">
        <v>989192311</v>
      </c>
      <c r="E178" s="71" t="s">
        <v>742</v>
      </c>
      <c r="F178" s="106"/>
      <c r="G178" s="76">
        <v>1606</v>
      </c>
      <c r="H178" s="52">
        <v>43.35</v>
      </c>
      <c r="I178" s="52">
        <v>43.35</v>
      </c>
      <c r="J178" s="49">
        <v>0.26939000000000002</v>
      </c>
      <c r="K178" s="77">
        <v>2.6939000000000004E-3</v>
      </c>
      <c r="L178" s="78" t="s">
        <v>546</v>
      </c>
      <c r="M178" s="50">
        <v>0</v>
      </c>
      <c r="N178" s="49">
        <v>0.12690000000000001</v>
      </c>
      <c r="O178" s="77">
        <v>1.2690000000000002E-3</v>
      </c>
      <c r="P178" s="78" t="s">
        <v>545</v>
      </c>
      <c r="Q178" s="50">
        <v>0</v>
      </c>
      <c r="R178" s="50">
        <v>3.6749999999999998E-2</v>
      </c>
      <c r="S178" s="77">
        <v>3.6749999999999999E-4</v>
      </c>
      <c r="T178" s="33"/>
    </row>
    <row r="179" spans="1:20" ht="21" customHeight="1" x14ac:dyDescent="0.25">
      <c r="A179" s="70">
        <v>1607</v>
      </c>
      <c r="B179" s="6" t="s">
        <v>130</v>
      </c>
      <c r="C179" s="71">
        <v>40383268</v>
      </c>
      <c r="D179" s="71">
        <v>966483337</v>
      </c>
      <c r="E179" s="71" t="s">
        <v>743</v>
      </c>
      <c r="F179" s="104"/>
      <c r="G179" s="72">
        <v>1607</v>
      </c>
      <c r="H179" s="7">
        <v>66.45</v>
      </c>
      <c r="I179" s="7">
        <v>66.45</v>
      </c>
      <c r="J179" s="27">
        <v>0.44973999999999997</v>
      </c>
      <c r="K179" s="73">
        <v>4.4973999999999995E-3</v>
      </c>
      <c r="L179" s="74"/>
      <c r="M179" s="8"/>
      <c r="N179" s="27">
        <v>0</v>
      </c>
      <c r="O179" s="73">
        <v>0</v>
      </c>
      <c r="P179" s="74" t="s">
        <v>219</v>
      </c>
      <c r="Q179" s="8">
        <v>0</v>
      </c>
      <c r="R179" s="8">
        <v>3.6749999999999998E-2</v>
      </c>
      <c r="S179" s="73">
        <v>3.6749999999999999E-4</v>
      </c>
      <c r="T179" s="33"/>
    </row>
    <row r="180" spans="1:20" ht="21" customHeight="1" x14ac:dyDescent="0.25">
      <c r="A180" s="70">
        <v>1608</v>
      </c>
      <c r="B180" s="6" t="s">
        <v>131</v>
      </c>
      <c r="C180" s="71" t="s">
        <v>744</v>
      </c>
      <c r="D180" s="71" t="s">
        <v>745</v>
      </c>
      <c r="E180" s="71" t="s">
        <v>746</v>
      </c>
      <c r="F180" s="104"/>
      <c r="G180" s="72">
        <v>1608</v>
      </c>
      <c r="H180" s="9">
        <v>33.200000000000003</v>
      </c>
      <c r="I180" s="9">
        <v>33.200000000000003</v>
      </c>
      <c r="J180" s="27">
        <v>0.26939000000000002</v>
      </c>
      <c r="K180" s="73">
        <v>2.6939000000000004E-3</v>
      </c>
      <c r="L180" s="74"/>
      <c r="M180" s="8"/>
      <c r="N180" s="27">
        <v>0</v>
      </c>
      <c r="O180" s="73">
        <v>0</v>
      </c>
      <c r="P180" s="74"/>
      <c r="Q180" s="8"/>
      <c r="R180" s="8">
        <v>0</v>
      </c>
      <c r="S180" s="73">
        <v>0</v>
      </c>
      <c r="T180" s="33"/>
    </row>
    <row r="181" spans="1:20" ht="21" customHeight="1" x14ac:dyDescent="0.25">
      <c r="A181" s="70">
        <v>1609</v>
      </c>
      <c r="B181" s="51" t="s">
        <v>132</v>
      </c>
      <c r="C181" s="75">
        <v>43048453</v>
      </c>
      <c r="D181" s="75">
        <v>979647412</v>
      </c>
      <c r="E181" s="71" t="s">
        <v>747</v>
      </c>
      <c r="F181" s="106"/>
      <c r="G181" s="76">
        <v>1609</v>
      </c>
      <c r="H181" s="52">
        <v>44.45</v>
      </c>
      <c r="I181" s="52">
        <v>44.45</v>
      </c>
      <c r="J181" s="49">
        <v>0.26939000000000002</v>
      </c>
      <c r="K181" s="77">
        <v>2.6939000000000004E-3</v>
      </c>
      <c r="L181" s="78" t="s">
        <v>209</v>
      </c>
      <c r="M181" s="50">
        <v>0</v>
      </c>
      <c r="N181" s="49">
        <v>0.12690000000000001</v>
      </c>
      <c r="O181" s="77">
        <v>1.2690000000000002E-3</v>
      </c>
      <c r="P181" s="78" t="s">
        <v>208</v>
      </c>
      <c r="Q181" s="50">
        <v>0</v>
      </c>
      <c r="R181" s="50">
        <v>3.6749999999999998E-2</v>
      </c>
      <c r="S181" s="77">
        <v>3.6749999999999999E-4</v>
      </c>
      <c r="T181" s="33"/>
    </row>
    <row r="182" spans="1:20" ht="21" customHeight="1" x14ac:dyDescent="0.25">
      <c r="A182" s="70">
        <v>1610</v>
      </c>
      <c r="B182" s="51" t="s">
        <v>133</v>
      </c>
      <c r="C182" s="75"/>
      <c r="D182" s="75"/>
      <c r="E182" s="71" t="s">
        <v>846</v>
      </c>
      <c r="F182" s="106"/>
      <c r="G182" s="76">
        <v>1610</v>
      </c>
      <c r="H182" s="53">
        <v>81</v>
      </c>
      <c r="I182" s="53">
        <v>81</v>
      </c>
      <c r="J182" s="49">
        <v>0.44973999999999997</v>
      </c>
      <c r="K182" s="77">
        <v>4.4973999999999995E-3</v>
      </c>
      <c r="L182" s="78" t="s">
        <v>254</v>
      </c>
      <c r="M182" s="50">
        <v>0</v>
      </c>
      <c r="N182" s="49">
        <v>0.12690000000000001</v>
      </c>
      <c r="O182" s="77">
        <v>1.2690000000000002E-3</v>
      </c>
      <c r="P182" s="78"/>
      <c r="Q182" s="50"/>
      <c r="R182" s="50">
        <v>0</v>
      </c>
      <c r="S182" s="77">
        <v>0</v>
      </c>
      <c r="T182" s="33"/>
    </row>
    <row r="183" spans="1:20" ht="21" customHeight="1" x14ac:dyDescent="0.25">
      <c r="A183" s="70">
        <v>1611</v>
      </c>
      <c r="B183" s="6" t="s">
        <v>134</v>
      </c>
      <c r="C183" s="71"/>
      <c r="D183" s="71"/>
      <c r="E183" s="71" t="s">
        <v>847</v>
      </c>
      <c r="F183" s="104"/>
      <c r="G183" s="72">
        <v>1611</v>
      </c>
      <c r="H183" s="9">
        <v>33</v>
      </c>
      <c r="I183" s="9">
        <v>33</v>
      </c>
      <c r="J183" s="27">
        <v>0.26939000000000002</v>
      </c>
      <c r="K183" s="73">
        <v>2.6939000000000004E-3</v>
      </c>
      <c r="L183" s="74"/>
      <c r="M183" s="8"/>
      <c r="N183" s="27">
        <v>0</v>
      </c>
      <c r="O183" s="73">
        <v>0</v>
      </c>
      <c r="P183" s="74" t="s">
        <v>528</v>
      </c>
      <c r="Q183" s="8">
        <v>0</v>
      </c>
      <c r="R183" s="8">
        <v>3.6749999999999998E-2</v>
      </c>
      <c r="S183" s="73">
        <v>3.6749999999999999E-4</v>
      </c>
      <c r="T183" s="33"/>
    </row>
    <row r="184" spans="1:20" ht="21" customHeight="1" x14ac:dyDescent="0.25">
      <c r="A184" s="70">
        <v>1612</v>
      </c>
      <c r="B184" s="51" t="s">
        <v>748</v>
      </c>
      <c r="C184" s="75">
        <v>45482880</v>
      </c>
      <c r="D184" s="75">
        <v>922421315</v>
      </c>
      <c r="E184" s="71" t="s">
        <v>749</v>
      </c>
      <c r="F184" s="106"/>
      <c r="G184" s="76">
        <v>1612</v>
      </c>
      <c r="H184" s="53">
        <v>74.599999999999994</v>
      </c>
      <c r="I184" s="53">
        <v>74.599999999999994</v>
      </c>
      <c r="J184" s="49">
        <v>0.44973999999999997</v>
      </c>
      <c r="K184" s="77">
        <v>4.4973999999999995E-3</v>
      </c>
      <c r="L184" s="78" t="s">
        <v>287</v>
      </c>
      <c r="M184" s="50">
        <v>0</v>
      </c>
      <c r="N184" s="49">
        <v>0.12690000000000001</v>
      </c>
      <c r="O184" s="77">
        <v>1.2690000000000002E-3</v>
      </c>
      <c r="P184" s="78"/>
      <c r="Q184" s="50"/>
      <c r="R184" s="50">
        <v>0</v>
      </c>
      <c r="S184" s="77">
        <v>0</v>
      </c>
      <c r="T184" s="33"/>
    </row>
    <row r="185" spans="1:20" ht="21" customHeight="1" x14ac:dyDescent="0.25">
      <c r="A185" s="70">
        <v>1701</v>
      </c>
      <c r="B185" s="51" t="s">
        <v>135</v>
      </c>
      <c r="C185" s="75"/>
      <c r="D185" s="75"/>
      <c r="E185" s="71" t="s">
        <v>848</v>
      </c>
      <c r="F185" s="106"/>
      <c r="G185" s="76">
        <v>1701</v>
      </c>
      <c r="H185" s="53">
        <v>92.5</v>
      </c>
      <c r="I185" s="53">
        <v>92.5</v>
      </c>
      <c r="J185" s="49">
        <v>0.56772999999999996</v>
      </c>
      <c r="K185" s="77">
        <v>5.6772999999999997E-3</v>
      </c>
      <c r="L185" s="79" t="s">
        <v>611</v>
      </c>
      <c r="M185" s="50">
        <v>0</v>
      </c>
      <c r="N185" s="49">
        <v>0.25380000000000003</v>
      </c>
      <c r="O185" s="77">
        <v>2.5380000000000003E-3</v>
      </c>
      <c r="P185" s="78"/>
      <c r="Q185" s="50"/>
      <c r="R185" s="50">
        <v>0</v>
      </c>
      <c r="S185" s="77">
        <v>0</v>
      </c>
      <c r="T185" s="33"/>
    </row>
    <row r="186" spans="1:20" ht="21" customHeight="1" x14ac:dyDescent="0.25">
      <c r="A186" s="70">
        <v>1702</v>
      </c>
      <c r="B186" s="4" t="s">
        <v>136</v>
      </c>
      <c r="C186" s="52"/>
      <c r="D186" s="52"/>
      <c r="E186" s="71" t="s">
        <v>849</v>
      </c>
      <c r="F186" s="105"/>
      <c r="G186" s="76">
        <v>1702</v>
      </c>
      <c r="H186" s="52">
        <v>77.05</v>
      </c>
      <c r="I186" s="52">
        <v>77.05</v>
      </c>
      <c r="J186" s="49">
        <v>0.44973999999999997</v>
      </c>
      <c r="K186" s="77">
        <v>4.4973999999999995E-3</v>
      </c>
      <c r="L186" s="79" t="s">
        <v>617</v>
      </c>
      <c r="M186" s="50">
        <v>0</v>
      </c>
      <c r="N186" s="49">
        <v>0.25380000000000003</v>
      </c>
      <c r="O186" s="77">
        <v>2.5380000000000003E-3</v>
      </c>
      <c r="P186" s="78"/>
      <c r="Q186" s="50"/>
      <c r="R186" s="50">
        <v>0</v>
      </c>
      <c r="S186" s="77">
        <v>0</v>
      </c>
      <c r="T186" s="33"/>
    </row>
    <row r="187" spans="1:20" ht="21" customHeight="1" x14ac:dyDescent="0.25">
      <c r="A187" s="70">
        <v>1703</v>
      </c>
      <c r="B187" s="4" t="s">
        <v>868</v>
      </c>
      <c r="C187" s="52"/>
      <c r="D187" s="52" t="s">
        <v>869</v>
      </c>
      <c r="E187" s="71" t="s">
        <v>870</v>
      </c>
      <c r="F187" s="105"/>
      <c r="G187" s="76">
        <v>1703</v>
      </c>
      <c r="H187" s="53">
        <v>68</v>
      </c>
      <c r="I187" s="53">
        <v>68</v>
      </c>
      <c r="J187" s="49">
        <v>0.44973999999999997</v>
      </c>
      <c r="K187" s="77">
        <v>4.4973999999999995E-3</v>
      </c>
      <c r="L187" s="79" t="s">
        <v>205</v>
      </c>
      <c r="M187" s="50">
        <v>0</v>
      </c>
      <c r="N187" s="49">
        <v>0.12690000000000001</v>
      </c>
      <c r="O187" s="77">
        <v>1.2690000000000002E-3</v>
      </c>
      <c r="P187" s="78"/>
      <c r="Q187" s="50"/>
      <c r="R187" s="50">
        <v>0</v>
      </c>
      <c r="S187" s="77">
        <v>0</v>
      </c>
      <c r="T187" s="33"/>
    </row>
    <row r="188" spans="1:20" ht="21" customHeight="1" x14ac:dyDescent="0.25">
      <c r="A188" s="70">
        <v>1704</v>
      </c>
      <c r="B188" s="4" t="s">
        <v>137</v>
      </c>
      <c r="C188" s="52">
        <v>46474516</v>
      </c>
      <c r="D188" s="52">
        <v>977883186</v>
      </c>
      <c r="E188" s="71" t="s">
        <v>750</v>
      </c>
      <c r="F188" s="105"/>
      <c r="G188" s="76">
        <v>1704</v>
      </c>
      <c r="H188" s="52">
        <v>76.150000000000006</v>
      </c>
      <c r="I188" s="52">
        <v>76.150000000000006</v>
      </c>
      <c r="J188" s="49">
        <v>0.44973999999999997</v>
      </c>
      <c r="K188" s="77">
        <v>4.4973999999999995E-3</v>
      </c>
      <c r="L188" s="78" t="s">
        <v>590</v>
      </c>
      <c r="M188" s="50">
        <v>0</v>
      </c>
      <c r="N188" s="49">
        <v>0.12690000000000001</v>
      </c>
      <c r="O188" s="77">
        <v>1.2690000000000002E-3</v>
      </c>
      <c r="P188" s="78"/>
      <c r="Q188" s="50"/>
      <c r="R188" s="50">
        <v>0</v>
      </c>
      <c r="S188" s="77">
        <v>0</v>
      </c>
      <c r="T188" s="33"/>
    </row>
    <row r="189" spans="1:20" ht="21" customHeight="1" x14ac:dyDescent="0.25">
      <c r="A189" s="70">
        <v>1705</v>
      </c>
      <c r="B189" s="4" t="s">
        <v>138</v>
      </c>
      <c r="C189" s="52"/>
      <c r="D189" s="52"/>
      <c r="E189" s="71" t="s">
        <v>850</v>
      </c>
      <c r="F189" s="105"/>
      <c r="G189" s="76">
        <v>1705</v>
      </c>
      <c r="H189" s="52">
        <v>78.95</v>
      </c>
      <c r="I189" s="52">
        <v>78.95</v>
      </c>
      <c r="J189" s="49">
        <v>0.44973999999999997</v>
      </c>
      <c r="K189" s="77">
        <v>4.4973999999999995E-3</v>
      </c>
      <c r="L189" s="78" t="s">
        <v>349</v>
      </c>
      <c r="M189" s="50">
        <v>0</v>
      </c>
      <c r="N189" s="49">
        <v>0.12690000000000001</v>
      </c>
      <c r="O189" s="77">
        <v>1.2690000000000002E-3</v>
      </c>
      <c r="P189" s="78"/>
      <c r="Q189" s="50"/>
      <c r="R189" s="50">
        <v>0</v>
      </c>
      <c r="S189" s="77">
        <v>0</v>
      </c>
      <c r="T189" s="33"/>
    </row>
    <row r="190" spans="1:20" ht="21" customHeight="1" x14ac:dyDescent="0.25">
      <c r="A190" s="70">
        <v>1706</v>
      </c>
      <c r="B190" s="4" t="s">
        <v>139</v>
      </c>
      <c r="C190" s="52"/>
      <c r="D190" s="52"/>
      <c r="E190" s="71" t="s">
        <v>851</v>
      </c>
      <c r="F190" s="105"/>
      <c r="G190" s="72">
        <v>1706</v>
      </c>
      <c r="H190" s="7">
        <v>43.35</v>
      </c>
      <c r="I190" s="7">
        <v>43.35</v>
      </c>
      <c r="J190" s="27">
        <v>0.26939000000000002</v>
      </c>
      <c r="K190" s="73">
        <v>2.6939000000000004E-3</v>
      </c>
      <c r="L190" s="74"/>
      <c r="M190" s="8"/>
      <c r="N190" s="27">
        <v>0</v>
      </c>
      <c r="O190" s="73">
        <v>0</v>
      </c>
      <c r="P190" s="74"/>
      <c r="Q190" s="8"/>
      <c r="R190" s="8">
        <v>0</v>
      </c>
      <c r="S190" s="73">
        <v>0</v>
      </c>
      <c r="T190" s="33"/>
    </row>
    <row r="191" spans="1:20" ht="21" customHeight="1" x14ac:dyDescent="0.25">
      <c r="A191" s="70">
        <v>1707</v>
      </c>
      <c r="B191" s="51" t="s">
        <v>513</v>
      </c>
      <c r="C191" s="75">
        <v>25758006</v>
      </c>
      <c r="D191" s="75">
        <v>977606208</v>
      </c>
      <c r="E191" s="71" t="s">
        <v>751</v>
      </c>
      <c r="F191" s="106"/>
      <c r="G191" s="76">
        <v>1707</v>
      </c>
      <c r="H191" s="52">
        <v>66.45</v>
      </c>
      <c r="I191" s="52">
        <v>66.45</v>
      </c>
      <c r="J191" s="49">
        <v>0.44973999999999997</v>
      </c>
      <c r="K191" s="77">
        <v>4.4973999999999995E-3</v>
      </c>
      <c r="L191" s="78" t="s">
        <v>514</v>
      </c>
      <c r="M191" s="50">
        <v>0</v>
      </c>
      <c r="N191" s="49">
        <v>0.12690000000000001</v>
      </c>
      <c r="O191" s="77">
        <v>1.2690000000000002E-3</v>
      </c>
      <c r="P191" s="78"/>
      <c r="Q191" s="50"/>
      <c r="R191" s="50">
        <v>0</v>
      </c>
      <c r="S191" s="77">
        <v>0</v>
      </c>
      <c r="T191" s="33"/>
    </row>
    <row r="192" spans="1:20" ht="21" customHeight="1" x14ac:dyDescent="0.25">
      <c r="A192" s="70">
        <v>1708</v>
      </c>
      <c r="B192" s="4" t="s">
        <v>140</v>
      </c>
      <c r="C192" s="52"/>
      <c r="D192" s="52"/>
      <c r="E192" s="71" t="s">
        <v>852</v>
      </c>
      <c r="F192" s="105"/>
      <c r="G192" s="76">
        <v>1708</v>
      </c>
      <c r="H192" s="53">
        <v>33.200000000000003</v>
      </c>
      <c r="I192" s="53">
        <v>33.200000000000003</v>
      </c>
      <c r="J192" s="49">
        <v>0.26939000000000002</v>
      </c>
      <c r="K192" s="77">
        <v>2.6939000000000004E-3</v>
      </c>
      <c r="L192" s="78" t="s">
        <v>565</v>
      </c>
      <c r="M192" s="50">
        <v>0</v>
      </c>
      <c r="N192" s="49">
        <v>0.12690000000000001</v>
      </c>
      <c r="O192" s="77">
        <v>1.2690000000000002E-3</v>
      </c>
      <c r="P192" s="78"/>
      <c r="Q192" s="50"/>
      <c r="R192" s="50">
        <v>0</v>
      </c>
      <c r="S192" s="77">
        <v>0</v>
      </c>
      <c r="T192" s="33"/>
    </row>
    <row r="193" spans="1:20" ht="21" customHeight="1" x14ac:dyDescent="0.25">
      <c r="A193" s="70">
        <v>1709</v>
      </c>
      <c r="B193" s="51" t="s">
        <v>398</v>
      </c>
      <c r="C193" s="75"/>
      <c r="D193" s="75"/>
      <c r="E193" s="71" t="s">
        <v>853</v>
      </c>
      <c r="F193" s="106"/>
      <c r="G193" s="76">
        <v>1709</v>
      </c>
      <c r="H193" s="52">
        <v>44.45</v>
      </c>
      <c r="I193" s="52">
        <v>44.45</v>
      </c>
      <c r="J193" s="49">
        <v>0.26939000000000002</v>
      </c>
      <c r="K193" s="77">
        <v>2.6939000000000004E-3</v>
      </c>
      <c r="L193" s="79" t="s">
        <v>616</v>
      </c>
      <c r="M193" s="50">
        <v>0</v>
      </c>
      <c r="N193" s="49">
        <v>0.25380000000000003</v>
      </c>
      <c r="O193" s="77">
        <v>2.5380000000000003E-3</v>
      </c>
      <c r="P193" s="78"/>
      <c r="Q193" s="50"/>
      <c r="R193" s="50">
        <v>0</v>
      </c>
      <c r="S193" s="77">
        <v>0</v>
      </c>
      <c r="T193" s="33"/>
    </row>
    <row r="194" spans="1:20" ht="21" customHeight="1" x14ac:dyDescent="0.25">
      <c r="A194" s="70">
        <v>1710</v>
      </c>
      <c r="B194" s="51" t="s">
        <v>141</v>
      </c>
      <c r="C194" s="75"/>
      <c r="D194" s="75"/>
      <c r="E194" s="71" t="s">
        <v>854</v>
      </c>
      <c r="F194" s="106"/>
      <c r="G194" s="76">
        <v>1710</v>
      </c>
      <c r="H194" s="53">
        <v>81</v>
      </c>
      <c r="I194" s="53">
        <v>81</v>
      </c>
      <c r="J194" s="49">
        <v>0.44973999999999997</v>
      </c>
      <c r="K194" s="77">
        <v>4.4973999999999995E-3</v>
      </c>
      <c r="L194" s="78" t="s">
        <v>215</v>
      </c>
      <c r="M194" s="50">
        <v>0</v>
      </c>
      <c r="N194" s="49">
        <v>0.12690000000000001</v>
      </c>
      <c r="O194" s="77">
        <v>1.2690000000000002E-3</v>
      </c>
      <c r="P194" s="78"/>
      <c r="Q194" s="50"/>
      <c r="R194" s="50">
        <v>0</v>
      </c>
      <c r="S194" s="77">
        <v>0</v>
      </c>
      <c r="T194" s="33"/>
    </row>
    <row r="195" spans="1:20" ht="21" customHeight="1" x14ac:dyDescent="0.25">
      <c r="A195" s="70">
        <v>1711</v>
      </c>
      <c r="B195" s="6" t="s">
        <v>393</v>
      </c>
      <c r="C195" s="71">
        <v>562532484</v>
      </c>
      <c r="D195" s="71">
        <v>3017609371</v>
      </c>
      <c r="E195" s="71" t="s">
        <v>752</v>
      </c>
      <c r="F195" s="104"/>
      <c r="G195" s="72">
        <v>1711</v>
      </c>
      <c r="H195" s="9">
        <v>33</v>
      </c>
      <c r="I195" s="9">
        <v>33</v>
      </c>
      <c r="J195" s="27">
        <v>0.26939000000000002</v>
      </c>
      <c r="K195" s="73">
        <v>2.6939000000000004E-3</v>
      </c>
      <c r="L195" s="74"/>
      <c r="M195" s="8"/>
      <c r="N195" s="27">
        <v>0</v>
      </c>
      <c r="O195" s="73">
        <v>0</v>
      </c>
      <c r="P195" s="74"/>
      <c r="Q195" s="8"/>
      <c r="R195" s="8">
        <v>0</v>
      </c>
      <c r="S195" s="73">
        <v>0</v>
      </c>
      <c r="T195" s="33"/>
    </row>
    <row r="196" spans="1:20" ht="21" customHeight="1" x14ac:dyDescent="0.25">
      <c r="A196" s="70">
        <v>1712</v>
      </c>
      <c r="B196" s="5" t="s">
        <v>753</v>
      </c>
      <c r="C196" s="81">
        <v>29639719</v>
      </c>
      <c r="D196" s="81" t="s">
        <v>754</v>
      </c>
      <c r="E196" s="71" t="s">
        <v>755</v>
      </c>
      <c r="F196" s="110"/>
      <c r="G196" s="72">
        <v>1712</v>
      </c>
      <c r="H196" s="9">
        <v>74.599999999999994</v>
      </c>
      <c r="I196" s="9">
        <v>74.599999999999994</v>
      </c>
      <c r="J196" s="27">
        <v>0.44973999999999997</v>
      </c>
      <c r="K196" s="73">
        <v>4.4973999999999995E-3</v>
      </c>
      <c r="L196" s="74"/>
      <c r="M196" s="8"/>
      <c r="N196" s="27">
        <v>0</v>
      </c>
      <c r="O196" s="73">
        <v>0</v>
      </c>
      <c r="P196" s="74"/>
      <c r="Q196" s="8"/>
      <c r="R196" s="8">
        <v>0</v>
      </c>
      <c r="S196" s="73">
        <v>0</v>
      </c>
      <c r="T196" s="33"/>
    </row>
    <row r="197" spans="1:20" ht="21" customHeight="1" x14ac:dyDescent="0.25">
      <c r="A197" s="78" t="s">
        <v>601</v>
      </c>
      <c r="B197" s="5" t="s">
        <v>151</v>
      </c>
      <c r="C197" s="81"/>
      <c r="D197" s="81"/>
      <c r="E197" s="71"/>
      <c r="F197" s="110"/>
      <c r="G197" s="76"/>
      <c r="H197" s="10"/>
      <c r="I197" s="10"/>
      <c r="J197" s="49"/>
      <c r="K197" s="77">
        <v>0</v>
      </c>
      <c r="L197" s="78" t="s">
        <v>601</v>
      </c>
      <c r="M197" s="50">
        <v>0</v>
      </c>
      <c r="N197" s="49">
        <v>0.12690000000000001</v>
      </c>
      <c r="O197" s="77">
        <v>1.2690000000000002E-3</v>
      </c>
      <c r="P197" s="78"/>
      <c r="Q197" s="50"/>
      <c r="R197" s="50">
        <v>0</v>
      </c>
      <c r="S197" s="77">
        <v>0</v>
      </c>
      <c r="T197" s="33"/>
    </row>
    <row r="198" spans="1:20" ht="21" customHeight="1" x14ac:dyDescent="0.25">
      <c r="A198" s="79" t="s">
        <v>615</v>
      </c>
      <c r="B198" s="5" t="s">
        <v>152</v>
      </c>
      <c r="C198" s="81"/>
      <c r="D198" s="81"/>
      <c r="E198" s="71"/>
      <c r="F198" s="110"/>
      <c r="G198" s="76"/>
      <c r="H198" s="10"/>
      <c r="I198" s="10"/>
      <c r="J198" s="49"/>
      <c r="K198" s="77">
        <v>0</v>
      </c>
      <c r="L198" s="79" t="s">
        <v>615</v>
      </c>
      <c r="M198" s="50">
        <v>0</v>
      </c>
      <c r="N198" s="49">
        <v>0.38070000000000004</v>
      </c>
      <c r="O198" s="77">
        <v>3.8070000000000005E-3</v>
      </c>
      <c r="P198" s="78"/>
      <c r="Q198" s="50"/>
      <c r="R198" s="50">
        <v>0</v>
      </c>
      <c r="S198" s="77">
        <v>0</v>
      </c>
      <c r="T198" s="33"/>
    </row>
    <row r="199" spans="1:20" ht="21" customHeight="1" x14ac:dyDescent="0.25">
      <c r="A199" s="78" t="s">
        <v>406</v>
      </c>
      <c r="B199" s="5" t="s">
        <v>405</v>
      </c>
      <c r="C199" s="81"/>
      <c r="D199" s="81"/>
      <c r="E199" s="71" t="s">
        <v>673</v>
      </c>
      <c r="F199" s="110"/>
      <c r="G199" s="76"/>
      <c r="H199" s="10"/>
      <c r="I199" s="10"/>
      <c r="J199" s="49"/>
      <c r="K199" s="77">
        <v>0</v>
      </c>
      <c r="L199" s="78" t="s">
        <v>406</v>
      </c>
      <c r="M199" s="50">
        <v>0</v>
      </c>
      <c r="N199" s="49">
        <v>0.12690000000000001</v>
      </c>
      <c r="O199" s="77">
        <v>1.2690000000000002E-3</v>
      </c>
      <c r="P199" s="78"/>
      <c r="Q199" s="50"/>
      <c r="R199" s="50">
        <v>0</v>
      </c>
      <c r="S199" s="77">
        <v>0</v>
      </c>
      <c r="T199" s="33"/>
    </row>
    <row r="200" spans="1:20" ht="21" customHeight="1" x14ac:dyDescent="0.25">
      <c r="A200" s="78" t="s">
        <v>470</v>
      </c>
      <c r="B200" s="5" t="s">
        <v>865</v>
      </c>
      <c r="C200" s="81"/>
      <c r="D200" s="81">
        <v>996787610</v>
      </c>
      <c r="E200" s="81" t="s">
        <v>866</v>
      </c>
      <c r="F200" s="110"/>
      <c r="G200" s="76"/>
      <c r="H200" s="10"/>
      <c r="I200" s="10"/>
      <c r="J200" s="49"/>
      <c r="K200" s="77">
        <v>0</v>
      </c>
      <c r="L200" s="78" t="s">
        <v>470</v>
      </c>
      <c r="M200" s="50">
        <v>0</v>
      </c>
      <c r="N200" s="49">
        <v>0.12690000000000001</v>
      </c>
      <c r="O200" s="77">
        <v>1.2690000000000002E-3</v>
      </c>
      <c r="P200" s="78"/>
      <c r="Q200" s="50"/>
      <c r="R200" s="50">
        <v>0</v>
      </c>
      <c r="S200" s="77">
        <v>0</v>
      </c>
      <c r="T200" s="33"/>
    </row>
    <row r="201" spans="1:20" ht="21" customHeight="1" x14ac:dyDescent="0.25">
      <c r="A201" s="78" t="s">
        <v>183</v>
      </c>
      <c r="B201" s="5" t="s">
        <v>146</v>
      </c>
      <c r="C201" s="81"/>
      <c r="D201" s="81"/>
      <c r="E201" s="71" t="s">
        <v>856</v>
      </c>
      <c r="F201" s="110"/>
      <c r="G201" s="76"/>
      <c r="H201" s="10"/>
      <c r="I201" s="10"/>
      <c r="J201" s="49"/>
      <c r="K201" s="77">
        <v>0</v>
      </c>
      <c r="L201" s="78" t="s">
        <v>183</v>
      </c>
      <c r="M201" s="50">
        <v>0</v>
      </c>
      <c r="N201" s="49">
        <v>0.12690000000000001</v>
      </c>
      <c r="O201" s="77">
        <v>1.2690000000000002E-3</v>
      </c>
      <c r="P201" s="78"/>
      <c r="Q201" s="50"/>
      <c r="R201" s="50">
        <v>0</v>
      </c>
      <c r="S201" s="77">
        <v>0</v>
      </c>
      <c r="T201" s="33"/>
    </row>
    <row r="202" spans="1:20" ht="21" customHeight="1" x14ac:dyDescent="0.25">
      <c r="A202" s="78" t="s">
        <v>298</v>
      </c>
      <c r="B202" s="5" t="s">
        <v>150</v>
      </c>
      <c r="C202" s="81"/>
      <c r="D202" s="81"/>
      <c r="E202" s="71" t="s">
        <v>785</v>
      </c>
      <c r="F202" s="110"/>
      <c r="G202" s="76"/>
      <c r="H202" s="10"/>
      <c r="I202" s="10"/>
      <c r="J202" s="49"/>
      <c r="K202" s="77">
        <v>0</v>
      </c>
      <c r="L202" s="78" t="s">
        <v>298</v>
      </c>
      <c r="M202" s="50">
        <v>0</v>
      </c>
      <c r="N202" s="49">
        <v>0.12690000000000001</v>
      </c>
      <c r="O202" s="77">
        <v>1.2690000000000002E-3</v>
      </c>
      <c r="P202" s="78"/>
      <c r="Q202" s="50"/>
      <c r="R202" s="50">
        <v>0</v>
      </c>
      <c r="S202" s="77">
        <v>0</v>
      </c>
      <c r="T202" s="33"/>
    </row>
    <row r="203" spans="1:20" ht="21" customHeight="1" x14ac:dyDescent="0.25">
      <c r="A203" s="78" t="s">
        <v>502</v>
      </c>
      <c r="B203" s="4" t="s">
        <v>726</v>
      </c>
      <c r="C203" s="52">
        <v>40360379</v>
      </c>
      <c r="D203" s="52">
        <v>999433045</v>
      </c>
      <c r="E203" s="71" t="s">
        <v>727</v>
      </c>
      <c r="F203" s="110"/>
      <c r="G203" s="76"/>
      <c r="H203" s="10"/>
      <c r="I203" s="10"/>
      <c r="J203" s="49"/>
      <c r="K203" s="77">
        <v>0</v>
      </c>
      <c r="L203" s="78" t="s">
        <v>502</v>
      </c>
      <c r="M203" s="50">
        <v>0</v>
      </c>
      <c r="N203" s="49">
        <v>0.12690000000000001</v>
      </c>
      <c r="O203" s="77">
        <v>1.2690000000000002E-3</v>
      </c>
      <c r="P203" s="78" t="s">
        <v>501</v>
      </c>
      <c r="Q203" s="50">
        <v>0</v>
      </c>
      <c r="R203" s="50">
        <v>3.6749999999999998E-2</v>
      </c>
      <c r="S203" s="77">
        <v>3.6749999999999999E-4</v>
      </c>
      <c r="T203" s="33"/>
    </row>
    <row r="204" spans="1:20" ht="21" customHeight="1" x14ac:dyDescent="0.25">
      <c r="A204" s="78" t="s">
        <v>352</v>
      </c>
      <c r="B204" s="5" t="s">
        <v>351</v>
      </c>
      <c r="C204" s="81"/>
      <c r="D204" s="81"/>
      <c r="E204" s="71"/>
      <c r="F204" s="110"/>
      <c r="G204" s="76"/>
      <c r="H204" s="10"/>
      <c r="I204" s="10"/>
      <c r="J204" s="49"/>
      <c r="K204" s="77">
        <v>0</v>
      </c>
      <c r="L204" s="78" t="s">
        <v>352</v>
      </c>
      <c r="M204" s="50">
        <v>0</v>
      </c>
      <c r="N204" s="49">
        <v>0.12690000000000001</v>
      </c>
      <c r="O204" s="77">
        <v>1.2690000000000002E-3</v>
      </c>
      <c r="P204" s="78"/>
      <c r="Q204" s="50"/>
      <c r="R204" s="50">
        <v>0</v>
      </c>
      <c r="S204" s="77">
        <v>0</v>
      </c>
      <c r="T204" s="33"/>
    </row>
    <row r="205" spans="1:20" ht="21" customHeight="1" x14ac:dyDescent="0.25">
      <c r="A205" s="78" t="s">
        <v>232</v>
      </c>
      <c r="B205" s="51" t="s">
        <v>231</v>
      </c>
      <c r="C205" s="75"/>
      <c r="D205" s="75"/>
      <c r="E205" s="71" t="s">
        <v>857</v>
      </c>
      <c r="F205" s="106"/>
      <c r="G205" s="76"/>
      <c r="H205" s="52"/>
      <c r="I205" s="52"/>
      <c r="J205" s="49"/>
      <c r="K205" s="77">
        <v>0</v>
      </c>
      <c r="L205" s="78" t="s">
        <v>232</v>
      </c>
      <c r="M205" s="50">
        <v>0</v>
      </c>
      <c r="N205" s="49">
        <v>0.12690000000000001</v>
      </c>
      <c r="O205" s="77">
        <v>1.2690000000000002E-3</v>
      </c>
      <c r="P205" s="78"/>
      <c r="Q205" s="50"/>
      <c r="R205" s="50">
        <v>0</v>
      </c>
      <c r="S205" s="77">
        <v>0</v>
      </c>
      <c r="T205" s="33"/>
    </row>
    <row r="206" spans="1:20" ht="21" customHeight="1" x14ac:dyDescent="0.25">
      <c r="A206" s="74" t="s">
        <v>252</v>
      </c>
      <c r="B206" s="5" t="s">
        <v>143</v>
      </c>
      <c r="C206" s="81" t="s">
        <v>628</v>
      </c>
      <c r="D206" s="81">
        <v>989106389</v>
      </c>
      <c r="E206" s="71" t="s">
        <v>629</v>
      </c>
      <c r="F206" s="110"/>
      <c r="G206" s="72"/>
      <c r="H206" s="10"/>
      <c r="I206" s="10"/>
      <c r="J206" s="27"/>
      <c r="K206" s="73">
        <v>0</v>
      </c>
      <c r="L206" s="74"/>
      <c r="M206" s="8"/>
      <c r="N206" s="27">
        <v>0</v>
      </c>
      <c r="O206" s="73">
        <v>0</v>
      </c>
      <c r="P206" s="74" t="s">
        <v>252</v>
      </c>
      <c r="Q206" s="8">
        <v>0</v>
      </c>
      <c r="R206" s="8">
        <v>3.6749999999999998E-2</v>
      </c>
      <c r="S206" s="73">
        <v>3.6749999999999999E-4</v>
      </c>
      <c r="T206" s="33"/>
    </row>
    <row r="207" spans="1:20" ht="21" customHeight="1" x14ac:dyDescent="0.25">
      <c r="A207" s="74" t="s">
        <v>467</v>
      </c>
      <c r="B207" s="5" t="s">
        <v>144</v>
      </c>
      <c r="C207" s="81"/>
      <c r="D207" s="81"/>
      <c r="E207" s="71" t="s">
        <v>855</v>
      </c>
      <c r="F207" s="110"/>
      <c r="G207" s="72"/>
      <c r="H207" s="10"/>
      <c r="I207" s="10"/>
      <c r="J207" s="27"/>
      <c r="K207" s="73">
        <v>0</v>
      </c>
      <c r="L207" s="74"/>
      <c r="M207" s="8"/>
      <c r="N207" s="27">
        <v>0</v>
      </c>
      <c r="O207" s="73">
        <v>0</v>
      </c>
      <c r="P207" s="74" t="s">
        <v>467</v>
      </c>
      <c r="Q207" s="8">
        <v>0</v>
      </c>
      <c r="R207" s="8">
        <v>3.6749999999999998E-2</v>
      </c>
      <c r="S207" s="73">
        <v>3.6749999999999999E-4</v>
      </c>
      <c r="T207" s="33"/>
    </row>
    <row r="208" spans="1:20" s="116" customFormat="1" ht="21" customHeight="1" x14ac:dyDescent="0.25">
      <c r="A208" s="117" t="s">
        <v>199</v>
      </c>
      <c r="B208" s="118" t="s">
        <v>198</v>
      </c>
      <c r="C208" s="119"/>
      <c r="D208" s="119"/>
      <c r="E208" s="120" t="s">
        <v>873</v>
      </c>
      <c r="F208" s="121"/>
      <c r="G208" s="122"/>
      <c r="H208" s="123"/>
      <c r="I208" s="123"/>
      <c r="J208" s="124"/>
      <c r="K208" s="125">
        <v>0</v>
      </c>
      <c r="L208" s="117" t="s">
        <v>199</v>
      </c>
      <c r="M208" s="126">
        <v>0</v>
      </c>
      <c r="N208" s="124">
        <v>0.12690000000000001</v>
      </c>
      <c r="O208" s="125">
        <v>1.2690000000000002E-3</v>
      </c>
      <c r="P208" s="117"/>
      <c r="Q208" s="126"/>
      <c r="R208" s="126"/>
      <c r="S208" s="125"/>
      <c r="T208" s="33"/>
    </row>
    <row r="209" spans="1:20" s="116" customFormat="1" ht="21" customHeight="1" x14ac:dyDescent="0.25">
      <c r="A209" s="117" t="s">
        <v>200</v>
      </c>
      <c r="B209" s="118" t="s">
        <v>198</v>
      </c>
      <c r="C209" s="119"/>
      <c r="D209" s="119"/>
      <c r="E209" s="120" t="s">
        <v>873</v>
      </c>
      <c r="F209" s="121"/>
      <c r="G209" s="122"/>
      <c r="H209" s="123"/>
      <c r="I209" s="123"/>
      <c r="J209" s="124"/>
      <c r="K209" s="125">
        <v>0</v>
      </c>
      <c r="L209" s="117" t="s">
        <v>200</v>
      </c>
      <c r="M209" s="126">
        <v>0</v>
      </c>
      <c r="N209" s="124">
        <v>0.12690000000000001</v>
      </c>
      <c r="O209" s="125">
        <v>1.2690000000000002E-3</v>
      </c>
      <c r="P209" s="117"/>
      <c r="Q209" s="126"/>
      <c r="R209" s="126"/>
      <c r="S209" s="125"/>
      <c r="T209" s="33"/>
    </row>
    <row r="210" spans="1:20" s="116" customFormat="1" ht="21" customHeight="1" x14ac:dyDescent="0.25">
      <c r="A210" s="117" t="s">
        <v>201</v>
      </c>
      <c r="B210" s="118" t="s">
        <v>198</v>
      </c>
      <c r="C210" s="119"/>
      <c r="D210" s="119"/>
      <c r="E210" s="120" t="s">
        <v>873</v>
      </c>
      <c r="F210" s="121"/>
      <c r="G210" s="122"/>
      <c r="H210" s="123"/>
      <c r="I210" s="123"/>
      <c r="J210" s="124"/>
      <c r="K210" s="125">
        <v>0</v>
      </c>
      <c r="L210" s="117" t="s">
        <v>201</v>
      </c>
      <c r="M210" s="126">
        <v>0</v>
      </c>
      <c r="N210" s="124">
        <v>0.12690000000000001</v>
      </c>
      <c r="O210" s="125">
        <v>1.2690000000000002E-3</v>
      </c>
      <c r="P210" s="117"/>
      <c r="Q210" s="126"/>
      <c r="R210" s="126"/>
      <c r="S210" s="125"/>
      <c r="T210" s="33"/>
    </row>
    <row r="211" spans="1:20" s="116" customFormat="1" ht="21" customHeight="1" x14ac:dyDescent="0.25">
      <c r="A211" s="117" t="s">
        <v>202</v>
      </c>
      <c r="B211" s="118" t="s">
        <v>198</v>
      </c>
      <c r="C211" s="119"/>
      <c r="D211" s="119"/>
      <c r="E211" s="120" t="s">
        <v>873</v>
      </c>
      <c r="F211" s="121"/>
      <c r="G211" s="122"/>
      <c r="H211" s="123"/>
      <c r="I211" s="123"/>
      <c r="J211" s="124"/>
      <c r="K211" s="125">
        <v>0</v>
      </c>
      <c r="L211" s="117" t="s">
        <v>202</v>
      </c>
      <c r="M211" s="126">
        <v>0</v>
      </c>
      <c r="N211" s="124">
        <v>0.12690000000000001</v>
      </c>
      <c r="O211" s="125">
        <v>1.2690000000000002E-3</v>
      </c>
      <c r="P211" s="117"/>
      <c r="Q211" s="126"/>
      <c r="R211" s="126"/>
      <c r="S211" s="125"/>
      <c r="T211" s="33"/>
    </row>
    <row r="212" spans="1:20" s="116" customFormat="1" ht="21" customHeight="1" x14ac:dyDescent="0.25">
      <c r="A212" s="117" t="s">
        <v>203</v>
      </c>
      <c r="B212" s="118" t="s">
        <v>198</v>
      </c>
      <c r="C212" s="119"/>
      <c r="D212" s="119"/>
      <c r="E212" s="120" t="s">
        <v>873</v>
      </c>
      <c r="F212" s="121"/>
      <c r="G212" s="122"/>
      <c r="H212" s="123"/>
      <c r="I212" s="123"/>
      <c r="J212" s="124"/>
      <c r="K212" s="125">
        <v>0</v>
      </c>
      <c r="L212" s="117" t="s">
        <v>203</v>
      </c>
      <c r="M212" s="126">
        <v>0</v>
      </c>
      <c r="N212" s="124">
        <v>0.12690000000000001</v>
      </c>
      <c r="O212" s="125">
        <v>1.2690000000000002E-3</v>
      </c>
      <c r="P212" s="117"/>
      <c r="Q212" s="126"/>
      <c r="R212" s="126"/>
      <c r="S212" s="125"/>
      <c r="T212" s="33"/>
    </row>
    <row r="213" spans="1:20" s="116" customFormat="1" ht="21" customHeight="1" x14ac:dyDescent="0.25">
      <c r="A213" s="117" t="s">
        <v>204</v>
      </c>
      <c r="B213" s="118" t="s">
        <v>198</v>
      </c>
      <c r="C213" s="119"/>
      <c r="D213" s="119"/>
      <c r="E213" s="120" t="s">
        <v>873</v>
      </c>
      <c r="F213" s="121"/>
      <c r="G213" s="122"/>
      <c r="H213" s="123"/>
      <c r="I213" s="123"/>
      <c r="J213" s="124"/>
      <c r="K213" s="125">
        <v>0</v>
      </c>
      <c r="L213" s="117" t="s">
        <v>204</v>
      </c>
      <c r="M213" s="126">
        <v>0</v>
      </c>
      <c r="N213" s="124">
        <v>0.12690000000000001</v>
      </c>
      <c r="O213" s="125">
        <v>1.2690000000000002E-3</v>
      </c>
      <c r="P213" s="117"/>
      <c r="Q213" s="126"/>
      <c r="R213" s="126"/>
      <c r="S213" s="125"/>
      <c r="T213" s="33"/>
    </row>
    <row r="214" spans="1:20" s="116" customFormat="1" ht="21" customHeight="1" x14ac:dyDescent="0.25">
      <c r="A214" s="117" t="s">
        <v>206</v>
      </c>
      <c r="B214" s="118" t="s">
        <v>198</v>
      </c>
      <c r="C214" s="119"/>
      <c r="D214" s="119"/>
      <c r="E214" s="120" t="s">
        <v>873</v>
      </c>
      <c r="F214" s="121"/>
      <c r="G214" s="122"/>
      <c r="H214" s="123"/>
      <c r="I214" s="123"/>
      <c r="J214" s="124"/>
      <c r="K214" s="125">
        <v>0</v>
      </c>
      <c r="L214" s="117" t="s">
        <v>206</v>
      </c>
      <c r="M214" s="126">
        <v>0</v>
      </c>
      <c r="N214" s="124">
        <v>0.12690000000000001</v>
      </c>
      <c r="O214" s="125">
        <v>1.2690000000000002E-3</v>
      </c>
      <c r="P214" s="117"/>
      <c r="Q214" s="126"/>
      <c r="R214" s="126"/>
      <c r="S214" s="125"/>
      <c r="T214" s="33"/>
    </row>
    <row r="215" spans="1:20" ht="21" customHeight="1" thickBot="1" x14ac:dyDescent="0.3">
      <c r="A215" s="83" t="s">
        <v>626</v>
      </c>
      <c r="B215" s="84" t="s">
        <v>162</v>
      </c>
      <c r="C215" s="85"/>
      <c r="D215" s="85"/>
      <c r="E215" s="114"/>
      <c r="F215" s="115"/>
      <c r="G215" s="86"/>
      <c r="H215" s="87"/>
      <c r="I215" s="87"/>
      <c r="J215" s="88"/>
      <c r="K215" s="89">
        <v>0</v>
      </c>
      <c r="L215" s="83" t="s">
        <v>626</v>
      </c>
      <c r="M215" s="90">
        <v>0</v>
      </c>
      <c r="N215" s="88">
        <v>0.44306000000000001</v>
      </c>
      <c r="O215" s="89">
        <v>4.4305999999999998E-3</v>
      </c>
      <c r="P215" s="91"/>
      <c r="Q215" s="90"/>
      <c r="R215" s="90">
        <v>0</v>
      </c>
      <c r="S215" s="89">
        <v>0</v>
      </c>
      <c r="T215" s="33"/>
    </row>
    <row r="216" spans="1:20" s="1" customFormat="1" ht="21" customHeight="1" x14ac:dyDescent="0.25">
      <c r="A216" s="140" t="s">
        <v>604</v>
      </c>
      <c r="B216" s="140"/>
      <c r="C216" s="140"/>
      <c r="D216" s="140"/>
      <c r="E216" s="140"/>
      <c r="F216" s="140"/>
      <c r="G216" s="92">
        <f>+COUNT(G3:G215)</f>
        <v>194</v>
      </c>
      <c r="H216" s="93">
        <f>SUM(H3:H215)</f>
        <v>12767.370000000014</v>
      </c>
      <c r="I216" s="93">
        <f>SUM(I3:I215)</f>
        <v>12887.950000000015</v>
      </c>
      <c r="J216" s="94">
        <f>SUM(J3:J215)</f>
        <v>78.514490000000066</v>
      </c>
      <c r="K216" s="95">
        <f>SUM(K3:K215)</f>
        <v>0.78514490000000026</v>
      </c>
      <c r="L216" s="96"/>
      <c r="M216" s="93"/>
      <c r="N216" s="94">
        <f>SUM(N3:N215)</f>
        <v>20.493259999999943</v>
      </c>
      <c r="O216" s="95">
        <f>SUM(O3:O215)</f>
        <v>0.20493259999999999</v>
      </c>
      <c r="P216" s="96"/>
      <c r="Q216" s="96"/>
      <c r="R216" s="94">
        <f>SUM(R3:R215)</f>
        <v>0.99224999999999941</v>
      </c>
      <c r="S216" s="95">
        <f>SUM(S3:S215)</f>
        <v>9.9224999999999973E-3</v>
      </c>
      <c r="T216" s="45"/>
    </row>
    <row r="217" spans="1:20" ht="21" customHeight="1" x14ac:dyDescent="0.25">
      <c r="K217" s="40"/>
      <c r="N217" s="32"/>
      <c r="O217" s="40"/>
      <c r="S217" s="40"/>
      <c r="T217" s="46"/>
    </row>
    <row r="218" spans="1:20" ht="21" customHeight="1" x14ac:dyDescent="0.25">
      <c r="K218" s="41"/>
      <c r="O218" s="41"/>
      <c r="R218" s="1" t="s">
        <v>620</v>
      </c>
      <c r="S218" s="58">
        <f>+K216+O216+S216</f>
        <v>1.0000000000000002</v>
      </c>
    </row>
    <row r="219" spans="1:20" ht="21" customHeight="1" x14ac:dyDescent="0.25">
      <c r="S219" s="56"/>
    </row>
    <row r="220" spans="1:20" ht="21" customHeight="1" x14ac:dyDescent="0.25">
      <c r="S220" s="56"/>
    </row>
    <row r="221" spans="1:20" ht="21" customHeight="1" x14ac:dyDescent="0.25">
      <c r="S221" s="57"/>
    </row>
    <row r="222" spans="1:20" ht="21" customHeight="1" x14ac:dyDescent="0.25"/>
    <row r="223" spans="1:20" ht="21" customHeight="1" x14ac:dyDescent="0.25">
      <c r="S223" s="56"/>
    </row>
  </sheetData>
  <sortState xmlns:xlrd2="http://schemas.microsoft.com/office/spreadsheetml/2017/richdata2" ref="A4:N208">
    <sortCondition ref="B3:B208"/>
  </sortState>
  <mergeCells count="11">
    <mergeCell ref="A216:F216"/>
    <mergeCell ref="W1:Y1"/>
    <mergeCell ref="A1:A2"/>
    <mergeCell ref="B1:B2"/>
    <mergeCell ref="C1:C2"/>
    <mergeCell ref="D1:D2"/>
    <mergeCell ref="E1:E2"/>
    <mergeCell ref="F1:F2"/>
    <mergeCell ref="G1:K1"/>
    <mergeCell ref="L1:O1"/>
    <mergeCell ref="P1:S1"/>
  </mergeCells>
  <hyperlinks>
    <hyperlink ref="E10" r:id="rId1" xr:uid="{00000000-0004-0000-0000-000000000000}"/>
    <hyperlink ref="E200" r:id="rId2" xr:uid="{00000000-0004-0000-0000-000001000000}"/>
    <hyperlink ref="E187" r:id="rId3" xr:uid="{00000000-0004-0000-0000-000002000000}"/>
    <hyperlink ref="E139" r:id="rId4" xr:uid="{00000000-0004-0000-0000-000003000000}"/>
  </hyperlinks>
  <printOptions horizontalCentered="1"/>
  <pageMargins left="0.23622047244094491" right="0.23622047244094491" top="0" bottom="0.74803149606299213" header="0" footer="0"/>
  <pageSetup paperSize="9" scale="95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687C-FF17-4740-881E-74D228F02C54}">
  <dimension ref="A1:H10"/>
  <sheetViews>
    <sheetView workbookViewId="0">
      <selection activeCell="J7" sqref="J7"/>
    </sheetView>
  </sheetViews>
  <sheetFormatPr baseColWidth="10" defaultRowHeight="15" x14ac:dyDescent="0.25"/>
  <cols>
    <col min="4" max="4" width="13.42578125" customWidth="1"/>
    <col min="5" max="5" width="14.140625" customWidth="1"/>
    <col min="6" max="6" width="13.28515625" customWidth="1"/>
  </cols>
  <sheetData>
    <row r="1" spans="1:8" x14ac:dyDescent="0.25">
      <c r="A1" s="128">
        <v>60116</v>
      </c>
    </row>
    <row r="3" spans="1:8" x14ac:dyDescent="0.25">
      <c r="A3" s="76">
        <v>407</v>
      </c>
      <c r="B3" s="52">
        <v>66.45</v>
      </c>
      <c r="C3" s="49">
        <v>0.44973999999999997</v>
      </c>
      <c r="D3" s="77">
        <v>4.4973999999999995E-3</v>
      </c>
      <c r="E3" s="136">
        <f>D3*A1</f>
        <v>270.36569839999999</v>
      </c>
    </row>
    <row r="4" spans="1:8" x14ac:dyDescent="0.25">
      <c r="A4" s="78" t="s">
        <v>241</v>
      </c>
      <c r="B4" s="50">
        <v>0</v>
      </c>
      <c r="C4" s="49">
        <v>0.12690000000000001</v>
      </c>
      <c r="D4" s="77">
        <v>1.2690000000000002E-3</v>
      </c>
      <c r="E4" s="137">
        <f>A1*D4</f>
        <v>76.287204000000003</v>
      </c>
    </row>
    <row r="5" spans="1:8" x14ac:dyDescent="0.25">
      <c r="A5" s="33"/>
      <c r="B5" s="33"/>
      <c r="C5" s="131"/>
      <c r="D5" s="44"/>
    </row>
    <row r="6" spans="1:8" x14ac:dyDescent="0.25">
      <c r="A6" s="33"/>
      <c r="B6" s="33"/>
      <c r="C6" s="131"/>
      <c r="D6" s="138" t="s">
        <v>885</v>
      </c>
      <c r="E6" s="139">
        <f>SUM(E3:E4)</f>
        <v>346.65290240000002</v>
      </c>
    </row>
    <row r="7" spans="1:8" x14ac:dyDescent="0.25">
      <c r="A7" s="33"/>
      <c r="B7" s="33"/>
      <c r="C7" s="131"/>
      <c r="D7" s="44"/>
    </row>
    <row r="8" spans="1:8" x14ac:dyDescent="0.25">
      <c r="B8" s="132" t="s">
        <v>883</v>
      </c>
      <c r="C8" s="132" t="s">
        <v>882</v>
      </c>
      <c r="D8" s="127" t="s">
        <v>884</v>
      </c>
      <c r="E8" s="129" t="s">
        <v>878</v>
      </c>
      <c r="F8" s="129" t="s">
        <v>879</v>
      </c>
      <c r="G8" s="129" t="s">
        <v>880</v>
      </c>
      <c r="H8" s="129" t="s">
        <v>881</v>
      </c>
    </row>
    <row r="9" spans="1:8" x14ac:dyDescent="0.25">
      <c r="A9" s="127" t="s">
        <v>876</v>
      </c>
      <c r="B9" s="127">
        <v>6964.9</v>
      </c>
      <c r="C9">
        <v>1601</v>
      </c>
      <c r="D9" s="133">
        <f>B9/C9</f>
        <v>4.3503435352904436</v>
      </c>
      <c r="E9" s="130">
        <v>410.14</v>
      </c>
      <c r="F9" s="130">
        <v>419.46199999999999</v>
      </c>
      <c r="G9">
        <f>F9-E9</f>
        <v>9.3220000000000027</v>
      </c>
      <c r="H9" s="23">
        <f>G9*D9</f>
        <v>40.553902435977527</v>
      </c>
    </row>
    <row r="10" spans="1:8" x14ac:dyDescent="0.25">
      <c r="A10" s="127" t="s">
        <v>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8"/>
  <sheetViews>
    <sheetView workbookViewId="0">
      <selection activeCell="F2" sqref="F2:F195"/>
    </sheetView>
  </sheetViews>
  <sheetFormatPr baseColWidth="10" defaultColWidth="11.42578125" defaultRowHeight="15" x14ac:dyDescent="0.25"/>
  <cols>
    <col min="1" max="1" width="11.42578125" style="23"/>
    <col min="2" max="2" width="45.5703125" customWidth="1"/>
    <col min="3" max="3" width="16" style="23" bestFit="1" customWidth="1"/>
    <col min="4" max="5" width="11.42578125" style="24"/>
    <col min="6" max="6" width="18.42578125" style="26" customWidth="1"/>
    <col min="7" max="7" width="15.85546875" bestFit="1" customWidth="1"/>
    <col min="8" max="8" width="11.42578125" style="24"/>
  </cols>
  <sheetData>
    <row r="1" spans="1:9" ht="30" x14ac:dyDescent="0.25">
      <c r="A1" s="11" t="s">
        <v>155</v>
      </c>
      <c r="B1" s="12" t="s">
        <v>156</v>
      </c>
      <c r="C1" s="11" t="s">
        <v>157</v>
      </c>
      <c r="D1" s="13" t="s">
        <v>2</v>
      </c>
      <c r="E1" s="13" t="s">
        <v>3</v>
      </c>
      <c r="F1" s="14" t="s">
        <v>4</v>
      </c>
      <c r="G1" s="13" t="s">
        <v>158</v>
      </c>
      <c r="H1" s="13" t="s">
        <v>159</v>
      </c>
      <c r="I1" s="13" t="s">
        <v>160</v>
      </c>
    </row>
    <row r="2" spans="1:9" x14ac:dyDescent="0.25">
      <c r="A2" s="15" t="s">
        <v>188</v>
      </c>
      <c r="B2" s="16" t="s">
        <v>189</v>
      </c>
      <c r="C2" s="28">
        <v>101</v>
      </c>
      <c r="D2" s="17">
        <v>138.55000000000001</v>
      </c>
      <c r="E2" s="17">
        <v>158.86000000000001</v>
      </c>
      <c r="F2" s="18">
        <v>6.2785000000000002E-3</v>
      </c>
      <c r="G2" s="19">
        <f>ROUND([1]pres!$C$2*[1]calculo!F23,2)</f>
        <v>377.44</v>
      </c>
      <c r="H2" s="17">
        <f>IFERROR(VLOOKUP(C2,#REF!,33,0),0)</f>
        <v>0</v>
      </c>
      <c r="I2" s="19">
        <f t="shared" ref="I2:I33" si="0">SUM(G2:H2)</f>
        <v>377.44</v>
      </c>
    </row>
    <row r="3" spans="1:9" x14ac:dyDescent="0.25">
      <c r="A3" s="15" t="s">
        <v>407</v>
      </c>
      <c r="B3" s="16" t="s">
        <v>6</v>
      </c>
      <c r="C3" s="28">
        <v>102</v>
      </c>
      <c r="D3" s="17">
        <v>64.900000000000006</v>
      </c>
      <c r="E3" s="17">
        <v>64.900000000000006</v>
      </c>
      <c r="F3" s="18">
        <v>4.4973999999999995E-3</v>
      </c>
      <c r="G3" s="19">
        <f>ROUND([1]pres!$C$2*[1]calculo!F211,2)</f>
        <v>270.37</v>
      </c>
      <c r="H3" s="17">
        <f>IFERROR(VLOOKUP(C3,#REF!,33,0),0)</f>
        <v>0</v>
      </c>
      <c r="I3" s="19">
        <f t="shared" si="0"/>
        <v>270.37</v>
      </c>
    </row>
    <row r="4" spans="1:9" x14ac:dyDescent="0.25">
      <c r="A4" s="15" t="s">
        <v>549</v>
      </c>
      <c r="B4" s="16" t="s">
        <v>7</v>
      </c>
      <c r="C4" s="28">
        <v>103</v>
      </c>
      <c r="D4" s="17">
        <v>43.35</v>
      </c>
      <c r="E4" s="17">
        <v>43.35</v>
      </c>
      <c r="F4" s="18">
        <v>2.6939000000000004E-3</v>
      </c>
      <c r="G4" s="19">
        <f>ROUND([1]pres!$C$2*[1]calculo!F333,2)</f>
        <v>161.94999999999999</v>
      </c>
      <c r="H4" s="17">
        <f>IFERROR(VLOOKUP(C4,#REF!,33,0),0)</f>
        <v>0</v>
      </c>
      <c r="I4" s="19">
        <f t="shared" si="0"/>
        <v>161.94999999999999</v>
      </c>
    </row>
    <row r="5" spans="1:9" x14ac:dyDescent="0.25">
      <c r="A5" s="15" t="s">
        <v>255</v>
      </c>
      <c r="B5" s="16" t="s">
        <v>8</v>
      </c>
      <c r="C5" s="28">
        <v>104</v>
      </c>
      <c r="D5" s="17">
        <v>85.5</v>
      </c>
      <c r="E5" s="17">
        <v>85.5</v>
      </c>
      <c r="F5" s="18">
        <v>4.4973999999999995E-3</v>
      </c>
      <c r="G5" s="19">
        <f>ROUND([1]pres!$C$2*[1]calculo!F82,2)</f>
        <v>270.37</v>
      </c>
      <c r="H5" s="17">
        <f>IFERROR(VLOOKUP(C5,#REF!,33,0),0)</f>
        <v>0</v>
      </c>
      <c r="I5" s="19">
        <f t="shared" si="0"/>
        <v>270.37</v>
      </c>
    </row>
    <row r="6" spans="1:9" x14ac:dyDescent="0.25">
      <c r="A6" s="15" t="s">
        <v>259</v>
      </c>
      <c r="B6" s="16" t="s">
        <v>9</v>
      </c>
      <c r="C6" s="28">
        <v>105</v>
      </c>
      <c r="D6" s="17">
        <v>127.96</v>
      </c>
      <c r="E6" s="17">
        <v>185.73</v>
      </c>
      <c r="F6" s="18">
        <v>6.2785000000000002E-3</v>
      </c>
      <c r="G6" s="19">
        <f>ROUND([1]pres!$C$2*[1]calculo!F86,2)</f>
        <v>377.44</v>
      </c>
      <c r="H6" s="17">
        <f>IFERROR(VLOOKUP(C6,#REF!,33,0),0)</f>
        <v>0</v>
      </c>
      <c r="I6" s="19">
        <f t="shared" si="0"/>
        <v>377.44</v>
      </c>
    </row>
    <row r="7" spans="1:9" x14ac:dyDescent="0.25">
      <c r="A7" s="15" t="s">
        <v>591</v>
      </c>
      <c r="B7" s="16" t="s">
        <v>10</v>
      </c>
      <c r="C7" s="28">
        <v>106</v>
      </c>
      <c r="D7" s="17">
        <v>128.6</v>
      </c>
      <c r="E7" s="17">
        <v>171.1</v>
      </c>
      <c r="F7" s="18">
        <v>6.2785000000000002E-3</v>
      </c>
      <c r="G7" s="19">
        <f>ROUND([1]pres!$C$2*[1]calculo!F373,2)</f>
        <v>377.44</v>
      </c>
      <c r="H7" s="17">
        <f>IFERROR(VLOOKUP(C7,#REF!,33,0),0)</f>
        <v>0</v>
      </c>
      <c r="I7" s="19">
        <f t="shared" si="0"/>
        <v>377.44</v>
      </c>
    </row>
    <row r="8" spans="1:9" x14ac:dyDescent="0.25">
      <c r="A8" s="15" t="s">
        <v>536</v>
      </c>
      <c r="B8" s="16" t="s">
        <v>11</v>
      </c>
      <c r="C8" s="28">
        <v>107</v>
      </c>
      <c r="D8" s="17">
        <v>40</v>
      </c>
      <c r="E8" s="17">
        <v>40</v>
      </c>
      <c r="F8" s="18">
        <v>2.6939000000000004E-3</v>
      </c>
      <c r="G8" s="19">
        <f>ROUND([1]pres!$C$2*[1]calculo!F320,2)</f>
        <v>161.94999999999999</v>
      </c>
      <c r="H8" s="17">
        <f>IFERROR(VLOOKUP(C8,#REF!,33,0),0)</f>
        <v>0</v>
      </c>
      <c r="I8" s="19">
        <f t="shared" si="0"/>
        <v>161.94999999999999</v>
      </c>
    </row>
    <row r="9" spans="1:9" x14ac:dyDescent="0.25">
      <c r="A9" s="15" t="s">
        <v>472</v>
      </c>
      <c r="B9" s="16" t="s">
        <v>473</v>
      </c>
      <c r="C9" s="28">
        <v>201</v>
      </c>
      <c r="D9" s="17">
        <v>67.400000000000006</v>
      </c>
      <c r="E9" s="17">
        <v>67.400000000000006</v>
      </c>
      <c r="F9" s="18">
        <v>4.4973999999999995E-3</v>
      </c>
      <c r="G9" s="19">
        <f>ROUND([1]pres!$C$2*[1]calculo!F269,2)</f>
        <v>270.37</v>
      </c>
      <c r="H9" s="17">
        <f>IFERROR(VLOOKUP(C9,#REF!,33,0),0)</f>
        <v>0</v>
      </c>
      <c r="I9" s="19">
        <f t="shared" si="0"/>
        <v>270.37</v>
      </c>
    </row>
    <row r="10" spans="1:9" x14ac:dyDescent="0.25">
      <c r="A10" s="15" t="s">
        <v>249</v>
      </c>
      <c r="B10" s="16" t="s">
        <v>12</v>
      </c>
      <c r="C10" s="28">
        <v>202</v>
      </c>
      <c r="D10" s="17">
        <v>68</v>
      </c>
      <c r="E10" s="17">
        <v>68</v>
      </c>
      <c r="F10" s="18">
        <v>4.4973999999999995E-3</v>
      </c>
      <c r="G10" s="19">
        <f>ROUND([1]pres!$C$2*[1]calculo!F77,2)</f>
        <v>270.37</v>
      </c>
      <c r="H10" s="17">
        <f>IFERROR(VLOOKUP(C10,#REF!,33,0),0)</f>
        <v>0</v>
      </c>
      <c r="I10" s="19">
        <f t="shared" si="0"/>
        <v>270.37</v>
      </c>
    </row>
    <row r="11" spans="1:9" x14ac:dyDescent="0.25">
      <c r="A11" s="15" t="s">
        <v>559</v>
      </c>
      <c r="B11" s="16" t="s">
        <v>13</v>
      </c>
      <c r="C11" s="28">
        <v>203</v>
      </c>
      <c r="D11" s="17">
        <v>76.150000000000006</v>
      </c>
      <c r="E11" s="17">
        <v>76.150000000000006</v>
      </c>
      <c r="F11" s="18">
        <v>4.4973999999999995E-3</v>
      </c>
      <c r="G11" s="19">
        <f>ROUND([1]pres!$C$2*[1]calculo!F342,2)</f>
        <v>270.37</v>
      </c>
      <c r="H11" s="17">
        <f>IFERROR(VLOOKUP(C11,#REF!,33,0),0)</f>
        <v>0</v>
      </c>
      <c r="I11" s="19">
        <f t="shared" si="0"/>
        <v>270.37</v>
      </c>
    </row>
    <row r="12" spans="1:9" x14ac:dyDescent="0.25">
      <c r="A12" s="15" t="s">
        <v>479</v>
      </c>
      <c r="B12" s="16" t="s">
        <v>480</v>
      </c>
      <c r="C12" s="28">
        <v>204</v>
      </c>
      <c r="D12" s="17">
        <v>43.35</v>
      </c>
      <c r="E12" s="17">
        <v>43.35</v>
      </c>
      <c r="F12" s="18">
        <v>2.6939000000000004E-3</v>
      </c>
      <c r="G12" s="19">
        <f>ROUND([1]pres!$C$2*[1]calculo!F275,2)</f>
        <v>161.94999999999999</v>
      </c>
      <c r="H12" s="17">
        <f>IFERROR(VLOOKUP(C12,#REF!,33,0),0)</f>
        <v>0</v>
      </c>
      <c r="I12" s="19">
        <f t="shared" si="0"/>
        <v>161.94999999999999</v>
      </c>
    </row>
    <row r="13" spans="1:9" x14ac:dyDescent="0.25">
      <c r="A13" s="15" t="s">
        <v>264</v>
      </c>
      <c r="B13" s="16" t="s">
        <v>265</v>
      </c>
      <c r="C13" s="28">
        <v>205</v>
      </c>
      <c r="D13" s="17">
        <v>66.45</v>
      </c>
      <c r="E13" s="17">
        <v>66.45</v>
      </c>
      <c r="F13" s="18">
        <v>4.4973999999999995E-3</v>
      </c>
      <c r="G13" s="19">
        <f>ROUND([1]pres!$C$2*[1]calculo!F92,2)</f>
        <v>270.37</v>
      </c>
      <c r="H13" s="17">
        <f>IFERROR(VLOOKUP(C13,#REF!,33,0),0)</f>
        <v>0</v>
      </c>
      <c r="I13" s="19">
        <f t="shared" si="0"/>
        <v>270.37</v>
      </c>
    </row>
    <row r="14" spans="1:9" x14ac:dyDescent="0.25">
      <c r="A14" s="15" t="s">
        <v>497</v>
      </c>
      <c r="B14" s="16" t="s">
        <v>23</v>
      </c>
      <c r="C14" s="28">
        <v>206</v>
      </c>
      <c r="D14" s="17">
        <v>33.200000000000003</v>
      </c>
      <c r="E14" s="17">
        <v>33.200000000000003</v>
      </c>
      <c r="F14" s="18">
        <v>2.6939000000000004E-3</v>
      </c>
      <c r="G14" s="19">
        <f>ROUND([1]pres!$C$2*[1]calculo!F290,2)</f>
        <v>161.94999999999999</v>
      </c>
      <c r="H14" s="17">
        <f>IFERROR(VLOOKUP(C14,#REF!,33,0),0)</f>
        <v>0</v>
      </c>
      <c r="I14" s="19">
        <f t="shared" si="0"/>
        <v>161.94999999999999</v>
      </c>
    </row>
    <row r="15" spans="1:9" x14ac:dyDescent="0.25">
      <c r="A15" s="15" t="s">
        <v>475</v>
      </c>
      <c r="B15" s="16" t="s">
        <v>14</v>
      </c>
      <c r="C15" s="28">
        <v>207</v>
      </c>
      <c r="D15" s="17">
        <v>44.45</v>
      </c>
      <c r="E15" s="17">
        <v>44.45</v>
      </c>
      <c r="F15" s="18">
        <v>2.6939000000000004E-3</v>
      </c>
      <c r="G15" s="19">
        <f>ROUND([1]pres!$C$2*[1]calculo!F271,2)</f>
        <v>161.94999999999999</v>
      </c>
      <c r="H15" s="17">
        <f>IFERROR(VLOOKUP(C15,#REF!,33,0),0)</f>
        <v>0</v>
      </c>
      <c r="I15" s="19">
        <f t="shared" si="0"/>
        <v>161.94999999999999</v>
      </c>
    </row>
    <row r="16" spans="1:9" x14ac:dyDescent="0.25">
      <c r="A16" s="15" t="s">
        <v>421</v>
      </c>
      <c r="B16" s="16" t="s">
        <v>422</v>
      </c>
      <c r="C16" s="28">
        <v>208</v>
      </c>
      <c r="D16" s="17">
        <v>81</v>
      </c>
      <c r="E16" s="17">
        <v>81</v>
      </c>
      <c r="F16" s="18">
        <v>4.4973999999999995E-3</v>
      </c>
      <c r="G16" s="19">
        <f>ROUND([1]pres!$C$2*[1]calculo!F224,2)</f>
        <v>270.37</v>
      </c>
      <c r="H16" s="17">
        <f>IFERROR(VLOOKUP(C16,#REF!,33,0),0)</f>
        <v>0</v>
      </c>
      <c r="I16" s="19">
        <f t="shared" si="0"/>
        <v>270.37</v>
      </c>
    </row>
    <row r="17" spans="1:9" x14ac:dyDescent="0.25">
      <c r="A17" s="15" t="s">
        <v>324</v>
      </c>
      <c r="B17" s="16" t="s">
        <v>15</v>
      </c>
      <c r="C17" s="28">
        <v>209</v>
      </c>
      <c r="D17" s="17">
        <v>33</v>
      </c>
      <c r="E17" s="17">
        <v>33</v>
      </c>
      <c r="F17" s="18">
        <v>2.6939000000000004E-3</v>
      </c>
      <c r="G17" s="19">
        <f>ROUND([1]pres!$C$2*[1]calculo!F141,2)</f>
        <v>161.94999999999999</v>
      </c>
      <c r="H17" s="17">
        <f>IFERROR(VLOOKUP(C17,#REF!,33,0),0)</f>
        <v>0</v>
      </c>
      <c r="I17" s="19">
        <f t="shared" si="0"/>
        <v>161.94999999999999</v>
      </c>
    </row>
    <row r="18" spans="1:9" x14ac:dyDescent="0.25">
      <c r="A18" s="15" t="s">
        <v>444</v>
      </c>
      <c r="B18" s="16" t="s">
        <v>16</v>
      </c>
      <c r="C18" s="28">
        <v>210</v>
      </c>
      <c r="D18" s="17">
        <v>74.599999999999994</v>
      </c>
      <c r="E18" s="17">
        <v>74.599999999999994</v>
      </c>
      <c r="F18" s="18">
        <v>4.4973999999999995E-3</v>
      </c>
      <c r="G18" s="19">
        <f>ROUND([1]pres!$C$2*[1]calculo!F245,2)</f>
        <v>270.37</v>
      </c>
      <c r="H18" s="17">
        <f>IFERROR(VLOOKUP(C18,#REF!,33,0),0)</f>
        <v>0</v>
      </c>
      <c r="I18" s="19">
        <f t="shared" si="0"/>
        <v>270.37</v>
      </c>
    </row>
    <row r="19" spans="1:9" x14ac:dyDescent="0.25">
      <c r="A19" s="15" t="s">
        <v>568</v>
      </c>
      <c r="B19" s="16" t="s">
        <v>17</v>
      </c>
      <c r="C19" s="28">
        <v>301</v>
      </c>
      <c r="D19" s="17">
        <v>92.5</v>
      </c>
      <c r="E19" s="17">
        <v>92.5</v>
      </c>
      <c r="F19" s="18">
        <v>5.6772999999999997E-3</v>
      </c>
      <c r="G19" s="19">
        <f>ROUND([1]pres!$C$2*[1]calculo!F351,2)</f>
        <v>341.3</v>
      </c>
      <c r="H19" s="17">
        <f>IFERROR(VLOOKUP(C19,#REF!,33,0),0)</f>
        <v>0</v>
      </c>
      <c r="I19" s="19">
        <f t="shared" si="0"/>
        <v>341.3</v>
      </c>
    </row>
    <row r="20" spans="1:9" x14ac:dyDescent="0.25">
      <c r="A20" s="15" t="s">
        <v>320</v>
      </c>
      <c r="B20" s="16" t="s">
        <v>18</v>
      </c>
      <c r="C20" s="28">
        <v>302</v>
      </c>
      <c r="D20" s="17">
        <v>77.05</v>
      </c>
      <c r="E20" s="17">
        <v>77.05</v>
      </c>
      <c r="F20" s="18">
        <v>4.4973999999999995E-3</v>
      </c>
      <c r="G20" s="19">
        <f>ROUND([1]pres!$C$2*[1]calculo!F138,2)</f>
        <v>270.37</v>
      </c>
      <c r="H20" s="17">
        <f>IFERROR(VLOOKUP(C20,#REF!,33,0),0)</f>
        <v>0</v>
      </c>
      <c r="I20" s="19">
        <f t="shared" si="0"/>
        <v>270.37</v>
      </c>
    </row>
    <row r="21" spans="1:9" x14ac:dyDescent="0.25">
      <c r="A21" s="15" t="s">
        <v>581</v>
      </c>
      <c r="B21" s="16" t="s">
        <v>19</v>
      </c>
      <c r="C21" s="28">
        <v>303</v>
      </c>
      <c r="D21" s="17">
        <v>68</v>
      </c>
      <c r="E21" s="17">
        <v>68</v>
      </c>
      <c r="F21" s="18">
        <v>4.4973999999999995E-3</v>
      </c>
      <c r="G21" s="19">
        <f>ROUND([1]pres!$C$2*[1]calculo!F363,2)</f>
        <v>270.37</v>
      </c>
      <c r="H21" s="17">
        <f>IFERROR(VLOOKUP(C21,#REF!,33,0),0)</f>
        <v>0</v>
      </c>
      <c r="I21" s="19">
        <f t="shared" si="0"/>
        <v>270.37</v>
      </c>
    </row>
    <row r="22" spans="1:9" x14ac:dyDescent="0.25">
      <c r="A22" s="15" t="s">
        <v>270</v>
      </c>
      <c r="B22" s="16" t="s">
        <v>20</v>
      </c>
      <c r="C22" s="28">
        <v>304</v>
      </c>
      <c r="D22" s="17">
        <v>76.150000000000006</v>
      </c>
      <c r="E22" s="17">
        <v>76.150000000000006</v>
      </c>
      <c r="F22" s="18">
        <v>4.4973999999999995E-3</v>
      </c>
      <c r="G22" s="19">
        <f>ROUND([1]pres!$C$2*[1]calculo!F96,2)</f>
        <v>270.37</v>
      </c>
      <c r="H22" s="17">
        <f>IFERROR(VLOOKUP(C22,#REF!,33,0),0)</f>
        <v>0</v>
      </c>
      <c r="I22" s="19">
        <f t="shared" si="0"/>
        <v>270.37</v>
      </c>
    </row>
    <row r="23" spans="1:9" x14ac:dyDescent="0.25">
      <c r="A23" s="15" t="s">
        <v>259</v>
      </c>
      <c r="B23" s="16" t="s">
        <v>9</v>
      </c>
      <c r="C23" s="28">
        <v>305</v>
      </c>
      <c r="D23" s="17">
        <v>78.95</v>
      </c>
      <c r="E23" s="17">
        <v>78.95</v>
      </c>
      <c r="F23" s="18">
        <v>4.4973999999999995E-3</v>
      </c>
      <c r="G23" s="19">
        <f>ROUND([1]pres!$C$2*[1]calculo!F87,2)</f>
        <v>270.37</v>
      </c>
      <c r="H23" s="17">
        <f>IFERROR(VLOOKUP(C23,#REF!,33,0),0)</f>
        <v>0</v>
      </c>
      <c r="I23" s="19">
        <f t="shared" si="0"/>
        <v>270.37</v>
      </c>
    </row>
    <row r="24" spans="1:9" x14ac:dyDescent="0.25">
      <c r="A24" s="15" t="s">
        <v>453</v>
      </c>
      <c r="B24" s="16" t="s">
        <v>21</v>
      </c>
      <c r="C24" s="28">
        <v>306</v>
      </c>
      <c r="D24" s="17">
        <v>43.35</v>
      </c>
      <c r="E24" s="17">
        <v>43.35</v>
      </c>
      <c r="F24" s="18">
        <v>2.6939000000000004E-3</v>
      </c>
      <c r="G24" s="19">
        <f>ROUND([1]pres!$C$2*[1]calculo!F253,2)</f>
        <v>161.94999999999999</v>
      </c>
      <c r="H24" s="17">
        <f>IFERROR(VLOOKUP(C24,#REF!,33,0),0)</f>
        <v>0</v>
      </c>
      <c r="I24" s="19">
        <f t="shared" si="0"/>
        <v>161.94999999999999</v>
      </c>
    </row>
    <row r="25" spans="1:9" x14ac:dyDescent="0.25">
      <c r="A25" s="15" t="s">
        <v>317</v>
      </c>
      <c r="B25" s="16" t="s">
        <v>22</v>
      </c>
      <c r="C25" s="28">
        <v>307</v>
      </c>
      <c r="D25" s="17">
        <v>66.45</v>
      </c>
      <c r="E25" s="17">
        <v>66.45</v>
      </c>
      <c r="F25" s="18">
        <v>4.4973999999999995E-3</v>
      </c>
      <c r="G25" s="19">
        <f>ROUND([1]pres!$C$2*[1]calculo!F135,2)</f>
        <v>270.37</v>
      </c>
      <c r="H25" s="17">
        <f>IFERROR(VLOOKUP(C25,#REF!,33,0),0)</f>
        <v>0</v>
      </c>
      <c r="I25" s="19">
        <f t="shared" si="0"/>
        <v>270.37</v>
      </c>
    </row>
    <row r="26" spans="1:9" x14ac:dyDescent="0.25">
      <c r="A26" s="15" t="s">
        <v>497</v>
      </c>
      <c r="B26" s="16" t="s">
        <v>23</v>
      </c>
      <c r="C26" s="28">
        <v>308</v>
      </c>
      <c r="D26" s="17">
        <v>33.200000000000003</v>
      </c>
      <c r="E26" s="17">
        <v>33.200000000000003</v>
      </c>
      <c r="F26" s="18">
        <v>2.6939000000000004E-3</v>
      </c>
      <c r="G26" s="19">
        <f>ROUND([1]pres!$C$2*[1]calculo!F291,2)</f>
        <v>161.94999999999999</v>
      </c>
      <c r="H26" s="17">
        <f>IFERROR(VLOOKUP(C26,#REF!,33,0),0)</f>
        <v>0</v>
      </c>
      <c r="I26" s="19">
        <f t="shared" si="0"/>
        <v>161.94999999999999</v>
      </c>
    </row>
    <row r="27" spans="1:9" x14ac:dyDescent="0.25">
      <c r="A27" s="15" t="s">
        <v>529</v>
      </c>
      <c r="B27" s="16" t="s">
        <v>530</v>
      </c>
      <c r="C27" s="28">
        <v>309</v>
      </c>
      <c r="D27" s="17">
        <v>44.45</v>
      </c>
      <c r="E27" s="17">
        <v>44.45</v>
      </c>
      <c r="F27" s="18">
        <v>2.6939000000000004E-3</v>
      </c>
      <c r="G27" s="19">
        <f>ROUND([1]pres!$C$2*[1]calculo!F316,2)</f>
        <v>161.94999999999999</v>
      </c>
      <c r="H27" s="17">
        <f>IFERROR(VLOOKUP(C27,#REF!,33,0),0)</f>
        <v>0</v>
      </c>
      <c r="I27" s="19">
        <f t="shared" si="0"/>
        <v>161.94999999999999</v>
      </c>
    </row>
    <row r="28" spans="1:9" x14ac:dyDescent="0.25">
      <c r="A28" s="15" t="s">
        <v>344</v>
      </c>
      <c r="B28" s="16" t="s">
        <v>24</v>
      </c>
      <c r="C28" s="28">
        <v>310</v>
      </c>
      <c r="D28" s="17">
        <v>81</v>
      </c>
      <c r="E28" s="17">
        <v>81</v>
      </c>
      <c r="F28" s="18">
        <v>4.4973999999999995E-3</v>
      </c>
      <c r="G28" s="19">
        <f>ROUND([1]pres!$C$2*[1]calculo!F158,2)</f>
        <v>270.37</v>
      </c>
      <c r="H28" s="17">
        <f>IFERROR(VLOOKUP(C28,#REF!,33,0),0)</f>
        <v>0</v>
      </c>
      <c r="I28" s="19">
        <f t="shared" si="0"/>
        <v>270.37</v>
      </c>
    </row>
    <row r="29" spans="1:9" x14ac:dyDescent="0.25">
      <c r="A29" s="15" t="s">
        <v>510</v>
      </c>
      <c r="B29" s="16" t="s">
        <v>511</v>
      </c>
      <c r="C29" s="28">
        <v>311</v>
      </c>
      <c r="D29" s="17">
        <v>33</v>
      </c>
      <c r="E29" s="17">
        <v>33</v>
      </c>
      <c r="F29" s="18">
        <v>2.6939000000000004E-3</v>
      </c>
      <c r="G29" s="19">
        <f>ROUND([1]pres!$C$2*[1]calculo!F300,2)</f>
        <v>161.94999999999999</v>
      </c>
      <c r="H29" s="17">
        <f>IFERROR(VLOOKUP(C29,#REF!,33,0),0)</f>
        <v>0</v>
      </c>
      <c r="I29" s="19">
        <f t="shared" si="0"/>
        <v>161.94999999999999</v>
      </c>
    </row>
    <row r="30" spans="1:9" x14ac:dyDescent="0.25">
      <c r="A30" s="15" t="s">
        <v>311</v>
      </c>
      <c r="B30" s="16" t="s">
        <v>312</v>
      </c>
      <c r="C30" s="28">
        <v>312</v>
      </c>
      <c r="D30" s="17">
        <v>74.599999999999994</v>
      </c>
      <c r="E30" s="17">
        <v>74.599999999999994</v>
      </c>
      <c r="F30" s="18">
        <v>4.4973999999999995E-3</v>
      </c>
      <c r="G30" s="19">
        <f>ROUND([1]pres!$C$2*[1]calculo!F131,2)</f>
        <v>270.37</v>
      </c>
      <c r="H30" s="17">
        <f>IFERROR(VLOOKUP(C30,#REF!,33,0),0)</f>
        <v>0</v>
      </c>
      <c r="I30" s="19">
        <f t="shared" si="0"/>
        <v>270.37</v>
      </c>
    </row>
    <row r="31" spans="1:9" x14ac:dyDescent="0.25">
      <c r="A31" s="15" t="s">
        <v>431</v>
      </c>
      <c r="B31" s="16" t="s">
        <v>25</v>
      </c>
      <c r="C31" s="28">
        <v>401</v>
      </c>
      <c r="D31" s="17">
        <v>92.5</v>
      </c>
      <c r="E31" s="17">
        <v>92.5</v>
      </c>
      <c r="F31" s="18">
        <v>5.6772999999999997E-3</v>
      </c>
      <c r="G31" s="19">
        <f>ROUND([1]pres!$C$2*[1]calculo!F232,2)</f>
        <v>341.3</v>
      </c>
      <c r="H31" s="17">
        <f>IFERROR(VLOOKUP(C31,#REF!,33,0),0)</f>
        <v>0</v>
      </c>
      <c r="I31" s="19">
        <f t="shared" si="0"/>
        <v>341.3</v>
      </c>
    </row>
    <row r="32" spans="1:9" x14ac:dyDescent="0.25">
      <c r="A32" s="15" t="s">
        <v>518</v>
      </c>
      <c r="B32" s="16" t="s">
        <v>26</v>
      </c>
      <c r="C32" s="28">
        <v>402</v>
      </c>
      <c r="D32" s="17">
        <v>77.05</v>
      </c>
      <c r="E32" s="17">
        <v>77.05</v>
      </c>
      <c r="F32" s="18">
        <v>4.4973999999999995E-3</v>
      </c>
      <c r="G32" s="19">
        <f>ROUND([1]pres!$C$2*[1]calculo!F306,2)</f>
        <v>270.37</v>
      </c>
      <c r="H32" s="17">
        <f>IFERROR(VLOOKUP(C32,#REF!,33,0),0)</f>
        <v>0</v>
      </c>
      <c r="I32" s="19">
        <f t="shared" si="0"/>
        <v>270.37</v>
      </c>
    </row>
    <row r="33" spans="1:9" x14ac:dyDescent="0.25">
      <c r="A33" s="15" t="s">
        <v>321</v>
      </c>
      <c r="B33" s="16" t="s">
        <v>322</v>
      </c>
      <c r="C33" s="28">
        <v>403</v>
      </c>
      <c r="D33" s="17">
        <v>68</v>
      </c>
      <c r="E33" s="17">
        <v>68</v>
      </c>
      <c r="F33" s="18">
        <v>4.4973999999999995E-3</v>
      </c>
      <c r="G33" s="19">
        <f>ROUND([1]pres!$C$2*[1]calculo!F139,2)</f>
        <v>270.37</v>
      </c>
      <c r="H33" s="17">
        <f>IFERROR(VLOOKUP(C33,#REF!,33,0),0)</f>
        <v>0</v>
      </c>
      <c r="I33" s="19">
        <f t="shared" si="0"/>
        <v>270.37</v>
      </c>
    </row>
    <row r="34" spans="1:9" x14ac:dyDescent="0.25">
      <c r="A34" s="15" t="s">
        <v>309</v>
      </c>
      <c r="B34" s="16" t="s">
        <v>27</v>
      </c>
      <c r="C34" s="28">
        <v>404</v>
      </c>
      <c r="D34" s="17">
        <v>76.150000000000006</v>
      </c>
      <c r="E34" s="17">
        <v>76.150000000000006</v>
      </c>
      <c r="F34" s="18">
        <v>4.4973999999999995E-3</v>
      </c>
      <c r="G34" s="19">
        <f>ROUND([1]pres!$C$2*[1]calculo!F129,2)</f>
        <v>270.37</v>
      </c>
      <c r="H34" s="17">
        <f>IFERROR(VLOOKUP(C34,#REF!,33,0),0)</f>
        <v>0</v>
      </c>
      <c r="I34" s="19">
        <f t="shared" ref="I34:I65" si="1">SUM(G34:H34)</f>
        <v>270.37</v>
      </c>
    </row>
    <row r="35" spans="1:9" x14ac:dyDescent="0.25">
      <c r="A35" s="15" t="s">
        <v>506</v>
      </c>
      <c r="B35" s="16" t="s">
        <v>507</v>
      </c>
      <c r="C35" s="28">
        <v>405</v>
      </c>
      <c r="D35" s="17">
        <v>78.95</v>
      </c>
      <c r="E35" s="17">
        <v>78.95</v>
      </c>
      <c r="F35" s="18">
        <v>4.4973999999999995E-3</v>
      </c>
      <c r="G35" s="19">
        <f>ROUND([1]pres!$C$2*[1]calculo!F297,2)</f>
        <v>270.37</v>
      </c>
      <c r="H35" s="17">
        <f>IFERROR(VLOOKUP(C35,#REF!,33,0),0)</f>
        <v>0</v>
      </c>
      <c r="I35" s="19">
        <f t="shared" si="1"/>
        <v>270.37</v>
      </c>
    </row>
    <row r="36" spans="1:9" x14ac:dyDescent="0.25">
      <c r="A36" s="15" t="s">
        <v>314</v>
      </c>
      <c r="B36" s="16" t="s">
        <v>315</v>
      </c>
      <c r="C36" s="28">
        <v>406</v>
      </c>
      <c r="D36" s="17">
        <v>43.35</v>
      </c>
      <c r="E36" s="17">
        <v>43.35</v>
      </c>
      <c r="F36" s="18">
        <v>2.6939000000000004E-3</v>
      </c>
      <c r="G36" s="19">
        <f>ROUND([1]pres!$C$2*[1]calculo!F133,2)</f>
        <v>161.94999999999999</v>
      </c>
      <c r="H36" s="17">
        <f>IFERROR(VLOOKUP(C36,#REF!,33,0),0)</f>
        <v>0</v>
      </c>
      <c r="I36" s="19">
        <f t="shared" si="1"/>
        <v>161.94999999999999</v>
      </c>
    </row>
    <row r="37" spans="1:9" x14ac:dyDescent="0.25">
      <c r="A37" s="15" t="s">
        <v>240</v>
      </c>
      <c r="B37" s="16" t="s">
        <v>28</v>
      </c>
      <c r="C37" s="28">
        <v>407</v>
      </c>
      <c r="D37" s="17">
        <v>66.45</v>
      </c>
      <c r="E37" s="17">
        <v>66.45</v>
      </c>
      <c r="F37" s="18">
        <v>4.4973999999999995E-3</v>
      </c>
      <c r="G37" s="19">
        <f>ROUND([1]pres!$C$2*[1]calculo!F70,2)</f>
        <v>270.37</v>
      </c>
      <c r="H37" s="17">
        <f>IFERROR(VLOOKUP(C37,#REF!,33,0),0)</f>
        <v>0</v>
      </c>
      <c r="I37" s="19">
        <f t="shared" si="1"/>
        <v>270.37</v>
      </c>
    </row>
    <row r="38" spans="1:9" x14ac:dyDescent="0.25">
      <c r="A38" s="15" t="s">
        <v>435</v>
      </c>
      <c r="B38" s="16" t="s">
        <v>29</v>
      </c>
      <c r="C38" s="28">
        <v>408</v>
      </c>
      <c r="D38" s="17">
        <v>33.200000000000003</v>
      </c>
      <c r="E38" s="17">
        <v>33.200000000000003</v>
      </c>
      <c r="F38" s="18">
        <v>2.6939000000000004E-3</v>
      </c>
      <c r="G38" s="19">
        <f>ROUND([1]pres!$C$2*[1]calculo!F236,2)</f>
        <v>161.94999999999999</v>
      </c>
      <c r="H38" s="17">
        <f>IFERROR(VLOOKUP(C38,#REF!,33,0),0)</f>
        <v>0</v>
      </c>
      <c r="I38" s="19">
        <f t="shared" si="1"/>
        <v>161.94999999999999</v>
      </c>
    </row>
    <row r="39" spans="1:9" x14ac:dyDescent="0.25">
      <c r="A39" s="15" t="s">
        <v>277</v>
      </c>
      <c r="B39" s="16" t="s">
        <v>30</v>
      </c>
      <c r="C39" s="28">
        <v>409</v>
      </c>
      <c r="D39" s="17">
        <v>44.45</v>
      </c>
      <c r="E39" s="17">
        <v>44.45</v>
      </c>
      <c r="F39" s="18">
        <v>2.6939000000000004E-3</v>
      </c>
      <c r="G39" s="19">
        <f>ROUND([1]pres!$C$2*[1]calculo!F102,2)</f>
        <v>161.94999999999999</v>
      </c>
      <c r="H39" s="17">
        <f>IFERROR(VLOOKUP(C39,#REF!,33,0),0)</f>
        <v>0</v>
      </c>
      <c r="I39" s="19">
        <f t="shared" si="1"/>
        <v>161.94999999999999</v>
      </c>
    </row>
    <row r="40" spans="1:9" x14ac:dyDescent="0.25">
      <c r="A40" s="15" t="s">
        <v>262</v>
      </c>
      <c r="B40" s="16" t="s">
        <v>31</v>
      </c>
      <c r="C40" s="28">
        <v>410</v>
      </c>
      <c r="D40" s="17">
        <v>81</v>
      </c>
      <c r="E40" s="17">
        <v>81</v>
      </c>
      <c r="F40" s="18">
        <v>4.4973999999999995E-3</v>
      </c>
      <c r="G40" s="19">
        <f>ROUND([1]pres!$C$2*[1]calculo!F90,2)</f>
        <v>270.37</v>
      </c>
      <c r="H40" s="17">
        <f>IFERROR(VLOOKUP(C40,#REF!,33,0),0)</f>
        <v>0</v>
      </c>
      <c r="I40" s="19">
        <f t="shared" si="1"/>
        <v>270.37</v>
      </c>
    </row>
    <row r="41" spans="1:9" x14ac:dyDescent="0.25">
      <c r="A41" s="15" t="s">
        <v>410</v>
      </c>
      <c r="B41" s="16" t="s">
        <v>32</v>
      </c>
      <c r="C41" s="28">
        <v>411</v>
      </c>
      <c r="D41" s="17">
        <v>33</v>
      </c>
      <c r="E41" s="17">
        <v>33</v>
      </c>
      <c r="F41" s="18">
        <v>2.6939000000000004E-3</v>
      </c>
      <c r="G41" s="19">
        <f>ROUND([1]pres!$C$2*[1]calculo!F214,2)</f>
        <v>161.94999999999999</v>
      </c>
      <c r="H41" s="17">
        <f>IFERROR(VLOOKUP(C41,#REF!,33,0),0)</f>
        <v>0</v>
      </c>
      <c r="I41" s="19">
        <f t="shared" si="1"/>
        <v>161.94999999999999</v>
      </c>
    </row>
    <row r="42" spans="1:9" x14ac:dyDescent="0.25">
      <c r="A42" s="15" t="s">
        <v>474</v>
      </c>
      <c r="B42" s="16" t="s">
        <v>33</v>
      </c>
      <c r="C42" s="28">
        <v>412</v>
      </c>
      <c r="D42" s="17">
        <v>74.599999999999994</v>
      </c>
      <c r="E42" s="17">
        <v>74.599999999999994</v>
      </c>
      <c r="F42" s="18">
        <v>4.4973999999999995E-3</v>
      </c>
      <c r="G42" s="19">
        <f>ROUND([1]pres!$C$2*[1]calculo!F270,2)</f>
        <v>270.37</v>
      </c>
      <c r="H42" s="17">
        <f>IFERROR(VLOOKUP(C42,#REF!,33,0),0)</f>
        <v>0</v>
      </c>
      <c r="I42" s="19">
        <f t="shared" si="1"/>
        <v>270.37</v>
      </c>
    </row>
    <row r="43" spans="1:9" x14ac:dyDescent="0.25">
      <c r="A43" s="15" t="s">
        <v>292</v>
      </c>
      <c r="B43" s="16" t="s">
        <v>34</v>
      </c>
      <c r="C43" s="28">
        <v>501</v>
      </c>
      <c r="D43" s="17">
        <v>92.5</v>
      </c>
      <c r="E43" s="17">
        <v>92.5</v>
      </c>
      <c r="F43" s="18">
        <v>5.6772999999999997E-3</v>
      </c>
      <c r="G43" s="19">
        <f>ROUND([1]pres!$C$2*[1]calculo!F114,2)</f>
        <v>341.3</v>
      </c>
      <c r="H43" s="17">
        <f>IFERROR(VLOOKUP(C43,#REF!,33,0),0)</f>
        <v>0</v>
      </c>
      <c r="I43" s="19">
        <f t="shared" si="1"/>
        <v>341.3</v>
      </c>
    </row>
    <row r="44" spans="1:9" x14ac:dyDescent="0.25">
      <c r="A44" s="15" t="s">
        <v>554</v>
      </c>
      <c r="B44" s="16" t="s">
        <v>35</v>
      </c>
      <c r="C44" s="28">
        <v>502</v>
      </c>
      <c r="D44" s="17">
        <v>77.05</v>
      </c>
      <c r="E44" s="17">
        <v>77.05</v>
      </c>
      <c r="F44" s="18">
        <v>4.4973999999999995E-3</v>
      </c>
      <c r="G44" s="19">
        <f>ROUND([1]pres!$C$2*[1]calculo!F338,2)</f>
        <v>270.37</v>
      </c>
      <c r="H44" s="17">
        <f>IFERROR(VLOOKUP(C44,#REF!,33,0),0)</f>
        <v>0</v>
      </c>
      <c r="I44" s="19">
        <f t="shared" si="1"/>
        <v>270.37</v>
      </c>
    </row>
    <row r="45" spans="1:9" x14ac:dyDescent="0.25">
      <c r="A45" s="15" t="s">
        <v>257</v>
      </c>
      <c r="B45" s="16" t="s">
        <v>36</v>
      </c>
      <c r="C45" s="28">
        <v>503</v>
      </c>
      <c r="D45" s="17">
        <v>68</v>
      </c>
      <c r="E45" s="17">
        <v>68</v>
      </c>
      <c r="F45" s="18">
        <v>4.4973999999999995E-3</v>
      </c>
      <c r="G45" s="19">
        <f>ROUND([1]pres!$C$2*[1]calculo!F84,2)</f>
        <v>270.37</v>
      </c>
      <c r="H45" s="17">
        <f>IFERROR(VLOOKUP(C45,#REF!,33,0),0)</f>
        <v>0</v>
      </c>
      <c r="I45" s="19">
        <f t="shared" si="1"/>
        <v>270.37</v>
      </c>
    </row>
    <row r="46" spans="1:9" x14ac:dyDescent="0.25">
      <c r="A46" s="15" t="s">
        <v>587</v>
      </c>
      <c r="B46" s="16" t="s">
        <v>37</v>
      </c>
      <c r="C46" s="28">
        <v>504</v>
      </c>
      <c r="D46" s="17">
        <v>76.150000000000006</v>
      </c>
      <c r="E46" s="17">
        <v>76.150000000000006</v>
      </c>
      <c r="F46" s="18">
        <v>4.4973999999999995E-3</v>
      </c>
      <c r="G46" s="19">
        <f>ROUND([1]pres!$C$2*[1]calculo!F369,2)</f>
        <v>270.37</v>
      </c>
      <c r="H46" s="17">
        <f>IFERROR(VLOOKUP(C46,#REF!,33,0),0)</f>
        <v>0</v>
      </c>
      <c r="I46" s="19">
        <f t="shared" si="1"/>
        <v>270.37</v>
      </c>
    </row>
    <row r="47" spans="1:9" x14ac:dyDescent="0.25">
      <c r="A47" s="15" t="s">
        <v>556</v>
      </c>
      <c r="B47" s="16" t="s">
        <v>557</v>
      </c>
      <c r="C47" s="28">
        <v>505</v>
      </c>
      <c r="D47" s="17">
        <v>78.95</v>
      </c>
      <c r="E47" s="17">
        <v>78.95</v>
      </c>
      <c r="F47" s="18">
        <v>4.4973999999999995E-3</v>
      </c>
      <c r="G47" s="19">
        <f>ROUND([1]pres!$C$2*[1]calculo!F340,2)</f>
        <v>270.37</v>
      </c>
      <c r="H47" s="17">
        <f>IFERROR(VLOOKUP(C47,#REF!,33,0),0)</f>
        <v>0</v>
      </c>
      <c r="I47" s="19">
        <f t="shared" si="1"/>
        <v>270.37</v>
      </c>
    </row>
    <row r="48" spans="1:9" x14ac:dyDescent="0.25">
      <c r="A48" s="15" t="s">
        <v>379</v>
      </c>
      <c r="B48" s="16" t="s">
        <v>38</v>
      </c>
      <c r="C48" s="28">
        <v>506</v>
      </c>
      <c r="D48" s="17">
        <v>43.35</v>
      </c>
      <c r="E48" s="17">
        <v>43.35</v>
      </c>
      <c r="F48" s="18">
        <v>2.6939000000000004E-3</v>
      </c>
      <c r="G48" s="19">
        <f>ROUND([1]pres!$C$2*[1]calculo!F188,2)</f>
        <v>161.94999999999999</v>
      </c>
      <c r="H48" s="17">
        <f>IFERROR(VLOOKUP(C48,#REF!,33,0),0)</f>
        <v>0</v>
      </c>
      <c r="I48" s="19">
        <f t="shared" si="1"/>
        <v>161.94999999999999</v>
      </c>
    </row>
    <row r="49" spans="1:9" x14ac:dyDescent="0.25">
      <c r="A49" s="15" t="s">
        <v>452</v>
      </c>
      <c r="B49" s="16" t="s">
        <v>39</v>
      </c>
      <c r="C49" s="28">
        <v>507</v>
      </c>
      <c r="D49" s="17">
        <v>66.45</v>
      </c>
      <c r="E49" s="17">
        <v>66.45</v>
      </c>
      <c r="F49" s="18">
        <v>4.4973999999999995E-3</v>
      </c>
      <c r="G49" s="19">
        <f>ROUND([1]pres!$C$2*[1]calculo!F252,2)</f>
        <v>270.37</v>
      </c>
      <c r="H49" s="17">
        <f>IFERROR(VLOOKUP(C49,#REF!,33,0),0)</f>
        <v>0</v>
      </c>
      <c r="I49" s="19">
        <f t="shared" si="1"/>
        <v>270.37</v>
      </c>
    </row>
    <row r="50" spans="1:9" x14ac:dyDescent="0.25">
      <c r="A50" s="15" t="s">
        <v>361</v>
      </c>
      <c r="B50" s="16" t="s">
        <v>40</v>
      </c>
      <c r="C50" s="28">
        <v>508</v>
      </c>
      <c r="D50" s="17">
        <v>33.200000000000003</v>
      </c>
      <c r="E50" s="17">
        <v>33.200000000000003</v>
      </c>
      <c r="F50" s="18">
        <v>2.6939000000000004E-3</v>
      </c>
      <c r="G50" s="19">
        <f>ROUND([1]pres!$C$2*[1]calculo!F171,2)</f>
        <v>161.94999999999999</v>
      </c>
      <c r="H50" s="17">
        <f>IFERROR(VLOOKUP(C50,#REF!,33,0),0)</f>
        <v>0</v>
      </c>
      <c r="I50" s="19">
        <f t="shared" si="1"/>
        <v>161.94999999999999</v>
      </c>
    </row>
    <row r="51" spans="1:9" x14ac:dyDescent="0.25">
      <c r="A51" s="15" t="s">
        <v>455</v>
      </c>
      <c r="B51" s="16" t="s">
        <v>456</v>
      </c>
      <c r="C51" s="28">
        <v>509</v>
      </c>
      <c r="D51" s="17">
        <v>44.45</v>
      </c>
      <c r="E51" s="17">
        <v>44.45</v>
      </c>
      <c r="F51" s="18">
        <v>2.6939000000000004E-3</v>
      </c>
      <c r="G51" s="19">
        <f>ROUND([1]pres!$C$2*[1]calculo!F255,2)</f>
        <v>161.94999999999999</v>
      </c>
      <c r="H51" s="17">
        <f>IFERROR(VLOOKUP(C51,#REF!,33,0),0)</f>
        <v>0</v>
      </c>
      <c r="I51" s="19">
        <f t="shared" si="1"/>
        <v>161.94999999999999</v>
      </c>
    </row>
    <row r="52" spans="1:9" x14ac:dyDescent="0.25">
      <c r="A52" s="15" t="s">
        <v>247</v>
      </c>
      <c r="B52" s="16" t="s">
        <v>248</v>
      </c>
      <c r="C52" s="28">
        <v>510</v>
      </c>
      <c r="D52" s="17">
        <v>81</v>
      </c>
      <c r="E52" s="17">
        <v>81</v>
      </c>
      <c r="F52" s="18">
        <v>4.4973999999999995E-3</v>
      </c>
      <c r="G52" s="19">
        <f>ROUND([1]pres!$C$2*[1]calculo!F76,2)</f>
        <v>270.37</v>
      </c>
      <c r="H52" s="17">
        <f>IFERROR(VLOOKUP(C52,#REF!,33,0),0)</f>
        <v>0</v>
      </c>
      <c r="I52" s="19">
        <f t="shared" si="1"/>
        <v>270.37</v>
      </c>
    </row>
    <row r="53" spans="1:9" x14ac:dyDescent="0.25">
      <c r="A53" s="15" t="s">
        <v>468</v>
      </c>
      <c r="B53" s="16" t="s">
        <v>41</v>
      </c>
      <c r="C53" s="28">
        <v>511</v>
      </c>
      <c r="D53" s="17">
        <v>33</v>
      </c>
      <c r="E53" s="17">
        <v>33</v>
      </c>
      <c r="F53" s="18">
        <v>2.6939000000000004E-3</v>
      </c>
      <c r="G53" s="19">
        <f>ROUND([1]pres!$C$2*[1]calculo!F266,2)</f>
        <v>161.94999999999999</v>
      </c>
      <c r="H53" s="17">
        <f>IFERROR(VLOOKUP(C53,#REF!,33,0),0)</f>
        <v>0</v>
      </c>
      <c r="I53" s="19">
        <f t="shared" si="1"/>
        <v>161.94999999999999</v>
      </c>
    </row>
    <row r="54" spans="1:9" x14ac:dyDescent="0.25">
      <c r="A54" s="15" t="s">
        <v>353</v>
      </c>
      <c r="B54" s="16" t="s">
        <v>354</v>
      </c>
      <c r="C54" s="28">
        <v>512</v>
      </c>
      <c r="D54" s="17">
        <v>74.599999999999994</v>
      </c>
      <c r="E54" s="17">
        <v>74.599999999999994</v>
      </c>
      <c r="F54" s="18">
        <v>4.4973999999999995E-3</v>
      </c>
      <c r="G54" s="19">
        <f>ROUND([1]pres!$C$2*[1]calculo!F165,2)</f>
        <v>270.37</v>
      </c>
      <c r="H54" s="17">
        <f>IFERROR(VLOOKUP(C54,#REF!,33,0),0)</f>
        <v>0</v>
      </c>
      <c r="I54" s="19">
        <f t="shared" si="1"/>
        <v>270.37</v>
      </c>
    </row>
    <row r="55" spans="1:9" x14ac:dyDescent="0.25">
      <c r="A55" s="15" t="s">
        <v>412</v>
      </c>
      <c r="B55" s="16" t="s">
        <v>42</v>
      </c>
      <c r="C55" s="28">
        <v>601</v>
      </c>
      <c r="D55" s="17">
        <v>92.5</v>
      </c>
      <c r="E55" s="17">
        <v>92.5</v>
      </c>
      <c r="F55" s="18">
        <v>5.6772999999999997E-3</v>
      </c>
      <c r="G55" s="19">
        <f>ROUND([1]pres!$C$2*[1]calculo!F216,2)</f>
        <v>341.3</v>
      </c>
      <c r="H55" s="17">
        <f>IFERROR(VLOOKUP(C55,#REF!,33,0),0)</f>
        <v>0</v>
      </c>
      <c r="I55" s="19">
        <f t="shared" si="1"/>
        <v>341.3</v>
      </c>
    </row>
    <row r="56" spans="1:9" x14ac:dyDescent="0.25">
      <c r="A56" s="15" t="s">
        <v>304</v>
      </c>
      <c r="B56" s="16" t="s">
        <v>43</v>
      </c>
      <c r="C56" s="28">
        <v>602</v>
      </c>
      <c r="D56" s="17">
        <v>77.05</v>
      </c>
      <c r="E56" s="17">
        <v>77.05</v>
      </c>
      <c r="F56" s="18">
        <v>4.4973999999999995E-3</v>
      </c>
      <c r="G56" s="19">
        <f>ROUND([1]pres!$C$2*[1]calculo!F124,2)</f>
        <v>270.37</v>
      </c>
      <c r="H56" s="17">
        <f>IFERROR(VLOOKUP(C56,#REF!,33,0),0)</f>
        <v>0</v>
      </c>
      <c r="I56" s="19">
        <f t="shared" si="1"/>
        <v>270.37</v>
      </c>
    </row>
    <row r="57" spans="1:9" x14ac:dyDescent="0.25">
      <c r="A57" s="15" t="s">
        <v>487</v>
      </c>
      <c r="B57" s="16" t="s">
        <v>44</v>
      </c>
      <c r="C57" s="28">
        <v>603</v>
      </c>
      <c r="D57" s="17">
        <v>68</v>
      </c>
      <c r="E57" s="17">
        <v>68</v>
      </c>
      <c r="F57" s="18">
        <v>4.4973999999999995E-3</v>
      </c>
      <c r="G57" s="19">
        <f>ROUND([1]pres!$C$2*[1]calculo!F281,2)</f>
        <v>270.37</v>
      </c>
      <c r="H57" s="17">
        <f>IFERROR(VLOOKUP(C57,#REF!,33,0),0)</f>
        <v>0</v>
      </c>
      <c r="I57" s="19">
        <f t="shared" si="1"/>
        <v>270.37</v>
      </c>
    </row>
    <row r="58" spans="1:9" x14ac:dyDescent="0.25">
      <c r="A58" s="15" t="s">
        <v>283</v>
      </c>
      <c r="B58" s="16" t="s">
        <v>45</v>
      </c>
      <c r="C58" s="28">
        <v>604</v>
      </c>
      <c r="D58" s="17">
        <v>76.150000000000006</v>
      </c>
      <c r="E58" s="17">
        <v>76.150000000000006</v>
      </c>
      <c r="F58" s="18">
        <v>4.4973999999999995E-3</v>
      </c>
      <c r="G58" s="19">
        <f>ROUND([1]pres!$C$2*[1]calculo!F107,2)</f>
        <v>270.37</v>
      </c>
      <c r="H58" s="17">
        <f>IFERROR(VLOOKUP(C58,#REF!,33,0),0)</f>
        <v>0</v>
      </c>
      <c r="I58" s="19">
        <f t="shared" si="1"/>
        <v>270.37</v>
      </c>
    </row>
    <row r="59" spans="1:9" x14ac:dyDescent="0.25">
      <c r="A59" s="15" t="s">
        <v>566</v>
      </c>
      <c r="B59" s="16" t="s">
        <v>145</v>
      </c>
      <c r="C59" s="28">
        <v>605</v>
      </c>
      <c r="D59" s="17">
        <v>78.95</v>
      </c>
      <c r="E59" s="17">
        <v>78.95</v>
      </c>
      <c r="F59" s="18">
        <v>4.4973999999999995E-3</v>
      </c>
      <c r="G59" s="19">
        <f>ROUND([1]pres!$C$2*[1]calculo!F349,2)</f>
        <v>270.37</v>
      </c>
      <c r="H59" s="17">
        <f>IFERROR(VLOOKUP(C59,#REF!,33,0),0)</f>
        <v>0</v>
      </c>
      <c r="I59" s="19">
        <f t="shared" si="1"/>
        <v>270.37</v>
      </c>
    </row>
    <row r="60" spans="1:9" x14ac:dyDescent="0.25">
      <c r="A60" s="15" t="s">
        <v>179</v>
      </c>
      <c r="B60" s="16" t="s">
        <v>46</v>
      </c>
      <c r="C60" s="28">
        <v>606</v>
      </c>
      <c r="D60" s="17">
        <v>43.35</v>
      </c>
      <c r="E60" s="17">
        <v>43.35</v>
      </c>
      <c r="F60" s="18">
        <v>2.6939000000000004E-3</v>
      </c>
      <c r="G60" s="19">
        <f>ROUND([1]pres!$C$2*[1]calculo!F15,2)</f>
        <v>161.94999999999999</v>
      </c>
      <c r="H60" s="17">
        <f>IFERROR(VLOOKUP(C60,#REF!,33,0),0)</f>
        <v>0</v>
      </c>
      <c r="I60" s="19">
        <f t="shared" si="1"/>
        <v>161.94999999999999</v>
      </c>
    </row>
    <row r="61" spans="1:9" x14ac:dyDescent="0.25">
      <c r="A61" s="15" t="s">
        <v>433</v>
      </c>
      <c r="B61" s="16" t="s">
        <v>47</v>
      </c>
      <c r="C61" s="28">
        <v>607</v>
      </c>
      <c r="D61" s="17">
        <v>66.45</v>
      </c>
      <c r="E61" s="17">
        <v>66.45</v>
      </c>
      <c r="F61" s="18">
        <v>4.4973999999999995E-3</v>
      </c>
      <c r="G61" s="19">
        <f>ROUND([1]pres!$C$2*[1]calculo!F234,2)</f>
        <v>270.37</v>
      </c>
      <c r="H61" s="17">
        <f>IFERROR(VLOOKUP(C61,#REF!,33,0),0)</f>
        <v>0</v>
      </c>
      <c r="I61" s="19">
        <f t="shared" si="1"/>
        <v>270.37</v>
      </c>
    </row>
    <row r="62" spans="1:9" x14ac:dyDescent="0.25">
      <c r="A62" s="15" t="s">
        <v>547</v>
      </c>
      <c r="B62" s="16" t="s">
        <v>48</v>
      </c>
      <c r="C62" s="28">
        <v>608</v>
      </c>
      <c r="D62" s="17">
        <v>33.200000000000003</v>
      </c>
      <c r="E62" s="17">
        <v>33.200000000000003</v>
      </c>
      <c r="F62" s="18">
        <v>2.6939000000000004E-3</v>
      </c>
      <c r="G62" s="19">
        <f>ROUND([1]pres!$C$2*[1]calculo!F331,2)</f>
        <v>161.94999999999999</v>
      </c>
      <c r="H62" s="17">
        <f>IFERROR(VLOOKUP(C62,#REF!,33,0),0)</f>
        <v>0</v>
      </c>
      <c r="I62" s="19">
        <f t="shared" si="1"/>
        <v>161.94999999999999</v>
      </c>
    </row>
    <row r="63" spans="1:9" x14ac:dyDescent="0.25">
      <c r="A63" s="15" t="s">
        <v>246</v>
      </c>
      <c r="B63" s="16" t="s">
        <v>49</v>
      </c>
      <c r="C63" s="28">
        <v>609</v>
      </c>
      <c r="D63" s="17">
        <v>44.45</v>
      </c>
      <c r="E63" s="17">
        <v>44.45</v>
      </c>
      <c r="F63" s="18">
        <v>2.6939000000000004E-3</v>
      </c>
      <c r="G63" s="19">
        <f>ROUND([1]pres!$C$2*[1]calculo!F75,2)</f>
        <v>161.94999999999999</v>
      </c>
      <c r="H63" s="17">
        <f>IFERROR(VLOOKUP(C63,#REF!,33,0),0)</f>
        <v>0</v>
      </c>
      <c r="I63" s="19">
        <f t="shared" si="1"/>
        <v>161.94999999999999</v>
      </c>
    </row>
    <row r="64" spans="1:9" x14ac:dyDescent="0.25">
      <c r="A64" s="15" t="s">
        <v>178</v>
      </c>
      <c r="B64" s="16" t="s">
        <v>50</v>
      </c>
      <c r="C64" s="28">
        <v>610</v>
      </c>
      <c r="D64" s="17">
        <v>81</v>
      </c>
      <c r="E64" s="17">
        <v>81</v>
      </c>
      <c r="F64" s="18">
        <v>4.4973999999999995E-3</v>
      </c>
      <c r="G64" s="19">
        <f>ROUND([1]pres!$C$2*[1]calculo!F14,2)</f>
        <v>270.37</v>
      </c>
      <c r="H64" s="17">
        <f>IFERROR(VLOOKUP(C64,#REF!,33,0),0)</f>
        <v>0</v>
      </c>
      <c r="I64" s="19">
        <f t="shared" si="1"/>
        <v>270.37</v>
      </c>
    </row>
    <row r="65" spans="1:9" x14ac:dyDescent="0.25">
      <c r="A65" s="15" t="s">
        <v>229</v>
      </c>
      <c r="B65" s="16" t="s">
        <v>51</v>
      </c>
      <c r="C65" s="28">
        <v>611</v>
      </c>
      <c r="D65" s="17">
        <v>33</v>
      </c>
      <c r="E65" s="17">
        <v>33</v>
      </c>
      <c r="F65" s="18">
        <v>2.6939000000000004E-3</v>
      </c>
      <c r="G65" s="19">
        <f>ROUND([1]pres!$C$2*[1]calculo!F62,2)</f>
        <v>161.94999999999999</v>
      </c>
      <c r="H65" s="17">
        <f>IFERROR(VLOOKUP(C65,#REF!,33,0),0)</f>
        <v>0</v>
      </c>
      <c r="I65" s="19">
        <f t="shared" si="1"/>
        <v>161.94999999999999</v>
      </c>
    </row>
    <row r="66" spans="1:9" x14ac:dyDescent="0.25">
      <c r="A66" s="15" t="s">
        <v>166</v>
      </c>
      <c r="B66" s="16" t="s">
        <v>167</v>
      </c>
      <c r="C66" s="28">
        <v>612</v>
      </c>
      <c r="D66" s="17">
        <v>74.599999999999994</v>
      </c>
      <c r="E66" s="17">
        <v>74.599999999999994</v>
      </c>
      <c r="F66" s="18">
        <v>4.4973999999999995E-3</v>
      </c>
      <c r="G66" s="19">
        <f>ROUND([1]pres!$C$2*[1]calculo!F5,2)</f>
        <v>270.37</v>
      </c>
      <c r="H66" s="17">
        <f>IFERROR(VLOOKUP(C66,#REF!,33,0),0)</f>
        <v>0</v>
      </c>
      <c r="I66" s="19">
        <f t="shared" ref="I66:I97" si="2">SUM(G66:H66)</f>
        <v>270.37</v>
      </c>
    </row>
    <row r="67" spans="1:9" x14ac:dyDescent="0.25">
      <c r="A67" s="15" t="s">
        <v>306</v>
      </c>
      <c r="B67" s="16" t="s">
        <v>52</v>
      </c>
      <c r="C67" s="28">
        <v>701</v>
      </c>
      <c r="D67" s="17">
        <v>178.72</v>
      </c>
      <c r="E67" s="17">
        <v>178.72</v>
      </c>
      <c r="F67" s="18">
        <v>9.9965000000000002E-3</v>
      </c>
      <c r="G67" s="19">
        <f>ROUND([1]pres!$C$2*[1]calculo!F126,2)</f>
        <v>600.95000000000005</v>
      </c>
      <c r="H67" s="17">
        <f>IFERROR(VLOOKUP(C67,#REF!,33,0),0)</f>
        <v>0</v>
      </c>
      <c r="I67" s="19">
        <f t="shared" si="2"/>
        <v>600.95000000000005</v>
      </c>
    </row>
    <row r="68" spans="1:9" x14ac:dyDescent="0.25">
      <c r="A68" s="15" t="s">
        <v>365</v>
      </c>
      <c r="B68" s="16" t="s">
        <v>53</v>
      </c>
      <c r="C68" s="28">
        <v>703</v>
      </c>
      <c r="D68" s="17">
        <v>68</v>
      </c>
      <c r="E68" s="17">
        <v>68</v>
      </c>
      <c r="F68" s="18">
        <v>4.4973999999999995E-3</v>
      </c>
      <c r="G68" s="19">
        <f>ROUND([1]pres!$C$2*[1]calculo!F175,2)</f>
        <v>270.37</v>
      </c>
      <c r="H68" s="17">
        <f>IFERROR(VLOOKUP(C68,#REF!,33,0),0)</f>
        <v>0</v>
      </c>
      <c r="I68" s="19">
        <f t="shared" si="2"/>
        <v>270.37</v>
      </c>
    </row>
    <row r="69" spans="1:9" x14ac:dyDescent="0.25">
      <c r="A69" s="15" t="s">
        <v>485</v>
      </c>
      <c r="B69" s="16" t="s">
        <v>54</v>
      </c>
      <c r="C69" s="28">
        <v>704</v>
      </c>
      <c r="D69" s="17">
        <v>76.150000000000006</v>
      </c>
      <c r="E69" s="17">
        <v>76.150000000000006</v>
      </c>
      <c r="F69" s="18">
        <v>4.4973999999999995E-3</v>
      </c>
      <c r="G69" s="19">
        <f>ROUND([1]pres!$C$2*[1]calculo!F279,2)</f>
        <v>270.37</v>
      </c>
      <c r="H69" s="17">
        <f>IFERROR(VLOOKUP(C69,#REF!,33,0),0)</f>
        <v>0</v>
      </c>
      <c r="I69" s="19">
        <f t="shared" si="2"/>
        <v>270.37</v>
      </c>
    </row>
    <row r="70" spans="1:9" x14ac:dyDescent="0.25">
      <c r="A70" s="15" t="s">
        <v>401</v>
      </c>
      <c r="B70" s="16" t="s">
        <v>402</v>
      </c>
      <c r="C70" s="28">
        <v>705</v>
      </c>
      <c r="D70" s="17">
        <v>78.95</v>
      </c>
      <c r="E70" s="17">
        <v>78.95</v>
      </c>
      <c r="F70" s="18">
        <v>4.4973999999999995E-3</v>
      </c>
      <c r="G70" s="19">
        <f>ROUND([1]pres!$C$2*[1]calculo!F208,2)</f>
        <v>270.37</v>
      </c>
      <c r="H70" s="17">
        <f>IFERROR(VLOOKUP(C70,#REF!,33,0),0)</f>
        <v>0</v>
      </c>
      <c r="I70" s="19">
        <f t="shared" si="2"/>
        <v>270.37</v>
      </c>
    </row>
    <row r="71" spans="1:9" x14ac:dyDescent="0.25">
      <c r="A71" s="15" t="s">
        <v>195</v>
      </c>
      <c r="B71" s="16" t="s">
        <v>55</v>
      </c>
      <c r="C71" s="28">
        <v>706</v>
      </c>
      <c r="D71" s="17">
        <v>43.35</v>
      </c>
      <c r="E71" s="17">
        <v>43.35</v>
      </c>
      <c r="F71" s="18">
        <v>2.6939000000000004E-3</v>
      </c>
      <c r="G71" s="19">
        <f>ROUND([1]pres!$C$2*[1]calculo!F29,2)</f>
        <v>161.94999999999999</v>
      </c>
      <c r="H71" s="17">
        <f>IFERROR(VLOOKUP(C71,#REF!,33,0),0)</f>
        <v>0</v>
      </c>
      <c r="I71" s="19">
        <f t="shared" si="2"/>
        <v>161.94999999999999</v>
      </c>
    </row>
    <row r="72" spans="1:9" x14ac:dyDescent="0.25">
      <c r="A72" s="15" t="s">
        <v>279</v>
      </c>
      <c r="B72" s="16" t="s">
        <v>56</v>
      </c>
      <c r="C72" s="28">
        <v>707</v>
      </c>
      <c r="D72" s="17">
        <v>66.45</v>
      </c>
      <c r="E72" s="17">
        <v>66.45</v>
      </c>
      <c r="F72" s="18">
        <v>4.4973999999999995E-3</v>
      </c>
      <c r="G72" s="19">
        <f>ROUND([1]pres!$C$2*[1]calculo!F104,2)</f>
        <v>270.37</v>
      </c>
      <c r="H72" s="17">
        <f>IFERROR(VLOOKUP(C72,#REF!,33,0),0)</f>
        <v>0</v>
      </c>
      <c r="I72" s="19">
        <f t="shared" si="2"/>
        <v>270.37</v>
      </c>
    </row>
    <row r="73" spans="1:9" x14ac:dyDescent="0.25">
      <c r="A73" s="15" t="s">
        <v>461</v>
      </c>
      <c r="B73" s="16" t="s">
        <v>57</v>
      </c>
      <c r="C73" s="28">
        <v>708</v>
      </c>
      <c r="D73" s="17">
        <v>33.200000000000003</v>
      </c>
      <c r="E73" s="17">
        <v>33.200000000000003</v>
      </c>
      <c r="F73" s="18">
        <v>2.6939000000000004E-3</v>
      </c>
      <c r="G73" s="19">
        <f>ROUND([1]pres!$C$2*[1]calculo!F260,2)</f>
        <v>161.94999999999999</v>
      </c>
      <c r="H73" s="17">
        <f>IFERROR(VLOOKUP(C73,#REF!,33,0),0)</f>
        <v>0</v>
      </c>
      <c r="I73" s="19">
        <f t="shared" si="2"/>
        <v>161.94999999999999</v>
      </c>
    </row>
    <row r="74" spans="1:9" x14ac:dyDescent="0.25">
      <c r="A74" s="15" t="s">
        <v>437</v>
      </c>
      <c r="B74" s="16" t="s">
        <v>58</v>
      </c>
      <c r="C74" s="28">
        <v>709</v>
      </c>
      <c r="D74" s="17">
        <v>44.45</v>
      </c>
      <c r="E74" s="17">
        <v>44.45</v>
      </c>
      <c r="F74" s="18">
        <v>2.6939000000000004E-3</v>
      </c>
      <c r="G74" s="19">
        <f>ROUND([1]pres!$C$2*[1]calculo!F238,2)</f>
        <v>161.94999999999999</v>
      </c>
      <c r="H74" s="17">
        <f>IFERROR(VLOOKUP(C74,#REF!,33,0),0)</f>
        <v>0</v>
      </c>
      <c r="I74" s="19">
        <f t="shared" si="2"/>
        <v>161.94999999999999</v>
      </c>
    </row>
    <row r="75" spans="1:9" x14ac:dyDescent="0.25">
      <c r="A75" s="15" t="s">
        <v>356</v>
      </c>
      <c r="B75" s="16" t="s">
        <v>59</v>
      </c>
      <c r="C75" s="28">
        <v>710</v>
      </c>
      <c r="D75" s="17">
        <v>81</v>
      </c>
      <c r="E75" s="17">
        <v>81</v>
      </c>
      <c r="F75" s="18">
        <v>4.4973999999999995E-3</v>
      </c>
      <c r="G75" s="19">
        <f>ROUND([1]pres!$C$2*[1]calculo!F167,2)</f>
        <v>270.37</v>
      </c>
      <c r="H75" s="17">
        <f>IFERROR(VLOOKUP(C75,#REF!,33,0),0)</f>
        <v>0</v>
      </c>
      <c r="I75" s="19">
        <f t="shared" si="2"/>
        <v>270.37</v>
      </c>
    </row>
    <row r="76" spans="1:9" x14ac:dyDescent="0.25">
      <c r="A76" s="15" t="s">
        <v>496</v>
      </c>
      <c r="B76" s="16" t="s">
        <v>60</v>
      </c>
      <c r="C76" s="28">
        <v>711</v>
      </c>
      <c r="D76" s="17">
        <v>33</v>
      </c>
      <c r="E76" s="17">
        <v>33</v>
      </c>
      <c r="F76" s="18">
        <v>2.6939000000000004E-3</v>
      </c>
      <c r="G76" s="19">
        <f>ROUND([1]pres!$C$2*[1]calculo!F289,2)</f>
        <v>161.94999999999999</v>
      </c>
      <c r="H76" s="17">
        <f>IFERROR(VLOOKUP(C76,#REF!,33,0),0)</f>
        <v>0</v>
      </c>
      <c r="I76" s="19">
        <f t="shared" si="2"/>
        <v>161.94999999999999</v>
      </c>
    </row>
    <row r="77" spans="1:9" x14ac:dyDescent="0.25">
      <c r="A77" s="15" t="s">
        <v>299</v>
      </c>
      <c r="B77" s="16" t="s">
        <v>300</v>
      </c>
      <c r="C77" s="28">
        <v>712</v>
      </c>
      <c r="D77" s="17">
        <v>74.599999999999994</v>
      </c>
      <c r="E77" s="17">
        <v>74.599999999999994</v>
      </c>
      <c r="F77" s="18">
        <v>4.4973999999999995E-3</v>
      </c>
      <c r="G77" s="19">
        <f>ROUND([1]pres!$C$2*[1]calculo!F120,2)</f>
        <v>270.37</v>
      </c>
      <c r="H77" s="17">
        <f>IFERROR(VLOOKUP(C77,#REF!,33,0),0)</f>
        <v>0</v>
      </c>
      <c r="I77" s="19">
        <f t="shared" si="2"/>
        <v>270.37</v>
      </c>
    </row>
    <row r="78" spans="1:9" x14ac:dyDescent="0.25">
      <c r="A78" s="15" t="s">
        <v>517</v>
      </c>
      <c r="B78" s="16" t="s">
        <v>61</v>
      </c>
      <c r="C78" s="28">
        <v>801</v>
      </c>
      <c r="D78" s="17">
        <v>92.5</v>
      </c>
      <c r="E78" s="17">
        <v>92.5</v>
      </c>
      <c r="F78" s="18">
        <v>5.6772999999999997E-3</v>
      </c>
      <c r="G78" s="19">
        <f>ROUND([1]pres!$C$2*[1]calculo!F305,2)</f>
        <v>341.3</v>
      </c>
      <c r="H78" s="17">
        <f>IFERROR(VLOOKUP(C78,#REF!,33,0),0)</f>
        <v>0</v>
      </c>
      <c r="I78" s="19">
        <f t="shared" si="2"/>
        <v>341.3</v>
      </c>
    </row>
    <row r="79" spans="1:9" x14ac:dyDescent="0.25">
      <c r="A79" s="15" t="s">
        <v>540</v>
      </c>
      <c r="B79" s="16" t="s">
        <v>62</v>
      </c>
      <c r="C79" s="28">
        <v>802</v>
      </c>
      <c r="D79" s="17">
        <v>77.05</v>
      </c>
      <c r="E79" s="17">
        <v>77.05</v>
      </c>
      <c r="F79" s="18">
        <v>4.4973999999999995E-3</v>
      </c>
      <c r="G79" s="19">
        <f>ROUND([1]pres!$C$2*[1]calculo!F324,2)</f>
        <v>270.37</v>
      </c>
      <c r="H79" s="17">
        <f>IFERROR(VLOOKUP(C79,#REF!,33,0),0)</f>
        <v>0</v>
      </c>
      <c r="I79" s="19">
        <f t="shared" si="2"/>
        <v>270.37</v>
      </c>
    </row>
    <row r="80" spans="1:9" x14ac:dyDescent="0.25">
      <c r="A80" s="15" t="s">
        <v>459</v>
      </c>
      <c r="B80" s="16" t="s">
        <v>63</v>
      </c>
      <c r="C80" s="28">
        <v>803</v>
      </c>
      <c r="D80" s="17">
        <v>68</v>
      </c>
      <c r="E80" s="17">
        <v>68</v>
      </c>
      <c r="F80" s="18">
        <v>4.4973999999999995E-3</v>
      </c>
      <c r="G80" s="19">
        <f>ROUND([1]pres!$C$2*[1]calculo!F258,2)</f>
        <v>270.37</v>
      </c>
      <c r="H80" s="17">
        <f>IFERROR(VLOOKUP(C80,#REF!,33,0),0)</f>
        <v>0</v>
      </c>
      <c r="I80" s="19">
        <f t="shared" si="2"/>
        <v>270.37</v>
      </c>
    </row>
    <row r="81" spans="1:9" x14ac:dyDescent="0.25">
      <c r="A81" s="15" t="s">
        <v>184</v>
      </c>
      <c r="B81" s="16" t="s">
        <v>147</v>
      </c>
      <c r="C81" s="28">
        <v>804</v>
      </c>
      <c r="D81" s="17">
        <v>76.150000000000006</v>
      </c>
      <c r="E81" s="17">
        <v>76.150000000000006</v>
      </c>
      <c r="F81" s="18">
        <v>4.4973999999999995E-3</v>
      </c>
      <c r="G81" s="19">
        <f>ROUND([1]pres!$C$2*[1]calculo!F19,2)</f>
        <v>270.37</v>
      </c>
      <c r="H81" s="17">
        <f>IFERROR(VLOOKUP(C81,#REF!,33,0),0)</f>
        <v>0</v>
      </c>
      <c r="I81" s="19">
        <f t="shared" si="2"/>
        <v>270.37</v>
      </c>
    </row>
    <row r="82" spans="1:9" x14ac:dyDescent="0.25">
      <c r="A82" s="15" t="s">
        <v>394</v>
      </c>
      <c r="B82" s="16" t="s">
        <v>64</v>
      </c>
      <c r="C82" s="28">
        <v>805</v>
      </c>
      <c r="D82" s="17">
        <v>78.95</v>
      </c>
      <c r="E82" s="17">
        <v>78.95</v>
      </c>
      <c r="F82" s="18">
        <v>4.4973999999999995E-3</v>
      </c>
      <c r="G82" s="19">
        <f>ROUND([1]pres!$C$2*[1]calculo!F202,2)</f>
        <v>270.37</v>
      </c>
      <c r="H82" s="17">
        <f>IFERROR(VLOOKUP(C82,#REF!,33,0),0)</f>
        <v>0</v>
      </c>
      <c r="I82" s="19">
        <f t="shared" si="2"/>
        <v>270.37</v>
      </c>
    </row>
    <row r="83" spans="1:9" x14ac:dyDescent="0.25">
      <c r="A83" s="15" t="s">
        <v>471</v>
      </c>
      <c r="B83" s="16" t="s">
        <v>65</v>
      </c>
      <c r="C83" s="28">
        <v>806</v>
      </c>
      <c r="D83" s="17">
        <v>43.35</v>
      </c>
      <c r="E83" s="17">
        <v>43.35</v>
      </c>
      <c r="F83" s="18">
        <v>2.6939000000000004E-3</v>
      </c>
      <c r="G83" s="19">
        <f>ROUND([1]pres!$C$2*[1]calculo!F268,2)</f>
        <v>161.94999999999999</v>
      </c>
      <c r="H83" s="17">
        <f>IFERROR(VLOOKUP(C83,#REF!,33,0),0)</f>
        <v>0</v>
      </c>
      <c r="I83" s="19">
        <f t="shared" si="2"/>
        <v>161.94999999999999</v>
      </c>
    </row>
    <row r="84" spans="1:9" x14ac:dyDescent="0.25">
      <c r="A84" s="15" t="s">
        <v>523</v>
      </c>
      <c r="B84" s="16" t="s">
        <v>66</v>
      </c>
      <c r="C84" s="28">
        <v>807</v>
      </c>
      <c r="D84" s="17">
        <v>66.45</v>
      </c>
      <c r="E84" s="17">
        <v>66.45</v>
      </c>
      <c r="F84" s="18">
        <v>4.4973999999999995E-3</v>
      </c>
      <c r="G84" s="19">
        <f>ROUND([1]pres!$C$2*[1]calculo!F310,2)</f>
        <v>270.37</v>
      </c>
      <c r="H84" s="17">
        <f>IFERROR(VLOOKUP(C84,#REF!,33,0),0)</f>
        <v>0</v>
      </c>
      <c r="I84" s="19">
        <f t="shared" si="2"/>
        <v>270.37</v>
      </c>
    </row>
    <row r="85" spans="1:9" x14ac:dyDescent="0.25">
      <c r="A85" s="15" t="s">
        <v>542</v>
      </c>
      <c r="B85" s="16" t="s">
        <v>67</v>
      </c>
      <c r="C85" s="28">
        <v>808</v>
      </c>
      <c r="D85" s="17">
        <v>33.200000000000003</v>
      </c>
      <c r="E85" s="17">
        <v>33.200000000000003</v>
      </c>
      <c r="F85" s="18">
        <v>2.6939000000000004E-3</v>
      </c>
      <c r="G85" s="19">
        <f>ROUND([1]pres!$C$2*[1]calculo!F326,2)</f>
        <v>161.94999999999999</v>
      </c>
      <c r="H85" s="17">
        <f>IFERROR(VLOOKUP(C85,#REF!,33,0),0)</f>
        <v>0</v>
      </c>
      <c r="I85" s="19">
        <f t="shared" si="2"/>
        <v>161.94999999999999</v>
      </c>
    </row>
    <row r="86" spans="1:9" x14ac:dyDescent="0.25">
      <c r="A86" s="15" t="s">
        <v>450</v>
      </c>
      <c r="B86" s="16" t="s">
        <v>68</v>
      </c>
      <c r="C86" s="28">
        <v>809</v>
      </c>
      <c r="D86" s="17">
        <v>44.45</v>
      </c>
      <c r="E86" s="17">
        <v>44.45</v>
      </c>
      <c r="F86" s="18">
        <v>2.6939000000000004E-3</v>
      </c>
      <c r="G86" s="19">
        <f>ROUND([1]pres!$C$2*[1]calculo!F250,2)</f>
        <v>161.94999999999999</v>
      </c>
      <c r="H86" s="17">
        <f>IFERROR(VLOOKUP(C86,#REF!,33,0),0)</f>
        <v>0</v>
      </c>
      <c r="I86" s="19">
        <f t="shared" si="2"/>
        <v>161.94999999999999</v>
      </c>
    </row>
    <row r="87" spans="1:9" x14ac:dyDescent="0.25">
      <c r="A87" s="15" t="s">
        <v>338</v>
      </c>
      <c r="B87" s="16" t="s">
        <v>339</v>
      </c>
      <c r="C87" s="28">
        <v>810</v>
      </c>
      <c r="D87" s="17">
        <v>81</v>
      </c>
      <c r="E87" s="17">
        <v>81</v>
      </c>
      <c r="F87" s="18">
        <v>4.4973999999999995E-3</v>
      </c>
      <c r="G87" s="19">
        <f>ROUND([1]pres!$C$2*[1]calculo!F153,2)</f>
        <v>270.37</v>
      </c>
      <c r="H87" s="17">
        <f>IFERROR(VLOOKUP(C87,#REF!,33,0),0)</f>
        <v>0</v>
      </c>
      <c r="I87" s="19">
        <f t="shared" si="2"/>
        <v>270.37</v>
      </c>
    </row>
    <row r="88" spans="1:9" x14ac:dyDescent="0.25">
      <c r="A88" s="15" t="s">
        <v>169</v>
      </c>
      <c r="B88" s="16" t="s">
        <v>170</v>
      </c>
      <c r="C88" s="28">
        <v>811</v>
      </c>
      <c r="D88" s="17">
        <v>33</v>
      </c>
      <c r="E88" s="17">
        <v>33</v>
      </c>
      <c r="F88" s="18">
        <v>2.6939000000000004E-3</v>
      </c>
      <c r="G88" s="19">
        <f>ROUND([1]pres!$C$2*[1]calculo!F7,2)</f>
        <v>161.94999999999999</v>
      </c>
      <c r="H88" s="17">
        <f>IFERROR(VLOOKUP(C88,#REF!,33,0),0)</f>
        <v>0</v>
      </c>
      <c r="I88" s="19">
        <f t="shared" si="2"/>
        <v>161.94999999999999</v>
      </c>
    </row>
    <row r="89" spans="1:9" x14ac:dyDescent="0.25">
      <c r="A89" s="15" t="s">
        <v>439</v>
      </c>
      <c r="B89" s="16" t="s">
        <v>69</v>
      </c>
      <c r="C89" s="28">
        <v>812</v>
      </c>
      <c r="D89" s="17">
        <v>74.599999999999994</v>
      </c>
      <c r="E89" s="17">
        <v>74.599999999999994</v>
      </c>
      <c r="F89" s="18">
        <v>4.4973999999999995E-3</v>
      </c>
      <c r="G89" s="19">
        <f>ROUND([1]pres!$C$2*[1]calculo!F240,2)</f>
        <v>270.37</v>
      </c>
      <c r="H89" s="17">
        <f>IFERROR(VLOOKUP(C89,#REF!,33,0),0)</f>
        <v>0</v>
      </c>
      <c r="I89" s="19">
        <f t="shared" si="2"/>
        <v>270.37</v>
      </c>
    </row>
    <row r="90" spans="1:9" x14ac:dyDescent="0.25">
      <c r="A90" s="15" t="s">
        <v>333</v>
      </c>
      <c r="B90" s="16" t="s">
        <v>70</v>
      </c>
      <c r="C90" s="28">
        <v>901</v>
      </c>
      <c r="D90" s="17">
        <v>92.5</v>
      </c>
      <c r="E90" s="17">
        <v>92.5</v>
      </c>
      <c r="F90" s="18">
        <v>5.6772999999999997E-3</v>
      </c>
      <c r="G90" s="19">
        <f>ROUND([1]pres!$C$2*[1]calculo!F149,2)</f>
        <v>341.3</v>
      </c>
      <c r="H90" s="17">
        <f>IFERROR(VLOOKUP(C90,#REF!,33,0),0)</f>
        <v>0</v>
      </c>
      <c r="I90" s="19">
        <f t="shared" si="2"/>
        <v>341.3</v>
      </c>
    </row>
    <row r="91" spans="1:9" x14ac:dyDescent="0.25">
      <c r="A91" s="15" t="s">
        <v>171</v>
      </c>
      <c r="B91" s="16" t="s">
        <v>71</v>
      </c>
      <c r="C91" s="28">
        <v>902</v>
      </c>
      <c r="D91" s="17">
        <v>77.05</v>
      </c>
      <c r="E91" s="17">
        <v>77.05</v>
      </c>
      <c r="F91" s="18">
        <v>4.4973999999999995E-3</v>
      </c>
      <c r="G91" s="19">
        <f>ROUND([1]pres!$C$2*[1]calculo!F8,2)</f>
        <v>270.37</v>
      </c>
      <c r="H91" s="17">
        <f>IFERROR(VLOOKUP(C91,#REF!,33,0),0)</f>
        <v>0</v>
      </c>
      <c r="I91" s="19">
        <f t="shared" si="2"/>
        <v>270.37</v>
      </c>
    </row>
    <row r="92" spans="1:9" x14ac:dyDescent="0.25">
      <c r="A92" s="15" t="s">
        <v>288</v>
      </c>
      <c r="B92" s="16" t="s">
        <v>289</v>
      </c>
      <c r="C92" s="28">
        <v>903</v>
      </c>
      <c r="D92" s="17">
        <v>68</v>
      </c>
      <c r="E92" s="17">
        <v>68</v>
      </c>
      <c r="F92" s="18">
        <v>4.4973999999999995E-3</v>
      </c>
      <c r="G92" s="19">
        <f>ROUND([1]pres!$C$2*[1]calculo!F111,2)</f>
        <v>270.37</v>
      </c>
      <c r="H92" s="17">
        <f>IFERROR(VLOOKUP(C92,#REF!,33,0),0)</f>
        <v>0</v>
      </c>
      <c r="I92" s="19">
        <f t="shared" si="2"/>
        <v>270.37</v>
      </c>
    </row>
    <row r="93" spans="1:9" x14ac:dyDescent="0.25">
      <c r="A93" s="15" t="s">
        <v>273</v>
      </c>
      <c r="B93" s="16" t="s">
        <v>274</v>
      </c>
      <c r="C93" s="28">
        <v>904</v>
      </c>
      <c r="D93" s="17">
        <v>76.150000000000006</v>
      </c>
      <c r="E93" s="17">
        <v>76.150000000000006</v>
      </c>
      <c r="F93" s="18">
        <v>4.4973999999999995E-3</v>
      </c>
      <c r="G93" s="19">
        <f>ROUND([1]pres!$C$2*[1]calculo!F99,2)</f>
        <v>270.37</v>
      </c>
      <c r="H93" s="17">
        <f>IFERROR(VLOOKUP(C93,#REF!,33,0),0)</f>
        <v>0</v>
      </c>
      <c r="I93" s="19">
        <f t="shared" si="2"/>
        <v>270.37</v>
      </c>
    </row>
    <row r="94" spans="1:9" x14ac:dyDescent="0.25">
      <c r="A94" s="15" t="s">
        <v>428</v>
      </c>
      <c r="B94" s="16" t="s">
        <v>72</v>
      </c>
      <c r="C94" s="28">
        <v>905</v>
      </c>
      <c r="D94" s="17">
        <v>78.95</v>
      </c>
      <c r="E94" s="17">
        <v>78.95</v>
      </c>
      <c r="F94" s="18">
        <v>4.4973999999999995E-3</v>
      </c>
      <c r="G94" s="19">
        <f>ROUND([1]pres!$C$2*[1]calculo!F229,2)</f>
        <v>270.37</v>
      </c>
      <c r="H94" s="17">
        <f>IFERROR(VLOOKUP(C94,#REF!,33,0),0)</f>
        <v>0</v>
      </c>
      <c r="I94" s="19">
        <f t="shared" si="2"/>
        <v>270.37</v>
      </c>
    </row>
    <row r="95" spans="1:9" x14ac:dyDescent="0.25">
      <c r="A95" s="15" t="s">
        <v>494</v>
      </c>
      <c r="B95" s="16" t="s">
        <v>73</v>
      </c>
      <c r="C95" s="28">
        <v>906</v>
      </c>
      <c r="D95" s="17">
        <v>43.35</v>
      </c>
      <c r="E95" s="17">
        <v>43.35</v>
      </c>
      <c r="F95" s="18">
        <v>2.6939000000000004E-3</v>
      </c>
      <c r="G95" s="19">
        <f>ROUND([1]pres!$C$2*[1]calculo!F287,2)</f>
        <v>161.94999999999999</v>
      </c>
      <c r="H95" s="17">
        <f>IFERROR(VLOOKUP(C95,#REF!,33,0),0)</f>
        <v>0</v>
      </c>
      <c r="I95" s="19">
        <f t="shared" si="2"/>
        <v>161.94999999999999</v>
      </c>
    </row>
    <row r="96" spans="1:9" x14ac:dyDescent="0.25">
      <c r="A96" s="15" t="s">
        <v>242</v>
      </c>
      <c r="B96" s="16" t="s">
        <v>243</v>
      </c>
      <c r="C96" s="28">
        <v>907</v>
      </c>
      <c r="D96" s="17">
        <v>66.45</v>
      </c>
      <c r="E96" s="17">
        <v>66.45</v>
      </c>
      <c r="F96" s="18">
        <v>4.4973999999999995E-3</v>
      </c>
      <c r="G96" s="19">
        <f>ROUND([1]pres!$C$2*[1]calculo!F72,2)</f>
        <v>270.37</v>
      </c>
      <c r="H96" s="17">
        <f>IFERROR(VLOOKUP(C96,#REF!,33,0),0)</f>
        <v>0</v>
      </c>
      <c r="I96" s="19">
        <f t="shared" si="2"/>
        <v>270.37</v>
      </c>
    </row>
    <row r="97" spans="1:9" x14ac:dyDescent="0.25">
      <c r="A97" s="15" t="s">
        <v>318</v>
      </c>
      <c r="B97" s="16" t="s">
        <v>74</v>
      </c>
      <c r="C97" s="28">
        <v>908</v>
      </c>
      <c r="D97" s="17">
        <v>33.200000000000003</v>
      </c>
      <c r="E97" s="17">
        <v>33.200000000000003</v>
      </c>
      <c r="F97" s="18">
        <v>2.6939000000000004E-3</v>
      </c>
      <c r="G97" s="19">
        <f>ROUND([1]pres!$C$2*[1]calculo!F136,2)</f>
        <v>161.94999999999999</v>
      </c>
      <c r="H97" s="17">
        <f>IFERROR(VLOOKUP(C97,#REF!,33,0),0)</f>
        <v>0</v>
      </c>
      <c r="I97" s="19">
        <f t="shared" si="2"/>
        <v>161.94999999999999</v>
      </c>
    </row>
    <row r="98" spans="1:9" x14ac:dyDescent="0.25">
      <c r="A98" s="15" t="s">
        <v>319</v>
      </c>
      <c r="B98" s="16" t="s">
        <v>75</v>
      </c>
      <c r="C98" s="28">
        <v>909</v>
      </c>
      <c r="D98" s="17">
        <v>44.45</v>
      </c>
      <c r="E98" s="17">
        <v>44.45</v>
      </c>
      <c r="F98" s="18">
        <v>2.6939000000000004E-3</v>
      </c>
      <c r="G98" s="19">
        <f>ROUND([1]pres!$C$2*[1]calculo!F137,2)</f>
        <v>161.94999999999999</v>
      </c>
      <c r="H98" s="17">
        <f>IFERROR(VLOOKUP(C98,#REF!,33,0),0)</f>
        <v>0</v>
      </c>
      <c r="I98" s="19">
        <f t="shared" ref="I98:I129" si="3">SUM(G98:H98)</f>
        <v>161.94999999999999</v>
      </c>
    </row>
    <row r="99" spans="1:9" x14ac:dyDescent="0.25">
      <c r="A99" s="15" t="s">
        <v>335</v>
      </c>
      <c r="B99" s="16" t="s">
        <v>336</v>
      </c>
      <c r="C99" s="28">
        <v>910</v>
      </c>
      <c r="D99" s="17">
        <v>81</v>
      </c>
      <c r="E99" s="17">
        <v>81</v>
      </c>
      <c r="F99" s="18">
        <v>4.4973999999999995E-3</v>
      </c>
      <c r="G99" s="19">
        <f>ROUND([1]pres!$C$2*[1]calculo!F151,2)</f>
        <v>270.37</v>
      </c>
      <c r="H99" s="17">
        <f>IFERROR(VLOOKUP(C99,#REF!,33,0),0)</f>
        <v>0</v>
      </c>
      <c r="I99" s="19">
        <f t="shared" si="3"/>
        <v>270.37</v>
      </c>
    </row>
    <row r="100" spans="1:9" x14ac:dyDescent="0.25">
      <c r="A100" s="15" t="s">
        <v>515</v>
      </c>
      <c r="B100" s="16" t="s">
        <v>516</v>
      </c>
      <c r="C100" s="28">
        <v>911</v>
      </c>
      <c r="D100" s="17">
        <v>33</v>
      </c>
      <c r="E100" s="17">
        <v>33</v>
      </c>
      <c r="F100" s="18">
        <v>2.6939000000000004E-3</v>
      </c>
      <c r="G100" s="19">
        <f>ROUND([1]pres!$C$2*[1]calculo!F303,2)</f>
        <v>161.94999999999999</v>
      </c>
      <c r="H100" s="17">
        <f>IFERROR(VLOOKUP(C100,#REF!,33,0),0)</f>
        <v>0</v>
      </c>
      <c r="I100" s="19">
        <f t="shared" si="3"/>
        <v>161.94999999999999</v>
      </c>
    </row>
    <row r="101" spans="1:9" x14ac:dyDescent="0.25">
      <c r="A101" s="15" t="s">
        <v>429</v>
      </c>
      <c r="B101" s="16" t="s">
        <v>76</v>
      </c>
      <c r="C101" s="28">
        <v>912</v>
      </c>
      <c r="D101" s="17">
        <v>74.599999999999994</v>
      </c>
      <c r="E101" s="17">
        <v>74.599999999999994</v>
      </c>
      <c r="F101" s="18">
        <v>4.4973999999999995E-3</v>
      </c>
      <c r="G101" s="19">
        <f>ROUND([1]pres!$C$2*[1]calculo!F230,2)</f>
        <v>270.37</v>
      </c>
      <c r="H101" s="17">
        <f>IFERROR(VLOOKUP(C101,#REF!,33,0),0)</f>
        <v>0</v>
      </c>
      <c r="I101" s="19">
        <f t="shared" si="3"/>
        <v>270.37</v>
      </c>
    </row>
    <row r="102" spans="1:9" x14ac:dyDescent="0.25">
      <c r="A102" s="15" t="s">
        <v>176</v>
      </c>
      <c r="B102" s="16" t="s">
        <v>77</v>
      </c>
      <c r="C102" s="28">
        <v>1001</v>
      </c>
      <c r="D102" s="17">
        <v>92.5</v>
      </c>
      <c r="E102" s="17">
        <v>92.5</v>
      </c>
      <c r="F102" s="18">
        <v>5.6772999999999997E-3</v>
      </c>
      <c r="G102" s="19">
        <f>ROUND([1]pres!$C$2*[1]calculo!F12,2)</f>
        <v>341.3</v>
      </c>
      <c r="H102" s="17">
        <f>IFERROR(VLOOKUP(C102,#REF!,33,0),0)</f>
        <v>0</v>
      </c>
      <c r="I102" s="19">
        <f t="shared" si="3"/>
        <v>341.3</v>
      </c>
    </row>
    <row r="103" spans="1:9" x14ac:dyDescent="0.25">
      <c r="A103" s="15" t="s">
        <v>233</v>
      </c>
      <c r="B103" s="16" t="s">
        <v>234</v>
      </c>
      <c r="C103" s="28">
        <v>1002</v>
      </c>
      <c r="D103" s="17">
        <v>77.05</v>
      </c>
      <c r="E103" s="17">
        <v>77.05</v>
      </c>
      <c r="F103" s="18">
        <v>4.4973999999999995E-3</v>
      </c>
      <c r="G103" s="19">
        <f>ROUND([1]pres!$C$2*[1]calculo!F64,2)</f>
        <v>270.37</v>
      </c>
      <c r="H103" s="17">
        <f>IFERROR(VLOOKUP(C103,#REF!,33,0),0)</f>
        <v>0</v>
      </c>
      <c r="I103" s="19">
        <f t="shared" si="3"/>
        <v>270.37</v>
      </c>
    </row>
    <row r="104" spans="1:9" x14ac:dyDescent="0.25">
      <c r="A104" s="15" t="s">
        <v>302</v>
      </c>
      <c r="B104" s="16" t="s">
        <v>78</v>
      </c>
      <c r="C104" s="28">
        <v>1003</v>
      </c>
      <c r="D104" s="17">
        <v>68</v>
      </c>
      <c r="E104" s="17">
        <v>68</v>
      </c>
      <c r="F104" s="18">
        <v>4.4973999999999995E-3</v>
      </c>
      <c r="G104" s="19">
        <f>ROUND([1]pres!$C$2*[1]calculo!F122,2)</f>
        <v>270.37</v>
      </c>
      <c r="H104" s="17">
        <f>IFERROR(VLOOKUP(C104,#REF!,33,0),0)</f>
        <v>0</v>
      </c>
      <c r="I104" s="19">
        <f t="shared" si="3"/>
        <v>270.37</v>
      </c>
    </row>
    <row r="105" spans="1:9" x14ac:dyDescent="0.25">
      <c r="A105" s="15" t="s">
        <v>280</v>
      </c>
      <c r="B105" s="16" t="s">
        <v>281</v>
      </c>
      <c r="C105" s="28">
        <v>1004</v>
      </c>
      <c r="D105" s="17">
        <v>76.150000000000006</v>
      </c>
      <c r="E105" s="17">
        <v>76.150000000000006</v>
      </c>
      <c r="F105" s="18">
        <v>4.4973999999999995E-3</v>
      </c>
      <c r="G105" s="19">
        <f>ROUND([1]pres!$C$2*[1]calculo!F105,2)</f>
        <v>270.37</v>
      </c>
      <c r="H105" s="17">
        <f>IFERROR(VLOOKUP(C105,#REF!,33,0),0)</f>
        <v>0</v>
      </c>
      <c r="I105" s="19">
        <f t="shared" si="3"/>
        <v>270.37</v>
      </c>
    </row>
    <row r="106" spans="1:9" x14ac:dyDescent="0.25">
      <c r="A106" s="15" t="s">
        <v>442</v>
      </c>
      <c r="B106" s="16" t="s">
        <v>79</v>
      </c>
      <c r="C106" s="28">
        <v>1005</v>
      </c>
      <c r="D106" s="17">
        <v>78.95</v>
      </c>
      <c r="E106" s="17">
        <v>78.95</v>
      </c>
      <c r="F106" s="18">
        <v>4.4973999999999995E-3</v>
      </c>
      <c r="G106" s="19">
        <f>ROUND([1]pres!$C$2*[1]calculo!F243,2)</f>
        <v>270.37</v>
      </c>
      <c r="H106" s="17">
        <f>IFERROR(VLOOKUP(C106,#REF!,33,0),0)</f>
        <v>0</v>
      </c>
      <c r="I106" s="19">
        <f t="shared" si="3"/>
        <v>270.37</v>
      </c>
    </row>
    <row r="107" spans="1:9" x14ac:dyDescent="0.25">
      <c r="A107" s="15" t="s">
        <v>195</v>
      </c>
      <c r="B107" s="16" t="s">
        <v>55</v>
      </c>
      <c r="C107" s="28">
        <v>1006</v>
      </c>
      <c r="D107" s="17">
        <v>43.35</v>
      </c>
      <c r="E107" s="17">
        <v>43.35</v>
      </c>
      <c r="F107" s="18">
        <v>2.6939000000000004E-3</v>
      </c>
      <c r="G107" s="19">
        <f>ROUND([1]pres!$C$2*[1]calculo!F28,2)</f>
        <v>161.94999999999999</v>
      </c>
      <c r="H107" s="17">
        <f>IFERROR(VLOOKUP(C107,#REF!,33,0),0)</f>
        <v>0</v>
      </c>
      <c r="I107" s="19">
        <f t="shared" si="3"/>
        <v>161.94999999999999</v>
      </c>
    </row>
    <row r="108" spans="1:9" x14ac:dyDescent="0.25">
      <c r="A108" s="15" t="s">
        <v>368</v>
      </c>
      <c r="B108" s="16" t="s">
        <v>369</v>
      </c>
      <c r="C108" s="28">
        <v>1007</v>
      </c>
      <c r="D108" s="17">
        <v>66.45</v>
      </c>
      <c r="E108" s="17">
        <v>66.45</v>
      </c>
      <c r="F108" s="18">
        <v>4.4973999999999995E-3</v>
      </c>
      <c r="G108" s="19">
        <f>ROUND([1]pres!$C$2*[1]calculo!F178,2)</f>
        <v>270.37</v>
      </c>
      <c r="H108" s="17">
        <f>IFERROR(VLOOKUP(C108,#REF!,33,0),0)</f>
        <v>0</v>
      </c>
      <c r="I108" s="19">
        <f t="shared" si="3"/>
        <v>270.37</v>
      </c>
    </row>
    <row r="109" spans="1:9" x14ac:dyDescent="0.25">
      <c r="A109" s="15" t="s">
        <v>440</v>
      </c>
      <c r="B109" s="16" t="s">
        <v>80</v>
      </c>
      <c r="C109" s="28">
        <v>1008</v>
      </c>
      <c r="D109" s="17">
        <v>33.200000000000003</v>
      </c>
      <c r="E109" s="17">
        <v>33.200000000000003</v>
      </c>
      <c r="F109" s="18">
        <v>2.6939000000000004E-3</v>
      </c>
      <c r="G109" s="19">
        <f>ROUND([1]pres!$C$2*[1]calculo!F241,2)</f>
        <v>161.94999999999999</v>
      </c>
      <c r="H109" s="17">
        <f>IFERROR(VLOOKUP(C109,#REF!,33,0),0)</f>
        <v>0</v>
      </c>
      <c r="I109" s="19">
        <f t="shared" si="3"/>
        <v>161.94999999999999</v>
      </c>
    </row>
    <row r="110" spans="1:9" x14ac:dyDescent="0.25">
      <c r="A110" s="15" t="s">
        <v>374</v>
      </c>
      <c r="B110" s="16" t="s">
        <v>81</v>
      </c>
      <c r="C110" s="28">
        <v>1009</v>
      </c>
      <c r="D110" s="17">
        <v>44.45</v>
      </c>
      <c r="E110" s="17">
        <v>44.45</v>
      </c>
      <c r="F110" s="18">
        <v>2.6939000000000004E-3</v>
      </c>
      <c r="G110" s="19">
        <f>ROUND([1]pres!$C$2*[1]calculo!F182,2)</f>
        <v>161.94999999999999</v>
      </c>
      <c r="H110" s="17">
        <f>IFERROR(VLOOKUP(C110,#REF!,33,0),0)</f>
        <v>0</v>
      </c>
      <c r="I110" s="19">
        <f t="shared" si="3"/>
        <v>161.94999999999999</v>
      </c>
    </row>
    <row r="111" spans="1:9" x14ac:dyDescent="0.25">
      <c r="A111" s="15" t="s">
        <v>420</v>
      </c>
      <c r="B111" s="16" t="s">
        <v>82</v>
      </c>
      <c r="C111" s="28">
        <v>1010</v>
      </c>
      <c r="D111" s="17">
        <v>81</v>
      </c>
      <c r="E111" s="17">
        <v>81</v>
      </c>
      <c r="F111" s="18">
        <v>4.4973999999999995E-3</v>
      </c>
      <c r="G111" s="19">
        <f>ROUND([1]pres!$C$2*[1]calculo!F223,2)</f>
        <v>270.37</v>
      </c>
      <c r="H111" s="17">
        <f>IFERROR(VLOOKUP(C111,#REF!,33,0),0)</f>
        <v>0</v>
      </c>
      <c r="I111" s="19">
        <f t="shared" si="3"/>
        <v>270.37</v>
      </c>
    </row>
    <row r="112" spans="1:9" x14ac:dyDescent="0.25">
      <c r="A112" s="15" t="s">
        <v>250</v>
      </c>
      <c r="B112" s="16" t="s">
        <v>83</v>
      </c>
      <c r="C112" s="28">
        <v>1011</v>
      </c>
      <c r="D112" s="17">
        <v>33</v>
      </c>
      <c r="E112" s="17">
        <v>33</v>
      </c>
      <c r="F112" s="18">
        <v>2.6939000000000004E-3</v>
      </c>
      <c r="G112" s="19">
        <f>ROUND([1]pres!$C$2*[1]calculo!F78,2)</f>
        <v>161.94999999999999</v>
      </c>
      <c r="H112" s="17">
        <f>IFERROR(VLOOKUP(C112,#REF!,33,0),0)</f>
        <v>0</v>
      </c>
      <c r="I112" s="19">
        <f t="shared" si="3"/>
        <v>161.94999999999999</v>
      </c>
    </row>
    <row r="113" spans="1:9" x14ac:dyDescent="0.25">
      <c r="A113" s="15" t="s">
        <v>538</v>
      </c>
      <c r="B113" s="16" t="s">
        <v>84</v>
      </c>
      <c r="C113" s="28">
        <v>1012</v>
      </c>
      <c r="D113" s="17">
        <v>74.599999999999994</v>
      </c>
      <c r="E113" s="17">
        <v>74.599999999999994</v>
      </c>
      <c r="F113" s="18">
        <v>4.4973999999999995E-3</v>
      </c>
      <c r="G113" s="19">
        <f>ROUND([1]pres!$C$2*[1]calculo!F322,2)</f>
        <v>270.37</v>
      </c>
      <c r="H113" s="17">
        <f>IFERROR(VLOOKUP(C113,#REF!,33,0),0)</f>
        <v>0</v>
      </c>
      <c r="I113" s="19">
        <f t="shared" si="3"/>
        <v>270.37</v>
      </c>
    </row>
    <row r="114" spans="1:9" x14ac:dyDescent="0.25">
      <c r="A114" s="15" t="s">
        <v>192</v>
      </c>
      <c r="B114" s="16" t="s">
        <v>193</v>
      </c>
      <c r="C114" s="28">
        <v>1101</v>
      </c>
      <c r="D114" s="17">
        <v>92.5</v>
      </c>
      <c r="E114" s="17">
        <v>92.5</v>
      </c>
      <c r="F114" s="18">
        <v>5.6772999999999997E-3</v>
      </c>
      <c r="G114" s="19">
        <f>ROUND([1]pres!$C$2*[1]calculo!F26,2)</f>
        <v>341.3</v>
      </c>
      <c r="H114" s="17">
        <f>IFERROR(VLOOKUP(C114,#REF!,33,0),0)</f>
        <v>0</v>
      </c>
      <c r="I114" s="19">
        <f t="shared" si="3"/>
        <v>341.3</v>
      </c>
    </row>
    <row r="115" spans="1:9" x14ac:dyDescent="0.25">
      <c r="A115" s="15" t="s">
        <v>278</v>
      </c>
      <c r="B115" s="16" t="s">
        <v>85</v>
      </c>
      <c r="C115" s="28">
        <v>1102</v>
      </c>
      <c r="D115" s="17">
        <v>77.05</v>
      </c>
      <c r="E115" s="17">
        <v>77.05</v>
      </c>
      <c r="F115" s="18">
        <v>4.4973999999999995E-3</v>
      </c>
      <c r="G115" s="19">
        <f>ROUND([1]pres!$C$2*[1]calculo!F103,2)</f>
        <v>270.37</v>
      </c>
      <c r="H115" s="17">
        <f>IFERROR(VLOOKUP(C115,#REF!,33,0),0)</f>
        <v>0</v>
      </c>
      <c r="I115" s="19">
        <f t="shared" si="3"/>
        <v>270.37</v>
      </c>
    </row>
    <row r="116" spans="1:9" x14ac:dyDescent="0.25">
      <c r="A116" s="15" t="s">
        <v>384</v>
      </c>
      <c r="B116" s="16" t="s">
        <v>86</v>
      </c>
      <c r="C116" s="28">
        <v>1103</v>
      </c>
      <c r="D116" s="17">
        <v>68</v>
      </c>
      <c r="E116" s="17">
        <v>68</v>
      </c>
      <c r="F116" s="18">
        <v>4.4973999999999995E-3</v>
      </c>
      <c r="G116" s="19">
        <f>ROUND([1]pres!$C$2*[1]calculo!F193,2)</f>
        <v>270.37</v>
      </c>
      <c r="H116" s="17">
        <f>IFERROR(VLOOKUP(C116,#REF!,33,0),0)</f>
        <v>0</v>
      </c>
      <c r="I116" s="19">
        <f t="shared" si="3"/>
        <v>270.37</v>
      </c>
    </row>
    <row r="117" spans="1:9" x14ac:dyDescent="0.25">
      <c r="A117" s="15" t="s">
        <v>376</v>
      </c>
      <c r="B117" s="16" t="s">
        <v>87</v>
      </c>
      <c r="C117" s="28">
        <v>1104</v>
      </c>
      <c r="D117" s="17">
        <v>76.150000000000006</v>
      </c>
      <c r="E117" s="17">
        <v>76.150000000000006</v>
      </c>
      <c r="F117" s="18">
        <v>4.4973999999999995E-3</v>
      </c>
      <c r="G117" s="19">
        <f>ROUND([1]pres!$C$2*[1]calculo!F184,2)</f>
        <v>270.37</v>
      </c>
      <c r="H117" s="17">
        <f>IFERROR(VLOOKUP(C117,#REF!,33,0),0)</f>
        <v>0</v>
      </c>
      <c r="I117" s="19">
        <f t="shared" si="3"/>
        <v>270.37</v>
      </c>
    </row>
    <row r="118" spans="1:9" x14ac:dyDescent="0.25">
      <c r="A118" s="15" t="s">
        <v>491</v>
      </c>
      <c r="B118" s="16" t="s">
        <v>492</v>
      </c>
      <c r="C118" s="28">
        <v>1105</v>
      </c>
      <c r="D118" s="17">
        <v>78.95</v>
      </c>
      <c r="E118" s="17">
        <v>78.95</v>
      </c>
      <c r="F118" s="18">
        <v>4.4973999999999995E-3</v>
      </c>
      <c r="G118" s="19">
        <f>ROUND([1]pres!$C$2*[1]calculo!F285,2)</f>
        <v>270.37</v>
      </c>
      <c r="H118" s="17">
        <f>IFERROR(VLOOKUP(C118,#REF!,33,0),0)</f>
        <v>0</v>
      </c>
      <c r="I118" s="19">
        <f t="shared" si="3"/>
        <v>270.37</v>
      </c>
    </row>
    <row r="119" spans="1:9" x14ac:dyDescent="0.25">
      <c r="A119" s="15" t="s">
        <v>488</v>
      </c>
      <c r="B119" s="16" t="s">
        <v>88</v>
      </c>
      <c r="C119" s="28">
        <v>1106</v>
      </c>
      <c r="D119" s="17">
        <v>43.35</v>
      </c>
      <c r="E119" s="17">
        <v>43.35</v>
      </c>
      <c r="F119" s="18">
        <v>2.6939000000000004E-3</v>
      </c>
      <c r="G119" s="19">
        <f>ROUND([1]pres!$C$2*[1]calculo!F282,2)</f>
        <v>161.94999999999999</v>
      </c>
      <c r="H119" s="17">
        <f>IFERROR(VLOOKUP(C119,#REF!,33,0),0)</f>
        <v>0</v>
      </c>
      <c r="I119" s="19">
        <f t="shared" si="3"/>
        <v>161.94999999999999</v>
      </c>
    </row>
    <row r="120" spans="1:9" x14ac:dyDescent="0.25">
      <c r="A120" s="15" t="s">
        <v>220</v>
      </c>
      <c r="B120" s="16" t="s">
        <v>89</v>
      </c>
      <c r="C120" s="28">
        <v>1107</v>
      </c>
      <c r="D120" s="17">
        <v>66.45</v>
      </c>
      <c r="E120" s="17">
        <v>66.45</v>
      </c>
      <c r="F120" s="18">
        <v>4.4973999999999995E-3</v>
      </c>
      <c r="G120" s="19">
        <f>ROUND([1]pres!$C$2*[1]calculo!F53,2)</f>
        <v>270.37</v>
      </c>
      <c r="H120" s="17">
        <f>IFERROR(VLOOKUP(C120,#REF!,33,0),0)</f>
        <v>0</v>
      </c>
      <c r="I120" s="19">
        <f t="shared" si="3"/>
        <v>270.37</v>
      </c>
    </row>
    <row r="121" spans="1:9" x14ac:dyDescent="0.25">
      <c r="A121" s="15" t="s">
        <v>396</v>
      </c>
      <c r="B121" s="16" t="s">
        <v>90</v>
      </c>
      <c r="C121" s="28">
        <v>1108</v>
      </c>
      <c r="D121" s="17">
        <v>33.200000000000003</v>
      </c>
      <c r="E121" s="17">
        <v>33.200000000000003</v>
      </c>
      <c r="F121" s="18">
        <v>2.6939000000000004E-3</v>
      </c>
      <c r="G121" s="19">
        <f>ROUND([1]pres!$C$2*[1]calculo!F204,2)</f>
        <v>161.94999999999999</v>
      </c>
      <c r="H121" s="17">
        <f>IFERROR(VLOOKUP(C121,#REF!,33,0),0)</f>
        <v>0</v>
      </c>
      <c r="I121" s="19">
        <f t="shared" si="3"/>
        <v>161.94999999999999</v>
      </c>
    </row>
    <row r="122" spans="1:9" x14ac:dyDescent="0.25">
      <c r="A122" s="15" t="s">
        <v>517</v>
      </c>
      <c r="B122" s="16" t="s">
        <v>61</v>
      </c>
      <c r="C122" s="28">
        <v>1109</v>
      </c>
      <c r="D122" s="17">
        <v>44.45</v>
      </c>
      <c r="E122" s="17">
        <v>44.45</v>
      </c>
      <c r="F122" s="18">
        <v>2.6939000000000004E-3</v>
      </c>
      <c r="G122" s="19">
        <f>ROUND([1]pres!$C$2*[1]calculo!F304,2)</f>
        <v>161.94999999999999</v>
      </c>
      <c r="H122" s="17">
        <f>IFERROR(VLOOKUP(C122,#REF!,33,0),0)</f>
        <v>0</v>
      </c>
      <c r="I122" s="19">
        <f t="shared" si="3"/>
        <v>161.94999999999999</v>
      </c>
    </row>
    <row r="123" spans="1:9" x14ac:dyDescent="0.25">
      <c r="A123" s="15" t="s">
        <v>477</v>
      </c>
      <c r="B123" s="16" t="s">
        <v>149</v>
      </c>
      <c r="C123" s="28">
        <v>1110</v>
      </c>
      <c r="D123" s="17">
        <v>81</v>
      </c>
      <c r="E123" s="17">
        <v>81</v>
      </c>
      <c r="F123" s="18">
        <v>4.4973999999999995E-3</v>
      </c>
      <c r="G123" s="19">
        <f>ROUND([1]pres!$C$2*[1]calculo!F273,2)</f>
        <v>270.37</v>
      </c>
      <c r="H123" s="17">
        <f>IFERROR(VLOOKUP(C123,#REF!,33,0),0)</f>
        <v>0</v>
      </c>
      <c r="I123" s="19">
        <f t="shared" si="3"/>
        <v>270.37</v>
      </c>
    </row>
    <row r="124" spans="1:9" x14ac:dyDescent="0.25">
      <c r="A124" s="15" t="s">
        <v>245</v>
      </c>
      <c r="B124" s="16" t="s">
        <v>91</v>
      </c>
      <c r="C124" s="28">
        <v>1111</v>
      </c>
      <c r="D124" s="17">
        <v>33</v>
      </c>
      <c r="E124" s="17">
        <v>33</v>
      </c>
      <c r="F124" s="18">
        <v>2.6939000000000004E-3</v>
      </c>
      <c r="G124" s="19">
        <f>ROUND([1]pres!$C$2*[1]calculo!F74,2)</f>
        <v>161.94999999999999</v>
      </c>
      <c r="H124" s="17">
        <f>IFERROR(VLOOKUP(C124,#REF!,33,0),0)</f>
        <v>0</v>
      </c>
      <c r="I124" s="19">
        <f t="shared" si="3"/>
        <v>161.94999999999999</v>
      </c>
    </row>
    <row r="125" spans="1:9" x14ac:dyDescent="0.25">
      <c r="A125" s="15" t="s">
        <v>551</v>
      </c>
      <c r="B125" s="16" t="s">
        <v>92</v>
      </c>
      <c r="C125" s="28">
        <v>1112</v>
      </c>
      <c r="D125" s="17">
        <v>74.599999999999994</v>
      </c>
      <c r="E125" s="17">
        <v>74.599999999999994</v>
      </c>
      <c r="F125" s="18">
        <v>4.4973999999999995E-3</v>
      </c>
      <c r="G125" s="19">
        <f>ROUND([1]pres!$C$2*[1]calculo!F335,2)</f>
        <v>270.37</v>
      </c>
      <c r="H125" s="17">
        <f>IFERROR(VLOOKUP(C125,#REF!,33,0),0)</f>
        <v>0</v>
      </c>
      <c r="I125" s="19">
        <f t="shared" si="3"/>
        <v>270.37</v>
      </c>
    </row>
    <row r="126" spans="1:9" x14ac:dyDescent="0.25">
      <c r="A126" s="15" t="s">
        <v>222</v>
      </c>
      <c r="B126" s="16" t="s">
        <v>93</v>
      </c>
      <c r="C126" s="28">
        <v>1201</v>
      </c>
      <c r="D126" s="17">
        <v>248.79</v>
      </c>
      <c r="E126" s="17">
        <v>248.79</v>
      </c>
      <c r="F126" s="18">
        <v>9.9965000000000002E-3</v>
      </c>
      <c r="G126" s="19">
        <f>ROUND([1]pres!$C$2*[1]calculo!F55,2)</f>
        <v>600.95000000000005</v>
      </c>
      <c r="H126" s="17">
        <f>IFERROR(VLOOKUP(C126,#REF!,33,0),0)</f>
        <v>0</v>
      </c>
      <c r="I126" s="19">
        <f t="shared" si="3"/>
        <v>600.95000000000005</v>
      </c>
    </row>
    <row r="127" spans="1:9" x14ac:dyDescent="0.25">
      <c r="A127" s="15" t="s">
        <v>236</v>
      </c>
      <c r="B127" s="16" t="s">
        <v>94</v>
      </c>
      <c r="C127" s="28">
        <v>1204</v>
      </c>
      <c r="D127" s="17">
        <v>76.150000000000006</v>
      </c>
      <c r="E127" s="17">
        <v>76.150000000000006</v>
      </c>
      <c r="F127" s="18">
        <v>4.4973999999999995E-3</v>
      </c>
      <c r="G127" s="19">
        <f>ROUND([1]pres!$C$2*[1]calculo!F66,2)</f>
        <v>270.37</v>
      </c>
      <c r="H127" s="17">
        <f>IFERROR(VLOOKUP(C127,#REF!,33,0),0)</f>
        <v>0</v>
      </c>
      <c r="I127" s="19">
        <f t="shared" si="3"/>
        <v>270.37</v>
      </c>
    </row>
    <row r="128" spans="1:9" x14ac:dyDescent="0.25">
      <c r="A128" s="15" t="s">
        <v>173</v>
      </c>
      <c r="B128" s="16" t="s">
        <v>174</v>
      </c>
      <c r="C128" s="28">
        <v>1205</v>
      </c>
      <c r="D128" s="17">
        <v>78.95</v>
      </c>
      <c r="E128" s="17">
        <v>78.95</v>
      </c>
      <c r="F128" s="18">
        <v>4.4973999999999995E-3</v>
      </c>
      <c r="G128" s="19">
        <f>ROUND([1]pres!$C$2*[1]calculo!F10,2)</f>
        <v>270.37</v>
      </c>
      <c r="H128" s="17">
        <f>IFERROR(VLOOKUP(C128,#REF!,33,0),0)</f>
        <v>0</v>
      </c>
      <c r="I128" s="19">
        <f t="shared" si="3"/>
        <v>270.37</v>
      </c>
    </row>
    <row r="129" spans="1:9" x14ac:dyDescent="0.25">
      <c r="A129" s="15" t="s">
        <v>341</v>
      </c>
      <c r="B129" s="16" t="s">
        <v>95</v>
      </c>
      <c r="C129" s="28">
        <v>1206</v>
      </c>
      <c r="D129" s="17">
        <v>43.35</v>
      </c>
      <c r="E129" s="17">
        <v>43.35</v>
      </c>
      <c r="F129" s="18">
        <v>2.6939000000000004E-3</v>
      </c>
      <c r="G129" s="19">
        <f>ROUND([1]pres!$C$2*[1]calculo!F155,2)</f>
        <v>161.94999999999999</v>
      </c>
      <c r="H129" s="17">
        <f>IFERROR(VLOOKUP(C129,#REF!,33,0),0)</f>
        <v>0</v>
      </c>
      <c r="I129" s="19">
        <f t="shared" si="3"/>
        <v>161.94999999999999</v>
      </c>
    </row>
    <row r="130" spans="1:9" x14ac:dyDescent="0.25">
      <c r="A130" s="15" t="s">
        <v>525</v>
      </c>
      <c r="B130" s="16" t="s">
        <v>96</v>
      </c>
      <c r="C130" s="28">
        <v>1207</v>
      </c>
      <c r="D130" s="17">
        <v>66.45</v>
      </c>
      <c r="E130" s="17">
        <v>66.45</v>
      </c>
      <c r="F130" s="18">
        <v>4.4973999999999995E-3</v>
      </c>
      <c r="G130" s="19">
        <f>ROUND([1]pres!$C$2*[1]calculo!F312,2)</f>
        <v>270.37</v>
      </c>
      <c r="H130" s="17">
        <f>IFERROR(VLOOKUP(C130,#REF!,33,0),0)</f>
        <v>0</v>
      </c>
      <c r="I130" s="19">
        <f t="shared" ref="I130:I161" si="4">SUM(G130:H130)</f>
        <v>270.37</v>
      </c>
    </row>
    <row r="131" spans="1:9" x14ac:dyDescent="0.25">
      <c r="A131" s="15" t="s">
        <v>347</v>
      </c>
      <c r="B131" s="16" t="s">
        <v>97</v>
      </c>
      <c r="C131" s="28">
        <v>1208</v>
      </c>
      <c r="D131" s="17">
        <v>33.200000000000003</v>
      </c>
      <c r="E131" s="17">
        <v>33.200000000000003</v>
      </c>
      <c r="F131" s="18">
        <v>2.6939000000000004E-3</v>
      </c>
      <c r="G131" s="19">
        <f>ROUND([1]pres!$C$2*[1]calculo!F161,2)</f>
        <v>161.94999999999999</v>
      </c>
      <c r="H131" s="17">
        <f>IFERROR(VLOOKUP(C131,#REF!,33,0),0)</f>
        <v>0</v>
      </c>
      <c r="I131" s="19">
        <f t="shared" si="4"/>
        <v>161.94999999999999</v>
      </c>
    </row>
    <row r="132" spans="1:9" x14ac:dyDescent="0.25">
      <c r="A132" s="15" t="s">
        <v>408</v>
      </c>
      <c r="B132" s="16" t="s">
        <v>98</v>
      </c>
      <c r="C132" s="28">
        <v>1209</v>
      </c>
      <c r="D132" s="17">
        <v>44.45</v>
      </c>
      <c r="E132" s="17">
        <v>44.45</v>
      </c>
      <c r="F132" s="18">
        <v>2.6939000000000004E-3</v>
      </c>
      <c r="G132" s="19">
        <f>ROUND([1]pres!$C$2*[1]calculo!F212,2)</f>
        <v>161.94999999999999</v>
      </c>
      <c r="H132" s="17">
        <f>IFERROR(VLOOKUP(C132,#REF!,33,0),0)</f>
        <v>0</v>
      </c>
      <c r="I132" s="19">
        <f t="shared" si="4"/>
        <v>161.94999999999999</v>
      </c>
    </row>
    <row r="133" spans="1:9" x14ac:dyDescent="0.25">
      <c r="A133" s="15" t="s">
        <v>272</v>
      </c>
      <c r="B133" s="16" t="s">
        <v>99</v>
      </c>
      <c r="C133" s="28">
        <v>1210</v>
      </c>
      <c r="D133" s="17">
        <v>81</v>
      </c>
      <c r="E133" s="17">
        <v>81</v>
      </c>
      <c r="F133" s="18">
        <v>4.4973999999999995E-3</v>
      </c>
      <c r="G133" s="19">
        <f>ROUND([1]pres!$C$2*[1]calculo!F98,2)</f>
        <v>270.37</v>
      </c>
      <c r="H133" s="17">
        <f>IFERROR(VLOOKUP(C133,#REF!,33,0),0)</f>
        <v>0</v>
      </c>
      <c r="I133" s="19">
        <f t="shared" si="4"/>
        <v>270.37</v>
      </c>
    </row>
    <row r="134" spans="1:9" x14ac:dyDescent="0.25">
      <c r="A134" s="15" t="s">
        <v>449</v>
      </c>
      <c r="B134" s="16" t="s">
        <v>100</v>
      </c>
      <c r="C134" s="28">
        <v>1211</v>
      </c>
      <c r="D134" s="17">
        <v>33</v>
      </c>
      <c r="E134" s="17">
        <v>33</v>
      </c>
      <c r="F134" s="18">
        <v>2.6939000000000004E-3</v>
      </c>
      <c r="G134" s="19">
        <f>ROUND([1]pres!$C$2*[1]calculo!F249,2)</f>
        <v>161.94999999999999</v>
      </c>
      <c r="H134" s="17">
        <f>IFERROR(VLOOKUP(C134,#REF!,33,0),0)</f>
        <v>0</v>
      </c>
      <c r="I134" s="19">
        <f t="shared" si="4"/>
        <v>161.94999999999999</v>
      </c>
    </row>
    <row r="135" spans="1:9" x14ac:dyDescent="0.25">
      <c r="A135" s="15" t="s">
        <v>363</v>
      </c>
      <c r="B135" s="16" t="s">
        <v>101</v>
      </c>
      <c r="C135" s="28">
        <v>1212</v>
      </c>
      <c r="D135" s="17">
        <v>74.599999999999994</v>
      </c>
      <c r="E135" s="17">
        <v>74.599999999999994</v>
      </c>
      <c r="F135" s="18">
        <v>4.4973999999999995E-3</v>
      </c>
      <c r="G135" s="19">
        <f>ROUND([1]pres!$C$2*[1]calculo!F173,2)</f>
        <v>270.37</v>
      </c>
      <c r="H135" s="17">
        <f>IFERROR(VLOOKUP(C135,#REF!,33,0),0)</f>
        <v>0</v>
      </c>
      <c r="I135" s="19">
        <f t="shared" si="4"/>
        <v>270.37</v>
      </c>
    </row>
    <row r="136" spans="1:9" x14ac:dyDescent="0.25">
      <c r="A136" s="15" t="s">
        <v>386</v>
      </c>
      <c r="B136" s="16" t="s">
        <v>102</v>
      </c>
      <c r="C136" s="28">
        <v>1301</v>
      </c>
      <c r="D136" s="17">
        <v>92.5</v>
      </c>
      <c r="E136" s="17">
        <v>92.5</v>
      </c>
      <c r="F136" s="18">
        <v>5.6772999999999997E-3</v>
      </c>
      <c r="G136" s="19">
        <f>ROUND([1]pres!$C$2*[1]calculo!F195,2)</f>
        <v>341.3</v>
      </c>
      <c r="H136" s="17">
        <f>IFERROR(VLOOKUP(C136,#REF!,33,0),0)</f>
        <v>0</v>
      </c>
      <c r="I136" s="19">
        <f t="shared" si="4"/>
        <v>341.3</v>
      </c>
    </row>
    <row r="137" spans="1:9" x14ac:dyDescent="0.25">
      <c r="A137" s="15" t="s">
        <v>327</v>
      </c>
      <c r="B137" s="16" t="s">
        <v>328</v>
      </c>
      <c r="C137" s="28">
        <v>1302</v>
      </c>
      <c r="D137" s="17">
        <v>77.05</v>
      </c>
      <c r="E137" s="17">
        <v>77.05</v>
      </c>
      <c r="F137" s="18">
        <v>4.4973999999999995E-3</v>
      </c>
      <c r="G137" s="19">
        <f>ROUND([1]pres!$C$2*[1]calculo!F144,2)</f>
        <v>270.37</v>
      </c>
      <c r="H137" s="17">
        <f>IFERROR(VLOOKUP(C137,#REF!,33,0),0)</f>
        <v>0</v>
      </c>
      <c r="I137" s="19">
        <f t="shared" si="4"/>
        <v>270.37</v>
      </c>
    </row>
    <row r="138" spans="1:9" x14ac:dyDescent="0.25">
      <c r="A138" s="15" t="s">
        <v>602</v>
      </c>
      <c r="B138" s="16" t="s">
        <v>103</v>
      </c>
      <c r="C138" s="28">
        <v>1303</v>
      </c>
      <c r="D138" s="17">
        <v>68</v>
      </c>
      <c r="E138" s="17">
        <v>68</v>
      </c>
      <c r="F138" s="18">
        <v>4.4973999999999995E-3</v>
      </c>
      <c r="G138" s="19">
        <f>ROUND([1]pres!$C$2*[1]calculo!F380,2)</f>
        <v>270.37</v>
      </c>
      <c r="H138" s="17">
        <f>IFERROR(VLOOKUP(C138,#REF!,33,0),0)</f>
        <v>0</v>
      </c>
      <c r="I138" s="19">
        <f t="shared" si="4"/>
        <v>270.37</v>
      </c>
    </row>
    <row r="139" spans="1:9" x14ac:dyDescent="0.25">
      <c r="A139" s="15" t="s">
        <v>379</v>
      </c>
      <c r="B139" s="16" t="s">
        <v>38</v>
      </c>
      <c r="C139" s="28">
        <v>1304</v>
      </c>
      <c r="D139" s="17">
        <v>76.150000000000006</v>
      </c>
      <c r="E139" s="17">
        <v>76.150000000000006</v>
      </c>
      <c r="F139" s="18">
        <v>4.4973999999999995E-3</v>
      </c>
      <c r="G139" s="19">
        <f>ROUND([1]pres!$C$2*[1]calculo!F187,2)</f>
        <v>270.37</v>
      </c>
      <c r="H139" s="17">
        <f>IFERROR(VLOOKUP(C139,#REF!,33,0),0)</f>
        <v>0</v>
      </c>
      <c r="I139" s="19">
        <f t="shared" si="4"/>
        <v>270.37</v>
      </c>
    </row>
    <row r="140" spans="1:9" x14ac:dyDescent="0.25">
      <c r="A140" s="15" t="s">
        <v>446</v>
      </c>
      <c r="B140" s="16" t="s">
        <v>447</v>
      </c>
      <c r="C140" s="28">
        <v>1305</v>
      </c>
      <c r="D140" s="17">
        <v>78.95</v>
      </c>
      <c r="E140" s="17">
        <v>78.95</v>
      </c>
      <c r="F140" s="18">
        <v>4.4973999999999995E-3</v>
      </c>
      <c r="G140" s="19">
        <f>ROUND([1]pres!$C$2*[1]calculo!F247,2)</f>
        <v>270.37</v>
      </c>
      <c r="H140" s="17">
        <f>IFERROR(VLOOKUP(C140,#REF!,33,0),0)</f>
        <v>0</v>
      </c>
      <c r="I140" s="19">
        <f t="shared" si="4"/>
        <v>270.37</v>
      </c>
    </row>
    <row r="141" spans="1:9" x14ac:dyDescent="0.25">
      <c r="A141" s="15" t="s">
        <v>227</v>
      </c>
      <c r="B141" s="16" t="s">
        <v>104</v>
      </c>
      <c r="C141" s="28">
        <v>1306</v>
      </c>
      <c r="D141" s="17">
        <v>43.35</v>
      </c>
      <c r="E141" s="17">
        <v>43.35</v>
      </c>
      <c r="F141" s="18">
        <v>2.6939000000000004E-3</v>
      </c>
      <c r="G141" s="19">
        <f>ROUND([1]pres!$C$2*[1]calculo!F60,2)</f>
        <v>161.94999999999999</v>
      </c>
      <c r="H141" s="17">
        <f>IFERROR(VLOOKUP(C141,#REF!,33,0),0)</f>
        <v>0</v>
      </c>
      <c r="I141" s="19">
        <f t="shared" si="4"/>
        <v>161.94999999999999</v>
      </c>
    </row>
    <row r="142" spans="1:9" x14ac:dyDescent="0.25">
      <c r="A142" s="15" t="s">
        <v>553</v>
      </c>
      <c r="B142" s="16" t="s">
        <v>105</v>
      </c>
      <c r="C142" s="28">
        <v>1307</v>
      </c>
      <c r="D142" s="17">
        <v>66.45</v>
      </c>
      <c r="E142" s="17">
        <v>66.45</v>
      </c>
      <c r="F142" s="18">
        <v>4.4973999999999995E-3</v>
      </c>
      <c r="G142" s="19">
        <f>ROUND([1]pres!$C$2*[1]calculo!F337,2)</f>
        <v>270.37</v>
      </c>
      <c r="H142" s="17">
        <f>IFERROR(VLOOKUP(C142,#REF!,33,0),0)</f>
        <v>0</v>
      </c>
      <c r="I142" s="19">
        <f t="shared" si="4"/>
        <v>270.37</v>
      </c>
    </row>
    <row r="143" spans="1:9" x14ac:dyDescent="0.25">
      <c r="A143" s="15" t="s">
        <v>571</v>
      </c>
      <c r="B143" s="16" t="s">
        <v>106</v>
      </c>
      <c r="C143" s="28">
        <v>1308</v>
      </c>
      <c r="D143" s="17">
        <v>33.200000000000003</v>
      </c>
      <c r="E143" s="17">
        <v>33.200000000000003</v>
      </c>
      <c r="F143" s="18">
        <v>2.6939000000000004E-3</v>
      </c>
      <c r="G143" s="19">
        <f>ROUND([1]pres!$C$2*[1]calculo!F354,2)</f>
        <v>161.94999999999999</v>
      </c>
      <c r="H143" s="17">
        <f>IFERROR(VLOOKUP(C143,#REF!,33,0),0)</f>
        <v>0</v>
      </c>
      <c r="I143" s="19">
        <f t="shared" si="4"/>
        <v>161.94999999999999</v>
      </c>
    </row>
    <row r="144" spans="1:9" x14ac:dyDescent="0.25">
      <c r="A144" s="15" t="s">
        <v>366</v>
      </c>
      <c r="B144" s="16" t="s">
        <v>107</v>
      </c>
      <c r="C144" s="28">
        <v>1309</v>
      </c>
      <c r="D144" s="17">
        <v>44.45</v>
      </c>
      <c r="E144" s="17">
        <v>44.45</v>
      </c>
      <c r="F144" s="18">
        <v>2.6939000000000004E-3</v>
      </c>
      <c r="G144" s="19">
        <f>ROUND([1]pres!$C$2*[1]calculo!F176,2)</f>
        <v>161.94999999999999</v>
      </c>
      <c r="H144" s="17">
        <f>IFERROR(VLOOKUP(C144,#REF!,33,0),0)</f>
        <v>0</v>
      </c>
      <c r="I144" s="19">
        <f t="shared" si="4"/>
        <v>161.94999999999999</v>
      </c>
    </row>
    <row r="145" spans="1:9" x14ac:dyDescent="0.25">
      <c r="A145" s="15" t="s">
        <v>216</v>
      </c>
      <c r="B145" s="16" t="s">
        <v>108</v>
      </c>
      <c r="C145" s="28">
        <v>1310</v>
      </c>
      <c r="D145" s="17">
        <v>81</v>
      </c>
      <c r="E145" s="17">
        <v>81</v>
      </c>
      <c r="F145" s="18">
        <v>4.4973999999999995E-3</v>
      </c>
      <c r="G145" s="19">
        <f>ROUND([1]pres!$C$2*[1]calculo!F49,2)</f>
        <v>270.37</v>
      </c>
      <c r="H145" s="17">
        <f>IFERROR(VLOOKUP(C145,#REF!,33,0),0)</f>
        <v>0</v>
      </c>
      <c r="I145" s="19">
        <f t="shared" si="4"/>
        <v>270.37</v>
      </c>
    </row>
    <row r="146" spans="1:9" x14ac:dyDescent="0.25">
      <c r="A146" s="15" t="s">
        <v>181</v>
      </c>
      <c r="B146" s="16" t="s">
        <v>109</v>
      </c>
      <c r="C146" s="28">
        <v>1311</v>
      </c>
      <c r="D146" s="17">
        <v>33</v>
      </c>
      <c r="E146" s="17">
        <v>33</v>
      </c>
      <c r="F146" s="18">
        <v>2.6939000000000004E-3</v>
      </c>
      <c r="G146" s="19">
        <f>ROUND([1]pres!$C$2*[1]calculo!F17,2)</f>
        <v>161.94999999999999</v>
      </c>
      <c r="H146" s="17">
        <f>IFERROR(VLOOKUP(C146,#REF!,33,0),0)</f>
        <v>0</v>
      </c>
      <c r="I146" s="19">
        <f t="shared" si="4"/>
        <v>161.94999999999999</v>
      </c>
    </row>
    <row r="147" spans="1:9" x14ac:dyDescent="0.25">
      <c r="A147" s="15" t="s">
        <v>244</v>
      </c>
      <c r="B147" s="16" t="s">
        <v>110</v>
      </c>
      <c r="C147" s="28">
        <v>1312</v>
      </c>
      <c r="D147" s="17">
        <v>74.599999999999994</v>
      </c>
      <c r="E147" s="17">
        <v>74.599999999999994</v>
      </c>
      <c r="F147" s="18">
        <v>4.4973999999999995E-3</v>
      </c>
      <c r="G147" s="19">
        <f>ROUND([1]pres!$C$2*[1]calculo!F73,2)</f>
        <v>270.37</v>
      </c>
      <c r="H147" s="17">
        <f>IFERROR(VLOOKUP(C147,#REF!,33,0),0)</f>
        <v>0</v>
      </c>
      <c r="I147" s="19">
        <f t="shared" si="4"/>
        <v>270.37</v>
      </c>
    </row>
    <row r="148" spans="1:9" x14ac:dyDescent="0.25">
      <c r="A148" s="15" t="s">
        <v>210</v>
      </c>
      <c r="B148" s="16" t="s">
        <v>111</v>
      </c>
      <c r="C148" s="28">
        <v>1401</v>
      </c>
      <c r="D148" s="17">
        <v>92.5</v>
      </c>
      <c r="E148" s="17">
        <v>92.5</v>
      </c>
      <c r="F148" s="18">
        <v>5.6772999999999997E-3</v>
      </c>
      <c r="G148" s="19">
        <f>ROUND([1]pres!$C$2*[1]calculo!F43,2)</f>
        <v>341.3</v>
      </c>
      <c r="H148" s="17">
        <f>IFERROR(VLOOKUP(C148,#REF!,33,0),0)</f>
        <v>0</v>
      </c>
      <c r="I148" s="19">
        <f t="shared" si="4"/>
        <v>341.3</v>
      </c>
    </row>
    <row r="149" spans="1:9" x14ac:dyDescent="0.25">
      <c r="A149" s="15" t="s">
        <v>294</v>
      </c>
      <c r="B149" s="16" t="s">
        <v>112</v>
      </c>
      <c r="C149" s="28">
        <v>1402</v>
      </c>
      <c r="D149" s="17">
        <v>77.05</v>
      </c>
      <c r="E149" s="17">
        <v>77.05</v>
      </c>
      <c r="F149" s="18">
        <v>4.4973999999999995E-3</v>
      </c>
      <c r="G149" s="19">
        <f>ROUND([1]pres!$C$2*[1]calculo!F116,2)</f>
        <v>270.37</v>
      </c>
      <c r="H149" s="17">
        <f>IFERROR(VLOOKUP(C149,#REF!,33,0),0)</f>
        <v>0</v>
      </c>
      <c r="I149" s="19">
        <f t="shared" si="4"/>
        <v>270.37</v>
      </c>
    </row>
    <row r="150" spans="1:9" x14ac:dyDescent="0.25">
      <c r="A150" s="15" t="s">
        <v>238</v>
      </c>
      <c r="B150" s="16" t="s">
        <v>113</v>
      </c>
      <c r="C150" s="28">
        <v>1403</v>
      </c>
      <c r="D150" s="17">
        <v>68</v>
      </c>
      <c r="E150" s="17">
        <v>68</v>
      </c>
      <c r="F150" s="18">
        <v>4.4973999999999995E-3</v>
      </c>
      <c r="G150" s="19">
        <f>ROUND([1]pres!$C$2*[1]calculo!F68,2)</f>
        <v>270.37</v>
      </c>
      <c r="H150" s="17">
        <f>IFERROR(VLOOKUP(C150,#REF!,33,0),0)</f>
        <v>0</v>
      </c>
      <c r="I150" s="19">
        <f t="shared" si="4"/>
        <v>270.37</v>
      </c>
    </row>
    <row r="151" spans="1:9" x14ac:dyDescent="0.25">
      <c r="A151" s="15" t="s">
        <v>503</v>
      </c>
      <c r="B151" s="16" t="s">
        <v>504</v>
      </c>
      <c r="C151" s="28">
        <v>1404</v>
      </c>
      <c r="D151" s="17">
        <v>76.150000000000006</v>
      </c>
      <c r="E151" s="17">
        <v>76.150000000000006</v>
      </c>
      <c r="F151" s="18">
        <v>4.4973999999999995E-3</v>
      </c>
      <c r="G151" s="19">
        <f>ROUND([1]pres!$C$2*[1]calculo!F295,2)</f>
        <v>270.37</v>
      </c>
      <c r="H151" s="17">
        <f>IFERROR(VLOOKUP(C151,#REF!,33,0),0)</f>
        <v>0</v>
      </c>
      <c r="I151" s="19">
        <f t="shared" si="4"/>
        <v>270.37</v>
      </c>
    </row>
    <row r="152" spans="1:9" x14ac:dyDescent="0.25">
      <c r="A152" s="15" t="s">
        <v>417</v>
      </c>
      <c r="B152" s="16" t="s">
        <v>114</v>
      </c>
      <c r="C152" s="28">
        <v>1405</v>
      </c>
      <c r="D152" s="17">
        <v>78.95</v>
      </c>
      <c r="E152" s="17">
        <v>78.95</v>
      </c>
      <c r="F152" s="18">
        <v>4.4973999999999995E-3</v>
      </c>
      <c r="G152" s="19">
        <f>ROUND([1]pres!$C$2*[1]calculo!F220,2)</f>
        <v>270.37</v>
      </c>
      <c r="H152" s="17">
        <f>IFERROR(VLOOKUP(C152,#REF!,33,0),0)</f>
        <v>0</v>
      </c>
      <c r="I152" s="19">
        <f t="shared" si="4"/>
        <v>270.37</v>
      </c>
    </row>
    <row r="153" spans="1:9" x14ac:dyDescent="0.25">
      <c r="A153" s="15" t="s">
        <v>371</v>
      </c>
      <c r="B153" s="16" t="s">
        <v>372</v>
      </c>
      <c r="C153" s="28">
        <v>1406</v>
      </c>
      <c r="D153" s="17">
        <v>43.35</v>
      </c>
      <c r="E153" s="17">
        <v>43.35</v>
      </c>
      <c r="F153" s="18">
        <v>2.6939000000000004E-3</v>
      </c>
      <c r="G153" s="19">
        <f>ROUND([1]pres!$C$2*[1]calculo!F180,2)</f>
        <v>161.94999999999999</v>
      </c>
      <c r="H153" s="17">
        <f>IFERROR(VLOOKUP(C153,#REF!,33,0),0)</f>
        <v>0</v>
      </c>
      <c r="I153" s="19">
        <f t="shared" si="4"/>
        <v>161.94999999999999</v>
      </c>
    </row>
    <row r="154" spans="1:9" x14ac:dyDescent="0.25">
      <c r="A154" s="15" t="s">
        <v>578</v>
      </c>
      <c r="B154" s="16" t="s">
        <v>115</v>
      </c>
      <c r="C154" s="28">
        <v>1407</v>
      </c>
      <c r="D154" s="17">
        <v>66.45</v>
      </c>
      <c r="E154" s="17">
        <v>66.45</v>
      </c>
      <c r="F154" s="18">
        <v>4.4973999999999995E-3</v>
      </c>
      <c r="G154" s="19">
        <f>ROUND([1]pres!$C$2*[1]calculo!F360,2)</f>
        <v>270.37</v>
      </c>
      <c r="H154" s="17">
        <f>IFERROR(VLOOKUP(C154,#REF!,33,0),0)</f>
        <v>0</v>
      </c>
      <c r="I154" s="19">
        <f t="shared" si="4"/>
        <v>270.37</v>
      </c>
    </row>
    <row r="155" spans="1:9" x14ac:dyDescent="0.25">
      <c r="A155" s="15" t="s">
        <v>532</v>
      </c>
      <c r="B155" s="16" t="s">
        <v>533</v>
      </c>
      <c r="C155" s="28">
        <v>1408</v>
      </c>
      <c r="D155" s="17">
        <v>33.200000000000003</v>
      </c>
      <c r="E155" s="17">
        <v>33.200000000000003</v>
      </c>
      <c r="F155" s="18">
        <v>2.6939000000000004E-3</v>
      </c>
      <c r="G155" s="19">
        <f>ROUND([1]pres!$C$2*[1]calculo!F318,2)</f>
        <v>161.94999999999999</v>
      </c>
      <c r="H155" s="17">
        <f>IFERROR(VLOOKUP(C155,#REF!,33,0),0)</f>
        <v>0</v>
      </c>
      <c r="I155" s="19">
        <f t="shared" si="4"/>
        <v>161.94999999999999</v>
      </c>
    </row>
    <row r="156" spans="1:9" x14ac:dyDescent="0.25">
      <c r="A156" s="15" t="s">
        <v>414</v>
      </c>
      <c r="B156" s="16" t="s">
        <v>415</v>
      </c>
      <c r="C156" s="28">
        <v>1409</v>
      </c>
      <c r="D156" s="17">
        <v>44.45</v>
      </c>
      <c r="E156" s="17">
        <v>44.45</v>
      </c>
      <c r="F156" s="18">
        <v>2.6939000000000004E-3</v>
      </c>
      <c r="G156" s="19">
        <f>ROUND([1]pres!$C$2*[1]calculo!F218,2)</f>
        <v>161.94999999999999</v>
      </c>
      <c r="H156" s="17">
        <f>IFERROR(VLOOKUP(C156,#REF!,33,0),0)</f>
        <v>0</v>
      </c>
      <c r="I156" s="19">
        <f t="shared" si="4"/>
        <v>161.94999999999999</v>
      </c>
    </row>
    <row r="157" spans="1:9" x14ac:dyDescent="0.25">
      <c r="A157" s="15" t="s">
        <v>498</v>
      </c>
      <c r="B157" s="16" t="s">
        <v>117</v>
      </c>
      <c r="C157" s="28">
        <v>1410</v>
      </c>
      <c r="D157" s="17">
        <v>81</v>
      </c>
      <c r="E157" s="17">
        <v>81</v>
      </c>
      <c r="F157" s="18">
        <v>4.4973999999999995E-3</v>
      </c>
      <c r="G157" s="19">
        <f>ROUND([1]pres!$C$2*[1]calculo!F292,2)</f>
        <v>270.37</v>
      </c>
      <c r="H157" s="17">
        <f>IFERROR(VLOOKUP(C157,#REF!,33,0),0)</f>
        <v>0</v>
      </c>
      <c r="I157" s="19">
        <f t="shared" si="4"/>
        <v>270.37</v>
      </c>
    </row>
    <row r="158" spans="1:9" x14ac:dyDescent="0.25">
      <c r="A158" s="15" t="s">
        <v>580</v>
      </c>
      <c r="B158" s="16" t="s">
        <v>118</v>
      </c>
      <c r="C158" s="28">
        <v>1411</v>
      </c>
      <c r="D158" s="17">
        <v>33</v>
      </c>
      <c r="E158" s="17">
        <v>33</v>
      </c>
      <c r="F158" s="18">
        <v>2.6939000000000004E-3</v>
      </c>
      <c r="G158" s="19">
        <f>ROUND([1]pres!$C$2*[1]calculo!F362,2)</f>
        <v>161.94999999999999</v>
      </c>
      <c r="H158" s="17">
        <f>IFERROR(VLOOKUP(C158,#REF!,33,0),0)</f>
        <v>0</v>
      </c>
      <c r="I158" s="19">
        <f t="shared" si="4"/>
        <v>161.94999999999999</v>
      </c>
    </row>
    <row r="159" spans="1:9" x14ac:dyDescent="0.25">
      <c r="A159" s="15" t="s">
        <v>584</v>
      </c>
      <c r="B159" s="16" t="s">
        <v>119</v>
      </c>
      <c r="C159" s="28">
        <v>1412</v>
      </c>
      <c r="D159" s="17">
        <v>74.599999999999994</v>
      </c>
      <c r="E159" s="17">
        <v>74.599999999999994</v>
      </c>
      <c r="F159" s="18">
        <v>4.4973999999999995E-3</v>
      </c>
      <c r="G159" s="19">
        <f>ROUND([1]pres!$C$2*[1]calculo!F366,2)</f>
        <v>270.37</v>
      </c>
      <c r="H159" s="17">
        <f>IFERROR(VLOOKUP(C159,#REF!,33,0),0)</f>
        <v>0</v>
      </c>
      <c r="I159" s="19">
        <f t="shared" si="4"/>
        <v>270.37</v>
      </c>
    </row>
    <row r="160" spans="1:9" x14ac:dyDescent="0.25">
      <c r="A160" s="15" t="s">
        <v>389</v>
      </c>
      <c r="B160" s="16" t="s">
        <v>120</v>
      </c>
      <c r="C160" s="28">
        <v>1501</v>
      </c>
      <c r="D160" s="17">
        <v>92.5</v>
      </c>
      <c r="E160" s="17">
        <v>92.5</v>
      </c>
      <c r="F160" s="18">
        <v>5.6772999999999997E-3</v>
      </c>
      <c r="G160" s="19">
        <f>ROUND([1]pres!$C$2*[1]calculo!F198,2)</f>
        <v>341.3</v>
      </c>
      <c r="H160" s="17">
        <f>IFERROR(VLOOKUP(C160,#REF!,33,0),0)</f>
        <v>0</v>
      </c>
      <c r="I160" s="19">
        <f t="shared" si="4"/>
        <v>341.3</v>
      </c>
    </row>
    <row r="161" spans="1:9" x14ac:dyDescent="0.25">
      <c r="A161" s="15" t="s">
        <v>291</v>
      </c>
      <c r="B161" s="16" t="s">
        <v>121</v>
      </c>
      <c r="C161" s="28">
        <v>1502</v>
      </c>
      <c r="D161" s="17">
        <v>77.05</v>
      </c>
      <c r="E161" s="17">
        <v>77.05</v>
      </c>
      <c r="F161" s="18">
        <v>4.4973999999999995E-3</v>
      </c>
      <c r="G161" s="19">
        <f>ROUND([1]pres!$C$2*[1]calculo!F113,2)</f>
        <v>270.37</v>
      </c>
      <c r="H161" s="17">
        <f>IFERROR(VLOOKUP(C161,#REF!,33,0),0)</f>
        <v>0</v>
      </c>
      <c r="I161" s="19">
        <f t="shared" si="4"/>
        <v>270.37</v>
      </c>
    </row>
    <row r="162" spans="1:9" x14ac:dyDescent="0.25">
      <c r="A162" s="15" t="s">
        <v>548</v>
      </c>
      <c r="B162" s="16" t="s">
        <v>122</v>
      </c>
      <c r="C162" s="28">
        <v>1503</v>
      </c>
      <c r="D162" s="17">
        <v>68</v>
      </c>
      <c r="E162" s="17">
        <v>68</v>
      </c>
      <c r="F162" s="18">
        <v>4.4973999999999995E-3</v>
      </c>
      <c r="G162" s="19">
        <f>ROUND([1]pres!$C$2*[1]calculo!F332,2)</f>
        <v>270.37</v>
      </c>
      <c r="H162" s="17">
        <f>IFERROR(VLOOKUP(C162,#REF!,33,0),0)</f>
        <v>0</v>
      </c>
      <c r="I162" s="19">
        <f t="shared" ref="I162:I193" si="5">SUM(G162:H162)</f>
        <v>270.37</v>
      </c>
    </row>
    <row r="163" spans="1:9" x14ac:dyDescent="0.25">
      <c r="A163" s="15" t="s">
        <v>212</v>
      </c>
      <c r="B163" s="16" t="s">
        <v>123</v>
      </c>
      <c r="C163" s="28">
        <v>1504</v>
      </c>
      <c r="D163" s="17">
        <v>76.150000000000006</v>
      </c>
      <c r="E163" s="17">
        <v>76.150000000000006</v>
      </c>
      <c r="F163" s="18">
        <v>4.4973999999999995E-3</v>
      </c>
      <c r="G163" s="19">
        <f>ROUND([1]pres!$C$2*[1]calculo!F45,2)</f>
        <v>270.37</v>
      </c>
      <c r="H163" s="17">
        <f>IFERROR(VLOOKUP(C163,#REF!,33,0),0)</f>
        <v>0</v>
      </c>
      <c r="I163" s="19">
        <f t="shared" si="5"/>
        <v>270.37</v>
      </c>
    </row>
    <row r="164" spans="1:9" x14ac:dyDescent="0.25">
      <c r="A164" s="15" t="s">
        <v>377</v>
      </c>
      <c r="B164" s="16" t="s">
        <v>124</v>
      </c>
      <c r="C164" s="28">
        <v>1505</v>
      </c>
      <c r="D164" s="17">
        <v>78.95</v>
      </c>
      <c r="E164" s="17">
        <v>78.95</v>
      </c>
      <c r="F164" s="18">
        <v>4.4973999999999995E-3</v>
      </c>
      <c r="G164" s="19">
        <f>ROUND([1]pres!$C$2*[1]calculo!F185,2)</f>
        <v>270.37</v>
      </c>
      <c r="H164" s="17">
        <f>IFERROR(VLOOKUP(C164,#REF!,33,0),0)</f>
        <v>0</v>
      </c>
      <c r="I164" s="19">
        <f t="shared" si="5"/>
        <v>270.37</v>
      </c>
    </row>
    <row r="165" spans="1:9" x14ac:dyDescent="0.25">
      <c r="A165" s="15" t="s">
        <v>520</v>
      </c>
      <c r="B165" s="16" t="s">
        <v>521</v>
      </c>
      <c r="C165" s="28">
        <v>1506</v>
      </c>
      <c r="D165" s="17">
        <v>43.35</v>
      </c>
      <c r="E165" s="17">
        <v>43.35</v>
      </c>
      <c r="F165" s="18">
        <v>2.6939000000000004E-3</v>
      </c>
      <c r="G165" s="19">
        <f>ROUND([1]pres!$C$2*[1]calculo!F308,2)</f>
        <v>161.94999999999999</v>
      </c>
      <c r="H165" s="17">
        <f>IFERROR(VLOOKUP(C165,#REF!,33,0),0)</f>
        <v>0</v>
      </c>
      <c r="I165" s="19">
        <f t="shared" si="5"/>
        <v>161.94999999999999</v>
      </c>
    </row>
    <row r="166" spans="1:9" x14ac:dyDescent="0.25">
      <c r="A166" s="15" t="s">
        <v>482</v>
      </c>
      <c r="B166" s="16" t="s">
        <v>483</v>
      </c>
      <c r="C166" s="28">
        <v>1507</v>
      </c>
      <c r="D166" s="17">
        <v>66.45</v>
      </c>
      <c r="E166" s="17">
        <v>66.45</v>
      </c>
      <c r="F166" s="18">
        <v>4.4973999999999995E-3</v>
      </c>
      <c r="G166" s="19">
        <f>ROUND([1]pres!$C$2*[1]calculo!F277,2)</f>
        <v>270.37</v>
      </c>
      <c r="H166" s="17">
        <f>IFERROR(VLOOKUP(C166,#REF!,33,0),0)</f>
        <v>0</v>
      </c>
      <c r="I166" s="19">
        <f t="shared" si="5"/>
        <v>270.37</v>
      </c>
    </row>
    <row r="167" spans="1:9" x14ac:dyDescent="0.25">
      <c r="A167" s="15" t="s">
        <v>534</v>
      </c>
      <c r="B167" s="16" t="s">
        <v>535</v>
      </c>
      <c r="C167" s="28">
        <v>1508</v>
      </c>
      <c r="D167" s="17">
        <v>33.200000000000003</v>
      </c>
      <c r="E167" s="17">
        <v>33.200000000000003</v>
      </c>
      <c r="F167" s="18">
        <v>2.6939000000000004E-3</v>
      </c>
      <c r="G167" s="19">
        <f>ROUND([1]pres!$C$2*[1]calculo!F319,2)</f>
        <v>161.94999999999999</v>
      </c>
      <c r="H167" s="17">
        <f>IFERROR(VLOOKUP(C167,#REF!,33,0),0)</f>
        <v>0</v>
      </c>
      <c r="I167" s="19">
        <f t="shared" si="5"/>
        <v>161.94999999999999</v>
      </c>
    </row>
    <row r="168" spans="1:9" x14ac:dyDescent="0.25">
      <c r="A168" s="15" t="s">
        <v>267</v>
      </c>
      <c r="B168" s="16" t="s">
        <v>268</v>
      </c>
      <c r="C168" s="28">
        <v>1509</v>
      </c>
      <c r="D168" s="17">
        <v>44.45</v>
      </c>
      <c r="E168" s="17">
        <v>44.45</v>
      </c>
      <c r="F168" s="18">
        <v>2.6939000000000004E-3</v>
      </c>
      <c r="G168" s="19">
        <f>ROUND([1]pres!$C$2*[1]calculo!F94,2)</f>
        <v>161.94999999999999</v>
      </c>
      <c r="H168" s="17">
        <f>IFERROR(VLOOKUP(C168,#REF!,33,0),0)</f>
        <v>0</v>
      </c>
      <c r="I168" s="19">
        <f t="shared" si="5"/>
        <v>161.94999999999999</v>
      </c>
    </row>
    <row r="169" spans="1:9" x14ac:dyDescent="0.25">
      <c r="A169" s="15" t="s">
        <v>575</v>
      </c>
      <c r="B169" s="16" t="s">
        <v>576</v>
      </c>
      <c r="C169" s="28">
        <v>1510</v>
      </c>
      <c r="D169" s="17">
        <v>81</v>
      </c>
      <c r="E169" s="17">
        <v>81</v>
      </c>
      <c r="F169" s="18">
        <v>4.4973999999999995E-3</v>
      </c>
      <c r="G169" s="19">
        <f>ROUND([1]pres!$C$2*[1]calculo!F358,2)</f>
        <v>270.37</v>
      </c>
      <c r="H169" s="17">
        <f>IFERROR(VLOOKUP(C169,#REF!,33,0),0)</f>
        <v>0</v>
      </c>
      <c r="I169" s="19">
        <f t="shared" si="5"/>
        <v>270.37</v>
      </c>
    </row>
    <row r="170" spans="1:9" x14ac:dyDescent="0.25">
      <c r="A170" s="15" t="s">
        <v>346</v>
      </c>
      <c r="B170" s="16" t="s">
        <v>116</v>
      </c>
      <c r="C170" s="28">
        <v>1511</v>
      </c>
      <c r="D170" s="17">
        <v>33</v>
      </c>
      <c r="E170" s="17">
        <v>33</v>
      </c>
      <c r="F170" s="18">
        <v>2.6939000000000004E-3</v>
      </c>
      <c r="G170" s="19">
        <f>ROUND([1]pres!$C$2*[1]calculo!F160,2)</f>
        <v>161.94999999999999</v>
      </c>
      <c r="H170" s="17">
        <f>IFERROR(VLOOKUP(C170,#REF!,33,0),0)</f>
        <v>0</v>
      </c>
      <c r="I170" s="19">
        <f t="shared" si="5"/>
        <v>161.94999999999999</v>
      </c>
    </row>
    <row r="171" spans="1:9" x14ac:dyDescent="0.25">
      <c r="A171" s="15" t="s">
        <v>441</v>
      </c>
      <c r="B171" s="16" t="s">
        <v>125</v>
      </c>
      <c r="C171" s="28">
        <v>1512</v>
      </c>
      <c r="D171" s="17">
        <v>74.599999999999994</v>
      </c>
      <c r="E171" s="17">
        <v>74.599999999999994</v>
      </c>
      <c r="F171" s="18">
        <v>4.4973999999999995E-3</v>
      </c>
      <c r="G171" s="19">
        <f>ROUND([1]pres!$C$2*[1]calculo!F242,2)</f>
        <v>270.37</v>
      </c>
      <c r="H171" s="17">
        <f>IFERROR(VLOOKUP(C171,#REF!,33,0),0)</f>
        <v>0</v>
      </c>
      <c r="I171" s="19">
        <f t="shared" si="5"/>
        <v>270.37</v>
      </c>
    </row>
    <row r="172" spans="1:9" x14ac:dyDescent="0.25">
      <c r="A172" s="15" t="s">
        <v>463</v>
      </c>
      <c r="B172" s="16" t="s">
        <v>126</v>
      </c>
      <c r="C172" s="28">
        <v>1601</v>
      </c>
      <c r="D172" s="17">
        <v>92.5</v>
      </c>
      <c r="E172" s="17">
        <v>92.5</v>
      </c>
      <c r="F172" s="18">
        <v>5.6772999999999997E-3</v>
      </c>
      <c r="G172" s="19">
        <f>ROUND([1]pres!$C$2*[1]calculo!F262,2)</f>
        <v>341.3</v>
      </c>
      <c r="H172" s="17">
        <f>IFERROR(VLOOKUP(C172,#REF!,33,0),0)</f>
        <v>0</v>
      </c>
      <c r="I172" s="19">
        <f t="shared" si="5"/>
        <v>341.3</v>
      </c>
    </row>
    <row r="173" spans="1:9" x14ac:dyDescent="0.25">
      <c r="A173" s="15" t="s">
        <v>186</v>
      </c>
      <c r="B173" s="16" t="s">
        <v>127</v>
      </c>
      <c r="C173" s="28">
        <v>1602</v>
      </c>
      <c r="D173" s="17">
        <v>77.05</v>
      </c>
      <c r="E173" s="17">
        <v>77.05</v>
      </c>
      <c r="F173" s="18">
        <v>4.4973999999999995E-3</v>
      </c>
      <c r="G173" s="19">
        <f>ROUND([1]pres!$C$2*[1]calculo!F21,2)</f>
        <v>270.37</v>
      </c>
      <c r="H173" s="17">
        <f>IFERROR(VLOOKUP(C173,#REF!,33,0),0)</f>
        <v>0</v>
      </c>
      <c r="I173" s="19">
        <f t="shared" si="5"/>
        <v>270.37</v>
      </c>
    </row>
    <row r="174" spans="1:9" x14ac:dyDescent="0.25">
      <c r="A174" s="15" t="s">
        <v>325</v>
      </c>
      <c r="B174" s="16" t="s">
        <v>128</v>
      </c>
      <c r="C174" s="28">
        <v>1603</v>
      </c>
      <c r="D174" s="17">
        <v>68</v>
      </c>
      <c r="E174" s="17">
        <v>68</v>
      </c>
      <c r="F174" s="18">
        <v>4.4973999999999995E-3</v>
      </c>
      <c r="G174" s="19">
        <f>ROUND([1]pres!$C$2*[1]calculo!F142,2)</f>
        <v>270.37</v>
      </c>
      <c r="H174" s="17">
        <f>IFERROR(VLOOKUP(C174,#REF!,33,0),0)</f>
        <v>0</v>
      </c>
      <c r="I174" s="19">
        <f t="shared" si="5"/>
        <v>270.37</v>
      </c>
    </row>
    <row r="175" spans="1:9" x14ac:dyDescent="0.25">
      <c r="A175" s="15" t="s">
        <v>358</v>
      </c>
      <c r="B175" s="16" t="s">
        <v>359</v>
      </c>
      <c r="C175" s="28">
        <v>1604</v>
      </c>
      <c r="D175" s="17">
        <v>76.150000000000006</v>
      </c>
      <c r="E175" s="17">
        <v>76.150000000000006</v>
      </c>
      <c r="F175" s="18">
        <v>4.4973999999999995E-3</v>
      </c>
      <c r="G175" s="19">
        <f>ROUND([1]pres!$C$2*[1]calculo!F169,2)</f>
        <v>270.37</v>
      </c>
      <c r="H175" s="17">
        <f>IFERROR(VLOOKUP(C175,#REF!,33,0),0)</f>
        <v>0</v>
      </c>
      <c r="I175" s="19">
        <f t="shared" si="5"/>
        <v>270.37</v>
      </c>
    </row>
    <row r="176" spans="1:9" x14ac:dyDescent="0.25">
      <c r="A176" s="15" t="s">
        <v>163</v>
      </c>
      <c r="B176" s="16" t="s">
        <v>164</v>
      </c>
      <c r="C176" s="28">
        <v>1605</v>
      </c>
      <c r="D176" s="17">
        <v>78.95</v>
      </c>
      <c r="E176" s="17">
        <v>78.95</v>
      </c>
      <c r="F176" s="18">
        <v>4.4973999999999995E-3</v>
      </c>
      <c r="G176" s="19">
        <f>ROUND([1]pres!$C$2*[1]calculo!F3,2)</f>
        <v>270.37</v>
      </c>
      <c r="H176" s="17">
        <f>IFERROR(VLOOKUP(C176,#REF!,33,0),0)</f>
        <v>0</v>
      </c>
      <c r="I176" s="19">
        <f t="shared" si="5"/>
        <v>270.37</v>
      </c>
    </row>
    <row r="177" spans="1:9" x14ac:dyDescent="0.25">
      <c r="A177" s="15" t="s">
        <v>544</v>
      </c>
      <c r="B177" s="16" t="s">
        <v>129</v>
      </c>
      <c r="C177" s="28">
        <v>1606</v>
      </c>
      <c r="D177" s="17">
        <v>43.35</v>
      </c>
      <c r="E177" s="17">
        <v>43.35</v>
      </c>
      <c r="F177" s="18">
        <v>2.6939000000000004E-3</v>
      </c>
      <c r="G177" s="19">
        <f>ROUND([1]pres!$C$2*[1]calculo!F328,2)</f>
        <v>161.94999999999999</v>
      </c>
      <c r="H177" s="17">
        <f>IFERROR(VLOOKUP(C177,#REF!,33,0),0)</f>
        <v>0</v>
      </c>
      <c r="I177" s="19">
        <f t="shared" si="5"/>
        <v>161.94999999999999</v>
      </c>
    </row>
    <row r="178" spans="1:9" x14ac:dyDescent="0.25">
      <c r="A178" s="15" t="s">
        <v>218</v>
      </c>
      <c r="B178" s="16" t="s">
        <v>130</v>
      </c>
      <c r="C178" s="28">
        <v>1607</v>
      </c>
      <c r="D178" s="17">
        <v>66.45</v>
      </c>
      <c r="E178" s="17">
        <v>66.45</v>
      </c>
      <c r="F178" s="18">
        <v>4.4973999999999995E-3</v>
      </c>
      <c r="G178" s="19">
        <f>ROUND([1]pres!$C$2*[1]calculo!F51,2)</f>
        <v>270.37</v>
      </c>
      <c r="H178" s="17">
        <f>IFERROR(VLOOKUP(C178,#REF!,33,0),0)</f>
        <v>0</v>
      </c>
      <c r="I178" s="19">
        <f t="shared" si="5"/>
        <v>270.37</v>
      </c>
    </row>
    <row r="179" spans="1:9" x14ac:dyDescent="0.25">
      <c r="A179" s="15" t="s">
        <v>436</v>
      </c>
      <c r="B179" s="16" t="s">
        <v>131</v>
      </c>
      <c r="C179" s="28">
        <v>1608</v>
      </c>
      <c r="D179" s="17">
        <v>33.200000000000003</v>
      </c>
      <c r="E179" s="17">
        <v>33.200000000000003</v>
      </c>
      <c r="F179" s="18">
        <v>2.6939000000000004E-3</v>
      </c>
      <c r="G179" s="19">
        <f>ROUND([1]pres!$C$2*[1]calculo!F237,2)</f>
        <v>161.94999999999999</v>
      </c>
      <c r="H179" s="17">
        <f>IFERROR(VLOOKUP(C179,#REF!,33,0),0)</f>
        <v>0</v>
      </c>
      <c r="I179" s="19">
        <f t="shared" si="5"/>
        <v>161.94999999999999</v>
      </c>
    </row>
    <row r="180" spans="1:9" x14ac:dyDescent="0.25">
      <c r="A180" s="15" t="s">
        <v>207</v>
      </c>
      <c r="B180" s="16" t="s">
        <v>132</v>
      </c>
      <c r="C180" s="28">
        <v>1609</v>
      </c>
      <c r="D180" s="17">
        <v>44.45</v>
      </c>
      <c r="E180" s="17">
        <v>44.45</v>
      </c>
      <c r="F180" s="18">
        <v>2.6939000000000004E-3</v>
      </c>
      <c r="G180" s="19">
        <f>ROUND([1]pres!$C$2*[1]calculo!F40,2)</f>
        <v>161.94999999999999</v>
      </c>
      <c r="H180" s="17">
        <f>IFERROR(VLOOKUP(C180,#REF!,33,0),0)</f>
        <v>0</v>
      </c>
      <c r="I180" s="19">
        <f t="shared" si="5"/>
        <v>161.94999999999999</v>
      </c>
    </row>
    <row r="181" spans="1:9" x14ac:dyDescent="0.25">
      <c r="A181" s="15" t="s">
        <v>253</v>
      </c>
      <c r="B181" s="16" t="s">
        <v>133</v>
      </c>
      <c r="C181" s="28">
        <v>1610</v>
      </c>
      <c r="D181" s="17">
        <v>81</v>
      </c>
      <c r="E181" s="17">
        <v>81</v>
      </c>
      <c r="F181" s="18">
        <v>4.4973999999999995E-3</v>
      </c>
      <c r="G181" s="19">
        <f>ROUND([1]pres!$C$2*[1]calculo!F80,2)</f>
        <v>270.37</v>
      </c>
      <c r="H181" s="17">
        <f>IFERROR(VLOOKUP(C181,#REF!,33,0),0)</f>
        <v>0</v>
      </c>
      <c r="I181" s="19">
        <f t="shared" si="5"/>
        <v>270.37</v>
      </c>
    </row>
    <row r="182" spans="1:9" x14ac:dyDescent="0.25">
      <c r="A182" s="15" t="s">
        <v>527</v>
      </c>
      <c r="B182" s="16" t="s">
        <v>134</v>
      </c>
      <c r="C182" s="28">
        <v>1611</v>
      </c>
      <c r="D182" s="17">
        <v>33</v>
      </c>
      <c r="E182" s="17">
        <v>33</v>
      </c>
      <c r="F182" s="18">
        <v>2.6939000000000004E-3</v>
      </c>
      <c r="G182" s="19">
        <f>ROUND([1]pres!$C$2*[1]calculo!F314,2)</f>
        <v>161.94999999999999</v>
      </c>
      <c r="H182" s="17">
        <f>IFERROR(VLOOKUP(C182,#REF!,33,0),0)</f>
        <v>0</v>
      </c>
      <c r="I182" s="19">
        <f t="shared" si="5"/>
        <v>161.94999999999999</v>
      </c>
    </row>
    <row r="183" spans="1:9" x14ac:dyDescent="0.25">
      <c r="A183" s="15" t="s">
        <v>285</v>
      </c>
      <c r="B183" s="16" t="s">
        <v>286</v>
      </c>
      <c r="C183" s="28">
        <v>1612</v>
      </c>
      <c r="D183" s="17">
        <v>74.599999999999994</v>
      </c>
      <c r="E183" s="17">
        <v>74.599999999999994</v>
      </c>
      <c r="F183" s="18">
        <v>4.4973999999999995E-3</v>
      </c>
      <c r="G183" s="19">
        <f>ROUND([1]pres!$C$2*[1]calculo!F109,2)</f>
        <v>270.37</v>
      </c>
      <c r="H183" s="17">
        <f>IFERROR(VLOOKUP(C183,#REF!,33,0),0)</f>
        <v>0</v>
      </c>
      <c r="I183" s="19">
        <f t="shared" si="5"/>
        <v>270.37</v>
      </c>
    </row>
    <row r="184" spans="1:9" x14ac:dyDescent="0.25">
      <c r="A184" s="15" t="s">
        <v>561</v>
      </c>
      <c r="B184" s="16" t="s">
        <v>135</v>
      </c>
      <c r="C184" s="28">
        <v>1701</v>
      </c>
      <c r="D184" s="17">
        <v>92.5</v>
      </c>
      <c r="E184" s="17">
        <v>92.5</v>
      </c>
      <c r="F184" s="18">
        <v>5.6772999999999997E-3</v>
      </c>
      <c r="G184" s="19">
        <f>ROUND([1]pres!$C$2*[1]calculo!F344,2)</f>
        <v>341.3</v>
      </c>
      <c r="H184" s="17">
        <f>IFERROR(VLOOKUP(C184,#REF!,33,0),0)</f>
        <v>0</v>
      </c>
      <c r="I184" s="19">
        <f t="shared" si="5"/>
        <v>341.3</v>
      </c>
    </row>
    <row r="185" spans="1:9" x14ac:dyDescent="0.25">
      <c r="A185" s="15" t="s">
        <v>572</v>
      </c>
      <c r="B185" s="16" t="s">
        <v>136</v>
      </c>
      <c r="C185" s="28">
        <v>1702</v>
      </c>
      <c r="D185" s="17">
        <v>77.05</v>
      </c>
      <c r="E185" s="17">
        <v>77.05</v>
      </c>
      <c r="F185" s="18">
        <v>4.4973999999999995E-3</v>
      </c>
      <c r="G185" s="19">
        <f>ROUND([1]pres!$C$2*[1]calculo!F355,2)</f>
        <v>270.37</v>
      </c>
      <c r="H185" s="17">
        <f>IFERROR(VLOOKUP(C185,#REF!,33,0),0)</f>
        <v>0</v>
      </c>
      <c r="I185" s="19">
        <f t="shared" si="5"/>
        <v>270.37</v>
      </c>
    </row>
    <row r="186" spans="1:9" x14ac:dyDescent="0.25">
      <c r="A186" s="15" t="s">
        <v>197</v>
      </c>
      <c r="B186" s="16" t="s">
        <v>198</v>
      </c>
      <c r="C186" s="28">
        <v>1703</v>
      </c>
      <c r="D186" s="17">
        <v>68</v>
      </c>
      <c r="E186" s="17">
        <v>68</v>
      </c>
      <c r="F186" s="18">
        <v>4.4973999999999995E-3</v>
      </c>
      <c r="G186" s="19">
        <f>ROUND([1]pres!$C$2*[1]calculo!F31,2)</f>
        <v>270.37</v>
      </c>
      <c r="H186" s="17">
        <f>IFERROR(VLOOKUP(C186,#REF!,33,0),0)</f>
        <v>0</v>
      </c>
      <c r="I186" s="19">
        <f t="shared" si="5"/>
        <v>270.37</v>
      </c>
    </row>
    <row r="187" spans="1:9" x14ac:dyDescent="0.25">
      <c r="A187" s="15" t="s">
        <v>589</v>
      </c>
      <c r="B187" s="16" t="s">
        <v>137</v>
      </c>
      <c r="C187" s="28">
        <v>1704</v>
      </c>
      <c r="D187" s="17">
        <v>76.150000000000006</v>
      </c>
      <c r="E187" s="17">
        <v>76.150000000000006</v>
      </c>
      <c r="F187" s="18">
        <v>4.4973999999999995E-3</v>
      </c>
      <c r="G187" s="19">
        <f>ROUND([1]pres!$C$2*[1]calculo!F371,2)</f>
        <v>270.37</v>
      </c>
      <c r="H187" s="17">
        <f>IFERROR(VLOOKUP(C187,#REF!,33,0),0)</f>
        <v>0</v>
      </c>
      <c r="I187" s="19">
        <f t="shared" si="5"/>
        <v>270.37</v>
      </c>
    </row>
    <row r="188" spans="1:9" x14ac:dyDescent="0.25">
      <c r="A188" s="15" t="s">
        <v>348</v>
      </c>
      <c r="B188" s="16" t="s">
        <v>138</v>
      </c>
      <c r="C188" s="28">
        <v>1705</v>
      </c>
      <c r="D188" s="17">
        <v>78.95</v>
      </c>
      <c r="E188" s="17">
        <v>78.95</v>
      </c>
      <c r="F188" s="18">
        <v>4.4973999999999995E-3</v>
      </c>
      <c r="G188" s="19">
        <f>ROUND([1]pres!$C$2*[1]calculo!F162,2)</f>
        <v>270.37</v>
      </c>
      <c r="H188" s="17">
        <f>IFERROR(VLOOKUP(C188,#REF!,33,0),0)</f>
        <v>0</v>
      </c>
      <c r="I188" s="19">
        <f t="shared" si="5"/>
        <v>270.37</v>
      </c>
    </row>
    <row r="189" spans="1:9" x14ac:dyDescent="0.25">
      <c r="A189" s="15" t="s">
        <v>586</v>
      </c>
      <c r="B189" s="16" t="s">
        <v>139</v>
      </c>
      <c r="C189" s="28">
        <v>1706</v>
      </c>
      <c r="D189" s="17">
        <v>43.35</v>
      </c>
      <c r="E189" s="17">
        <v>43.35</v>
      </c>
      <c r="F189" s="18">
        <v>2.6939000000000004E-3</v>
      </c>
      <c r="G189" s="19">
        <f>ROUND([1]pres!$C$2*[1]calculo!F368,2)</f>
        <v>161.94999999999999</v>
      </c>
      <c r="H189" s="17">
        <f>IFERROR(VLOOKUP(C189,#REF!,33,0),0)</f>
        <v>0</v>
      </c>
      <c r="I189" s="19">
        <f t="shared" si="5"/>
        <v>161.94999999999999</v>
      </c>
    </row>
    <row r="190" spans="1:9" x14ac:dyDescent="0.25">
      <c r="A190" s="15" t="s">
        <v>512</v>
      </c>
      <c r="B190" s="16" t="s">
        <v>513</v>
      </c>
      <c r="C190" s="28">
        <v>1707</v>
      </c>
      <c r="D190" s="17">
        <v>66.45</v>
      </c>
      <c r="E190" s="17">
        <v>66.45</v>
      </c>
      <c r="F190" s="18">
        <v>4.4973999999999995E-3</v>
      </c>
      <c r="G190" s="19">
        <f>ROUND([1]pres!$C$2*[1]calculo!F301,2)</f>
        <v>270.37</v>
      </c>
      <c r="H190" s="17">
        <f>IFERROR(VLOOKUP(C190,#REF!,33,0),0)</f>
        <v>0</v>
      </c>
      <c r="I190" s="19">
        <f t="shared" si="5"/>
        <v>270.37</v>
      </c>
    </row>
    <row r="191" spans="1:9" x14ac:dyDescent="0.25">
      <c r="A191" s="15" t="s">
        <v>564</v>
      </c>
      <c r="B191" s="16" t="s">
        <v>140</v>
      </c>
      <c r="C191" s="28">
        <v>1708</v>
      </c>
      <c r="D191" s="17">
        <v>33.200000000000003</v>
      </c>
      <c r="E191" s="17">
        <v>33.200000000000003</v>
      </c>
      <c r="F191" s="18">
        <v>2.6939000000000004E-3</v>
      </c>
      <c r="G191" s="19">
        <f>ROUND([1]pres!$C$2*[1]calculo!F347,2)</f>
        <v>161.94999999999999</v>
      </c>
      <c r="H191" s="17">
        <f>IFERROR(VLOOKUP(C191,#REF!,33,0),0)</f>
        <v>0</v>
      </c>
      <c r="I191" s="19">
        <f t="shared" si="5"/>
        <v>161.94999999999999</v>
      </c>
    </row>
    <row r="192" spans="1:9" x14ac:dyDescent="0.25">
      <c r="A192" s="15" t="s">
        <v>397</v>
      </c>
      <c r="B192" s="16" t="s">
        <v>398</v>
      </c>
      <c r="C192" s="28">
        <v>1709</v>
      </c>
      <c r="D192" s="17">
        <v>44.45</v>
      </c>
      <c r="E192" s="17">
        <v>44.45</v>
      </c>
      <c r="F192" s="18">
        <v>2.6939000000000004E-3</v>
      </c>
      <c r="G192" s="19">
        <f>ROUND([1]pres!$C$2*[1]calculo!F205,2)</f>
        <v>161.94999999999999</v>
      </c>
      <c r="H192" s="17">
        <f>IFERROR(VLOOKUP(C192,#REF!,33,0),0)</f>
        <v>0</v>
      </c>
      <c r="I192" s="19">
        <f t="shared" si="5"/>
        <v>161.94999999999999</v>
      </c>
    </row>
    <row r="193" spans="1:9" x14ac:dyDescent="0.25">
      <c r="A193" s="15" t="s">
        <v>214</v>
      </c>
      <c r="B193" s="16" t="s">
        <v>141</v>
      </c>
      <c r="C193" s="28">
        <v>1710</v>
      </c>
      <c r="D193" s="17">
        <v>81</v>
      </c>
      <c r="E193" s="17">
        <v>81</v>
      </c>
      <c r="F193" s="18">
        <v>4.4973999999999995E-3</v>
      </c>
      <c r="G193" s="19">
        <f>ROUND([1]pres!$C$2*[1]calculo!F47,2)</f>
        <v>270.37</v>
      </c>
      <c r="H193" s="17">
        <f>IFERROR(VLOOKUP(C193,#REF!,33,0),0)</f>
        <v>0</v>
      </c>
      <c r="I193" s="19">
        <f t="shared" si="5"/>
        <v>270.37</v>
      </c>
    </row>
    <row r="194" spans="1:9" x14ac:dyDescent="0.25">
      <c r="A194" s="15" t="s">
        <v>392</v>
      </c>
      <c r="B194" s="16" t="s">
        <v>393</v>
      </c>
      <c r="C194" s="28">
        <v>1711</v>
      </c>
      <c r="D194" s="17">
        <v>33</v>
      </c>
      <c r="E194" s="17">
        <v>33</v>
      </c>
      <c r="F194" s="18">
        <v>2.6939000000000004E-3</v>
      </c>
      <c r="G194" s="19">
        <f>ROUND([1]pres!$C$2*[1]calculo!F201,2)</f>
        <v>161.94999999999999</v>
      </c>
      <c r="H194" s="17">
        <f>IFERROR(VLOOKUP(C194,#REF!,33,0),0)</f>
        <v>0</v>
      </c>
      <c r="I194" s="19">
        <f t="shared" ref="I194:I195" si="6">SUM(G194:H194)</f>
        <v>161.94999999999999</v>
      </c>
    </row>
    <row r="195" spans="1:9" x14ac:dyDescent="0.25">
      <c r="A195" s="15" t="s">
        <v>383</v>
      </c>
      <c r="B195" s="16" t="s">
        <v>142</v>
      </c>
      <c r="C195" s="28">
        <v>1712</v>
      </c>
      <c r="D195" s="17">
        <v>74.599999999999994</v>
      </c>
      <c r="E195" s="17">
        <v>74.599999999999994</v>
      </c>
      <c r="F195" s="18">
        <v>4.4973999999999995E-3</v>
      </c>
      <c r="G195" s="19">
        <f>ROUND([1]pres!$C$2*[1]calculo!F192,2)</f>
        <v>270.37</v>
      </c>
      <c r="H195" s="17">
        <f>IFERROR(VLOOKUP(C195,#REF!,33,0),0)</f>
        <v>0</v>
      </c>
      <c r="I195" s="19">
        <f t="shared" si="6"/>
        <v>270.37</v>
      </c>
    </row>
    <row r="196" spans="1:9" x14ac:dyDescent="0.25">
      <c r="A196" s="21"/>
      <c r="B196" s="22"/>
      <c r="C196" s="29">
        <f>+COUNT(C2:C195)</f>
        <v>194</v>
      </c>
      <c r="D196" s="17">
        <f>SUM(D1:D195)</f>
        <v>12767.370000000014</v>
      </c>
      <c r="E196" s="17">
        <f>SUM(E1:E195)</f>
        <v>12887.950000000015</v>
      </c>
      <c r="F196" s="18">
        <f>SUM(F2:F195)</f>
        <v>0.7851448000000002</v>
      </c>
      <c r="G196" s="17">
        <f>SUM(G2:G195)</f>
        <v>47200.520000000048</v>
      </c>
      <c r="H196" s="19">
        <f>SUM(H1:H195)</f>
        <v>0</v>
      </c>
      <c r="I196" s="19">
        <f>SUM(I1:I195)</f>
        <v>47200.520000000048</v>
      </c>
    </row>
    <row r="198" spans="1:9" x14ac:dyDescent="0.25">
      <c r="F198" s="25"/>
    </row>
  </sheetData>
  <sortState xmlns:xlrd2="http://schemas.microsoft.com/office/spreadsheetml/2017/richdata2" ref="A2:I195">
    <sortCondition ref="C2:C19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4"/>
  <sheetViews>
    <sheetView topLeftCell="A148" workbookViewId="0">
      <selection activeCell="A160" sqref="A160:XFD160"/>
    </sheetView>
  </sheetViews>
  <sheetFormatPr baseColWidth="10" defaultColWidth="11.42578125" defaultRowHeight="15" x14ac:dyDescent="0.25"/>
  <cols>
    <col min="1" max="1" width="11.42578125" style="23"/>
    <col min="2" max="2" width="45.5703125" customWidth="1"/>
    <col min="3" max="3" width="16" style="23" bestFit="1" customWidth="1"/>
    <col min="4" max="5" width="11.42578125" style="24"/>
    <col min="6" max="6" width="18.42578125" style="39" customWidth="1"/>
    <col min="7" max="7" width="15.85546875" bestFit="1" customWidth="1"/>
    <col min="8" max="8" width="11.42578125" style="24"/>
  </cols>
  <sheetData>
    <row r="1" spans="1:9" ht="30" x14ac:dyDescent="0.25">
      <c r="A1" s="11" t="s">
        <v>155</v>
      </c>
      <c r="B1" s="12" t="s">
        <v>156</v>
      </c>
      <c r="C1" s="11" t="s">
        <v>157</v>
      </c>
      <c r="D1" s="13" t="s">
        <v>2</v>
      </c>
      <c r="E1" s="13" t="s">
        <v>3</v>
      </c>
      <c r="F1" s="37" t="s">
        <v>4</v>
      </c>
      <c r="G1" s="13" t="s">
        <v>158</v>
      </c>
      <c r="H1" s="13" t="s">
        <v>159</v>
      </c>
      <c r="I1" s="13" t="s">
        <v>160</v>
      </c>
    </row>
    <row r="2" spans="1:9" x14ac:dyDescent="0.25">
      <c r="A2" s="15" t="s">
        <v>593</v>
      </c>
      <c r="B2" s="30" t="s">
        <v>480</v>
      </c>
      <c r="C2" s="15" t="s">
        <v>594</v>
      </c>
      <c r="D2" s="17">
        <v>0</v>
      </c>
      <c r="E2" s="17">
        <v>0</v>
      </c>
      <c r="F2" s="36">
        <v>1.2690000000000002E-3</v>
      </c>
      <c r="G2" s="19">
        <f>ROUND([1]pres!$C$2*[1]calculo!F375,2)</f>
        <v>76.290000000000006</v>
      </c>
      <c r="H2" s="17">
        <f>IFERROR(VLOOKUP(C2,#REF!,33,0),0)</f>
        <v>0</v>
      </c>
      <c r="I2" s="19">
        <f t="shared" ref="I2:I33" si="0">SUM(G2:H2)</f>
        <v>76.290000000000006</v>
      </c>
    </row>
    <row r="3" spans="1:9" x14ac:dyDescent="0.25">
      <c r="A3" s="15" t="s">
        <v>197</v>
      </c>
      <c r="B3" s="16" t="s">
        <v>198</v>
      </c>
      <c r="C3" s="15" t="s">
        <v>199</v>
      </c>
      <c r="D3" s="17">
        <v>0</v>
      </c>
      <c r="E3" s="17">
        <v>0</v>
      </c>
      <c r="F3" s="36">
        <v>1.2690000000000002E-3</v>
      </c>
      <c r="G3" s="19">
        <f>ROUND([1]pres!$C$2*[1]calculo!F32,2)</f>
        <v>76.290000000000006</v>
      </c>
      <c r="H3" s="17">
        <f>IFERROR(VLOOKUP(C3,#REF!,33,0),0)</f>
        <v>0</v>
      </c>
      <c r="I3" s="19">
        <f t="shared" si="0"/>
        <v>76.290000000000006</v>
      </c>
    </row>
    <row r="4" spans="1:9" x14ac:dyDescent="0.25">
      <c r="A4" s="15" t="s">
        <v>267</v>
      </c>
      <c r="B4" s="16" t="s">
        <v>268</v>
      </c>
      <c r="C4" s="15" t="s">
        <v>269</v>
      </c>
      <c r="D4" s="17">
        <v>0</v>
      </c>
      <c r="E4" s="17">
        <v>0</v>
      </c>
      <c r="F4" s="36">
        <v>1.2690000000000002E-3</v>
      </c>
      <c r="G4" s="19">
        <f>ROUND([1]pres!$C$2*[1]calculo!F95,2)</f>
        <v>76.290000000000006</v>
      </c>
      <c r="H4" s="17">
        <f>IFERROR(VLOOKUP(C4,#REF!,33,0),0)</f>
        <v>0</v>
      </c>
      <c r="I4" s="19">
        <f t="shared" si="0"/>
        <v>76.290000000000006</v>
      </c>
    </row>
    <row r="5" spans="1:9" x14ac:dyDescent="0.25">
      <c r="A5" s="15" t="s">
        <v>459</v>
      </c>
      <c r="B5" s="16" t="s">
        <v>63</v>
      </c>
      <c r="C5" s="15" t="s">
        <v>460</v>
      </c>
      <c r="D5" s="17">
        <v>0</v>
      </c>
      <c r="E5" s="17">
        <v>0</v>
      </c>
      <c r="F5" s="36">
        <v>1.2690000000000002E-3</v>
      </c>
      <c r="G5" s="19">
        <f>ROUND([1]pres!$C$2*[1]calculo!F259,2)</f>
        <v>76.290000000000006</v>
      </c>
      <c r="H5" s="17">
        <f>IFERROR(VLOOKUP(C5,#REF!,33,0),0)</f>
        <v>0</v>
      </c>
      <c r="I5" s="19">
        <f t="shared" si="0"/>
        <v>76.290000000000006</v>
      </c>
    </row>
    <row r="6" spans="1:9" x14ac:dyDescent="0.25">
      <c r="A6" s="15" t="s">
        <v>264</v>
      </c>
      <c r="B6" s="16" t="s">
        <v>265</v>
      </c>
      <c r="C6" s="15" t="s">
        <v>266</v>
      </c>
      <c r="D6" s="17">
        <v>0</v>
      </c>
      <c r="E6" s="17">
        <v>0</v>
      </c>
      <c r="F6" s="36">
        <v>1.2690000000000002E-3</v>
      </c>
      <c r="G6" s="19">
        <f>ROUND([1]pres!$C$2*[1]calculo!F93,2)</f>
        <v>76.290000000000006</v>
      </c>
      <c r="H6" s="17">
        <f>IFERROR(VLOOKUP(C6,#REF!,33,0),0)</f>
        <v>0</v>
      </c>
      <c r="I6" s="19">
        <f t="shared" si="0"/>
        <v>76.290000000000006</v>
      </c>
    </row>
    <row r="7" spans="1:9" x14ac:dyDescent="0.25">
      <c r="A7" s="15" t="s">
        <v>506</v>
      </c>
      <c r="B7" s="16" t="s">
        <v>507</v>
      </c>
      <c r="C7" s="15" t="s">
        <v>509</v>
      </c>
      <c r="D7" s="17">
        <v>0</v>
      </c>
      <c r="E7" s="17">
        <v>0</v>
      </c>
      <c r="F7" s="36">
        <v>1.2690000000000002E-3</v>
      </c>
      <c r="G7" s="19">
        <f>ROUND([1]pres!$C$2*[1]calculo!F299,2)</f>
        <v>76.290000000000006</v>
      </c>
      <c r="H7" s="17">
        <f>IFERROR(VLOOKUP(C7,#REF!,33,0),0)</f>
        <v>0</v>
      </c>
      <c r="I7" s="19">
        <f t="shared" si="0"/>
        <v>76.290000000000006</v>
      </c>
    </row>
    <row r="8" spans="1:9" x14ac:dyDescent="0.25">
      <c r="A8" s="15" t="s">
        <v>197</v>
      </c>
      <c r="B8" s="16" t="s">
        <v>198</v>
      </c>
      <c r="C8" s="15" t="s">
        <v>200</v>
      </c>
      <c r="D8" s="17">
        <v>0</v>
      </c>
      <c r="E8" s="17">
        <v>0</v>
      </c>
      <c r="F8" s="36">
        <v>1.2690000000000002E-3</v>
      </c>
      <c r="G8" s="19">
        <f>ROUND([1]pres!$C$2*[1]calculo!F33,2)</f>
        <v>76.290000000000006</v>
      </c>
      <c r="H8" s="17">
        <f>IFERROR(VLOOKUP(C8,#REF!,33,0),0)</f>
        <v>0</v>
      </c>
      <c r="I8" s="19">
        <f t="shared" si="0"/>
        <v>76.290000000000006</v>
      </c>
    </row>
    <row r="9" spans="1:9" x14ac:dyDescent="0.25">
      <c r="A9" s="15" t="s">
        <v>259</v>
      </c>
      <c r="B9" s="16" t="s">
        <v>9</v>
      </c>
      <c r="C9" s="15" t="s">
        <v>260</v>
      </c>
      <c r="D9" s="17">
        <v>0</v>
      </c>
      <c r="E9" s="17">
        <v>0</v>
      </c>
      <c r="F9" s="36">
        <v>1.2690000000000002E-3</v>
      </c>
      <c r="G9" s="19">
        <f>ROUND([1]pres!$C$2*[1]calculo!F88,2)</f>
        <v>76.290000000000006</v>
      </c>
      <c r="H9" s="17">
        <f>IFERROR(VLOOKUP(C9,#REF!,33,0),0)</f>
        <v>0</v>
      </c>
      <c r="I9" s="19">
        <f t="shared" si="0"/>
        <v>76.290000000000006</v>
      </c>
    </row>
    <row r="10" spans="1:9" x14ac:dyDescent="0.25">
      <c r="A10" s="15" t="s">
        <v>600</v>
      </c>
      <c r="B10" s="16" t="s">
        <v>151</v>
      </c>
      <c r="C10" s="15" t="s">
        <v>601</v>
      </c>
      <c r="D10" s="17">
        <v>0</v>
      </c>
      <c r="E10" s="17">
        <v>0</v>
      </c>
      <c r="F10" s="36">
        <v>1.2690000000000002E-3</v>
      </c>
      <c r="G10" s="19">
        <f>ROUND([1]pres!$C$2*[1]calculo!F379,2)</f>
        <v>76.290000000000006</v>
      </c>
      <c r="H10" s="17">
        <f>IFERROR(VLOOKUP(C10,#REF!,33,0),0)</f>
        <v>0</v>
      </c>
      <c r="I10" s="19">
        <f t="shared" si="0"/>
        <v>76.290000000000006</v>
      </c>
    </row>
    <row r="11" spans="1:9" x14ac:dyDescent="0.25">
      <c r="A11" s="15" t="s">
        <v>197</v>
      </c>
      <c r="B11" s="16" t="s">
        <v>198</v>
      </c>
      <c r="C11" s="15" t="s">
        <v>201</v>
      </c>
      <c r="D11" s="17">
        <v>0</v>
      </c>
      <c r="E11" s="17">
        <v>0</v>
      </c>
      <c r="F11" s="36">
        <v>1.2690000000000002E-3</v>
      </c>
      <c r="G11" s="19">
        <f>ROUND([1]pres!$C$2*[1]calculo!F34,2)</f>
        <v>76.290000000000006</v>
      </c>
      <c r="H11" s="17">
        <f>IFERROR(VLOOKUP(C11,#REF!,33,0),0)</f>
        <v>0</v>
      </c>
      <c r="I11" s="19">
        <f t="shared" si="0"/>
        <v>76.290000000000006</v>
      </c>
    </row>
    <row r="12" spans="1:9" x14ac:dyDescent="0.25">
      <c r="A12" s="15" t="s">
        <v>591</v>
      </c>
      <c r="B12" s="16" t="s">
        <v>10</v>
      </c>
      <c r="C12" s="15" t="s">
        <v>592</v>
      </c>
      <c r="D12" s="17">
        <v>0</v>
      </c>
      <c r="E12" s="17">
        <v>0</v>
      </c>
      <c r="F12" s="36">
        <v>1.2690000000000002E-3</v>
      </c>
      <c r="G12" s="19">
        <f>ROUND([1]pres!$C$2*[1]calculo!F374,2)</f>
        <v>76.290000000000006</v>
      </c>
      <c r="H12" s="17">
        <f>IFERROR(VLOOKUP(C12,#REF!,33,0),0)</f>
        <v>0</v>
      </c>
      <c r="I12" s="19">
        <f t="shared" si="0"/>
        <v>76.290000000000006</v>
      </c>
    </row>
    <row r="13" spans="1:9" x14ac:dyDescent="0.25">
      <c r="A13" s="15" t="s">
        <v>255</v>
      </c>
      <c r="B13" s="16" t="s">
        <v>8</v>
      </c>
      <c r="C13" s="15" t="s">
        <v>256</v>
      </c>
      <c r="D13" s="17">
        <v>0</v>
      </c>
      <c r="E13" s="17">
        <v>0</v>
      </c>
      <c r="F13" s="36">
        <v>1.2690000000000002E-3</v>
      </c>
      <c r="G13" s="19">
        <f>ROUND([1]pres!$C$2*[1]calculo!F83,2)</f>
        <v>76.290000000000006</v>
      </c>
      <c r="H13" s="17">
        <f>IFERROR(VLOOKUP(C13,#REF!,33,0),0)</f>
        <v>0</v>
      </c>
      <c r="I13" s="19">
        <f t="shared" si="0"/>
        <v>76.290000000000006</v>
      </c>
    </row>
    <row r="14" spans="1:9" x14ac:dyDescent="0.25">
      <c r="A14" s="15" t="s">
        <v>589</v>
      </c>
      <c r="B14" s="16" t="s">
        <v>137</v>
      </c>
      <c r="C14" s="15" t="s">
        <v>590</v>
      </c>
      <c r="D14" s="17">
        <v>0</v>
      </c>
      <c r="E14" s="17">
        <v>0</v>
      </c>
      <c r="F14" s="36">
        <v>1.2690000000000002E-3</v>
      </c>
      <c r="G14" s="19">
        <f>ROUND([1]pres!$C$2*[1]calculo!F372,2)</f>
        <v>76.290000000000006</v>
      </c>
      <c r="H14" s="17">
        <f>IFERROR(VLOOKUP(C14,#REF!,33,0),0)</f>
        <v>0</v>
      </c>
      <c r="I14" s="19">
        <f t="shared" si="0"/>
        <v>76.290000000000006</v>
      </c>
    </row>
    <row r="15" spans="1:9" x14ac:dyDescent="0.25">
      <c r="A15" s="15" t="s">
        <v>222</v>
      </c>
      <c r="B15" s="30" t="s">
        <v>93</v>
      </c>
      <c r="C15" s="15" t="s">
        <v>224</v>
      </c>
      <c r="D15" s="17">
        <v>0</v>
      </c>
      <c r="E15" s="17">
        <v>0</v>
      </c>
      <c r="F15" s="36">
        <v>1.2690000000000002E-3</v>
      </c>
      <c r="G15" s="19">
        <f>ROUND([1]pres!$C$2*[1]calculo!F57,2)</f>
        <v>76.290000000000006</v>
      </c>
      <c r="H15" s="17">
        <f>IFERROR(VLOOKUP(C15,#REF!,33,0),0)</f>
        <v>0</v>
      </c>
      <c r="I15" s="19">
        <f t="shared" si="0"/>
        <v>76.290000000000006</v>
      </c>
    </row>
    <row r="16" spans="1:9" x14ac:dyDescent="0.25">
      <c r="A16" s="15" t="s">
        <v>222</v>
      </c>
      <c r="B16" s="16" t="s">
        <v>93</v>
      </c>
      <c r="C16" s="15" t="s">
        <v>225</v>
      </c>
      <c r="D16" s="17">
        <v>0</v>
      </c>
      <c r="E16" s="17">
        <v>0</v>
      </c>
      <c r="F16" s="36">
        <v>1.2690000000000002E-3</v>
      </c>
      <c r="G16" s="19">
        <f>ROUND([1]pres!$C$2*[1]calculo!F58,2)</f>
        <v>76.290000000000006</v>
      </c>
      <c r="H16" s="17">
        <f>IFERROR(VLOOKUP(C16,#REF!,33,0),0)</f>
        <v>0</v>
      </c>
      <c r="I16" s="19">
        <f t="shared" si="0"/>
        <v>76.290000000000006</v>
      </c>
    </row>
    <row r="17" spans="1:10" x14ac:dyDescent="0.25">
      <c r="A17" s="15" t="s">
        <v>222</v>
      </c>
      <c r="B17" s="16" t="s">
        <v>93</v>
      </c>
      <c r="C17" s="15" t="s">
        <v>226</v>
      </c>
      <c r="D17" s="17">
        <v>0</v>
      </c>
      <c r="E17" s="17">
        <v>0</v>
      </c>
      <c r="F17" s="36">
        <v>1.2690000000000002E-3</v>
      </c>
      <c r="G17" s="19">
        <f>ROUND([1]pres!$C$2*[1]calculo!F59,2)</f>
        <v>76.290000000000006</v>
      </c>
      <c r="H17" s="17">
        <f>IFERROR(VLOOKUP(C17,#REF!,33,0),0)</f>
        <v>0</v>
      </c>
      <c r="I17" s="19">
        <f t="shared" si="0"/>
        <v>76.290000000000006</v>
      </c>
    </row>
    <row r="18" spans="1:10" x14ac:dyDescent="0.25">
      <c r="A18" s="15" t="s">
        <v>386</v>
      </c>
      <c r="B18" s="30" t="s">
        <v>102</v>
      </c>
      <c r="C18" s="20" t="s">
        <v>387</v>
      </c>
      <c r="D18" s="17">
        <v>0</v>
      </c>
      <c r="E18" s="17">
        <v>0</v>
      </c>
      <c r="F18" s="36">
        <v>1.2690000000000002E-3</v>
      </c>
      <c r="G18" s="19">
        <f>ROUND([1]pres!$C$2*[1]calculo!F196,2)</f>
        <v>76.290000000000006</v>
      </c>
      <c r="H18" s="17">
        <f>IFERROR(VLOOKUP(C18,#REF!,33,0),0)</f>
        <v>0</v>
      </c>
      <c r="I18" s="19">
        <f t="shared" si="0"/>
        <v>76.290000000000006</v>
      </c>
    </row>
    <row r="19" spans="1:10" x14ac:dyDescent="0.25">
      <c r="A19" s="15" t="s">
        <v>197</v>
      </c>
      <c r="B19" s="16" t="s">
        <v>198</v>
      </c>
      <c r="C19" s="15" t="s">
        <v>202</v>
      </c>
      <c r="D19" s="17">
        <v>0</v>
      </c>
      <c r="E19" s="17">
        <v>0</v>
      </c>
      <c r="F19" s="36">
        <v>1.2690000000000002E-3</v>
      </c>
      <c r="G19" s="19">
        <f>ROUND([1]pres!$C$2*[1]calculo!F35,2)</f>
        <v>76.290000000000006</v>
      </c>
      <c r="H19" s="17">
        <f>IFERROR(VLOOKUP(C19,#REF!,33,0),0)</f>
        <v>0</v>
      </c>
      <c r="I19" s="19">
        <f t="shared" si="0"/>
        <v>76.290000000000006</v>
      </c>
    </row>
    <row r="20" spans="1:10" x14ac:dyDescent="0.25">
      <c r="A20" s="15" t="s">
        <v>163</v>
      </c>
      <c r="B20" s="16" t="s">
        <v>164</v>
      </c>
      <c r="C20" s="15" t="s">
        <v>165</v>
      </c>
      <c r="D20" s="17">
        <v>0</v>
      </c>
      <c r="E20" s="17">
        <v>0</v>
      </c>
      <c r="F20" s="36">
        <v>1.2690000000000002E-3</v>
      </c>
      <c r="G20" s="19">
        <f>ROUND([1]pres!$C$2*[1]calculo!F4,2)</f>
        <v>76.290000000000006</v>
      </c>
      <c r="H20" s="17">
        <f>IFERROR(VLOOKUP(C20,#REF!,33,0),0)</f>
        <v>0</v>
      </c>
      <c r="I20" s="19">
        <f t="shared" si="0"/>
        <v>76.290000000000006</v>
      </c>
    </row>
    <row r="21" spans="1:10" x14ac:dyDescent="0.25">
      <c r="A21" s="15" t="s">
        <v>397</v>
      </c>
      <c r="B21" s="16" t="s">
        <v>398</v>
      </c>
      <c r="C21" s="15" t="s">
        <v>399</v>
      </c>
      <c r="D21" s="17">
        <v>0</v>
      </c>
      <c r="E21" s="17">
        <v>0</v>
      </c>
      <c r="F21" s="36">
        <v>1.2690000000000002E-3</v>
      </c>
      <c r="G21" s="19">
        <f>ROUND([1]pres!$C$2*[1]calculo!F206,2)</f>
        <v>76.290000000000006</v>
      </c>
      <c r="H21" s="17">
        <f>IFERROR(VLOOKUP(C21,#REF!,33,0),0)</f>
        <v>0</v>
      </c>
      <c r="I21" s="19">
        <f t="shared" si="0"/>
        <v>76.290000000000006</v>
      </c>
    </row>
    <row r="22" spans="1:10" x14ac:dyDescent="0.25">
      <c r="A22" s="15" t="s">
        <v>197</v>
      </c>
      <c r="B22" s="16" t="s">
        <v>198</v>
      </c>
      <c r="C22" s="15" t="s">
        <v>203</v>
      </c>
      <c r="D22" s="17">
        <v>0</v>
      </c>
      <c r="E22" s="17">
        <v>0</v>
      </c>
      <c r="F22" s="36">
        <v>1.2690000000000002E-3</v>
      </c>
      <c r="G22" s="19">
        <f>ROUND([1]pres!$C$2*[1]calculo!F36,2)</f>
        <v>76.290000000000006</v>
      </c>
      <c r="H22" s="17">
        <f>IFERROR(VLOOKUP(C22,#REF!,33,0),0)</f>
        <v>0</v>
      </c>
      <c r="I22" s="19">
        <f t="shared" si="0"/>
        <v>76.290000000000006</v>
      </c>
    </row>
    <row r="23" spans="1:10" x14ac:dyDescent="0.25">
      <c r="A23" s="15" t="s">
        <v>564</v>
      </c>
      <c r="B23" s="16" t="s">
        <v>140</v>
      </c>
      <c r="C23" s="20" t="s">
        <v>565</v>
      </c>
      <c r="D23" s="17">
        <v>0</v>
      </c>
      <c r="E23" s="17">
        <v>0</v>
      </c>
      <c r="F23" s="36">
        <v>1.2690000000000002E-3</v>
      </c>
      <c r="G23" s="19">
        <f>ROUND([1]pres!$C$2*[1]calculo!F348,2)</f>
        <v>76.290000000000006</v>
      </c>
      <c r="H23" s="17">
        <f>IFERROR(VLOOKUP(C23,#REF!,33,0),0)</f>
        <v>0</v>
      </c>
      <c r="I23" s="19">
        <f t="shared" si="0"/>
        <v>76.290000000000006</v>
      </c>
    </row>
    <row r="24" spans="1:10" x14ac:dyDescent="0.25">
      <c r="A24" s="15" t="s">
        <v>463</v>
      </c>
      <c r="B24" s="16" t="s">
        <v>126</v>
      </c>
      <c r="C24" s="15" t="s">
        <v>465</v>
      </c>
      <c r="D24" s="17">
        <v>0</v>
      </c>
      <c r="E24" s="17">
        <v>0</v>
      </c>
      <c r="F24" s="36">
        <v>1.2690000000000002E-3</v>
      </c>
      <c r="G24" s="19">
        <f>ROUND([1]pres!$C$2*[1]calculo!F264,2)</f>
        <v>76.290000000000006</v>
      </c>
      <c r="H24" s="17">
        <f>IFERROR(VLOOKUP(C24,#REF!,33,0),0)</f>
        <v>0</v>
      </c>
      <c r="I24" s="19">
        <f t="shared" si="0"/>
        <v>76.290000000000006</v>
      </c>
    </row>
    <row r="25" spans="1:10" x14ac:dyDescent="0.25">
      <c r="A25" s="15" t="s">
        <v>587</v>
      </c>
      <c r="B25" s="16" t="s">
        <v>37</v>
      </c>
      <c r="C25" s="15" t="s">
        <v>588</v>
      </c>
      <c r="D25" s="17">
        <v>0</v>
      </c>
      <c r="E25" s="17">
        <v>0</v>
      </c>
      <c r="F25" s="36">
        <v>1.2690000000000002E-3</v>
      </c>
      <c r="G25" s="19">
        <f>ROUND([1]pres!$C$2*[1]calculo!F370,2)</f>
        <v>76.290000000000006</v>
      </c>
      <c r="H25" s="17">
        <f>IFERROR(VLOOKUP(C25,#REF!,33,0),0)</f>
        <v>0</v>
      </c>
      <c r="I25" s="19">
        <f t="shared" si="0"/>
        <v>76.290000000000006</v>
      </c>
    </row>
    <row r="26" spans="1:10" x14ac:dyDescent="0.25">
      <c r="A26" s="15" t="s">
        <v>386</v>
      </c>
      <c r="B26" s="16" t="s">
        <v>102</v>
      </c>
      <c r="C26" s="15" t="s">
        <v>388</v>
      </c>
      <c r="D26" s="17">
        <v>0</v>
      </c>
      <c r="E26" s="17">
        <v>0</v>
      </c>
      <c r="F26" s="36">
        <v>1.2690000000000002E-3</v>
      </c>
      <c r="G26" s="19">
        <f>ROUND([1]pres!$C$2*[1]calculo!F197,2)</f>
        <v>76.290000000000006</v>
      </c>
      <c r="H26" s="17">
        <f>IFERROR(VLOOKUP(C26,#REF!,33,0),0)</f>
        <v>0</v>
      </c>
      <c r="I26" s="19">
        <f t="shared" si="0"/>
        <v>76.290000000000006</v>
      </c>
    </row>
    <row r="27" spans="1:10" x14ac:dyDescent="0.25">
      <c r="A27" s="15" t="s">
        <v>302</v>
      </c>
      <c r="B27" s="16" t="s">
        <v>78</v>
      </c>
      <c r="C27" s="15" t="s">
        <v>303</v>
      </c>
      <c r="D27" s="17">
        <v>0</v>
      </c>
      <c r="E27" s="17">
        <v>0</v>
      </c>
      <c r="F27" s="36">
        <v>1.2690000000000002E-3</v>
      </c>
      <c r="G27" s="19">
        <f>ROUND([1]pres!$C$2*[1]calculo!F123,2)</f>
        <v>76.290000000000006</v>
      </c>
      <c r="H27" s="17">
        <f>IFERROR(VLOOKUP(C27,#REF!,33,0),0)</f>
        <v>0</v>
      </c>
      <c r="I27" s="19">
        <f t="shared" si="0"/>
        <v>76.290000000000006</v>
      </c>
    </row>
    <row r="28" spans="1:10" x14ac:dyDescent="0.25">
      <c r="A28" s="15" t="s">
        <v>559</v>
      </c>
      <c r="B28" s="16" t="s">
        <v>13</v>
      </c>
      <c r="C28" s="15" t="s">
        <v>560</v>
      </c>
      <c r="D28" s="17">
        <v>0</v>
      </c>
      <c r="E28" s="17">
        <v>0</v>
      </c>
      <c r="F28" s="36">
        <v>1.2690000000000002E-3</v>
      </c>
      <c r="G28" s="19">
        <f>ROUND([1]pres!$C$2*[1]calculo!F343,2)</f>
        <v>76.290000000000006</v>
      </c>
      <c r="H28" s="17">
        <f>IFERROR(VLOOKUP(C28,#REF!,33,0),0)</f>
        <v>0</v>
      </c>
      <c r="I28" s="19">
        <f t="shared" si="0"/>
        <v>76.290000000000006</v>
      </c>
      <c r="J28" s="34"/>
    </row>
    <row r="29" spans="1:10" x14ac:dyDescent="0.25">
      <c r="A29" s="15" t="s">
        <v>520</v>
      </c>
      <c r="B29" s="16" t="s">
        <v>521</v>
      </c>
      <c r="C29" s="15" t="s">
        <v>522</v>
      </c>
      <c r="D29" s="17">
        <v>0</v>
      </c>
      <c r="E29" s="17">
        <v>0</v>
      </c>
      <c r="F29" s="36">
        <v>1.2690000000000002E-3</v>
      </c>
      <c r="G29" s="19">
        <f>ROUND([1]pres!$C$2*[1]calculo!F309,2)</f>
        <v>76.290000000000006</v>
      </c>
      <c r="H29" s="17">
        <f>IFERROR(VLOOKUP(C29,#REF!,33,0),0)</f>
        <v>0</v>
      </c>
      <c r="I29" s="19">
        <f t="shared" si="0"/>
        <v>76.290000000000006</v>
      </c>
    </row>
    <row r="30" spans="1:10" x14ac:dyDescent="0.25">
      <c r="A30" s="15" t="s">
        <v>544</v>
      </c>
      <c r="B30" s="16" t="s">
        <v>129</v>
      </c>
      <c r="C30" s="15" t="s">
        <v>546</v>
      </c>
      <c r="D30" s="17">
        <v>0</v>
      </c>
      <c r="E30" s="17">
        <v>0</v>
      </c>
      <c r="F30" s="36">
        <v>1.2690000000000002E-3</v>
      </c>
      <c r="G30" s="19">
        <f>ROUND([1]pres!$C$2*[1]calculo!F330,2)</f>
        <v>76.290000000000006</v>
      </c>
      <c r="H30" s="17">
        <f>IFERROR(VLOOKUP(C30,#REF!,33,0),0)</f>
        <v>0</v>
      </c>
      <c r="I30" s="19">
        <f t="shared" si="0"/>
        <v>76.290000000000006</v>
      </c>
    </row>
    <row r="31" spans="1:10" x14ac:dyDescent="0.25">
      <c r="A31" s="15" t="s">
        <v>292</v>
      </c>
      <c r="B31" s="16" t="s">
        <v>34</v>
      </c>
      <c r="C31" s="15" t="s">
        <v>293</v>
      </c>
      <c r="D31" s="17">
        <v>0</v>
      </c>
      <c r="E31" s="17">
        <v>0</v>
      </c>
      <c r="F31" s="36">
        <v>1.2690000000000002E-3</v>
      </c>
      <c r="G31" s="19">
        <f>ROUND([1]pres!$C$2*[1]calculo!F115,2)</f>
        <v>76.290000000000006</v>
      </c>
      <c r="H31" s="17">
        <f>IFERROR(VLOOKUP(C31,#REF!,33,0),0)</f>
        <v>0</v>
      </c>
      <c r="I31" s="19">
        <f t="shared" si="0"/>
        <v>76.290000000000006</v>
      </c>
    </row>
    <row r="32" spans="1:10" x14ac:dyDescent="0.25">
      <c r="A32" s="15" t="s">
        <v>227</v>
      </c>
      <c r="B32" s="16" t="s">
        <v>104</v>
      </c>
      <c r="C32" s="15" t="s">
        <v>228</v>
      </c>
      <c r="D32" s="17">
        <v>0</v>
      </c>
      <c r="E32" s="17">
        <v>0</v>
      </c>
      <c r="F32" s="36">
        <v>1.2690000000000002E-3</v>
      </c>
      <c r="G32" s="19">
        <f>ROUND([1]pres!$C$2*[1]calculo!F61,2)</f>
        <v>76.290000000000006</v>
      </c>
      <c r="H32" s="17">
        <f>IFERROR(VLOOKUP(C32,#REF!,33,0),0)</f>
        <v>0</v>
      </c>
      <c r="I32" s="19">
        <f t="shared" si="0"/>
        <v>76.290000000000006</v>
      </c>
    </row>
    <row r="33" spans="1:9" x14ac:dyDescent="0.25">
      <c r="A33" s="15" t="s">
        <v>485</v>
      </c>
      <c r="B33" s="16" t="s">
        <v>54</v>
      </c>
      <c r="C33" s="15" t="s">
        <v>486</v>
      </c>
      <c r="D33" s="17">
        <v>0</v>
      </c>
      <c r="E33" s="17">
        <v>0</v>
      </c>
      <c r="F33" s="36">
        <v>1.2690000000000002E-3</v>
      </c>
      <c r="G33" s="19">
        <f>ROUND([1]pres!$C$2*[1]calculo!F280,2)</f>
        <v>76.290000000000006</v>
      </c>
      <c r="H33" s="17">
        <f>IFERROR(VLOOKUP(C33,#REF!,33,0),0)</f>
        <v>0</v>
      </c>
      <c r="I33" s="19">
        <f t="shared" si="0"/>
        <v>76.290000000000006</v>
      </c>
    </row>
    <row r="34" spans="1:9" x14ac:dyDescent="0.25">
      <c r="A34" s="15" t="s">
        <v>327</v>
      </c>
      <c r="B34" s="16" t="s">
        <v>328</v>
      </c>
      <c r="C34" s="15" t="s">
        <v>331</v>
      </c>
      <c r="D34" s="17">
        <v>0</v>
      </c>
      <c r="E34" s="17">
        <v>0</v>
      </c>
      <c r="F34" s="36">
        <v>1.2690000000000002E-3</v>
      </c>
      <c r="G34" s="19">
        <f>ROUND([1]pres!$C$2*[1]calculo!F147,2)</f>
        <v>76.290000000000006</v>
      </c>
      <c r="H34" s="17">
        <f>IFERROR(VLOOKUP(C34,#REF!,33,0),0)</f>
        <v>0</v>
      </c>
      <c r="I34" s="19">
        <f t="shared" ref="I34:I65" si="1">SUM(G34:H34)</f>
        <v>76.290000000000006</v>
      </c>
    </row>
    <row r="35" spans="1:9" x14ac:dyDescent="0.25">
      <c r="A35" s="15" t="s">
        <v>207</v>
      </c>
      <c r="B35" s="16" t="s">
        <v>132</v>
      </c>
      <c r="C35" s="15" t="s">
        <v>209</v>
      </c>
      <c r="D35" s="17">
        <v>0</v>
      </c>
      <c r="E35" s="17">
        <v>0</v>
      </c>
      <c r="F35" s="36">
        <v>1.2690000000000002E-3</v>
      </c>
      <c r="G35" s="19">
        <f>ROUND([1]pres!$C$2*[1]calculo!F42,2)</f>
        <v>76.290000000000006</v>
      </c>
      <c r="H35" s="17">
        <f>IFERROR(VLOOKUP(C35,#REF!,33,0),0)</f>
        <v>0</v>
      </c>
      <c r="I35" s="19">
        <f t="shared" si="1"/>
        <v>76.290000000000006</v>
      </c>
    </row>
    <row r="36" spans="1:9" x14ac:dyDescent="0.25">
      <c r="A36" s="15" t="s">
        <v>188</v>
      </c>
      <c r="B36" s="16" t="s">
        <v>189</v>
      </c>
      <c r="C36" s="15" t="s">
        <v>190</v>
      </c>
      <c r="D36" s="17">
        <v>0</v>
      </c>
      <c r="E36" s="17">
        <v>0</v>
      </c>
      <c r="F36" s="36">
        <v>1.2690000000000002E-3</v>
      </c>
      <c r="G36" s="19">
        <f>ROUND([1]pres!$C$2*[1]calculo!F24,2)</f>
        <v>76.290000000000006</v>
      </c>
      <c r="H36" s="17">
        <f>IFERROR(VLOOKUP(C36,#REF!,33,0),0)</f>
        <v>0</v>
      </c>
      <c r="I36" s="19">
        <f t="shared" si="1"/>
        <v>76.290000000000006</v>
      </c>
    </row>
    <row r="37" spans="1:9" x14ac:dyDescent="0.25">
      <c r="A37" s="15" t="s">
        <v>294</v>
      </c>
      <c r="B37" s="16" t="s">
        <v>112</v>
      </c>
      <c r="C37" s="15" t="s">
        <v>295</v>
      </c>
      <c r="D37" s="17">
        <v>0</v>
      </c>
      <c r="E37" s="17">
        <v>0</v>
      </c>
      <c r="F37" s="36">
        <v>1.2690000000000002E-3</v>
      </c>
      <c r="G37" s="19">
        <f>ROUND([1]pres!$C$2*[1]calculo!F117,2)</f>
        <v>76.290000000000006</v>
      </c>
      <c r="H37" s="17">
        <f>IFERROR(VLOOKUP(C37,#REF!,33,0),0)</f>
        <v>0</v>
      </c>
      <c r="I37" s="19">
        <f t="shared" si="1"/>
        <v>76.290000000000006</v>
      </c>
    </row>
    <row r="38" spans="1:9" x14ac:dyDescent="0.25">
      <c r="A38" s="15" t="s">
        <v>446</v>
      </c>
      <c r="B38" s="16" t="s">
        <v>447</v>
      </c>
      <c r="C38" s="15" t="s">
        <v>448</v>
      </c>
      <c r="D38" s="17">
        <v>0</v>
      </c>
      <c r="E38" s="17">
        <v>0</v>
      </c>
      <c r="F38" s="36">
        <v>1.2690000000000002E-3</v>
      </c>
      <c r="G38" s="19">
        <f>ROUND([1]pres!$C$2*[1]calculo!F248,2)</f>
        <v>76.290000000000006</v>
      </c>
      <c r="H38" s="17">
        <f>IFERROR(VLOOKUP(C38,#REF!,33,0),0)</f>
        <v>0</v>
      </c>
      <c r="I38" s="19">
        <f t="shared" si="1"/>
        <v>76.290000000000006</v>
      </c>
    </row>
    <row r="39" spans="1:9" x14ac:dyDescent="0.25">
      <c r="A39" s="15" t="s">
        <v>304</v>
      </c>
      <c r="B39" s="16" t="s">
        <v>43</v>
      </c>
      <c r="C39" s="15" t="s">
        <v>305</v>
      </c>
      <c r="D39" s="17">
        <v>0</v>
      </c>
      <c r="E39" s="17">
        <v>0</v>
      </c>
      <c r="F39" s="36">
        <v>1.2690000000000002E-3</v>
      </c>
      <c r="G39" s="19">
        <f>ROUND([1]pres!$C$2*[1]calculo!F125,2)</f>
        <v>76.290000000000006</v>
      </c>
      <c r="H39" s="17">
        <f>IFERROR(VLOOKUP(C39,#REF!,33,0),0)</f>
        <v>0</v>
      </c>
      <c r="I39" s="19">
        <f t="shared" si="1"/>
        <v>76.290000000000006</v>
      </c>
    </row>
    <row r="40" spans="1:9" x14ac:dyDescent="0.25">
      <c r="A40" s="15" t="s">
        <v>561</v>
      </c>
      <c r="B40" s="16" t="s">
        <v>135</v>
      </c>
      <c r="C40" s="15" t="s">
        <v>562</v>
      </c>
      <c r="D40" s="17">
        <v>0</v>
      </c>
      <c r="E40" s="17">
        <v>0</v>
      </c>
      <c r="F40" s="36">
        <v>1.2690000000000002E-3</v>
      </c>
      <c r="G40" s="19">
        <f>ROUND([1]pres!$C$2*[1]calculo!F345,2)</f>
        <v>76.290000000000006</v>
      </c>
      <c r="H40" s="17">
        <f>IFERROR(VLOOKUP(C40,#REF!,33,0),0)</f>
        <v>0</v>
      </c>
      <c r="I40" s="19">
        <f t="shared" si="1"/>
        <v>76.290000000000006</v>
      </c>
    </row>
    <row r="41" spans="1:9" x14ac:dyDescent="0.25">
      <c r="A41" s="15" t="s">
        <v>561</v>
      </c>
      <c r="B41" s="16" t="s">
        <v>135</v>
      </c>
      <c r="C41" s="15" t="s">
        <v>563</v>
      </c>
      <c r="D41" s="17">
        <v>0</v>
      </c>
      <c r="E41" s="17">
        <v>0</v>
      </c>
      <c r="F41" s="36">
        <v>1.2690000000000002E-3</v>
      </c>
      <c r="G41" s="19">
        <f>ROUND([1]pres!$C$2*[1]calculo!F346,2)</f>
        <v>76.290000000000006</v>
      </c>
      <c r="H41" s="17">
        <f>IFERROR(VLOOKUP(C41,#REF!,33,0),0)</f>
        <v>0</v>
      </c>
      <c r="I41" s="19">
        <f t="shared" si="1"/>
        <v>76.290000000000006</v>
      </c>
    </row>
    <row r="42" spans="1:9" x14ac:dyDescent="0.25">
      <c r="A42" s="15" t="s">
        <v>171</v>
      </c>
      <c r="B42" s="16" t="s">
        <v>71</v>
      </c>
      <c r="C42" s="15" t="s">
        <v>172</v>
      </c>
      <c r="D42" s="17">
        <v>0</v>
      </c>
      <c r="E42" s="17">
        <v>0</v>
      </c>
      <c r="F42" s="36">
        <v>1.2690000000000002E-3</v>
      </c>
      <c r="G42" s="19">
        <f>ROUND([1]pres!$C$2*[1]calculo!F9,2)</f>
        <v>76.290000000000006</v>
      </c>
      <c r="H42" s="17">
        <f>IFERROR(VLOOKUP(C42,#REF!,33,0),0)</f>
        <v>0</v>
      </c>
      <c r="I42" s="19">
        <f t="shared" si="1"/>
        <v>76.290000000000006</v>
      </c>
    </row>
    <row r="43" spans="1:9" x14ac:dyDescent="0.25">
      <c r="A43" s="15" t="s">
        <v>525</v>
      </c>
      <c r="B43" s="16" t="s">
        <v>96</v>
      </c>
      <c r="C43" s="15" t="s">
        <v>526</v>
      </c>
      <c r="D43" s="17">
        <v>0</v>
      </c>
      <c r="E43" s="17">
        <v>0</v>
      </c>
      <c r="F43" s="36">
        <v>1.2690000000000002E-3</v>
      </c>
      <c r="G43" s="19">
        <f>ROUND([1]pres!$C$2*[1]calculo!F313,2)</f>
        <v>76.290000000000006</v>
      </c>
      <c r="H43" s="17">
        <f>IFERROR(VLOOKUP(C43,#REF!,33,0),0)</f>
        <v>0</v>
      </c>
      <c r="I43" s="19">
        <f t="shared" si="1"/>
        <v>76.290000000000006</v>
      </c>
    </row>
    <row r="44" spans="1:9" x14ac:dyDescent="0.25">
      <c r="A44" s="15" t="s">
        <v>412</v>
      </c>
      <c r="B44" s="16" t="s">
        <v>42</v>
      </c>
      <c r="C44" s="15" t="s">
        <v>413</v>
      </c>
      <c r="D44" s="17">
        <v>0</v>
      </c>
      <c r="E44" s="17">
        <v>0</v>
      </c>
      <c r="F44" s="36">
        <v>1.2690000000000002E-3</v>
      </c>
      <c r="G44" s="19">
        <f>ROUND([1]pres!$C$2*[1]calculo!F217,2)</f>
        <v>76.290000000000006</v>
      </c>
      <c r="H44" s="17">
        <f>IFERROR(VLOOKUP(C44,#REF!,33,0),0)</f>
        <v>0</v>
      </c>
      <c r="I44" s="19">
        <f t="shared" si="1"/>
        <v>76.290000000000006</v>
      </c>
    </row>
    <row r="45" spans="1:9" x14ac:dyDescent="0.25">
      <c r="A45" s="15" t="s">
        <v>309</v>
      </c>
      <c r="B45" s="16" t="s">
        <v>27</v>
      </c>
      <c r="C45" s="15" t="s">
        <v>310</v>
      </c>
      <c r="D45" s="17">
        <v>0</v>
      </c>
      <c r="E45" s="17">
        <v>0</v>
      </c>
      <c r="F45" s="36">
        <v>1.2690000000000002E-3</v>
      </c>
      <c r="G45" s="19">
        <f>ROUND([1]pres!$C$2*[1]calculo!F130,2)</f>
        <v>76.290000000000006</v>
      </c>
      <c r="H45" s="17">
        <f>IFERROR(VLOOKUP(C45,#REF!,33,0),0)</f>
        <v>0</v>
      </c>
      <c r="I45" s="19">
        <f t="shared" si="1"/>
        <v>76.290000000000006</v>
      </c>
    </row>
    <row r="46" spans="1:9" x14ac:dyDescent="0.25">
      <c r="A46" s="15" t="s">
        <v>424</v>
      </c>
      <c r="B46" s="16" t="s">
        <v>152</v>
      </c>
      <c r="C46" s="20" t="s">
        <v>425</v>
      </c>
      <c r="D46" s="17">
        <v>0</v>
      </c>
      <c r="E46" s="17">
        <v>0</v>
      </c>
      <c r="F46" s="36">
        <v>1.2690000000000002E-3</v>
      </c>
      <c r="G46" s="19">
        <f>ROUND([1]pres!$C$2*[1]calculo!F226,2)</f>
        <v>76.290000000000006</v>
      </c>
      <c r="H46" s="17">
        <f>IFERROR(VLOOKUP(C46,#REF!,33,0),0)</f>
        <v>0</v>
      </c>
      <c r="I46" s="19">
        <f t="shared" si="1"/>
        <v>76.290000000000006</v>
      </c>
    </row>
    <row r="47" spans="1:9" x14ac:dyDescent="0.25">
      <c r="A47" s="15" t="s">
        <v>389</v>
      </c>
      <c r="B47" s="16" t="s">
        <v>120</v>
      </c>
      <c r="C47" s="15" t="s">
        <v>390</v>
      </c>
      <c r="D47" s="17">
        <v>0</v>
      </c>
      <c r="E47" s="17">
        <v>0</v>
      </c>
      <c r="F47" s="36">
        <v>1.2690000000000002E-3</v>
      </c>
      <c r="G47" s="19">
        <f>ROUND([1]pres!$C$2*[1]calculo!F199,2)</f>
        <v>76.290000000000006</v>
      </c>
      <c r="H47" s="17">
        <f>IFERROR(VLOOKUP(C47,#REF!,33,0),0)</f>
        <v>0</v>
      </c>
      <c r="I47" s="19">
        <f t="shared" si="1"/>
        <v>76.290000000000006</v>
      </c>
    </row>
    <row r="48" spans="1:9" x14ac:dyDescent="0.25">
      <c r="A48" s="15" t="s">
        <v>389</v>
      </c>
      <c r="B48" s="16" t="s">
        <v>120</v>
      </c>
      <c r="C48" s="15" t="s">
        <v>391</v>
      </c>
      <c r="D48" s="17">
        <v>0</v>
      </c>
      <c r="E48" s="17">
        <v>0</v>
      </c>
      <c r="F48" s="36">
        <v>1.2690000000000002E-3</v>
      </c>
      <c r="G48" s="19">
        <f>ROUND([1]pres!$C$2*[1]calculo!F200,2)</f>
        <v>76.290000000000006</v>
      </c>
      <c r="H48" s="17">
        <f>IFERROR(VLOOKUP(C48,#REF!,33,0),0)</f>
        <v>0</v>
      </c>
      <c r="I48" s="19">
        <f t="shared" si="1"/>
        <v>76.290000000000006</v>
      </c>
    </row>
    <row r="49" spans="1:9" x14ac:dyDescent="0.25">
      <c r="A49" s="15" t="s">
        <v>442</v>
      </c>
      <c r="B49" s="16" t="s">
        <v>79</v>
      </c>
      <c r="C49" s="15" t="s">
        <v>443</v>
      </c>
      <c r="D49" s="17">
        <v>0</v>
      </c>
      <c r="E49" s="17">
        <v>0</v>
      </c>
      <c r="F49" s="36">
        <v>1.2690000000000002E-3</v>
      </c>
      <c r="G49" s="19">
        <f>ROUND([1]pres!$C$2*[1]calculo!F244,2)</f>
        <v>76.290000000000006</v>
      </c>
      <c r="H49" s="17">
        <f>IFERROR(VLOOKUP(C49,#REF!,33,0),0)</f>
        <v>0</v>
      </c>
      <c r="I49" s="19">
        <f t="shared" si="1"/>
        <v>76.290000000000006</v>
      </c>
    </row>
    <row r="50" spans="1:9" x14ac:dyDescent="0.25">
      <c r="A50" s="15" t="s">
        <v>575</v>
      </c>
      <c r="B50" s="16" t="s">
        <v>576</v>
      </c>
      <c r="C50" s="15" t="s">
        <v>577</v>
      </c>
      <c r="D50" s="17">
        <v>0</v>
      </c>
      <c r="E50" s="17">
        <v>0</v>
      </c>
      <c r="F50" s="36">
        <v>1.2690000000000002E-3</v>
      </c>
      <c r="G50" s="19">
        <f>ROUND([1]pres!$C$2*[1]calculo!F359,2)</f>
        <v>76.290000000000006</v>
      </c>
      <c r="H50" s="17">
        <f>IFERROR(VLOOKUP(C50,#REF!,33,0),0)</f>
        <v>0</v>
      </c>
      <c r="I50" s="19">
        <f t="shared" si="1"/>
        <v>76.290000000000006</v>
      </c>
    </row>
    <row r="51" spans="1:9" x14ac:dyDescent="0.25">
      <c r="A51" s="15" t="s">
        <v>377</v>
      </c>
      <c r="B51" s="16" t="s">
        <v>124</v>
      </c>
      <c r="C51" s="15" t="s">
        <v>378</v>
      </c>
      <c r="D51" s="17">
        <v>0</v>
      </c>
      <c r="E51" s="17">
        <v>0</v>
      </c>
      <c r="F51" s="36">
        <v>1.2690000000000002E-3</v>
      </c>
      <c r="G51" s="19">
        <f>ROUND([1]pres!$C$2*[1]calculo!F186,2)</f>
        <v>76.290000000000006</v>
      </c>
      <c r="H51" s="17">
        <f>IFERROR(VLOOKUP(C51,#REF!,33,0),0)</f>
        <v>0</v>
      </c>
      <c r="I51" s="19">
        <f t="shared" si="1"/>
        <v>76.290000000000006</v>
      </c>
    </row>
    <row r="52" spans="1:9" x14ac:dyDescent="0.25">
      <c r="A52" s="15" t="s">
        <v>568</v>
      </c>
      <c r="B52" s="16" t="s">
        <v>17</v>
      </c>
      <c r="C52" s="15" t="s">
        <v>570</v>
      </c>
      <c r="D52" s="17">
        <v>0</v>
      </c>
      <c r="E52" s="17">
        <v>0</v>
      </c>
      <c r="F52" s="36">
        <v>1.2690000000000002E-3</v>
      </c>
      <c r="G52" s="19">
        <f>ROUND([1]pres!$C$2*[1]calculo!F353,2)</f>
        <v>76.290000000000006</v>
      </c>
      <c r="H52" s="17">
        <f>IFERROR(VLOOKUP(C52,#REF!,33,0),0)</f>
        <v>0</v>
      </c>
      <c r="I52" s="19">
        <f t="shared" si="1"/>
        <v>76.290000000000006</v>
      </c>
    </row>
    <row r="53" spans="1:9" x14ac:dyDescent="0.25">
      <c r="A53" s="15" t="s">
        <v>210</v>
      </c>
      <c r="B53" s="16" t="s">
        <v>111</v>
      </c>
      <c r="C53" s="15" t="s">
        <v>211</v>
      </c>
      <c r="D53" s="17">
        <v>0</v>
      </c>
      <c r="E53" s="17">
        <v>0</v>
      </c>
      <c r="F53" s="36">
        <v>1.2690000000000002E-3</v>
      </c>
      <c r="G53" s="19">
        <f>ROUND([1]pres!$C$2*[1]calculo!F44,2)</f>
        <v>76.290000000000006</v>
      </c>
      <c r="H53" s="17">
        <f>IFERROR(VLOOKUP(C53,#REF!,33,0),0)</f>
        <v>0</v>
      </c>
      <c r="I53" s="19">
        <f t="shared" si="1"/>
        <v>76.290000000000006</v>
      </c>
    </row>
    <row r="54" spans="1:9" x14ac:dyDescent="0.25">
      <c r="A54" s="15" t="s">
        <v>197</v>
      </c>
      <c r="B54" s="16" t="s">
        <v>198</v>
      </c>
      <c r="C54" s="15" t="s">
        <v>204</v>
      </c>
      <c r="D54" s="17">
        <v>0</v>
      </c>
      <c r="E54" s="17">
        <v>0</v>
      </c>
      <c r="F54" s="36">
        <v>1.2690000000000002E-3</v>
      </c>
      <c r="G54" s="19">
        <f>ROUND([1]pres!$C$2*[1]calculo!F37,2)</f>
        <v>76.290000000000006</v>
      </c>
      <c r="H54" s="17">
        <f>IFERROR(VLOOKUP(C54,#REF!,33,0),0)</f>
        <v>0</v>
      </c>
      <c r="I54" s="19">
        <f t="shared" si="1"/>
        <v>76.290000000000006</v>
      </c>
    </row>
    <row r="55" spans="1:9" x14ac:dyDescent="0.25">
      <c r="A55" s="15" t="s">
        <v>294</v>
      </c>
      <c r="B55" s="16" t="s">
        <v>112</v>
      </c>
      <c r="C55" s="15" t="s">
        <v>296</v>
      </c>
      <c r="D55" s="17">
        <v>0</v>
      </c>
      <c r="E55" s="17">
        <v>0</v>
      </c>
      <c r="F55" s="36">
        <v>1.2690000000000002E-3</v>
      </c>
      <c r="G55" s="19">
        <f>ROUND([1]pres!$C$2*[1]calculo!F118,2)</f>
        <v>76.290000000000006</v>
      </c>
      <c r="H55" s="17">
        <f>IFERROR(VLOOKUP(C55,#REF!,33,0),0)</f>
        <v>0</v>
      </c>
      <c r="I55" s="19">
        <f t="shared" si="1"/>
        <v>76.290000000000006</v>
      </c>
    </row>
    <row r="56" spans="1:9" x14ac:dyDescent="0.25">
      <c r="A56" s="15" t="s">
        <v>184</v>
      </c>
      <c r="B56" s="16" t="s">
        <v>147</v>
      </c>
      <c r="C56" s="15" t="s">
        <v>185</v>
      </c>
      <c r="D56" s="17">
        <v>0</v>
      </c>
      <c r="E56" s="17">
        <v>0</v>
      </c>
      <c r="F56" s="36">
        <v>1.2690000000000002E-3</v>
      </c>
      <c r="G56" s="19">
        <f>ROUND([1]pres!$C$2*[1]calculo!F20,2)</f>
        <v>76.290000000000006</v>
      </c>
      <c r="H56" s="17">
        <f>IFERROR(VLOOKUP(C56,#REF!,33,0),0)</f>
        <v>0</v>
      </c>
      <c r="I56" s="19">
        <f t="shared" si="1"/>
        <v>76.290000000000006</v>
      </c>
    </row>
    <row r="57" spans="1:9" x14ac:dyDescent="0.25">
      <c r="A57" s="15" t="s">
        <v>410</v>
      </c>
      <c r="B57" s="16" t="s">
        <v>32</v>
      </c>
      <c r="C57" s="15" t="s">
        <v>411</v>
      </c>
      <c r="D57" s="17">
        <v>0</v>
      </c>
      <c r="E57" s="17">
        <v>0</v>
      </c>
      <c r="F57" s="36">
        <v>1.2690000000000002E-3</v>
      </c>
      <c r="G57" s="19">
        <f>ROUND([1]pres!$C$2*[1]calculo!F215,2)</f>
        <v>76.290000000000006</v>
      </c>
      <c r="H57" s="17">
        <f>IFERROR(VLOOKUP(C57,#REF!,33,0),0)</f>
        <v>0</v>
      </c>
      <c r="I57" s="19">
        <f t="shared" si="1"/>
        <v>76.290000000000006</v>
      </c>
    </row>
    <row r="58" spans="1:9" x14ac:dyDescent="0.25">
      <c r="A58" s="15" t="s">
        <v>257</v>
      </c>
      <c r="B58" s="16" t="s">
        <v>36</v>
      </c>
      <c r="C58" s="15" t="s">
        <v>258</v>
      </c>
      <c r="D58" s="17">
        <v>0</v>
      </c>
      <c r="E58" s="17">
        <v>0</v>
      </c>
      <c r="F58" s="36">
        <v>1.2690000000000002E-3</v>
      </c>
      <c r="G58" s="19">
        <f>ROUND([1]pres!$C$2*[1]calculo!F85,2)</f>
        <v>76.290000000000006</v>
      </c>
      <c r="H58" s="17">
        <f>IFERROR(VLOOKUP(C58,#REF!,33,0),0)</f>
        <v>0</v>
      </c>
      <c r="I58" s="19">
        <f t="shared" si="1"/>
        <v>76.290000000000006</v>
      </c>
    </row>
    <row r="59" spans="1:9" x14ac:dyDescent="0.25">
      <c r="A59" s="15" t="s">
        <v>379</v>
      </c>
      <c r="B59" s="16" t="s">
        <v>38</v>
      </c>
      <c r="C59" s="15" t="s">
        <v>381</v>
      </c>
      <c r="D59" s="17">
        <v>0</v>
      </c>
      <c r="E59" s="17">
        <v>0</v>
      </c>
      <c r="F59" s="36">
        <v>1.2690000000000002E-3</v>
      </c>
      <c r="G59" s="19">
        <f>ROUND([1]pres!$C$2*[1]calculo!F190,2)</f>
        <v>76.290000000000006</v>
      </c>
      <c r="H59" s="17">
        <f>IFERROR(VLOOKUP(C59,#REF!,33,0),0)</f>
        <v>0</v>
      </c>
      <c r="I59" s="19">
        <f t="shared" si="1"/>
        <v>76.290000000000006</v>
      </c>
    </row>
    <row r="60" spans="1:9" x14ac:dyDescent="0.25">
      <c r="A60" s="15" t="s">
        <v>216</v>
      </c>
      <c r="B60" s="16" t="s">
        <v>108</v>
      </c>
      <c r="C60" s="15" t="s">
        <v>217</v>
      </c>
      <c r="D60" s="17">
        <v>0</v>
      </c>
      <c r="E60" s="17">
        <v>0</v>
      </c>
      <c r="F60" s="36">
        <v>1.2690000000000002E-3</v>
      </c>
      <c r="G60" s="19">
        <f>ROUND([1]pres!$C$2*[1]calculo!F50,2)</f>
        <v>76.290000000000006</v>
      </c>
      <c r="H60" s="17">
        <f>IFERROR(VLOOKUP(C60,#REF!,33,0),0)</f>
        <v>0</v>
      </c>
      <c r="I60" s="19">
        <f t="shared" si="1"/>
        <v>76.290000000000006</v>
      </c>
    </row>
    <row r="61" spans="1:9" x14ac:dyDescent="0.25">
      <c r="A61" s="15" t="s">
        <v>401</v>
      </c>
      <c r="B61" s="16" t="s">
        <v>402</v>
      </c>
      <c r="C61" s="15" t="s">
        <v>403</v>
      </c>
      <c r="D61" s="17">
        <v>0</v>
      </c>
      <c r="E61" s="17">
        <v>0</v>
      </c>
      <c r="F61" s="36">
        <v>1.2690000000000002E-3</v>
      </c>
      <c r="G61" s="19">
        <f>ROUND([1]pres!$C$2*[1]calculo!F209,2)</f>
        <v>76.290000000000006</v>
      </c>
      <c r="H61" s="17">
        <f>IFERROR(VLOOKUP(C61,#REF!,33,0),0)</f>
        <v>0</v>
      </c>
      <c r="I61" s="19">
        <f t="shared" si="1"/>
        <v>76.290000000000006</v>
      </c>
    </row>
    <row r="62" spans="1:9" x14ac:dyDescent="0.25">
      <c r="A62" s="15" t="s">
        <v>424</v>
      </c>
      <c r="B62" s="16" t="s">
        <v>152</v>
      </c>
      <c r="C62" s="20" t="s">
        <v>426</v>
      </c>
      <c r="D62" s="17">
        <v>0</v>
      </c>
      <c r="E62" s="17">
        <v>0</v>
      </c>
      <c r="F62" s="36">
        <v>1.2690000000000002E-3</v>
      </c>
      <c r="G62" s="19">
        <f>ROUND([1]pres!$C$2*[1]calculo!F227,2)</f>
        <v>76.290000000000006</v>
      </c>
      <c r="H62" s="17">
        <f>IFERROR(VLOOKUP(C62,#REF!,33,0),0)</f>
        <v>0</v>
      </c>
      <c r="I62" s="19">
        <f t="shared" si="1"/>
        <v>76.290000000000006</v>
      </c>
    </row>
    <row r="63" spans="1:9" x14ac:dyDescent="0.25">
      <c r="A63" s="15" t="s">
        <v>176</v>
      </c>
      <c r="B63" s="16" t="s">
        <v>77</v>
      </c>
      <c r="C63" s="20" t="s">
        <v>177</v>
      </c>
      <c r="D63" s="17">
        <v>0</v>
      </c>
      <c r="E63" s="17">
        <v>0</v>
      </c>
      <c r="F63" s="36">
        <v>1.2690000000000002E-3</v>
      </c>
      <c r="G63" s="19">
        <f>ROUND([1]pres!$C$2*[1]calculo!F13,2)</f>
        <v>76.290000000000006</v>
      </c>
      <c r="H63" s="17">
        <f>IFERROR(VLOOKUP(C63,#REF!,33,0),0)</f>
        <v>0</v>
      </c>
      <c r="I63" s="19">
        <f t="shared" si="1"/>
        <v>76.290000000000006</v>
      </c>
    </row>
    <row r="64" spans="1:9" x14ac:dyDescent="0.25">
      <c r="A64" s="15" t="s">
        <v>404</v>
      </c>
      <c r="B64" s="16" t="s">
        <v>405</v>
      </c>
      <c r="C64" s="15" t="s">
        <v>406</v>
      </c>
      <c r="D64" s="17">
        <v>0</v>
      </c>
      <c r="E64" s="17">
        <v>0</v>
      </c>
      <c r="F64" s="36">
        <v>1.2690000000000002E-3</v>
      </c>
      <c r="G64" s="19">
        <f>ROUND([1]pres!$C$2*[1]calculo!F210,2)</f>
        <v>76.290000000000006</v>
      </c>
      <c r="H64" s="17">
        <f>IFERROR(VLOOKUP(C64,#REF!,33,0),0)</f>
        <v>0</v>
      </c>
      <c r="I64" s="19">
        <f t="shared" si="1"/>
        <v>76.290000000000006</v>
      </c>
    </row>
    <row r="65" spans="1:9" x14ac:dyDescent="0.25">
      <c r="A65" s="15" t="s">
        <v>179</v>
      </c>
      <c r="B65" s="16" t="s">
        <v>46</v>
      </c>
      <c r="C65" s="15" t="s">
        <v>180</v>
      </c>
      <c r="D65" s="17">
        <v>0</v>
      </c>
      <c r="E65" s="17">
        <v>0</v>
      </c>
      <c r="F65" s="36">
        <v>1.2690000000000002E-3</v>
      </c>
      <c r="G65" s="19">
        <f>ROUND([1]pres!$C$2*[1]calculo!F16,2)</f>
        <v>76.290000000000006</v>
      </c>
      <c r="H65" s="17">
        <f>IFERROR(VLOOKUP(C65,#REF!,33,0),0)</f>
        <v>0</v>
      </c>
      <c r="I65" s="19">
        <f t="shared" si="1"/>
        <v>76.290000000000006</v>
      </c>
    </row>
    <row r="66" spans="1:9" x14ac:dyDescent="0.25">
      <c r="A66" s="15" t="s">
        <v>283</v>
      </c>
      <c r="B66" s="16" t="s">
        <v>45</v>
      </c>
      <c r="C66" s="15" t="s">
        <v>284</v>
      </c>
      <c r="D66" s="17">
        <v>0</v>
      </c>
      <c r="E66" s="17">
        <v>0</v>
      </c>
      <c r="F66" s="36">
        <v>1.2690000000000002E-3</v>
      </c>
      <c r="G66" s="19">
        <f>ROUND([1]pres!$C$2*[1]calculo!F108,2)</f>
        <v>76.290000000000006</v>
      </c>
      <c r="H66" s="17">
        <f>IFERROR(VLOOKUP(C66,#REF!,33,0),0)</f>
        <v>0</v>
      </c>
      <c r="I66" s="19">
        <f t="shared" ref="I66:I97" si="2">SUM(G66:H66)</f>
        <v>76.290000000000006</v>
      </c>
    </row>
    <row r="67" spans="1:9" x14ac:dyDescent="0.25">
      <c r="A67" s="15" t="s">
        <v>166</v>
      </c>
      <c r="B67" s="16" t="s">
        <v>167</v>
      </c>
      <c r="C67" s="15" t="s">
        <v>168</v>
      </c>
      <c r="D67" s="17">
        <v>0</v>
      </c>
      <c r="E67" s="17">
        <v>0</v>
      </c>
      <c r="F67" s="36">
        <v>1.2690000000000002E-3</v>
      </c>
      <c r="G67" s="19">
        <f>ROUND([1]pres!$C$2*[1]calculo!F6,2)</f>
        <v>76.290000000000006</v>
      </c>
      <c r="H67" s="17">
        <f>IFERROR(VLOOKUP(C67,#REF!,33,0),0)</f>
        <v>0</v>
      </c>
      <c r="I67" s="19">
        <f t="shared" si="2"/>
        <v>76.290000000000006</v>
      </c>
    </row>
    <row r="68" spans="1:9" x14ac:dyDescent="0.25">
      <c r="A68" s="15" t="s">
        <v>368</v>
      </c>
      <c r="B68" s="16" t="s">
        <v>369</v>
      </c>
      <c r="C68" s="15" t="s">
        <v>370</v>
      </c>
      <c r="D68" s="17">
        <v>0</v>
      </c>
      <c r="E68" s="17">
        <v>0</v>
      </c>
      <c r="F68" s="36">
        <v>1.2690000000000002E-3</v>
      </c>
      <c r="G68" s="19">
        <f>ROUND([1]pres!$C$2*[1]calculo!F179,2)</f>
        <v>76.290000000000006</v>
      </c>
      <c r="H68" s="17">
        <f>IFERROR(VLOOKUP(C68,#REF!,33,0),0)</f>
        <v>0</v>
      </c>
      <c r="I68" s="19">
        <f t="shared" si="2"/>
        <v>76.290000000000006</v>
      </c>
    </row>
    <row r="69" spans="1:9" x14ac:dyDescent="0.25">
      <c r="A69" s="15" t="s">
        <v>394</v>
      </c>
      <c r="B69" s="16" t="s">
        <v>64</v>
      </c>
      <c r="C69" s="15" t="s">
        <v>395</v>
      </c>
      <c r="D69" s="17">
        <v>0</v>
      </c>
      <c r="E69" s="17">
        <v>0</v>
      </c>
      <c r="F69" s="36">
        <v>1.2690000000000002E-3</v>
      </c>
      <c r="G69" s="19">
        <f>ROUND([1]pres!$C$2*[1]calculo!F203,2)</f>
        <v>76.290000000000006</v>
      </c>
      <c r="H69" s="17">
        <f>IFERROR(VLOOKUP(C69,#REF!,33,0),0)</f>
        <v>0</v>
      </c>
      <c r="I69" s="19">
        <f t="shared" si="2"/>
        <v>76.290000000000006</v>
      </c>
    </row>
    <row r="70" spans="1:9" x14ac:dyDescent="0.25">
      <c r="A70" s="15" t="s">
        <v>325</v>
      </c>
      <c r="B70" s="16" t="s">
        <v>128</v>
      </c>
      <c r="C70" s="15" t="s">
        <v>326</v>
      </c>
      <c r="D70" s="17">
        <v>0</v>
      </c>
      <c r="E70" s="17">
        <v>0</v>
      </c>
      <c r="F70" s="36">
        <v>1.2690000000000002E-3</v>
      </c>
      <c r="G70" s="19">
        <f>ROUND([1]pres!$C$2*[1]calculo!F143,2)</f>
        <v>76.290000000000006</v>
      </c>
      <c r="H70" s="17">
        <f>IFERROR(VLOOKUP(C70,#REF!,33,0),0)</f>
        <v>0</v>
      </c>
      <c r="I70" s="19">
        <f t="shared" si="2"/>
        <v>76.290000000000006</v>
      </c>
    </row>
    <row r="71" spans="1:9" x14ac:dyDescent="0.25">
      <c r="A71" s="15" t="s">
        <v>453</v>
      </c>
      <c r="B71" s="16" t="s">
        <v>21</v>
      </c>
      <c r="C71" s="15" t="s">
        <v>454</v>
      </c>
      <c r="D71" s="17">
        <v>0</v>
      </c>
      <c r="E71" s="17">
        <v>0</v>
      </c>
      <c r="F71" s="36">
        <v>1.2690000000000002E-3</v>
      </c>
      <c r="G71" s="19">
        <f>ROUND([1]pres!$C$2*[1]calculo!F254,2)</f>
        <v>76.290000000000006</v>
      </c>
      <c r="H71" s="17">
        <f>IFERROR(VLOOKUP(C71,#REF!,33,0),0)</f>
        <v>0</v>
      </c>
      <c r="I71" s="19">
        <f t="shared" si="2"/>
        <v>76.290000000000006</v>
      </c>
    </row>
    <row r="72" spans="1:9" x14ac:dyDescent="0.25">
      <c r="A72" s="15" t="s">
        <v>488</v>
      </c>
      <c r="B72" s="16" t="s">
        <v>88</v>
      </c>
      <c r="C72" s="15" t="s">
        <v>490</v>
      </c>
      <c r="D72" s="17">
        <v>0</v>
      </c>
      <c r="E72" s="17">
        <v>0</v>
      </c>
      <c r="F72" s="36">
        <v>1.2690000000000002E-3</v>
      </c>
      <c r="G72" s="19">
        <f>ROUND([1]pres!$C$2*[1]calculo!F284,2)</f>
        <v>76.290000000000006</v>
      </c>
      <c r="H72" s="17">
        <f>IFERROR(VLOOKUP(C72,#REF!,33,0),0)</f>
        <v>0</v>
      </c>
      <c r="I72" s="19">
        <f t="shared" si="2"/>
        <v>76.290000000000006</v>
      </c>
    </row>
    <row r="73" spans="1:9" x14ac:dyDescent="0.25">
      <c r="A73" s="15" t="s">
        <v>259</v>
      </c>
      <c r="B73" s="16" t="s">
        <v>9</v>
      </c>
      <c r="C73" s="15" t="s">
        <v>261</v>
      </c>
      <c r="D73" s="17">
        <v>0</v>
      </c>
      <c r="E73" s="17">
        <v>0</v>
      </c>
      <c r="F73" s="36">
        <v>1.2690000000000002E-3</v>
      </c>
      <c r="G73" s="19">
        <f>ROUND([1]pres!$C$2*[1]calculo!F89,2)</f>
        <v>76.290000000000006</v>
      </c>
      <c r="H73" s="17">
        <f>IFERROR(VLOOKUP(C73,#REF!,33,0),0)</f>
        <v>0</v>
      </c>
      <c r="I73" s="19">
        <f t="shared" si="2"/>
        <v>76.290000000000006</v>
      </c>
    </row>
    <row r="74" spans="1:9" x14ac:dyDescent="0.25">
      <c r="A74" s="15" t="s">
        <v>469</v>
      </c>
      <c r="B74" s="16" t="s">
        <v>148</v>
      </c>
      <c r="C74" s="15" t="s">
        <v>470</v>
      </c>
      <c r="D74" s="17">
        <v>0</v>
      </c>
      <c r="E74" s="17">
        <v>0</v>
      </c>
      <c r="F74" s="36">
        <v>1.2690000000000002E-3</v>
      </c>
      <c r="G74" s="19">
        <f>ROUND([1]pres!$C$2*[1]calculo!F267,2)</f>
        <v>76.290000000000006</v>
      </c>
      <c r="H74" s="17">
        <f>IFERROR(VLOOKUP(C74,#REF!,33,0),0)</f>
        <v>0</v>
      </c>
      <c r="I74" s="19">
        <f t="shared" si="2"/>
        <v>76.290000000000006</v>
      </c>
    </row>
    <row r="75" spans="1:9" x14ac:dyDescent="0.25">
      <c r="A75" s="15" t="s">
        <v>417</v>
      </c>
      <c r="B75" s="16" t="s">
        <v>114</v>
      </c>
      <c r="C75" s="15" t="s">
        <v>418</v>
      </c>
      <c r="D75" s="17">
        <v>0</v>
      </c>
      <c r="E75" s="17">
        <v>0</v>
      </c>
      <c r="F75" s="36">
        <v>1.2690000000000002E-3</v>
      </c>
      <c r="G75" s="19">
        <f>ROUND([1]pres!$C$2*[1]calculo!F221,2)</f>
        <v>76.290000000000006</v>
      </c>
      <c r="H75" s="17">
        <f>IFERROR(VLOOKUP(C75,#REF!,33,0),0)</f>
        <v>0</v>
      </c>
      <c r="I75" s="19">
        <f t="shared" si="2"/>
        <v>76.290000000000006</v>
      </c>
    </row>
    <row r="76" spans="1:9" x14ac:dyDescent="0.25">
      <c r="A76" s="15" t="s">
        <v>518</v>
      </c>
      <c r="B76" s="16" t="s">
        <v>26</v>
      </c>
      <c r="C76" s="15" t="s">
        <v>519</v>
      </c>
      <c r="D76" s="17">
        <v>0</v>
      </c>
      <c r="E76" s="17">
        <v>0</v>
      </c>
      <c r="F76" s="36">
        <v>1.2690000000000002E-3</v>
      </c>
      <c r="G76" s="19">
        <f>ROUND([1]pres!$C$2*[1]calculo!F307,2)</f>
        <v>76.290000000000006</v>
      </c>
      <c r="H76" s="17">
        <f>IFERROR(VLOOKUP(C76,#REF!,33,0),0)</f>
        <v>0</v>
      </c>
      <c r="I76" s="19">
        <f t="shared" si="2"/>
        <v>76.290000000000006</v>
      </c>
    </row>
    <row r="77" spans="1:9" x14ac:dyDescent="0.25">
      <c r="A77" s="15" t="s">
        <v>173</v>
      </c>
      <c r="B77" s="16" t="s">
        <v>174</v>
      </c>
      <c r="C77" s="15" t="s">
        <v>175</v>
      </c>
      <c r="D77" s="17">
        <v>0</v>
      </c>
      <c r="E77" s="17">
        <v>0</v>
      </c>
      <c r="F77" s="36">
        <v>1.2690000000000002E-3</v>
      </c>
      <c r="G77" s="19">
        <f>ROUND([1]pres!$C$2*[1]calculo!F11,2)</f>
        <v>76.290000000000006</v>
      </c>
      <c r="H77" s="17">
        <f>IFERROR(VLOOKUP(C77,#REF!,33,0),0)</f>
        <v>0</v>
      </c>
      <c r="I77" s="19">
        <f t="shared" si="2"/>
        <v>76.290000000000006</v>
      </c>
    </row>
    <row r="78" spans="1:9" x14ac:dyDescent="0.25">
      <c r="A78" s="15" t="s">
        <v>253</v>
      </c>
      <c r="B78" s="16" t="s">
        <v>133</v>
      </c>
      <c r="C78" s="15" t="s">
        <v>254</v>
      </c>
      <c r="D78" s="17">
        <v>0</v>
      </c>
      <c r="E78" s="17">
        <v>0</v>
      </c>
      <c r="F78" s="36">
        <v>1.2690000000000002E-3</v>
      </c>
      <c r="G78" s="19">
        <f>ROUND([1]pres!$C$2*[1]calculo!F81,2)</f>
        <v>76.290000000000006</v>
      </c>
      <c r="H78" s="17">
        <f>IFERROR(VLOOKUP(C78,#REF!,33,0),0)</f>
        <v>0</v>
      </c>
      <c r="I78" s="19">
        <f t="shared" si="2"/>
        <v>76.290000000000006</v>
      </c>
    </row>
    <row r="79" spans="1:9" x14ac:dyDescent="0.25">
      <c r="A79" s="15" t="s">
        <v>566</v>
      </c>
      <c r="B79" s="16" t="s">
        <v>145</v>
      </c>
      <c r="C79" s="15" t="s">
        <v>567</v>
      </c>
      <c r="D79" s="17">
        <v>0</v>
      </c>
      <c r="E79" s="17">
        <v>0</v>
      </c>
      <c r="F79" s="36">
        <v>1.2690000000000002E-3</v>
      </c>
      <c r="G79" s="19">
        <f>ROUND([1]pres!$C$2*[1]calculo!F350,2)</f>
        <v>76.290000000000006</v>
      </c>
      <c r="H79" s="17">
        <f>IFERROR(VLOOKUP(C79,#REF!,33,0),0)</f>
        <v>0</v>
      </c>
      <c r="I79" s="19">
        <f t="shared" si="2"/>
        <v>76.290000000000006</v>
      </c>
    </row>
    <row r="80" spans="1:9" x14ac:dyDescent="0.25">
      <c r="A80" s="15" t="s">
        <v>584</v>
      </c>
      <c r="B80" s="16" t="s">
        <v>119</v>
      </c>
      <c r="C80" s="15" t="s">
        <v>585</v>
      </c>
      <c r="D80" s="17">
        <v>0</v>
      </c>
      <c r="E80" s="17">
        <v>0</v>
      </c>
      <c r="F80" s="36">
        <v>1.2689999999999999E-3</v>
      </c>
      <c r="G80" s="19">
        <f>ROUND([1]pres!$C$2*[1]calculo!F367,2)</f>
        <v>76.290000000000006</v>
      </c>
      <c r="H80" s="17">
        <f>IFERROR(VLOOKUP(C80,#REF!,33,0),0)</f>
        <v>0</v>
      </c>
      <c r="I80" s="19">
        <f t="shared" si="2"/>
        <v>76.290000000000006</v>
      </c>
    </row>
    <row r="81" spans="1:9" x14ac:dyDescent="0.25">
      <c r="A81" s="15" t="s">
        <v>288</v>
      </c>
      <c r="B81" s="16" t="s">
        <v>289</v>
      </c>
      <c r="C81" s="15" t="s">
        <v>290</v>
      </c>
      <c r="D81" s="17">
        <v>0</v>
      </c>
      <c r="E81" s="17">
        <v>0</v>
      </c>
      <c r="F81" s="36">
        <v>1.2690000000000002E-3</v>
      </c>
      <c r="G81" s="19">
        <f>ROUND([1]pres!$C$2*[1]calculo!F112,2)</f>
        <v>76.290000000000006</v>
      </c>
      <c r="H81" s="17">
        <f>IFERROR(VLOOKUP(C81,#REF!,33,0),0)</f>
        <v>0</v>
      </c>
      <c r="I81" s="19">
        <f t="shared" si="2"/>
        <v>76.290000000000006</v>
      </c>
    </row>
    <row r="82" spans="1:9" x14ac:dyDescent="0.25">
      <c r="A82" s="15" t="s">
        <v>554</v>
      </c>
      <c r="B82" s="16" t="s">
        <v>35</v>
      </c>
      <c r="C82" s="15" t="s">
        <v>555</v>
      </c>
      <c r="D82" s="17">
        <v>0</v>
      </c>
      <c r="E82" s="17">
        <v>0</v>
      </c>
      <c r="F82" s="36">
        <v>1.2690000000000002E-3</v>
      </c>
      <c r="G82" s="19">
        <f>ROUND([1]pres!$C$2*[1]calculo!F339,2)</f>
        <v>76.290000000000006</v>
      </c>
      <c r="H82" s="17">
        <f>IFERROR(VLOOKUP(C82,#REF!,33,0),0)</f>
        <v>0</v>
      </c>
      <c r="I82" s="19">
        <f t="shared" si="2"/>
        <v>76.290000000000006</v>
      </c>
    </row>
    <row r="83" spans="1:9" x14ac:dyDescent="0.25">
      <c r="A83" s="15" t="s">
        <v>348</v>
      </c>
      <c r="B83" s="16" t="s">
        <v>138</v>
      </c>
      <c r="C83" s="15" t="s">
        <v>349</v>
      </c>
      <c r="D83" s="17">
        <v>0</v>
      </c>
      <c r="E83" s="17">
        <v>0</v>
      </c>
      <c r="F83" s="36">
        <v>1.2690000000000002E-3</v>
      </c>
      <c r="G83" s="19">
        <f>ROUND([1]pres!$C$2*[1]calculo!F163,2)</f>
        <v>76.290000000000006</v>
      </c>
      <c r="H83" s="17">
        <f>IFERROR(VLOOKUP(C83,#REF!,33,0),0)</f>
        <v>0</v>
      </c>
      <c r="I83" s="19">
        <f t="shared" si="2"/>
        <v>76.290000000000006</v>
      </c>
    </row>
    <row r="84" spans="1:9" x14ac:dyDescent="0.25">
      <c r="A84" s="15" t="s">
        <v>421</v>
      </c>
      <c r="B84" s="16" t="s">
        <v>422</v>
      </c>
      <c r="C84" s="15" t="s">
        <v>423</v>
      </c>
      <c r="D84" s="17">
        <v>0</v>
      </c>
      <c r="E84" s="17">
        <v>0</v>
      </c>
      <c r="F84" s="36">
        <v>1.2690000000000002E-3</v>
      </c>
      <c r="G84" s="19">
        <f>ROUND([1]pres!$C$2*[1]calculo!F225,2)</f>
        <v>76.290000000000006</v>
      </c>
      <c r="H84" s="17">
        <f>IFERROR(VLOOKUP(C84,#REF!,33,0),0)</f>
        <v>0</v>
      </c>
      <c r="I84" s="19">
        <f t="shared" si="2"/>
        <v>76.290000000000006</v>
      </c>
    </row>
    <row r="85" spans="1:9" x14ac:dyDescent="0.25">
      <c r="A85" s="15" t="s">
        <v>363</v>
      </c>
      <c r="B85" s="16" t="s">
        <v>101</v>
      </c>
      <c r="C85" s="15" t="s">
        <v>364</v>
      </c>
      <c r="D85" s="17">
        <v>0</v>
      </c>
      <c r="E85" s="17">
        <v>0</v>
      </c>
      <c r="F85" s="36">
        <v>1.2690000000000002E-3</v>
      </c>
      <c r="G85" s="19">
        <f>ROUND([1]pres!$C$2*[1]calculo!F174,2)</f>
        <v>76.290000000000006</v>
      </c>
      <c r="H85" s="17">
        <f>IFERROR(VLOOKUP(C85,#REF!,33,0),0)</f>
        <v>0</v>
      </c>
      <c r="I85" s="19">
        <f t="shared" si="2"/>
        <v>76.290000000000006</v>
      </c>
    </row>
    <row r="86" spans="1:9" x14ac:dyDescent="0.25">
      <c r="A86" s="15" t="s">
        <v>285</v>
      </c>
      <c r="B86" s="16" t="s">
        <v>286</v>
      </c>
      <c r="C86" s="15" t="s">
        <v>287</v>
      </c>
      <c r="D86" s="17">
        <v>0</v>
      </c>
      <c r="E86" s="17">
        <v>0</v>
      </c>
      <c r="F86" s="36">
        <v>1.2690000000000002E-3</v>
      </c>
      <c r="G86" s="19">
        <f>ROUND([1]pres!$C$2*[1]calculo!F110,2)</f>
        <v>76.290000000000006</v>
      </c>
      <c r="H86" s="17">
        <f>IFERROR(VLOOKUP(C86,#REF!,33,0),0)</f>
        <v>0</v>
      </c>
      <c r="I86" s="19">
        <f t="shared" si="2"/>
        <v>76.290000000000006</v>
      </c>
    </row>
    <row r="87" spans="1:9" x14ac:dyDescent="0.25">
      <c r="A87" s="15" t="s">
        <v>182</v>
      </c>
      <c r="B87" s="16" t="s">
        <v>146</v>
      </c>
      <c r="C87" s="15" t="s">
        <v>183</v>
      </c>
      <c r="D87" s="17">
        <v>0</v>
      </c>
      <c r="E87" s="17">
        <v>0</v>
      </c>
      <c r="F87" s="36">
        <v>1.2690000000000002E-3</v>
      </c>
      <c r="G87" s="19">
        <f>ROUND([1]pres!$C$2*[1]calculo!F18,2)</f>
        <v>76.290000000000006</v>
      </c>
      <c r="H87" s="17">
        <f>IFERROR(VLOOKUP(C87,#REF!,33,0),0)</f>
        <v>0</v>
      </c>
      <c r="I87" s="19">
        <f t="shared" si="2"/>
        <v>76.290000000000006</v>
      </c>
    </row>
    <row r="88" spans="1:9" x14ac:dyDescent="0.25">
      <c r="A88" s="15" t="s">
        <v>299</v>
      </c>
      <c r="B88" s="16" t="s">
        <v>300</v>
      </c>
      <c r="C88" s="15" t="s">
        <v>301</v>
      </c>
      <c r="D88" s="17">
        <v>0</v>
      </c>
      <c r="E88" s="17">
        <v>0</v>
      </c>
      <c r="F88" s="36">
        <v>1.2690000000000002E-3</v>
      </c>
      <c r="G88" s="19">
        <f>ROUND([1]pres!$C$2*[1]calculo!F121,2)</f>
        <v>76.290000000000006</v>
      </c>
      <c r="H88" s="17">
        <f>IFERROR(VLOOKUP(C88,#REF!,33,0),0)</f>
        <v>0</v>
      </c>
      <c r="I88" s="19">
        <f t="shared" si="2"/>
        <v>76.290000000000006</v>
      </c>
    </row>
    <row r="89" spans="1:9" x14ac:dyDescent="0.25">
      <c r="A89" s="15" t="s">
        <v>327</v>
      </c>
      <c r="B89" s="16" t="s">
        <v>328</v>
      </c>
      <c r="C89" s="15" t="s">
        <v>332</v>
      </c>
      <c r="D89" s="17">
        <v>0</v>
      </c>
      <c r="E89" s="17">
        <v>0</v>
      </c>
      <c r="F89" s="36">
        <v>1.2690000000000002E-3</v>
      </c>
      <c r="G89" s="19">
        <f>ROUND([1]pres!$C$2*[1]calculo!F148,2)</f>
        <v>76.290000000000006</v>
      </c>
      <c r="H89" s="17">
        <f>IFERROR(VLOOKUP(C89,#REF!,33,0),0)</f>
        <v>0</v>
      </c>
      <c r="I89" s="19">
        <f t="shared" si="2"/>
        <v>76.290000000000006</v>
      </c>
    </row>
    <row r="90" spans="1:9" x14ac:dyDescent="0.25">
      <c r="A90" s="15" t="s">
        <v>341</v>
      </c>
      <c r="B90" s="16" t="s">
        <v>95</v>
      </c>
      <c r="C90" s="15" t="s">
        <v>343</v>
      </c>
      <c r="D90" s="17">
        <v>0</v>
      </c>
      <c r="E90" s="17">
        <v>0</v>
      </c>
      <c r="F90" s="36">
        <v>1.2690000000000002E-3</v>
      </c>
      <c r="G90" s="19">
        <f>ROUND([1]pres!$C$2*[1]calculo!F157,2)</f>
        <v>76.290000000000006</v>
      </c>
      <c r="H90" s="17">
        <f>IFERROR(VLOOKUP(C90,#REF!,33,0),0)</f>
        <v>0</v>
      </c>
      <c r="I90" s="19">
        <f t="shared" si="2"/>
        <v>76.290000000000006</v>
      </c>
    </row>
    <row r="91" spans="1:9" x14ac:dyDescent="0.25">
      <c r="A91" s="15" t="s">
        <v>197</v>
      </c>
      <c r="B91" s="16" t="s">
        <v>868</v>
      </c>
      <c r="C91" s="15" t="s">
        <v>205</v>
      </c>
      <c r="D91" s="17">
        <v>0</v>
      </c>
      <c r="E91" s="17">
        <v>0</v>
      </c>
      <c r="F91" s="36">
        <v>1.2690000000000002E-3</v>
      </c>
      <c r="G91" s="19">
        <f>ROUND([1]pres!$C$2*[1]calculo!F38,2)</f>
        <v>76.290000000000006</v>
      </c>
      <c r="H91" s="17">
        <f>IFERROR(VLOOKUP(C91,#REF!,33,0),0)</f>
        <v>0</v>
      </c>
      <c r="I91" s="19">
        <f t="shared" si="2"/>
        <v>76.290000000000006</v>
      </c>
    </row>
    <row r="92" spans="1:9" x14ac:dyDescent="0.25">
      <c r="A92" s="15" t="s">
        <v>212</v>
      </c>
      <c r="B92" s="16" t="s">
        <v>123</v>
      </c>
      <c r="C92" s="15" t="s">
        <v>213</v>
      </c>
      <c r="D92" s="17">
        <v>0</v>
      </c>
      <c r="E92" s="17">
        <v>0</v>
      </c>
      <c r="F92" s="36">
        <v>1.2690000000000002E-3</v>
      </c>
      <c r="G92" s="19">
        <f>ROUND([1]pres!$C$2*[1]calculo!F46,2)</f>
        <v>76.290000000000006</v>
      </c>
      <c r="H92" s="17">
        <f>IFERROR(VLOOKUP(C92,#REF!,33,0),0)</f>
        <v>0</v>
      </c>
      <c r="I92" s="19">
        <f t="shared" si="2"/>
        <v>76.290000000000006</v>
      </c>
    </row>
    <row r="93" spans="1:9" x14ac:dyDescent="0.25">
      <c r="A93" s="15" t="s">
        <v>280</v>
      </c>
      <c r="B93" s="16" t="s">
        <v>281</v>
      </c>
      <c r="C93" s="15" t="s">
        <v>282</v>
      </c>
      <c r="D93" s="17">
        <v>0</v>
      </c>
      <c r="E93" s="17">
        <v>0</v>
      </c>
      <c r="F93" s="36">
        <v>1.2690000000000002E-3</v>
      </c>
      <c r="G93" s="19">
        <f>ROUND([1]pres!$C$2*[1]calculo!F106,2)</f>
        <v>76.290000000000006</v>
      </c>
      <c r="H93" s="17">
        <f>IFERROR(VLOOKUP(C93,#REF!,33,0),0)</f>
        <v>0</v>
      </c>
      <c r="I93" s="19">
        <f t="shared" si="2"/>
        <v>76.290000000000006</v>
      </c>
    </row>
    <row r="94" spans="1:9" x14ac:dyDescent="0.25">
      <c r="A94" s="15" t="s">
        <v>433</v>
      </c>
      <c r="B94" s="16" t="s">
        <v>47</v>
      </c>
      <c r="C94" s="15" t="s">
        <v>434</v>
      </c>
      <c r="D94" s="17">
        <v>0</v>
      </c>
      <c r="E94" s="17">
        <v>0</v>
      </c>
      <c r="F94" s="36">
        <v>1.2690000000000002E-3</v>
      </c>
      <c r="G94" s="19">
        <f>ROUND([1]pres!$C$2*[1]calculo!F235,2)</f>
        <v>76.290000000000006</v>
      </c>
      <c r="H94" s="17">
        <f>IFERROR(VLOOKUP(C94,#REF!,33,0),0)</f>
        <v>0</v>
      </c>
      <c r="I94" s="19">
        <f t="shared" si="2"/>
        <v>76.290000000000006</v>
      </c>
    </row>
    <row r="95" spans="1:9" x14ac:dyDescent="0.25">
      <c r="A95" s="15" t="s">
        <v>523</v>
      </c>
      <c r="B95" s="16" t="s">
        <v>66</v>
      </c>
      <c r="C95" s="15" t="s">
        <v>524</v>
      </c>
      <c r="D95" s="17">
        <v>0</v>
      </c>
      <c r="E95" s="17">
        <v>0</v>
      </c>
      <c r="F95" s="36">
        <v>1.2690000000000002E-3</v>
      </c>
      <c r="G95" s="19">
        <f>ROUND([1]pres!$C$2*[1]calculo!F311,2)</f>
        <v>76.290000000000006</v>
      </c>
      <c r="H95" s="17">
        <f>IFERROR(VLOOKUP(C95,#REF!,33,0),0)</f>
        <v>0</v>
      </c>
      <c r="I95" s="19">
        <f t="shared" si="2"/>
        <v>76.290000000000006</v>
      </c>
    </row>
    <row r="96" spans="1:9" x14ac:dyDescent="0.25">
      <c r="A96" s="15" t="s">
        <v>414</v>
      </c>
      <c r="B96" s="16" t="s">
        <v>415</v>
      </c>
      <c r="C96" s="15" t="s">
        <v>416</v>
      </c>
      <c r="D96" s="17">
        <v>0</v>
      </c>
      <c r="E96" s="17">
        <v>0</v>
      </c>
      <c r="F96" s="36">
        <v>1.2690000000000002E-3</v>
      </c>
      <c r="G96" s="19">
        <f>ROUND([1]pres!$C$2*[1]calculo!F219,2)</f>
        <v>76.290000000000006</v>
      </c>
      <c r="H96" s="17">
        <f>IFERROR(VLOOKUP(C96,#REF!,33,0),0)</f>
        <v>0</v>
      </c>
      <c r="I96" s="19">
        <f t="shared" si="2"/>
        <v>76.290000000000006</v>
      </c>
    </row>
    <row r="97" spans="1:9" x14ac:dyDescent="0.25">
      <c r="A97" s="15" t="s">
        <v>197</v>
      </c>
      <c r="B97" s="16" t="s">
        <v>198</v>
      </c>
      <c r="C97" s="15" t="s">
        <v>206</v>
      </c>
      <c r="D97" s="17">
        <v>0</v>
      </c>
      <c r="E97" s="17">
        <v>0</v>
      </c>
      <c r="F97" s="36">
        <v>1.2690000000000002E-3</v>
      </c>
      <c r="G97" s="19">
        <f>ROUND([1]pres!$C$2*[1]calculo!F39,2)</f>
        <v>76.290000000000006</v>
      </c>
      <c r="H97" s="17">
        <f>IFERROR(VLOOKUP(C97,#REF!,33,0),0)</f>
        <v>0</v>
      </c>
      <c r="I97" s="19">
        <f t="shared" si="2"/>
        <v>76.290000000000006</v>
      </c>
    </row>
    <row r="98" spans="1:9" x14ac:dyDescent="0.25">
      <c r="A98" s="15" t="s">
        <v>512</v>
      </c>
      <c r="B98" s="16" t="s">
        <v>513</v>
      </c>
      <c r="C98" s="15" t="s">
        <v>514</v>
      </c>
      <c r="D98" s="17">
        <v>0</v>
      </c>
      <c r="E98" s="17">
        <v>0</v>
      </c>
      <c r="F98" s="36">
        <v>1.2690000000000002E-3</v>
      </c>
      <c r="G98" s="19">
        <f>ROUND([1]pres!$C$2*[1]calculo!F302,2)</f>
        <v>76.290000000000006</v>
      </c>
      <c r="H98" s="17">
        <f>IFERROR(VLOOKUP(C98,#REF!,33,0),0)</f>
        <v>0</v>
      </c>
      <c r="I98" s="19">
        <f t="shared" ref="I98:I129" si="3">SUM(G98:H98)</f>
        <v>76.290000000000006</v>
      </c>
    </row>
    <row r="99" spans="1:9" x14ac:dyDescent="0.25">
      <c r="A99" s="15" t="s">
        <v>477</v>
      </c>
      <c r="B99" s="16" t="s">
        <v>149</v>
      </c>
      <c r="C99" s="15" t="s">
        <v>478</v>
      </c>
      <c r="D99" s="17">
        <v>0</v>
      </c>
      <c r="E99" s="17">
        <v>0</v>
      </c>
      <c r="F99" s="36">
        <v>1.2690000000000002E-3</v>
      </c>
      <c r="G99" s="19">
        <f>ROUND([1]pres!$C$2*[1]calculo!F274,2)</f>
        <v>76.290000000000006</v>
      </c>
      <c r="H99" s="17">
        <f>IFERROR(VLOOKUP(C99,#REF!,33,0),0)</f>
        <v>0</v>
      </c>
      <c r="I99" s="19">
        <f t="shared" si="3"/>
        <v>76.290000000000006</v>
      </c>
    </row>
    <row r="100" spans="1:9" x14ac:dyDescent="0.25">
      <c r="A100" s="15" t="s">
        <v>424</v>
      </c>
      <c r="B100" s="16" t="s">
        <v>152</v>
      </c>
      <c r="C100" s="15" t="s">
        <v>427</v>
      </c>
      <c r="D100" s="17">
        <v>0</v>
      </c>
      <c r="E100" s="17">
        <v>0</v>
      </c>
      <c r="F100" s="36">
        <v>1.2690000000000002E-3</v>
      </c>
      <c r="G100" s="19">
        <f>ROUND([1]pres!$C$2*[1]calculo!F228,2)</f>
        <v>76.290000000000006</v>
      </c>
      <c r="H100" s="17">
        <f>IFERROR(VLOOKUP(C100,#REF!,33,0),0)</f>
        <v>0</v>
      </c>
      <c r="I100" s="19">
        <f t="shared" si="3"/>
        <v>76.290000000000006</v>
      </c>
    </row>
    <row r="101" spans="1:9" x14ac:dyDescent="0.25">
      <c r="A101" s="15" t="s">
        <v>540</v>
      </c>
      <c r="B101" s="16" t="s">
        <v>62</v>
      </c>
      <c r="C101" s="15" t="s">
        <v>541</v>
      </c>
      <c r="D101" s="17">
        <v>0</v>
      </c>
      <c r="E101" s="17">
        <v>0</v>
      </c>
      <c r="F101" s="36">
        <v>1.2690000000000002E-3</v>
      </c>
      <c r="G101" s="19">
        <f>ROUND([1]pres!$C$2*[1]calculo!F325,2)</f>
        <v>76.290000000000006</v>
      </c>
      <c r="H101" s="17">
        <f>IFERROR(VLOOKUP(C101,#REF!,33,0),0)</f>
        <v>0</v>
      </c>
      <c r="I101" s="19">
        <f t="shared" si="3"/>
        <v>76.290000000000006</v>
      </c>
    </row>
    <row r="102" spans="1:9" x14ac:dyDescent="0.25">
      <c r="A102" s="15" t="s">
        <v>344</v>
      </c>
      <c r="B102" s="16" t="s">
        <v>24</v>
      </c>
      <c r="C102" s="15" t="s">
        <v>345</v>
      </c>
      <c r="D102" s="17">
        <v>0</v>
      </c>
      <c r="E102" s="17">
        <v>0</v>
      </c>
      <c r="F102" s="36">
        <v>1.2690000000000002E-3</v>
      </c>
      <c r="G102" s="19">
        <f>ROUND([1]pres!$C$2*[1]calculo!F159,2)</f>
        <v>76.290000000000006</v>
      </c>
      <c r="H102" s="17">
        <f>IFERROR(VLOOKUP(C102,#REF!,33,0),0)</f>
        <v>0</v>
      </c>
      <c r="I102" s="19">
        <f t="shared" si="3"/>
        <v>76.290000000000006</v>
      </c>
    </row>
    <row r="103" spans="1:9" x14ac:dyDescent="0.25">
      <c r="A103" s="15" t="s">
        <v>195</v>
      </c>
      <c r="B103" s="16" t="s">
        <v>55</v>
      </c>
      <c r="C103" s="15" t="s">
        <v>196</v>
      </c>
      <c r="D103" s="17">
        <v>0</v>
      </c>
      <c r="E103" s="17">
        <v>0</v>
      </c>
      <c r="F103" s="36">
        <v>1.2690000000000002E-3</v>
      </c>
      <c r="G103" s="19">
        <f>ROUND([1]pres!$C$2*[1]calculo!F30,2)</f>
        <v>76.290000000000006</v>
      </c>
      <c r="H103" s="17">
        <f>IFERROR(VLOOKUP(C103,#REF!,33,0),0)</f>
        <v>0</v>
      </c>
      <c r="I103" s="19">
        <f t="shared" si="3"/>
        <v>76.290000000000006</v>
      </c>
    </row>
    <row r="104" spans="1:9" x14ac:dyDescent="0.25">
      <c r="A104" s="15" t="s">
        <v>186</v>
      </c>
      <c r="B104" s="16" t="s">
        <v>127</v>
      </c>
      <c r="C104" s="15" t="s">
        <v>187</v>
      </c>
      <c r="D104" s="17">
        <v>0</v>
      </c>
      <c r="E104" s="17">
        <v>0</v>
      </c>
      <c r="F104" s="36">
        <v>1.2690000000000002E-3</v>
      </c>
      <c r="G104" s="19">
        <f>ROUND([1]pres!$C$2*[1]calculo!F22,2)</f>
        <v>76.290000000000006</v>
      </c>
      <c r="H104" s="17">
        <f>IFERROR(VLOOKUP(C104,#REF!,33,0),0)</f>
        <v>0</v>
      </c>
      <c r="I104" s="19">
        <f t="shared" si="3"/>
        <v>76.290000000000006</v>
      </c>
    </row>
    <row r="105" spans="1:9" x14ac:dyDescent="0.25">
      <c r="A105" s="15" t="s">
        <v>538</v>
      </c>
      <c r="B105" s="16" t="s">
        <v>84</v>
      </c>
      <c r="C105" s="15" t="s">
        <v>539</v>
      </c>
      <c r="D105" s="17">
        <v>0</v>
      </c>
      <c r="E105" s="17">
        <v>0</v>
      </c>
      <c r="F105" s="36">
        <v>1.2690000000000002E-3</v>
      </c>
      <c r="G105" s="19">
        <f>ROUND([1]pres!$C$2*[1]calculo!F323,2)</f>
        <v>76.290000000000006</v>
      </c>
      <c r="H105" s="17">
        <f>IFERROR(VLOOKUP(C105,#REF!,33,0),0)</f>
        <v>0</v>
      </c>
      <c r="I105" s="19">
        <f t="shared" si="3"/>
        <v>76.290000000000006</v>
      </c>
    </row>
    <row r="106" spans="1:9" x14ac:dyDescent="0.25">
      <c r="A106" s="15" t="s">
        <v>297</v>
      </c>
      <c r="B106" s="16" t="s">
        <v>150</v>
      </c>
      <c r="C106" s="15" t="s">
        <v>298</v>
      </c>
      <c r="D106" s="17">
        <v>0</v>
      </c>
      <c r="E106" s="17">
        <v>0</v>
      </c>
      <c r="F106" s="36">
        <v>1.2690000000000002E-3</v>
      </c>
      <c r="G106" s="19">
        <f>ROUND([1]pres!$C$2*[1]calculo!F119,2)</f>
        <v>76.290000000000006</v>
      </c>
      <c r="H106" s="17">
        <f>IFERROR(VLOOKUP(C106,#REF!,33,0),0)</f>
        <v>0</v>
      </c>
      <c r="I106" s="19">
        <f t="shared" si="3"/>
        <v>76.290000000000006</v>
      </c>
    </row>
    <row r="107" spans="1:9" x14ac:dyDescent="0.25">
      <c r="A107" s="15" t="s">
        <v>374</v>
      </c>
      <c r="B107" s="16" t="s">
        <v>81</v>
      </c>
      <c r="C107" s="15" t="s">
        <v>375</v>
      </c>
      <c r="D107" s="17">
        <v>0</v>
      </c>
      <c r="E107" s="17">
        <v>0</v>
      </c>
      <c r="F107" s="36">
        <v>1.2690000000000002E-3</v>
      </c>
      <c r="G107" s="19">
        <f>ROUND([1]pres!$C$2*[1]calculo!F183,2)</f>
        <v>76.290000000000006</v>
      </c>
      <c r="H107" s="17">
        <f>IFERROR(VLOOKUP(C107,#REF!,33,0),0)</f>
        <v>0</v>
      </c>
      <c r="I107" s="19">
        <f t="shared" si="3"/>
        <v>76.290000000000006</v>
      </c>
    </row>
    <row r="108" spans="1:9" x14ac:dyDescent="0.25">
      <c r="A108" s="15" t="s">
        <v>384</v>
      </c>
      <c r="B108" s="16" t="s">
        <v>86</v>
      </c>
      <c r="C108" s="15" t="s">
        <v>385</v>
      </c>
      <c r="D108" s="17">
        <v>0</v>
      </c>
      <c r="E108" s="17">
        <v>0</v>
      </c>
      <c r="F108" s="36">
        <v>1.2690000000000002E-3</v>
      </c>
      <c r="G108" s="19">
        <f>ROUND([1]pres!$C$2*[1]calculo!F194,2)</f>
        <v>76.290000000000006</v>
      </c>
      <c r="H108" s="17">
        <f>IFERROR(VLOOKUP(C108,#REF!,33,0),0)</f>
        <v>0</v>
      </c>
      <c r="I108" s="19">
        <f t="shared" si="3"/>
        <v>76.290000000000006</v>
      </c>
    </row>
    <row r="109" spans="1:9" x14ac:dyDescent="0.25">
      <c r="A109" s="15" t="s">
        <v>494</v>
      </c>
      <c r="B109" s="16" t="s">
        <v>73</v>
      </c>
      <c r="C109" s="15" t="s">
        <v>495</v>
      </c>
      <c r="D109" s="17">
        <v>0</v>
      </c>
      <c r="E109" s="17">
        <v>0</v>
      </c>
      <c r="F109" s="36">
        <v>1.2690000000000002E-3</v>
      </c>
      <c r="G109" s="19">
        <f>ROUND([1]pres!$C$2*[1]calculo!F288,2)</f>
        <v>76.290000000000006</v>
      </c>
      <c r="H109" s="17">
        <f>IFERROR(VLOOKUP(C109,#REF!,33,0),0)</f>
        <v>0</v>
      </c>
      <c r="I109" s="19">
        <f t="shared" si="3"/>
        <v>76.290000000000006</v>
      </c>
    </row>
    <row r="110" spans="1:9" x14ac:dyDescent="0.25">
      <c r="A110" s="15" t="s">
        <v>397</v>
      </c>
      <c r="B110" s="16" t="s">
        <v>398</v>
      </c>
      <c r="C110" s="15" t="s">
        <v>400</v>
      </c>
      <c r="D110" s="17">
        <v>0</v>
      </c>
      <c r="E110" s="17">
        <v>0</v>
      </c>
      <c r="F110" s="36">
        <v>1.2690000000000002E-3</v>
      </c>
      <c r="G110" s="19">
        <f>ROUND([1]pres!$C$2*[1]calculo!F207,2)</f>
        <v>76.290000000000006</v>
      </c>
      <c r="H110" s="17">
        <f>IFERROR(VLOOKUP(C110,#REF!,33,0),0)</f>
        <v>0</v>
      </c>
      <c r="I110" s="19">
        <f t="shared" si="3"/>
        <v>76.290000000000006</v>
      </c>
    </row>
    <row r="111" spans="1:9" x14ac:dyDescent="0.25">
      <c r="A111" s="15" t="s">
        <v>536</v>
      </c>
      <c r="B111" s="16" t="s">
        <v>11</v>
      </c>
      <c r="C111" s="15" t="s">
        <v>537</v>
      </c>
      <c r="D111" s="17">
        <v>0</v>
      </c>
      <c r="E111" s="17">
        <v>0</v>
      </c>
      <c r="F111" s="36">
        <v>1.2690000000000002E-3</v>
      </c>
      <c r="G111" s="19">
        <f>ROUND([1]pres!$C$2*[1]calculo!F321,2)</f>
        <v>76.290000000000006</v>
      </c>
      <c r="H111" s="17">
        <f>IFERROR(VLOOKUP(C111,#REF!,33,0),0)</f>
        <v>0</v>
      </c>
      <c r="I111" s="19">
        <f t="shared" si="3"/>
        <v>76.290000000000006</v>
      </c>
    </row>
    <row r="112" spans="1:9" x14ac:dyDescent="0.25">
      <c r="A112" s="15" t="s">
        <v>444</v>
      </c>
      <c r="B112" s="16" t="s">
        <v>16</v>
      </c>
      <c r="C112" s="15" t="s">
        <v>445</v>
      </c>
      <c r="D112" s="17">
        <v>0</v>
      </c>
      <c r="E112" s="17">
        <v>0</v>
      </c>
      <c r="F112" s="36">
        <v>1.2690000000000002E-3</v>
      </c>
      <c r="G112" s="19">
        <f>ROUND([1]pres!$C$2*[1]calculo!F246,2)</f>
        <v>76.290000000000006</v>
      </c>
      <c r="H112" s="17">
        <f>IFERROR(VLOOKUP(C112,#REF!,33,0),0)</f>
        <v>0</v>
      </c>
      <c r="I112" s="19">
        <f t="shared" si="3"/>
        <v>76.290000000000006</v>
      </c>
    </row>
    <row r="113" spans="1:9" x14ac:dyDescent="0.25">
      <c r="A113" s="15" t="s">
        <v>437</v>
      </c>
      <c r="B113" s="16" t="s">
        <v>58</v>
      </c>
      <c r="C113" s="15" t="s">
        <v>438</v>
      </c>
      <c r="D113" s="17">
        <v>0</v>
      </c>
      <c r="E113" s="17">
        <v>0</v>
      </c>
      <c r="F113" s="36">
        <v>1.2690000000000002E-3</v>
      </c>
      <c r="G113" s="19">
        <f>ROUND([1]pres!$C$2*[1]calculo!F239,2)</f>
        <v>76.290000000000006</v>
      </c>
      <c r="H113" s="17">
        <f>IFERROR(VLOOKUP(C113,#REF!,33,0),0)</f>
        <v>0</v>
      </c>
      <c r="I113" s="19">
        <f t="shared" si="3"/>
        <v>76.290000000000006</v>
      </c>
    </row>
    <row r="114" spans="1:9" x14ac:dyDescent="0.25">
      <c r="A114" s="15" t="s">
        <v>556</v>
      </c>
      <c r="B114" s="16" t="s">
        <v>557</v>
      </c>
      <c r="C114" s="15" t="s">
        <v>558</v>
      </c>
      <c r="D114" s="17">
        <v>0</v>
      </c>
      <c r="E114" s="17">
        <v>0</v>
      </c>
      <c r="F114" s="36">
        <v>1.2690000000000002E-3</v>
      </c>
      <c r="G114" s="19">
        <f>ROUND([1]pres!$C$2*[1]calculo!F341,2)</f>
        <v>76.290000000000006</v>
      </c>
      <c r="H114" s="17">
        <f>IFERROR(VLOOKUP(C114,#REF!,33,0),0)</f>
        <v>0</v>
      </c>
      <c r="I114" s="19">
        <f t="shared" si="3"/>
        <v>76.290000000000006</v>
      </c>
    </row>
    <row r="115" spans="1:9" x14ac:dyDescent="0.25">
      <c r="A115" s="15" t="s">
        <v>262</v>
      </c>
      <c r="B115" s="16" t="s">
        <v>31</v>
      </c>
      <c r="C115" s="15" t="s">
        <v>263</v>
      </c>
      <c r="D115" s="17">
        <v>0</v>
      </c>
      <c r="E115" s="17">
        <v>0</v>
      </c>
      <c r="F115" s="36">
        <v>1.2690000000000002E-3</v>
      </c>
      <c r="G115" s="19">
        <f>ROUND([1]pres!$C$2*[1]calculo!F91,2)</f>
        <v>76.290000000000006</v>
      </c>
      <c r="H115" s="17">
        <f>IFERROR(VLOOKUP(C115,#REF!,33,0),0)</f>
        <v>0</v>
      </c>
      <c r="I115" s="19">
        <f t="shared" si="3"/>
        <v>76.290000000000006</v>
      </c>
    </row>
    <row r="116" spans="1:9" x14ac:dyDescent="0.25">
      <c r="A116" s="15" t="s">
        <v>529</v>
      </c>
      <c r="B116" s="16" t="s">
        <v>530</v>
      </c>
      <c r="C116" s="15" t="s">
        <v>531</v>
      </c>
      <c r="D116" s="17">
        <v>0</v>
      </c>
      <c r="E116" s="17">
        <v>0</v>
      </c>
      <c r="F116" s="36">
        <v>1.2690000000000002E-3</v>
      </c>
      <c r="G116" s="19">
        <f>ROUND([1]pres!$C$2*[1]calculo!F317,2)</f>
        <v>76.290000000000006</v>
      </c>
      <c r="H116" s="17">
        <f>IFERROR(VLOOKUP(C116,#REF!,33,0),0)</f>
        <v>0</v>
      </c>
      <c r="I116" s="19">
        <f t="shared" si="3"/>
        <v>76.290000000000006</v>
      </c>
    </row>
    <row r="117" spans="1:9" x14ac:dyDescent="0.25">
      <c r="A117" s="15" t="s">
        <v>356</v>
      </c>
      <c r="B117" s="16" t="s">
        <v>59</v>
      </c>
      <c r="C117" s="15" t="s">
        <v>357</v>
      </c>
      <c r="D117" s="17">
        <v>0</v>
      </c>
      <c r="E117" s="17">
        <v>0</v>
      </c>
      <c r="F117" s="36">
        <v>1.2690000000000002E-3</v>
      </c>
      <c r="G117" s="19">
        <f>ROUND([1]pres!$C$2*[1]calculo!F168,2)</f>
        <v>76.290000000000006</v>
      </c>
      <c r="H117" s="17">
        <f>IFERROR(VLOOKUP(C117,#REF!,33,0),0)</f>
        <v>0</v>
      </c>
      <c r="I117" s="19">
        <f t="shared" si="3"/>
        <v>76.290000000000006</v>
      </c>
    </row>
    <row r="118" spans="1:9" x14ac:dyDescent="0.25">
      <c r="A118" s="15" t="s">
        <v>572</v>
      </c>
      <c r="B118" s="16" t="s">
        <v>136</v>
      </c>
      <c r="C118" s="15" t="s">
        <v>573</v>
      </c>
      <c r="D118" s="17">
        <v>0</v>
      </c>
      <c r="E118" s="17">
        <v>0</v>
      </c>
      <c r="F118" s="36">
        <v>1.2690000000000002E-3</v>
      </c>
      <c r="G118" s="19">
        <f>ROUND([1]pres!$C$2*[1]calculo!F356,2)</f>
        <v>76.290000000000006</v>
      </c>
      <c r="H118" s="17">
        <f>IFERROR(VLOOKUP(C118,#REF!,33,0),0)</f>
        <v>0</v>
      </c>
      <c r="I118" s="19">
        <f t="shared" si="3"/>
        <v>76.290000000000006</v>
      </c>
    </row>
    <row r="119" spans="1:9" x14ac:dyDescent="0.25">
      <c r="A119" s="15" t="s">
        <v>429</v>
      </c>
      <c r="B119" s="16" t="s">
        <v>76</v>
      </c>
      <c r="C119" s="15" t="s">
        <v>430</v>
      </c>
      <c r="D119" s="17">
        <v>0</v>
      </c>
      <c r="E119" s="17">
        <v>0</v>
      </c>
      <c r="F119" s="36">
        <v>1.2690000000000002E-3</v>
      </c>
      <c r="G119" s="19">
        <f>ROUND([1]pres!$C$2*[1]calculo!F231,2)</f>
        <v>76.290000000000006</v>
      </c>
      <c r="H119" s="17">
        <f>IFERROR(VLOOKUP(C119,#REF!,33,0),0)</f>
        <v>0</v>
      </c>
      <c r="I119" s="19">
        <f t="shared" si="3"/>
        <v>76.290000000000006</v>
      </c>
    </row>
    <row r="120" spans="1:9" x14ac:dyDescent="0.25">
      <c r="A120" s="15" t="s">
        <v>335</v>
      </c>
      <c r="B120" s="16" t="s">
        <v>336</v>
      </c>
      <c r="C120" s="15" t="s">
        <v>337</v>
      </c>
      <c r="D120" s="17">
        <v>0</v>
      </c>
      <c r="E120" s="17">
        <v>0</v>
      </c>
      <c r="F120" s="36">
        <v>1.2690000000000002E-3</v>
      </c>
      <c r="G120" s="19">
        <f>ROUND([1]pres!$C$2*[1]calculo!F152,2)</f>
        <v>76.290000000000006</v>
      </c>
      <c r="H120" s="17">
        <f>IFERROR(VLOOKUP(C120,#REF!,33,0),0)</f>
        <v>0</v>
      </c>
      <c r="I120" s="19">
        <f t="shared" si="3"/>
        <v>76.290000000000006</v>
      </c>
    </row>
    <row r="121" spans="1:9" x14ac:dyDescent="0.25">
      <c r="A121" s="15" t="s">
        <v>240</v>
      </c>
      <c r="B121" s="16" t="s">
        <v>28</v>
      </c>
      <c r="C121" s="15" t="s">
        <v>241</v>
      </c>
      <c r="D121" s="17">
        <v>0</v>
      </c>
      <c r="E121" s="17">
        <v>0</v>
      </c>
      <c r="F121" s="36">
        <v>1.2690000000000002E-3</v>
      </c>
      <c r="G121" s="19">
        <f>ROUND([1]pres!$C$2*[1]calculo!F71,2)</f>
        <v>76.290000000000006</v>
      </c>
      <c r="H121" s="17">
        <f>IFERROR(VLOOKUP(C121,#REF!,33,0),0)</f>
        <v>0</v>
      </c>
      <c r="I121" s="19">
        <f t="shared" si="3"/>
        <v>76.290000000000006</v>
      </c>
    </row>
    <row r="122" spans="1:9" x14ac:dyDescent="0.25">
      <c r="A122" s="15" t="s">
        <v>408</v>
      </c>
      <c r="B122" s="16" t="s">
        <v>98</v>
      </c>
      <c r="C122" s="15" t="s">
        <v>409</v>
      </c>
      <c r="D122" s="17">
        <v>0</v>
      </c>
      <c r="E122" s="17">
        <v>0</v>
      </c>
      <c r="F122" s="36">
        <v>1.2690000000000002E-3</v>
      </c>
      <c r="G122" s="19">
        <f>ROUND([1]pres!$C$2*[1]calculo!F213,2)</f>
        <v>76.290000000000006</v>
      </c>
      <c r="H122" s="17">
        <f>IFERROR(VLOOKUP(C122,#REF!,33,0),0)</f>
        <v>0</v>
      </c>
      <c r="I122" s="19">
        <f t="shared" si="3"/>
        <v>76.290000000000006</v>
      </c>
    </row>
    <row r="123" spans="1:9" x14ac:dyDescent="0.25">
      <c r="A123" s="15" t="s">
        <v>491</v>
      </c>
      <c r="B123" s="16" t="s">
        <v>492</v>
      </c>
      <c r="C123" s="15" t="s">
        <v>493</v>
      </c>
      <c r="D123" s="17">
        <v>0</v>
      </c>
      <c r="E123" s="17">
        <v>0</v>
      </c>
      <c r="F123" s="36">
        <v>1.2690000000000002E-3</v>
      </c>
      <c r="G123" s="19">
        <f>ROUND([1]pres!$C$2*[1]calculo!F286,2)</f>
        <v>76.290000000000006</v>
      </c>
      <c r="H123" s="17">
        <f>IFERROR(VLOOKUP(C123,#REF!,33,0),0)</f>
        <v>0</v>
      </c>
      <c r="I123" s="19">
        <f t="shared" si="3"/>
        <v>76.290000000000006</v>
      </c>
    </row>
    <row r="124" spans="1:9" x14ac:dyDescent="0.25">
      <c r="A124" s="15" t="s">
        <v>461</v>
      </c>
      <c r="B124" s="16" t="s">
        <v>57</v>
      </c>
      <c r="C124" s="15" t="s">
        <v>462</v>
      </c>
      <c r="D124" s="17">
        <v>0</v>
      </c>
      <c r="E124" s="17">
        <v>0</v>
      </c>
      <c r="F124" s="36">
        <v>1.2690000000000002E-3</v>
      </c>
      <c r="G124" s="19">
        <f>ROUND([1]pres!$C$2*[1]calculo!F261,2)</f>
        <v>76.290000000000006</v>
      </c>
      <c r="H124" s="17">
        <f>IFERROR(VLOOKUP(C124,#REF!,33,0),0)</f>
        <v>0</v>
      </c>
      <c r="I124" s="19">
        <f t="shared" si="3"/>
        <v>76.290000000000006</v>
      </c>
    </row>
    <row r="125" spans="1:9" x14ac:dyDescent="0.25">
      <c r="A125" s="15" t="s">
        <v>542</v>
      </c>
      <c r="B125" s="16" t="s">
        <v>67</v>
      </c>
      <c r="C125" s="15" t="s">
        <v>543</v>
      </c>
      <c r="D125" s="17">
        <v>0</v>
      </c>
      <c r="E125" s="17">
        <v>0</v>
      </c>
      <c r="F125" s="36">
        <v>1.2690000000000002E-3</v>
      </c>
      <c r="G125" s="19">
        <f>ROUND([1]pres!$C$2*[1]calculo!F327,2)</f>
        <v>76.290000000000006</v>
      </c>
      <c r="H125" s="17">
        <f>IFERROR(VLOOKUP(C125,#REF!,33,0),0)</f>
        <v>0</v>
      </c>
      <c r="I125" s="19">
        <f t="shared" si="3"/>
        <v>76.290000000000006</v>
      </c>
    </row>
    <row r="126" spans="1:9" x14ac:dyDescent="0.25">
      <c r="A126" s="15" t="s">
        <v>306</v>
      </c>
      <c r="B126" s="16" t="s">
        <v>52</v>
      </c>
      <c r="C126" s="15" t="s">
        <v>308</v>
      </c>
      <c r="D126" s="17">
        <v>0</v>
      </c>
      <c r="E126" s="17">
        <v>0</v>
      </c>
      <c r="F126" s="36">
        <v>1.2690000000000002E-3</v>
      </c>
      <c r="G126" s="19">
        <f>ROUND([1]pres!$C$2*[1]calculo!F128,2)</f>
        <v>76.290000000000006</v>
      </c>
      <c r="H126" s="17">
        <f>IFERROR(VLOOKUP(C126,#REF!,33,0),0)</f>
        <v>0</v>
      </c>
      <c r="I126" s="19">
        <f t="shared" si="3"/>
        <v>76.290000000000006</v>
      </c>
    </row>
    <row r="127" spans="1:9" x14ac:dyDescent="0.25">
      <c r="A127" s="15" t="s">
        <v>455</v>
      </c>
      <c r="B127" s="16" t="s">
        <v>456</v>
      </c>
      <c r="C127" s="15" t="s">
        <v>458</v>
      </c>
      <c r="D127" s="17">
        <v>0</v>
      </c>
      <c r="E127" s="17">
        <v>0</v>
      </c>
      <c r="F127" s="36">
        <v>1.2690000000000002E-3</v>
      </c>
      <c r="G127" s="19">
        <f>ROUND([1]pres!$C$2*[1]calculo!F257,2)</f>
        <v>76.290000000000006</v>
      </c>
      <c r="H127" s="17">
        <f>IFERROR(VLOOKUP(C127,#REF!,33,0),0)</f>
        <v>0</v>
      </c>
      <c r="I127" s="19">
        <f t="shared" si="3"/>
        <v>76.290000000000006</v>
      </c>
    </row>
    <row r="128" spans="1:9" x14ac:dyDescent="0.25">
      <c r="A128" s="15" t="s">
        <v>578</v>
      </c>
      <c r="B128" s="16" t="s">
        <v>115</v>
      </c>
      <c r="C128" s="15" t="s">
        <v>579</v>
      </c>
      <c r="D128" s="17">
        <v>0</v>
      </c>
      <c r="E128" s="17">
        <v>0</v>
      </c>
      <c r="F128" s="36">
        <v>1.2690000000000002E-3</v>
      </c>
      <c r="G128" s="19">
        <f>ROUND([1]pres!$C$2*[1]calculo!F361,2)</f>
        <v>76.290000000000006</v>
      </c>
      <c r="H128" s="17">
        <f>IFERROR(VLOOKUP(C128,#REF!,33,0),0)</f>
        <v>0</v>
      </c>
      <c r="I128" s="19">
        <f t="shared" si="3"/>
        <v>76.290000000000006</v>
      </c>
    </row>
    <row r="129" spans="1:9" x14ac:dyDescent="0.25">
      <c r="A129" s="15" t="s">
        <v>358</v>
      </c>
      <c r="B129" s="16" t="s">
        <v>359</v>
      </c>
      <c r="C129" s="15" t="s">
        <v>360</v>
      </c>
      <c r="D129" s="17">
        <v>0</v>
      </c>
      <c r="E129" s="17">
        <v>0</v>
      </c>
      <c r="F129" s="36">
        <v>1.2690000000000002E-3</v>
      </c>
      <c r="G129" s="19">
        <f>ROUND([1]pres!$C$2*[1]calculo!F170,2)</f>
        <v>76.290000000000006</v>
      </c>
      <c r="H129" s="17">
        <f>IFERROR(VLOOKUP(C129,#REF!,33,0),0)</f>
        <v>0</v>
      </c>
      <c r="I129" s="19">
        <f t="shared" si="3"/>
        <v>76.290000000000006</v>
      </c>
    </row>
    <row r="130" spans="1:9" x14ac:dyDescent="0.25">
      <c r="A130" s="15" t="s">
        <v>236</v>
      </c>
      <c r="B130" s="16" t="s">
        <v>94</v>
      </c>
      <c r="C130" s="15" t="s">
        <v>237</v>
      </c>
      <c r="D130" s="17">
        <v>0</v>
      </c>
      <c r="E130" s="17">
        <v>0</v>
      </c>
      <c r="F130" s="36">
        <v>1.2690000000000002E-3</v>
      </c>
      <c r="G130" s="19">
        <f>ROUND([1]pres!$C$2*[1]calculo!F67,2)</f>
        <v>76.290000000000006</v>
      </c>
      <c r="H130" s="17">
        <f>IFERROR(VLOOKUP(C130,#REF!,33,0),0)</f>
        <v>0</v>
      </c>
      <c r="I130" s="19">
        <f t="shared" ref="I130:I160" si="4">SUM(G130:H130)</f>
        <v>76.290000000000006</v>
      </c>
    </row>
    <row r="131" spans="1:9" x14ac:dyDescent="0.25">
      <c r="A131" s="15" t="s">
        <v>499</v>
      </c>
      <c r="B131" s="16" t="s">
        <v>500</v>
      </c>
      <c r="C131" s="15" t="s">
        <v>502</v>
      </c>
      <c r="D131" s="17">
        <v>0</v>
      </c>
      <c r="E131" s="17">
        <v>0</v>
      </c>
      <c r="F131" s="36">
        <v>1.2690000000000002E-3</v>
      </c>
      <c r="G131" s="19">
        <f>ROUND([1]pres!$C$2*[1]calculo!F294,2)</f>
        <v>76.290000000000006</v>
      </c>
      <c r="H131" s="17">
        <f>IFERROR(VLOOKUP(C131,#REF!,33,0),0)</f>
        <v>0</v>
      </c>
      <c r="I131" s="19">
        <f t="shared" si="4"/>
        <v>76.290000000000006</v>
      </c>
    </row>
    <row r="132" spans="1:9" x14ac:dyDescent="0.25">
      <c r="A132" s="15" t="s">
        <v>214</v>
      </c>
      <c r="B132" s="16" t="s">
        <v>141</v>
      </c>
      <c r="C132" s="15" t="s">
        <v>215</v>
      </c>
      <c r="D132" s="17">
        <v>0</v>
      </c>
      <c r="E132" s="17">
        <v>0</v>
      </c>
      <c r="F132" s="36">
        <v>1.2690000000000002E-3</v>
      </c>
      <c r="G132" s="19">
        <f>ROUND([1]pres!$C$2*[1]calculo!F48,2)</f>
        <v>76.290000000000006</v>
      </c>
      <c r="H132" s="17">
        <f>IFERROR(VLOOKUP(C132,#REF!,33,0),0)</f>
        <v>0</v>
      </c>
      <c r="I132" s="19">
        <f t="shared" si="4"/>
        <v>76.290000000000006</v>
      </c>
    </row>
    <row r="133" spans="1:9" x14ac:dyDescent="0.25">
      <c r="A133" s="15" t="s">
        <v>350</v>
      </c>
      <c r="B133" s="16" t="s">
        <v>351</v>
      </c>
      <c r="C133" s="15" t="s">
        <v>352</v>
      </c>
      <c r="D133" s="17">
        <v>0</v>
      </c>
      <c r="E133" s="17">
        <v>0</v>
      </c>
      <c r="F133" s="36">
        <v>1.2690000000000002E-3</v>
      </c>
      <c r="G133" s="19">
        <f>ROUND([1]pres!$C$2*[1]calculo!F164,2)</f>
        <v>76.290000000000006</v>
      </c>
      <c r="H133" s="17">
        <f>IFERROR(VLOOKUP(C133,#REF!,33,0),0)</f>
        <v>0</v>
      </c>
      <c r="I133" s="19">
        <f t="shared" si="4"/>
        <v>76.290000000000006</v>
      </c>
    </row>
    <row r="134" spans="1:9" x14ac:dyDescent="0.25">
      <c r="A134" s="15" t="s">
        <v>602</v>
      </c>
      <c r="B134" s="16" t="s">
        <v>103</v>
      </c>
      <c r="C134" s="15" t="s">
        <v>352</v>
      </c>
      <c r="D134" s="17">
        <v>0</v>
      </c>
      <c r="E134" s="17">
        <v>0</v>
      </c>
      <c r="F134" s="36">
        <v>1.2690000000000002E-3</v>
      </c>
      <c r="G134" s="19">
        <f>ROUND([1]pres!$C$2*[1]calculo!F381,2)</f>
        <v>76.290000000000006</v>
      </c>
      <c r="H134" s="17">
        <f>IFERROR(VLOOKUP(C134,#REF!,33,0),0)</f>
        <v>0</v>
      </c>
      <c r="I134" s="19">
        <f t="shared" si="4"/>
        <v>76.290000000000006</v>
      </c>
    </row>
    <row r="135" spans="1:9" x14ac:dyDescent="0.25">
      <c r="A135" s="15" t="s">
        <v>450</v>
      </c>
      <c r="B135" s="16" t="s">
        <v>68</v>
      </c>
      <c r="C135" s="15" t="s">
        <v>451</v>
      </c>
      <c r="D135" s="17">
        <v>0</v>
      </c>
      <c r="E135" s="17">
        <v>0</v>
      </c>
      <c r="F135" s="36">
        <v>1.2690000000000002E-3</v>
      </c>
      <c r="G135" s="19">
        <f>ROUND([1]pres!$C$2*[1]calculo!F251,2)</f>
        <v>76.290000000000006</v>
      </c>
      <c r="H135" s="17">
        <f>IFERROR(VLOOKUP(C135,#REF!,33,0),0)</f>
        <v>0</v>
      </c>
      <c r="I135" s="19">
        <f t="shared" si="4"/>
        <v>76.290000000000006</v>
      </c>
    </row>
    <row r="136" spans="1:9" x14ac:dyDescent="0.25">
      <c r="A136" s="15" t="s">
        <v>366</v>
      </c>
      <c r="B136" s="16" t="s">
        <v>107</v>
      </c>
      <c r="C136" s="15" t="s">
        <v>367</v>
      </c>
      <c r="D136" s="17">
        <v>0</v>
      </c>
      <c r="E136" s="17">
        <v>0</v>
      </c>
      <c r="F136" s="36">
        <v>1.2690000000000002E-3</v>
      </c>
      <c r="G136" s="19">
        <f>ROUND([1]pres!$C$2*[1]calculo!F177,2)</f>
        <v>76.290000000000006</v>
      </c>
      <c r="H136" s="17">
        <f>IFERROR(VLOOKUP(C136,#REF!,33,0),0)</f>
        <v>0</v>
      </c>
      <c r="I136" s="19">
        <f t="shared" si="4"/>
        <v>76.290000000000006</v>
      </c>
    </row>
    <row r="137" spans="1:9" x14ac:dyDescent="0.25">
      <c r="A137" s="15" t="s">
        <v>572</v>
      </c>
      <c r="B137" s="16" t="s">
        <v>136</v>
      </c>
      <c r="C137" s="15" t="s">
        <v>574</v>
      </c>
      <c r="D137" s="17">
        <v>0</v>
      </c>
      <c r="E137" s="17">
        <v>0</v>
      </c>
      <c r="F137" s="36">
        <v>1.2690000000000002E-3</v>
      </c>
      <c r="G137" s="19">
        <f>ROUND([1]pres!$C$2*[1]calculo!F357,2)</f>
        <v>76.290000000000006</v>
      </c>
      <c r="H137" s="17">
        <f>IFERROR(VLOOKUP(C137,#REF!,33,0),0)</f>
        <v>0</v>
      </c>
      <c r="I137" s="19">
        <f t="shared" si="4"/>
        <v>76.290000000000006</v>
      </c>
    </row>
    <row r="138" spans="1:9" x14ac:dyDescent="0.25">
      <c r="A138" s="15" t="s">
        <v>417</v>
      </c>
      <c r="B138" s="16" t="s">
        <v>114</v>
      </c>
      <c r="C138" s="15" t="s">
        <v>419</v>
      </c>
      <c r="D138" s="17">
        <v>0</v>
      </c>
      <c r="E138" s="17">
        <v>0</v>
      </c>
      <c r="F138" s="36">
        <v>1.2690000000000002E-3</v>
      </c>
      <c r="G138" s="19">
        <f>ROUND([1]pres!$C$2*[1]calculo!F222,2)</f>
        <v>76.290000000000006</v>
      </c>
      <c r="H138" s="17">
        <f>IFERROR(VLOOKUP(C138,#REF!,33,0),0)</f>
        <v>0</v>
      </c>
      <c r="I138" s="19">
        <f t="shared" si="4"/>
        <v>76.290000000000006</v>
      </c>
    </row>
    <row r="139" spans="1:9" x14ac:dyDescent="0.25">
      <c r="A139" s="15" t="s">
        <v>333</v>
      </c>
      <c r="B139" s="16" t="s">
        <v>70</v>
      </c>
      <c r="C139" s="15" t="s">
        <v>334</v>
      </c>
      <c r="D139" s="17">
        <v>0</v>
      </c>
      <c r="E139" s="17">
        <v>0</v>
      </c>
      <c r="F139" s="36">
        <v>1.2690000000000002E-3</v>
      </c>
      <c r="G139" s="19">
        <f>ROUND([1]pres!$C$2*[1]calculo!F150,2)</f>
        <v>76.290000000000006</v>
      </c>
      <c r="H139" s="17">
        <f>IFERROR(VLOOKUP(C139,#REF!,33,0),0)</f>
        <v>0</v>
      </c>
      <c r="I139" s="19">
        <f t="shared" si="4"/>
        <v>76.290000000000006</v>
      </c>
    </row>
    <row r="140" spans="1:9" x14ac:dyDescent="0.25">
      <c r="A140" s="15" t="s">
        <v>273</v>
      </c>
      <c r="B140" s="16" t="s">
        <v>274</v>
      </c>
      <c r="C140" s="15" t="s">
        <v>276</v>
      </c>
      <c r="D140" s="17">
        <v>0</v>
      </c>
      <c r="E140" s="17">
        <v>0</v>
      </c>
      <c r="F140" s="36">
        <v>1.2690000000000002E-3</v>
      </c>
      <c r="G140" s="19">
        <f>ROUND([1]pres!$C$2*[1]calculo!F101,2)</f>
        <v>76.290000000000006</v>
      </c>
      <c r="H140" s="17">
        <f>IFERROR(VLOOKUP(C140,#REF!,33,0),0)</f>
        <v>0</v>
      </c>
      <c r="I140" s="19">
        <f t="shared" si="4"/>
        <v>76.290000000000006</v>
      </c>
    </row>
    <row r="141" spans="1:9" x14ac:dyDescent="0.25">
      <c r="A141" s="15" t="s">
        <v>230</v>
      </c>
      <c r="B141" s="16" t="s">
        <v>231</v>
      </c>
      <c r="C141" s="15" t="s">
        <v>232</v>
      </c>
      <c r="D141" s="17">
        <v>0</v>
      </c>
      <c r="E141" s="17">
        <v>0</v>
      </c>
      <c r="F141" s="36">
        <v>1.2690000000000002E-3</v>
      </c>
      <c r="G141" s="19">
        <f>ROUND([1]pres!$C$2*[1]calculo!F63,2)</f>
        <v>76.290000000000006</v>
      </c>
      <c r="H141" s="17">
        <f>IFERROR(VLOOKUP(C141,#REF!,33,0),0)</f>
        <v>0</v>
      </c>
      <c r="I141" s="19">
        <f t="shared" si="4"/>
        <v>76.290000000000006</v>
      </c>
    </row>
    <row r="142" spans="1:9" x14ac:dyDescent="0.25">
      <c r="A142" s="15" t="s">
        <v>270</v>
      </c>
      <c r="B142" s="16" t="s">
        <v>20</v>
      </c>
      <c r="C142" s="15" t="s">
        <v>271</v>
      </c>
      <c r="D142" s="17">
        <v>0</v>
      </c>
      <c r="E142" s="17">
        <v>0</v>
      </c>
      <c r="F142" s="36">
        <v>1.2690000000000002E-3</v>
      </c>
      <c r="G142" s="19">
        <f>ROUND([1]pres!$C$2*[1]calculo!F97,2)</f>
        <v>76.290000000000006</v>
      </c>
      <c r="H142" s="17">
        <f>IFERROR(VLOOKUP(C142,#REF!,33,0),0)</f>
        <v>0</v>
      </c>
      <c r="I142" s="19">
        <f t="shared" si="4"/>
        <v>76.290000000000006</v>
      </c>
    </row>
    <row r="143" spans="1:9" x14ac:dyDescent="0.25">
      <c r="A143" s="15" t="s">
        <v>321</v>
      </c>
      <c r="B143" s="16" t="s">
        <v>322</v>
      </c>
      <c r="C143" s="15" t="s">
        <v>323</v>
      </c>
      <c r="D143" s="17">
        <v>0</v>
      </c>
      <c r="E143" s="17">
        <v>0</v>
      </c>
      <c r="F143" s="36">
        <v>1.2690000000000002E-3</v>
      </c>
      <c r="G143" s="19">
        <f>ROUND([1]pres!$C$2*[1]calculo!F140,2)</f>
        <v>76.290000000000006</v>
      </c>
      <c r="H143" s="17">
        <f>IFERROR(VLOOKUP(C143,#REF!,33,0),0)</f>
        <v>0</v>
      </c>
      <c r="I143" s="19">
        <f t="shared" si="4"/>
        <v>76.290000000000006</v>
      </c>
    </row>
    <row r="144" spans="1:9" x14ac:dyDescent="0.25">
      <c r="A144" s="15" t="s">
        <v>192</v>
      </c>
      <c r="B144" s="16" t="s">
        <v>193</v>
      </c>
      <c r="C144" s="15" t="s">
        <v>194</v>
      </c>
      <c r="D144" s="17">
        <v>0</v>
      </c>
      <c r="E144" s="17">
        <v>0</v>
      </c>
      <c r="F144" s="36">
        <v>1.2690000000000002E-3</v>
      </c>
      <c r="G144" s="19">
        <f>ROUND([1]pres!$C$2*[1]calculo!F27,2)</f>
        <v>76.290000000000006</v>
      </c>
      <c r="H144" s="17">
        <f>IFERROR(VLOOKUP(C144,#REF!,33,0),0)</f>
        <v>0</v>
      </c>
      <c r="I144" s="19">
        <f t="shared" si="4"/>
        <v>76.290000000000006</v>
      </c>
    </row>
    <row r="145" spans="1:9" x14ac:dyDescent="0.25">
      <c r="A145" s="15" t="s">
        <v>475</v>
      </c>
      <c r="B145" s="16" t="s">
        <v>14</v>
      </c>
      <c r="C145" s="15" t="s">
        <v>476</v>
      </c>
      <c r="D145" s="17">
        <v>0</v>
      </c>
      <c r="E145" s="17">
        <v>0</v>
      </c>
      <c r="F145" s="36">
        <v>1.2690000000000002E-3</v>
      </c>
      <c r="G145" s="19">
        <f>ROUND([1]pres!$C$2*[1]calculo!F272,2)</f>
        <v>76.290000000000006</v>
      </c>
      <c r="H145" s="17">
        <f>IFERROR(VLOOKUP(C145,#REF!,33,0),0)</f>
        <v>0</v>
      </c>
      <c r="I145" s="19">
        <f t="shared" si="4"/>
        <v>76.290000000000006</v>
      </c>
    </row>
    <row r="146" spans="1:9" x14ac:dyDescent="0.25">
      <c r="A146" s="15" t="s">
        <v>431</v>
      </c>
      <c r="B146" s="16" t="s">
        <v>25</v>
      </c>
      <c r="C146" s="15" t="s">
        <v>432</v>
      </c>
      <c r="D146" s="17">
        <v>0</v>
      </c>
      <c r="E146" s="17">
        <v>0</v>
      </c>
      <c r="F146" s="36">
        <v>1.2690000000000002E-3</v>
      </c>
      <c r="G146" s="19">
        <f>ROUND([1]pres!$C$2*[1]calculo!F233,2)</f>
        <v>76.290000000000006</v>
      </c>
      <c r="H146" s="17">
        <f>IFERROR(VLOOKUP(C146,#REF!,33,0),0)</f>
        <v>0</v>
      </c>
      <c r="I146" s="19">
        <f t="shared" si="4"/>
        <v>76.290000000000006</v>
      </c>
    </row>
    <row r="147" spans="1:9" x14ac:dyDescent="0.25">
      <c r="A147" s="15" t="s">
        <v>353</v>
      </c>
      <c r="B147" s="16" t="s">
        <v>354</v>
      </c>
      <c r="C147" s="15" t="s">
        <v>355</v>
      </c>
      <c r="D147" s="17">
        <v>0</v>
      </c>
      <c r="E147" s="17">
        <v>0</v>
      </c>
      <c r="F147" s="36">
        <v>1.2690000000000002E-3</v>
      </c>
      <c r="G147" s="19">
        <f>ROUND([1]pres!$C$2*[1]calculo!F166,2)</f>
        <v>76.290000000000006</v>
      </c>
      <c r="H147" s="17">
        <f>IFERROR(VLOOKUP(C147,#REF!,33,0),0)</f>
        <v>0</v>
      </c>
      <c r="I147" s="19">
        <f t="shared" si="4"/>
        <v>76.290000000000006</v>
      </c>
    </row>
    <row r="148" spans="1:9" x14ac:dyDescent="0.25">
      <c r="A148" s="15" t="s">
        <v>581</v>
      </c>
      <c r="B148" s="16" t="s">
        <v>19</v>
      </c>
      <c r="C148" s="15" t="s">
        <v>583</v>
      </c>
      <c r="D148" s="17">
        <v>0</v>
      </c>
      <c r="E148" s="17">
        <v>0</v>
      </c>
      <c r="F148" s="36">
        <v>1.2690000000000002E-3</v>
      </c>
      <c r="G148" s="19">
        <f>ROUND([1]pres!$C$2*[1]calculo!F365,2)</f>
        <v>76.290000000000006</v>
      </c>
      <c r="H148" s="17">
        <f>IFERROR(VLOOKUP(C148,#REF!,33,0),0)</f>
        <v>0</v>
      </c>
      <c r="I148" s="19">
        <f t="shared" si="4"/>
        <v>76.290000000000006</v>
      </c>
    </row>
    <row r="149" spans="1:9" x14ac:dyDescent="0.25">
      <c r="A149" s="15" t="s">
        <v>238</v>
      </c>
      <c r="B149" s="16" t="s">
        <v>113</v>
      </c>
      <c r="C149" s="15" t="s">
        <v>239</v>
      </c>
      <c r="D149" s="17">
        <v>0</v>
      </c>
      <c r="E149" s="17">
        <v>0</v>
      </c>
      <c r="F149" s="36">
        <v>1.2690000000000002E-3</v>
      </c>
      <c r="G149" s="19">
        <f>ROUND([1]pres!$C$2*[1]calculo!F69,2)</f>
        <v>76.290000000000006</v>
      </c>
      <c r="H149" s="17">
        <f>IFERROR(VLOOKUP(C149,#REF!,33,0),0)</f>
        <v>0</v>
      </c>
      <c r="I149" s="19">
        <f t="shared" si="4"/>
        <v>76.290000000000006</v>
      </c>
    </row>
    <row r="150" spans="1:9" x14ac:dyDescent="0.25">
      <c r="A150" s="15" t="s">
        <v>379</v>
      </c>
      <c r="B150" s="16" t="s">
        <v>38</v>
      </c>
      <c r="C150" s="15" t="s">
        <v>382</v>
      </c>
      <c r="D150" s="17">
        <v>0</v>
      </c>
      <c r="E150" s="17">
        <v>0</v>
      </c>
      <c r="F150" s="36">
        <v>1.2690000000000002E-3</v>
      </c>
      <c r="G150" s="19">
        <f>ROUND([1]pres!$C$2*[1]calculo!F191,2)</f>
        <v>76.290000000000006</v>
      </c>
      <c r="H150" s="17">
        <f>IFERROR(VLOOKUP(C150,#REF!,33,0),0)</f>
        <v>0</v>
      </c>
      <c r="I150" s="19">
        <f t="shared" si="4"/>
        <v>76.290000000000006</v>
      </c>
    </row>
    <row r="151" spans="1:9" x14ac:dyDescent="0.25">
      <c r="A151" s="15" t="s">
        <v>233</v>
      </c>
      <c r="B151" s="16" t="s">
        <v>234</v>
      </c>
      <c r="C151" s="15" t="s">
        <v>235</v>
      </c>
      <c r="D151" s="17">
        <v>0</v>
      </c>
      <c r="E151" s="17">
        <v>0</v>
      </c>
      <c r="F151" s="36">
        <v>1.2690000000000002E-3</v>
      </c>
      <c r="G151" s="19">
        <f>ROUND([1]pres!$C$2*[1]calculo!F65,2)</f>
        <v>76.290000000000006</v>
      </c>
      <c r="H151" s="17">
        <f>IFERROR(VLOOKUP(C151,#REF!,33,0),0)</f>
        <v>0</v>
      </c>
      <c r="I151" s="19">
        <f t="shared" si="4"/>
        <v>76.290000000000006</v>
      </c>
    </row>
    <row r="152" spans="1:9" x14ac:dyDescent="0.25">
      <c r="A152" s="15" t="s">
        <v>314</v>
      </c>
      <c r="B152" s="16" t="s">
        <v>315</v>
      </c>
      <c r="C152" s="15" t="s">
        <v>316</v>
      </c>
      <c r="D152" s="17">
        <v>0</v>
      </c>
      <c r="E152" s="17">
        <v>0</v>
      </c>
      <c r="F152" s="36">
        <v>1.2690000000000002E-3</v>
      </c>
      <c r="G152" s="19">
        <f>ROUND([1]pres!$C$2*[1]calculo!F134,2)</f>
        <v>76.290000000000006</v>
      </c>
      <c r="H152" s="17">
        <f>IFERROR(VLOOKUP(C152,#REF!,33,0),0)</f>
        <v>0</v>
      </c>
      <c r="I152" s="19">
        <f t="shared" si="4"/>
        <v>76.290000000000006</v>
      </c>
    </row>
    <row r="153" spans="1:9" x14ac:dyDescent="0.25">
      <c r="A153" s="15" t="s">
        <v>551</v>
      </c>
      <c r="B153" s="16" t="s">
        <v>92</v>
      </c>
      <c r="C153" s="15" t="s">
        <v>552</v>
      </c>
      <c r="D153" s="17">
        <v>0</v>
      </c>
      <c r="E153" s="17">
        <v>0</v>
      </c>
      <c r="F153" s="36">
        <v>1.2690000000000002E-3</v>
      </c>
      <c r="G153" s="19">
        <f>ROUND([1]pres!$C$2*[1]calculo!F336,2)</f>
        <v>76.290000000000006</v>
      </c>
      <c r="H153" s="17">
        <f>IFERROR(VLOOKUP(C153,#REF!,33,0),0)</f>
        <v>0</v>
      </c>
      <c r="I153" s="19">
        <f t="shared" si="4"/>
        <v>76.290000000000006</v>
      </c>
    </row>
    <row r="154" spans="1:9" x14ac:dyDescent="0.25">
      <c r="A154" s="15" t="s">
        <v>188</v>
      </c>
      <c r="B154" s="16" t="s">
        <v>189</v>
      </c>
      <c r="C154" s="15" t="s">
        <v>191</v>
      </c>
      <c r="D154" s="17">
        <v>0</v>
      </c>
      <c r="E154" s="17">
        <v>0</v>
      </c>
      <c r="F154" s="36">
        <v>1.2690000000000002E-3</v>
      </c>
      <c r="G154" s="19">
        <f>ROUND([1]pres!$C$2*[1]calculo!F25,2)</f>
        <v>76.290000000000006</v>
      </c>
      <c r="H154" s="17">
        <f>IFERROR(VLOOKUP(C154,#REF!,33,0),0)</f>
        <v>0</v>
      </c>
      <c r="I154" s="19">
        <f t="shared" si="4"/>
        <v>76.290000000000006</v>
      </c>
    </row>
    <row r="155" spans="1:9" x14ac:dyDescent="0.25">
      <c r="A155" s="15" t="s">
        <v>311</v>
      </c>
      <c r="B155" s="16" t="s">
        <v>312</v>
      </c>
      <c r="C155" s="15" t="s">
        <v>313</v>
      </c>
      <c r="D155" s="17">
        <v>0</v>
      </c>
      <c r="E155" s="17">
        <v>0</v>
      </c>
      <c r="F155" s="36">
        <v>1.2690000000000002E-3</v>
      </c>
      <c r="G155" s="19">
        <f>ROUND([1]pres!$C$2*[1]calculo!F132,2)</f>
        <v>76.290000000000006</v>
      </c>
      <c r="H155" s="17">
        <f>IFERROR(VLOOKUP(C155,#REF!,33,0),0)</f>
        <v>0</v>
      </c>
      <c r="I155" s="19">
        <f t="shared" si="4"/>
        <v>76.290000000000006</v>
      </c>
    </row>
    <row r="156" spans="1:9" x14ac:dyDescent="0.25">
      <c r="A156" s="15" t="s">
        <v>338</v>
      </c>
      <c r="B156" s="16" t="s">
        <v>339</v>
      </c>
      <c r="C156" s="15" t="s">
        <v>340</v>
      </c>
      <c r="D156" s="17">
        <v>0</v>
      </c>
      <c r="E156" s="17">
        <v>0</v>
      </c>
      <c r="F156" s="36">
        <v>1.2690000000000002E-3</v>
      </c>
      <c r="G156" s="19">
        <f>ROUND([1]pres!$C$2*[1]calculo!F154,2)</f>
        <v>76.290000000000006</v>
      </c>
      <c r="H156" s="17">
        <f>IFERROR(VLOOKUP(C156,#REF!,33,0),0)</f>
        <v>0</v>
      </c>
      <c r="I156" s="19">
        <f t="shared" si="4"/>
        <v>76.290000000000006</v>
      </c>
    </row>
    <row r="157" spans="1:9" x14ac:dyDescent="0.25">
      <c r="A157" s="15" t="s">
        <v>503</v>
      </c>
      <c r="B157" s="16" t="s">
        <v>504</v>
      </c>
      <c r="C157" s="15" t="s">
        <v>505</v>
      </c>
      <c r="D157" s="17">
        <v>0</v>
      </c>
      <c r="E157" s="17">
        <v>0</v>
      </c>
      <c r="F157" s="36">
        <v>1.2690000000000002E-3</v>
      </c>
      <c r="G157" s="19">
        <f>ROUND([1]pres!$C$2*[1]calculo!F296,2)</f>
        <v>76.290000000000006</v>
      </c>
      <c r="H157" s="17">
        <f>IFERROR(VLOOKUP(C157,#REF!,33,0),0)</f>
        <v>0</v>
      </c>
      <c r="I157" s="19">
        <f t="shared" si="4"/>
        <v>76.290000000000006</v>
      </c>
    </row>
    <row r="158" spans="1:9" x14ac:dyDescent="0.25">
      <c r="A158" s="15" t="s">
        <v>595</v>
      </c>
      <c r="B158" s="30" t="s">
        <v>480</v>
      </c>
      <c r="C158" s="15" t="s">
        <v>596</v>
      </c>
      <c r="D158" s="17">
        <v>0</v>
      </c>
      <c r="E158" s="17">
        <v>0</v>
      </c>
      <c r="F158" s="36">
        <v>1.2690000000000002E-3</v>
      </c>
      <c r="G158" s="19">
        <f>ROUND([1]pres!$C$2*[1]calculo!F376,2)</f>
        <v>76.290000000000006</v>
      </c>
      <c r="H158" s="17">
        <f>IFERROR(VLOOKUP(C158,#REF!,33,0),0)</f>
        <v>0</v>
      </c>
      <c r="I158" s="19">
        <f t="shared" si="4"/>
        <v>76.290000000000006</v>
      </c>
    </row>
    <row r="159" spans="1:9" x14ac:dyDescent="0.25">
      <c r="A159" s="15" t="s">
        <v>371</v>
      </c>
      <c r="B159" s="16" t="s">
        <v>372</v>
      </c>
      <c r="C159" s="15" t="s">
        <v>373</v>
      </c>
      <c r="D159" s="17">
        <v>0</v>
      </c>
      <c r="E159" s="17">
        <v>0</v>
      </c>
      <c r="F159" s="36">
        <v>1.2690000000000002E-3</v>
      </c>
      <c r="G159" s="19">
        <f>ROUND([1]pres!$C$2*[1]calculo!F181,2)</f>
        <v>76.290000000000006</v>
      </c>
      <c r="H159" s="17">
        <f>IFERROR(VLOOKUP(C159,#REF!,33,0),0)</f>
        <v>0</v>
      </c>
      <c r="I159" s="19">
        <f t="shared" si="4"/>
        <v>76.290000000000006</v>
      </c>
    </row>
    <row r="160" spans="1:9" x14ac:dyDescent="0.25">
      <c r="A160" s="15" t="s">
        <v>161</v>
      </c>
      <c r="B160" s="16" t="s">
        <v>162</v>
      </c>
      <c r="C160" s="15"/>
      <c r="D160" s="17"/>
      <c r="E160" s="17"/>
      <c r="F160" s="36">
        <v>4.4149999999999997E-3</v>
      </c>
      <c r="G160" s="19">
        <f>ROUND([1]pres!$C$2*[1]calculo!F2,2)</f>
        <v>265.41000000000003</v>
      </c>
      <c r="H160" s="17">
        <f>IFERROR(VLOOKUP(C160,#REF!,33,0),0)</f>
        <v>0</v>
      </c>
      <c r="I160" s="19">
        <f t="shared" si="4"/>
        <v>265.41000000000003</v>
      </c>
    </row>
    <row r="161" spans="1:9" x14ac:dyDescent="0.25">
      <c r="A161" s="15"/>
      <c r="B161" s="16"/>
      <c r="C161" s="15"/>
      <c r="D161" s="17"/>
      <c r="E161" s="17"/>
      <c r="F161" s="36"/>
      <c r="G161" s="19"/>
      <c r="H161" s="17"/>
      <c r="I161" s="19"/>
    </row>
    <row r="162" spans="1:9" x14ac:dyDescent="0.25">
      <c r="A162" s="21"/>
      <c r="B162" s="22"/>
      <c r="C162" s="21"/>
      <c r="D162" s="17">
        <f>SUM(D1:D161)</f>
        <v>0</v>
      </c>
      <c r="E162" s="17">
        <f>SUM(E1:E161)</f>
        <v>0</v>
      </c>
      <c r="F162" s="36">
        <f>+SUBTOTAL(9,F2:F161)</f>
        <v>0.20491699999999982</v>
      </c>
      <c r="G162" s="17">
        <f>SUM(G2:G161)</f>
        <v>12319.230000000041</v>
      </c>
      <c r="H162" s="19">
        <f>SUM(H1:H161)</f>
        <v>0</v>
      </c>
      <c r="I162" s="19">
        <f>SUM(I1:I161)</f>
        <v>12319.230000000041</v>
      </c>
    </row>
    <row r="164" spans="1:9" x14ac:dyDescent="0.25">
      <c r="F164" s="38"/>
    </row>
  </sheetData>
  <autoFilter ref="A1:I160" xr:uid="{00000000-0009-0000-0000-000002000000}"/>
  <sortState xmlns:xlrd2="http://schemas.microsoft.com/office/spreadsheetml/2017/richdata2" ref="A2:I382">
    <sortCondition ref="C2:C382"/>
  </sortState>
  <pageMargins left="0.19685039370078741" right="0.19685039370078741" top="0.39370078740157483" bottom="0.39370078740157483" header="0.31496062992125984" footer="0.31496062992125984"/>
  <pageSetup paperSize="9" scale="85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topLeftCell="A18" workbookViewId="0">
      <selection activeCell="F31" sqref="F31"/>
    </sheetView>
  </sheetViews>
  <sheetFormatPr baseColWidth="10" defaultColWidth="11.42578125" defaultRowHeight="15" x14ac:dyDescent="0.25"/>
  <cols>
    <col min="1" max="1" width="11.42578125" style="23"/>
    <col min="2" max="2" width="45.5703125" customWidth="1"/>
    <col min="3" max="3" width="12.28515625" style="23" customWidth="1"/>
    <col min="4" max="5" width="11.42578125" style="24"/>
    <col min="6" max="6" width="17.28515625" style="26" customWidth="1"/>
    <col min="7" max="7" width="15.85546875" bestFit="1" customWidth="1"/>
    <col min="8" max="8" width="11.42578125" style="24"/>
  </cols>
  <sheetData>
    <row r="1" spans="1:9" ht="30" x14ac:dyDescent="0.25">
      <c r="A1" s="11" t="s">
        <v>155</v>
      </c>
      <c r="B1" s="12" t="s">
        <v>156</v>
      </c>
      <c r="C1" s="11" t="s">
        <v>157</v>
      </c>
      <c r="D1" s="13" t="s">
        <v>2</v>
      </c>
      <c r="E1" s="13" t="s">
        <v>3</v>
      </c>
      <c r="F1" s="14" t="s">
        <v>4</v>
      </c>
      <c r="G1" s="13" t="s">
        <v>158</v>
      </c>
      <c r="H1" s="13" t="s">
        <v>159</v>
      </c>
      <c r="I1" s="13" t="s">
        <v>160</v>
      </c>
    </row>
    <row r="2" spans="1:9" x14ac:dyDescent="0.25">
      <c r="A2" s="15" t="s">
        <v>327</v>
      </c>
      <c r="B2" s="16" t="s">
        <v>328</v>
      </c>
      <c r="C2" s="15" t="s">
        <v>329</v>
      </c>
      <c r="D2" s="17">
        <v>0</v>
      </c>
      <c r="E2" s="17">
        <v>0</v>
      </c>
      <c r="F2" s="36">
        <v>3.6749999999999999E-4</v>
      </c>
      <c r="G2" s="19">
        <f>ROUND([1]pres!$C$2*[1]calculo!F145,2)</f>
        <v>22.09</v>
      </c>
      <c r="H2" s="17">
        <f>IFERROR(VLOOKUP(C2,#REF!,33,0),0)</f>
        <v>0</v>
      </c>
      <c r="I2" s="19">
        <f t="shared" ref="I2:I28" si="0">SUM(G2:H2)</f>
        <v>22.09</v>
      </c>
    </row>
    <row r="3" spans="1:9" x14ac:dyDescent="0.25">
      <c r="A3" s="15" t="s">
        <v>251</v>
      </c>
      <c r="B3" s="16" t="s">
        <v>143</v>
      </c>
      <c r="C3" s="15" t="s">
        <v>252</v>
      </c>
      <c r="D3" s="17">
        <v>0</v>
      </c>
      <c r="E3" s="17">
        <v>0</v>
      </c>
      <c r="F3" s="36">
        <v>3.6749999999999999E-4</v>
      </c>
      <c r="G3" s="19">
        <f>ROUND([1]pres!$C$2*[1]calculo!F79,2)</f>
        <v>22.09</v>
      </c>
      <c r="H3" s="17">
        <f>IFERROR(VLOOKUP(C3,#REF!,33,0),0)</f>
        <v>0</v>
      </c>
      <c r="I3" s="19">
        <f t="shared" si="0"/>
        <v>22.09</v>
      </c>
    </row>
    <row r="4" spans="1:9" x14ac:dyDescent="0.25">
      <c r="A4" s="15" t="s">
        <v>222</v>
      </c>
      <c r="B4" s="16" t="s">
        <v>93</v>
      </c>
      <c r="C4" s="15" t="s">
        <v>223</v>
      </c>
      <c r="D4" s="17">
        <v>0</v>
      </c>
      <c r="E4" s="17">
        <v>0</v>
      </c>
      <c r="F4" s="36">
        <v>3.6749999999999999E-4</v>
      </c>
      <c r="G4" s="19">
        <f>ROUND([1]pres!$C$2*[1]calculo!F56,2)</f>
        <v>22.09</v>
      </c>
      <c r="H4" s="17">
        <f>IFERROR(VLOOKUP(C4,#REF!,33,0),0)</f>
        <v>0</v>
      </c>
      <c r="I4" s="19">
        <f t="shared" si="0"/>
        <v>22.09</v>
      </c>
    </row>
    <row r="5" spans="1:9" x14ac:dyDescent="0.25">
      <c r="A5" s="15" t="s">
        <v>327</v>
      </c>
      <c r="B5" s="16" t="s">
        <v>328</v>
      </c>
      <c r="C5" s="15" t="s">
        <v>330</v>
      </c>
      <c r="D5" s="17">
        <v>0</v>
      </c>
      <c r="E5" s="17">
        <v>0</v>
      </c>
      <c r="F5" s="36">
        <v>3.6749999999999999E-4</v>
      </c>
      <c r="G5" s="19">
        <f>ROUND([1]pres!$C$2*[1]calculo!F146,2)</f>
        <v>22.09</v>
      </c>
      <c r="H5" s="17">
        <f>IFERROR(VLOOKUP(C5,#REF!,33,0),0)</f>
        <v>0</v>
      </c>
      <c r="I5" s="19">
        <f t="shared" si="0"/>
        <v>22.09</v>
      </c>
    </row>
    <row r="6" spans="1:9" x14ac:dyDescent="0.25">
      <c r="A6" s="15" t="s">
        <v>463</v>
      </c>
      <c r="B6" s="16" t="s">
        <v>126</v>
      </c>
      <c r="C6" s="15" t="s">
        <v>464</v>
      </c>
      <c r="D6" s="17">
        <v>0</v>
      </c>
      <c r="E6" s="17">
        <v>0</v>
      </c>
      <c r="F6" s="36">
        <v>3.6749999999999999E-4</v>
      </c>
      <c r="G6" s="19">
        <f>ROUND([1]pres!$C$2*[1]calculo!F263,2)</f>
        <v>22.09</v>
      </c>
      <c r="H6" s="17">
        <f>IFERROR(VLOOKUP(C6,#REF!,33,0),0)</f>
        <v>0</v>
      </c>
      <c r="I6" s="19">
        <f t="shared" si="0"/>
        <v>22.09</v>
      </c>
    </row>
    <row r="7" spans="1:9" x14ac:dyDescent="0.25">
      <c r="A7" s="15" t="s">
        <v>597</v>
      </c>
      <c r="B7" s="30" t="s">
        <v>145</v>
      </c>
      <c r="C7" s="15" t="s">
        <v>598</v>
      </c>
      <c r="D7" s="17">
        <v>0</v>
      </c>
      <c r="E7" s="17">
        <v>0</v>
      </c>
      <c r="F7" s="36">
        <v>3.6749999999999999E-4</v>
      </c>
      <c r="G7" s="19">
        <f>ROUND([1]pres!$C$2*[1]calculo!F377,2)</f>
        <v>22.09</v>
      </c>
      <c r="H7" s="17">
        <f>IFERROR(VLOOKUP(C7,#REF!,33,0),0)</f>
        <v>0</v>
      </c>
      <c r="I7" s="19">
        <f t="shared" si="0"/>
        <v>22.09</v>
      </c>
    </row>
    <row r="8" spans="1:9" x14ac:dyDescent="0.25">
      <c r="A8" s="15" t="s">
        <v>597</v>
      </c>
      <c r="B8" s="30" t="s">
        <v>145</v>
      </c>
      <c r="C8" s="15" t="s">
        <v>599</v>
      </c>
      <c r="D8" s="17">
        <v>0</v>
      </c>
      <c r="E8" s="17">
        <v>0</v>
      </c>
      <c r="F8" s="36">
        <v>3.6749999999999999E-4</v>
      </c>
      <c r="G8" s="19">
        <f>ROUND([1]pres!$C$2*[1]calculo!F378,2)</f>
        <v>22.09</v>
      </c>
      <c r="H8" s="17">
        <f>IFERROR(VLOOKUP(C8,#REF!,33,0),0)</f>
        <v>0</v>
      </c>
      <c r="I8" s="19">
        <f t="shared" si="0"/>
        <v>22.09</v>
      </c>
    </row>
    <row r="9" spans="1:9" x14ac:dyDescent="0.25">
      <c r="A9" s="15" t="s">
        <v>379</v>
      </c>
      <c r="B9" s="16" t="s">
        <v>38</v>
      </c>
      <c r="C9" s="15" t="s">
        <v>380</v>
      </c>
      <c r="D9" s="17">
        <v>0</v>
      </c>
      <c r="E9" s="17">
        <v>0</v>
      </c>
      <c r="F9" s="36">
        <v>3.6749999999999999E-4</v>
      </c>
      <c r="G9" s="19">
        <f>ROUND([1]pres!$C$2*[1]calculo!F189,2)</f>
        <v>22.09</v>
      </c>
      <c r="H9" s="17">
        <f>IFERROR(VLOOKUP(C9,#REF!,33,0),0)</f>
        <v>0</v>
      </c>
      <c r="I9" s="19">
        <f t="shared" si="0"/>
        <v>22.09</v>
      </c>
    </row>
    <row r="10" spans="1:9" x14ac:dyDescent="0.25">
      <c r="A10" s="15" t="s">
        <v>568</v>
      </c>
      <c r="B10" s="16" t="s">
        <v>17</v>
      </c>
      <c r="C10" s="15" t="s">
        <v>569</v>
      </c>
      <c r="D10" s="17">
        <v>0</v>
      </c>
      <c r="E10" s="17">
        <v>0</v>
      </c>
      <c r="F10" s="36">
        <v>3.6749999999999999E-4</v>
      </c>
      <c r="G10" s="19">
        <f>ROUND([1]pres!$C$2*[1]calculo!F352,2)</f>
        <v>22.09</v>
      </c>
      <c r="H10" s="17">
        <f>IFERROR(VLOOKUP(C10,#REF!,33,0),0)</f>
        <v>0</v>
      </c>
      <c r="I10" s="19">
        <f t="shared" si="0"/>
        <v>22.09</v>
      </c>
    </row>
    <row r="11" spans="1:9" x14ac:dyDescent="0.25">
      <c r="A11" s="15" t="s">
        <v>488</v>
      </c>
      <c r="B11" s="16" t="s">
        <v>88</v>
      </c>
      <c r="C11" s="15" t="s">
        <v>489</v>
      </c>
      <c r="D11" s="17">
        <v>0</v>
      </c>
      <c r="E11" s="17">
        <v>0</v>
      </c>
      <c r="F11" s="36">
        <v>3.6749999999999999E-4</v>
      </c>
      <c r="G11" s="19">
        <f>ROUND([1]pres!$C$2*[1]calculo!F283,2)</f>
        <v>22.09</v>
      </c>
      <c r="H11" s="17">
        <f>IFERROR(VLOOKUP(C11,#REF!,33,0),0)</f>
        <v>0</v>
      </c>
      <c r="I11" s="19">
        <f t="shared" si="0"/>
        <v>22.09</v>
      </c>
    </row>
    <row r="12" spans="1:9" x14ac:dyDescent="0.25">
      <c r="A12" s="15" t="s">
        <v>482</v>
      </c>
      <c r="B12" s="16" t="s">
        <v>483</v>
      </c>
      <c r="C12" s="15" t="s">
        <v>484</v>
      </c>
      <c r="D12" s="17">
        <v>0</v>
      </c>
      <c r="E12" s="17">
        <v>0</v>
      </c>
      <c r="F12" s="36">
        <v>3.6749999999999999E-4</v>
      </c>
      <c r="G12" s="19">
        <f>ROUND([1]pres!$C$2*[1]calculo!F278,2)</f>
        <v>22.09</v>
      </c>
      <c r="H12" s="17">
        <f>IFERROR(VLOOKUP(C12,#REF!,33,0),0)</f>
        <v>0</v>
      </c>
      <c r="I12" s="19">
        <f t="shared" si="0"/>
        <v>22.09</v>
      </c>
    </row>
    <row r="13" spans="1:9" x14ac:dyDescent="0.25">
      <c r="A13" s="15" t="s">
        <v>361</v>
      </c>
      <c r="B13" s="16" t="s">
        <v>40</v>
      </c>
      <c r="C13" s="15" t="s">
        <v>362</v>
      </c>
      <c r="D13" s="17">
        <v>0</v>
      </c>
      <c r="E13" s="17">
        <v>0</v>
      </c>
      <c r="F13" s="36">
        <v>3.6749999999999999E-4</v>
      </c>
      <c r="G13" s="19">
        <f>ROUND([1]pres!$C$2*[1]calculo!F172,2)</f>
        <v>22.09</v>
      </c>
      <c r="H13" s="17">
        <f>IFERROR(VLOOKUP(C13,#REF!,33,0),0)</f>
        <v>0</v>
      </c>
      <c r="I13" s="19">
        <f t="shared" si="0"/>
        <v>22.09</v>
      </c>
    </row>
    <row r="14" spans="1:9" x14ac:dyDescent="0.25">
      <c r="A14" s="15" t="s">
        <v>341</v>
      </c>
      <c r="B14" s="16" t="s">
        <v>95</v>
      </c>
      <c r="C14" s="15" t="s">
        <v>342</v>
      </c>
      <c r="D14" s="17">
        <v>0</v>
      </c>
      <c r="E14" s="17">
        <v>0</v>
      </c>
      <c r="F14" s="36">
        <v>3.6749999999999999E-4</v>
      </c>
      <c r="G14" s="19">
        <f>ROUND([1]pres!$C$2*[1]calculo!F156,2)</f>
        <v>22.09</v>
      </c>
      <c r="H14" s="17">
        <f>IFERROR(VLOOKUP(C14,#REF!,33,0),0)</f>
        <v>0</v>
      </c>
      <c r="I14" s="19">
        <f t="shared" si="0"/>
        <v>22.09</v>
      </c>
    </row>
    <row r="15" spans="1:9" x14ac:dyDescent="0.25">
      <c r="A15" s="15" t="s">
        <v>220</v>
      </c>
      <c r="B15" s="16" t="s">
        <v>89</v>
      </c>
      <c r="C15" s="15" t="s">
        <v>221</v>
      </c>
      <c r="D15" s="17">
        <v>0</v>
      </c>
      <c r="E15" s="17">
        <v>0</v>
      </c>
      <c r="F15" s="36">
        <v>3.6749999999999999E-4</v>
      </c>
      <c r="G15" s="19">
        <f>ROUND([1]pres!$C$2*[1]calculo!F54,2)</f>
        <v>22.09</v>
      </c>
      <c r="H15" s="17">
        <f>IFERROR(VLOOKUP(C15,#REF!,33,0),0)</f>
        <v>0</v>
      </c>
      <c r="I15" s="19">
        <f t="shared" si="0"/>
        <v>22.09</v>
      </c>
    </row>
    <row r="16" spans="1:9" x14ac:dyDescent="0.25">
      <c r="A16" s="15" t="s">
        <v>527</v>
      </c>
      <c r="B16" s="16" t="s">
        <v>134</v>
      </c>
      <c r="C16" s="15" t="s">
        <v>528</v>
      </c>
      <c r="D16" s="17">
        <v>0</v>
      </c>
      <c r="E16" s="17">
        <v>0</v>
      </c>
      <c r="F16" s="36">
        <v>3.6749999999999999E-4</v>
      </c>
      <c r="G16" s="19">
        <f>ROUND([1]pres!$C$2*[1]calculo!F315,2)</f>
        <v>22.09</v>
      </c>
      <c r="H16" s="17">
        <f>IFERROR(VLOOKUP(C16,#REF!,33,0),0)</f>
        <v>0</v>
      </c>
      <c r="I16" s="19">
        <f t="shared" si="0"/>
        <v>22.09</v>
      </c>
    </row>
    <row r="17" spans="1:9" x14ac:dyDescent="0.25">
      <c r="A17" s="15" t="s">
        <v>306</v>
      </c>
      <c r="B17" s="16" t="s">
        <v>52</v>
      </c>
      <c r="C17" s="15" t="s">
        <v>307</v>
      </c>
      <c r="D17" s="17">
        <v>0</v>
      </c>
      <c r="E17" s="17">
        <v>0</v>
      </c>
      <c r="F17" s="36">
        <v>3.6749999999999999E-4</v>
      </c>
      <c r="G17" s="19">
        <f>ROUND([1]pres!$C$2*[1]calculo!F127,2)</f>
        <v>22.09</v>
      </c>
      <c r="H17" s="17">
        <f>IFERROR(VLOOKUP(C17,#REF!,33,0),0)</f>
        <v>0</v>
      </c>
      <c r="I17" s="19">
        <f t="shared" si="0"/>
        <v>22.09</v>
      </c>
    </row>
    <row r="18" spans="1:9" x14ac:dyDescent="0.25">
      <c r="A18" s="15" t="s">
        <v>549</v>
      </c>
      <c r="B18" s="16" t="s">
        <v>7</v>
      </c>
      <c r="C18" s="15" t="s">
        <v>550</v>
      </c>
      <c r="D18" s="17">
        <v>0</v>
      </c>
      <c r="E18" s="17">
        <v>0</v>
      </c>
      <c r="F18" s="36">
        <v>3.6749999999999999E-4</v>
      </c>
      <c r="G18" s="19">
        <f>ROUND([1]pres!$C$2*[1]calculo!F334,2)</f>
        <v>22.09</v>
      </c>
      <c r="H18" s="17">
        <f>IFERROR(VLOOKUP(C18,#REF!,33,0),0)</f>
        <v>0</v>
      </c>
      <c r="I18" s="19">
        <f t="shared" si="0"/>
        <v>22.09</v>
      </c>
    </row>
    <row r="19" spans="1:9" x14ac:dyDescent="0.25">
      <c r="A19" s="15" t="s">
        <v>506</v>
      </c>
      <c r="B19" s="16" t="s">
        <v>507</v>
      </c>
      <c r="C19" s="15" t="s">
        <v>508</v>
      </c>
      <c r="D19" s="17">
        <v>0</v>
      </c>
      <c r="E19" s="17">
        <v>0</v>
      </c>
      <c r="F19" s="36">
        <v>3.6749999999999999E-4</v>
      </c>
      <c r="G19" s="19">
        <f>ROUND([1]pres!$C$2*[1]calculo!F298,2)</f>
        <v>22.09</v>
      </c>
      <c r="H19" s="17">
        <f>IFERROR(VLOOKUP(C19,#REF!,33,0),0)</f>
        <v>0</v>
      </c>
      <c r="I19" s="19">
        <f t="shared" si="0"/>
        <v>22.09</v>
      </c>
    </row>
    <row r="20" spans="1:9" x14ac:dyDescent="0.25">
      <c r="A20" s="15" t="s">
        <v>273</v>
      </c>
      <c r="B20" s="16" t="s">
        <v>274</v>
      </c>
      <c r="C20" s="15" t="s">
        <v>275</v>
      </c>
      <c r="D20" s="17">
        <v>0</v>
      </c>
      <c r="E20" s="17">
        <v>0</v>
      </c>
      <c r="F20" s="36">
        <v>3.6749999999999999E-4</v>
      </c>
      <c r="G20" s="19">
        <f>ROUND([1]pres!$C$2*[1]calculo!F100,2)</f>
        <v>22.09</v>
      </c>
      <c r="H20" s="17">
        <f>IFERROR(VLOOKUP(C20,#REF!,33,0),0)</f>
        <v>0</v>
      </c>
      <c r="I20" s="19">
        <f t="shared" si="0"/>
        <v>22.09</v>
      </c>
    </row>
    <row r="21" spans="1:9" x14ac:dyDescent="0.25">
      <c r="A21" s="15" t="s">
        <v>499</v>
      </c>
      <c r="B21" s="16" t="s">
        <v>500</v>
      </c>
      <c r="C21" s="15" t="s">
        <v>501</v>
      </c>
      <c r="D21" s="17">
        <v>0</v>
      </c>
      <c r="E21" s="17">
        <v>0</v>
      </c>
      <c r="F21" s="36">
        <v>3.6749999999999999E-4</v>
      </c>
      <c r="G21" s="19">
        <f>ROUND([1]pres!$C$2*[1]calculo!F293,2)</f>
        <v>22.09</v>
      </c>
      <c r="H21" s="17">
        <f>IFERROR(VLOOKUP(C21,#REF!,33,0),0)</f>
        <v>0</v>
      </c>
      <c r="I21" s="19">
        <f t="shared" si="0"/>
        <v>22.09</v>
      </c>
    </row>
    <row r="22" spans="1:9" x14ac:dyDescent="0.25">
      <c r="A22" s="15" t="s">
        <v>207</v>
      </c>
      <c r="B22" s="16" t="s">
        <v>132</v>
      </c>
      <c r="C22" s="15" t="s">
        <v>208</v>
      </c>
      <c r="D22" s="17">
        <v>0</v>
      </c>
      <c r="E22" s="17">
        <v>0</v>
      </c>
      <c r="F22" s="36">
        <v>3.6749999999999999E-4</v>
      </c>
      <c r="G22" s="19">
        <f>ROUND([1]pres!$C$2*[1]calculo!F41,2)</f>
        <v>22.09</v>
      </c>
      <c r="H22" s="17">
        <f>IFERROR(VLOOKUP(C22,#REF!,33,0),0)</f>
        <v>0</v>
      </c>
      <c r="I22" s="19">
        <f t="shared" si="0"/>
        <v>22.09</v>
      </c>
    </row>
    <row r="23" spans="1:9" x14ac:dyDescent="0.25">
      <c r="A23" s="15" t="s">
        <v>544</v>
      </c>
      <c r="B23" s="16" t="s">
        <v>129</v>
      </c>
      <c r="C23" s="15" t="s">
        <v>545</v>
      </c>
      <c r="D23" s="17">
        <v>0</v>
      </c>
      <c r="E23" s="17">
        <v>0</v>
      </c>
      <c r="F23" s="36">
        <v>3.6749999999999999E-4</v>
      </c>
      <c r="G23" s="19">
        <f>ROUND([1]pres!$C$2*[1]calculo!F329,2)</f>
        <v>22.09</v>
      </c>
      <c r="H23" s="17">
        <f>IFERROR(VLOOKUP(C23,#REF!,33,0),0)</f>
        <v>0</v>
      </c>
      <c r="I23" s="19">
        <f t="shared" si="0"/>
        <v>22.09</v>
      </c>
    </row>
    <row r="24" spans="1:9" x14ac:dyDescent="0.25">
      <c r="A24" s="15" t="s">
        <v>479</v>
      </c>
      <c r="B24" s="16" t="s">
        <v>480</v>
      </c>
      <c r="C24" s="15" t="s">
        <v>481</v>
      </c>
      <c r="D24" s="17">
        <v>0</v>
      </c>
      <c r="E24" s="17">
        <v>0</v>
      </c>
      <c r="F24" s="36">
        <v>3.6749999999999999E-4</v>
      </c>
      <c r="G24" s="19">
        <f>ROUND([1]pres!$C$2*[1]calculo!F276,2)</f>
        <v>22.09</v>
      </c>
      <c r="H24" s="17">
        <f>IFERROR(VLOOKUP(C24,#REF!,33,0),0)</f>
        <v>0</v>
      </c>
      <c r="I24" s="19">
        <f t="shared" si="0"/>
        <v>22.09</v>
      </c>
    </row>
    <row r="25" spans="1:9" x14ac:dyDescent="0.25">
      <c r="A25" s="15" t="s">
        <v>581</v>
      </c>
      <c r="B25" s="16" t="s">
        <v>19</v>
      </c>
      <c r="C25" s="15" t="s">
        <v>582</v>
      </c>
      <c r="D25" s="17">
        <v>0</v>
      </c>
      <c r="E25" s="17">
        <v>0</v>
      </c>
      <c r="F25" s="36">
        <v>3.6749999999999999E-4</v>
      </c>
      <c r="G25" s="19">
        <f>ROUND([1]pres!$C$2*[1]calculo!F364,2)</f>
        <v>22.09</v>
      </c>
      <c r="H25" s="17">
        <f>IFERROR(VLOOKUP(C25,#REF!,33,0),0)</f>
        <v>0</v>
      </c>
      <c r="I25" s="19">
        <f t="shared" si="0"/>
        <v>22.09</v>
      </c>
    </row>
    <row r="26" spans="1:9" x14ac:dyDescent="0.25">
      <c r="A26" s="15" t="s">
        <v>466</v>
      </c>
      <c r="B26" s="16" t="s">
        <v>144</v>
      </c>
      <c r="C26" s="15" t="s">
        <v>467</v>
      </c>
      <c r="D26" s="17">
        <v>0</v>
      </c>
      <c r="E26" s="17">
        <v>0</v>
      </c>
      <c r="F26" s="36">
        <v>3.6749999999999999E-4</v>
      </c>
      <c r="G26" s="19">
        <f>ROUND([1]pres!$C$2*[1]calculo!F265,2)</f>
        <v>22.09</v>
      </c>
      <c r="H26" s="17">
        <f>IFERROR(VLOOKUP(C26,#REF!,33,0),0)</f>
        <v>0</v>
      </c>
      <c r="I26" s="19">
        <f t="shared" si="0"/>
        <v>22.09</v>
      </c>
    </row>
    <row r="27" spans="1:9" x14ac:dyDescent="0.25">
      <c r="A27" s="15" t="s">
        <v>455</v>
      </c>
      <c r="B27" s="16" t="s">
        <v>456</v>
      </c>
      <c r="C27" s="15" t="s">
        <v>457</v>
      </c>
      <c r="D27" s="17">
        <v>0</v>
      </c>
      <c r="E27" s="17">
        <v>0</v>
      </c>
      <c r="F27" s="36">
        <v>3.6749999999999999E-4</v>
      </c>
      <c r="G27" s="19">
        <f>ROUND([1]pres!$C$2*[1]calculo!F256,2)</f>
        <v>22.09</v>
      </c>
      <c r="H27" s="17">
        <f>IFERROR(VLOOKUP(C27,#REF!,33,0),0)</f>
        <v>0</v>
      </c>
      <c r="I27" s="19">
        <f t="shared" si="0"/>
        <v>22.09</v>
      </c>
    </row>
    <row r="28" spans="1:9" x14ac:dyDescent="0.25">
      <c r="A28" s="15" t="s">
        <v>218</v>
      </c>
      <c r="B28" s="16" t="s">
        <v>130</v>
      </c>
      <c r="C28" s="15" t="s">
        <v>219</v>
      </c>
      <c r="D28" s="17">
        <v>0</v>
      </c>
      <c r="E28" s="17">
        <v>0</v>
      </c>
      <c r="F28" s="36">
        <v>3.6749999999999999E-4</v>
      </c>
      <c r="G28" s="19">
        <f>ROUND([1]pres!$C$2*[1]calculo!F52,2)</f>
        <v>22.09</v>
      </c>
      <c r="H28" s="17">
        <f>IFERROR(VLOOKUP(C28,#REF!,33,0),0)</f>
        <v>0</v>
      </c>
      <c r="I28" s="19">
        <f t="shared" si="0"/>
        <v>22.09</v>
      </c>
    </row>
    <row r="29" spans="1:9" x14ac:dyDescent="0.25">
      <c r="A29" s="21"/>
      <c r="B29" s="22"/>
      <c r="C29" s="21"/>
      <c r="D29" s="17">
        <f>SUM(D1:D28)</f>
        <v>0</v>
      </c>
      <c r="E29" s="17">
        <f>SUM(E1:E28)</f>
        <v>0</v>
      </c>
      <c r="F29" s="36">
        <f>SUM(F2:F28)</f>
        <v>9.9224999999999956E-3</v>
      </c>
      <c r="G29" s="17">
        <f>SUM(G2:G28)</f>
        <v>596.42999999999984</v>
      </c>
      <c r="H29" s="19">
        <f>SUM(H1:H28)</f>
        <v>0</v>
      </c>
      <c r="I29" s="19">
        <f>SUM(I1:I28)</f>
        <v>596.42999999999984</v>
      </c>
    </row>
    <row r="30" spans="1:9" x14ac:dyDescent="0.25">
      <c r="F30" s="31"/>
    </row>
    <row r="31" spans="1:9" x14ac:dyDescent="0.25">
      <c r="F31" s="35">
        <f>+F29+ESTAC!F162+DPTO!F196</f>
        <v>0.99998430000000005</v>
      </c>
    </row>
  </sheetData>
  <autoFilter ref="A1:I29" xr:uid="{00000000-0001-0000-0300-000000000000}"/>
  <sortState xmlns:xlrd2="http://schemas.microsoft.com/office/spreadsheetml/2017/richdata2" ref="A2:I382">
    <sortCondition ref="C2:C382"/>
  </sortState>
  <printOptions horizontalCentered="1"/>
  <pageMargins left="0.19685039370078741" right="0.19685039370078741" top="0.39370078740157483" bottom="0.39370078740157483" header="0.31496062992125984" footer="0.31496062992125984"/>
  <pageSetup paperSize="9" scale="9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DPTOS.</vt:lpstr>
      <vt:lpstr>407 dpto</vt:lpstr>
      <vt:lpstr>DPTO</vt:lpstr>
      <vt:lpstr>ESTAC</vt:lpstr>
      <vt:lpstr>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</dc:creator>
  <cp:lastModifiedBy>Usuario</cp:lastModifiedBy>
  <cp:lastPrinted>2026-07-28T16:41:18Z</cp:lastPrinted>
  <dcterms:created xsi:type="dcterms:W3CDTF">2023-01-07T12:56:54Z</dcterms:created>
  <dcterms:modified xsi:type="dcterms:W3CDTF">2026-09-14T21:35:28Z</dcterms:modified>
</cp:coreProperties>
</file>