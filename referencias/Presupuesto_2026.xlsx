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WORKS\Desktop\Mi unidad\Pacifik Ocean Tower\MANTENIMIENTOS\PRESUPUESTO 2026\"/>
    </mc:Choice>
  </mc:AlternateContent>
  <bookViews>
    <workbookView xWindow="0" yWindow="0" windowWidth="20490" windowHeight="7755" activeTab="1"/>
  </bookViews>
  <sheets>
    <sheet name="año_2025" sheetId="1" r:id="rId1"/>
    <sheet name="año_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2" l="1"/>
  <c r="L12" i="2"/>
  <c r="K12" i="2"/>
  <c r="J12" i="2"/>
  <c r="I12" i="2"/>
  <c r="H12" i="2"/>
  <c r="G12" i="2"/>
  <c r="F12" i="2"/>
  <c r="E12" i="2"/>
  <c r="D12" i="2"/>
  <c r="C12" i="2"/>
  <c r="B12" i="2"/>
  <c r="N22" i="2"/>
  <c r="N20" i="2"/>
  <c r="N32" i="2"/>
  <c r="N31" i="2"/>
  <c r="N30" i="2"/>
  <c r="M29" i="2"/>
  <c r="L29" i="2"/>
  <c r="K29" i="2"/>
  <c r="J29" i="2"/>
  <c r="I29" i="2"/>
  <c r="H29" i="2"/>
  <c r="G29" i="2"/>
  <c r="F29" i="2"/>
  <c r="E29" i="2"/>
  <c r="D29" i="2"/>
  <c r="C29" i="2"/>
  <c r="B29" i="2"/>
  <c r="N27" i="2"/>
  <c r="N26" i="2"/>
  <c r="N25" i="2"/>
  <c r="M24" i="2"/>
  <c r="L24" i="2"/>
  <c r="K24" i="2"/>
  <c r="J24" i="2"/>
  <c r="I24" i="2"/>
  <c r="H24" i="2"/>
  <c r="G24" i="2"/>
  <c r="F24" i="2"/>
  <c r="E24" i="2"/>
  <c r="D24" i="2"/>
  <c r="C24" i="2"/>
  <c r="B24" i="2"/>
  <c r="N19" i="2"/>
  <c r="N18" i="2"/>
  <c r="N17" i="2"/>
  <c r="N16" i="2"/>
  <c r="N15" i="2"/>
  <c r="M14" i="2"/>
  <c r="L14" i="2"/>
  <c r="K14" i="2"/>
  <c r="J14" i="2"/>
  <c r="I14" i="2"/>
  <c r="H14" i="2"/>
  <c r="G14" i="2"/>
  <c r="F14" i="2"/>
  <c r="E14" i="2"/>
  <c r="D14" i="2"/>
  <c r="C14" i="2"/>
  <c r="B14" i="2"/>
  <c r="N10" i="2"/>
  <c r="N9" i="2"/>
  <c r="N8" i="2"/>
  <c r="N7" i="2"/>
  <c r="M6" i="2"/>
  <c r="L6" i="2"/>
  <c r="K6" i="2"/>
  <c r="J6" i="2"/>
  <c r="I6" i="2"/>
  <c r="H6" i="2"/>
  <c r="G6" i="2"/>
  <c r="F6" i="2"/>
  <c r="E6" i="2"/>
  <c r="D6" i="2"/>
  <c r="C6" i="2"/>
  <c r="B6" i="2"/>
  <c r="N6" i="1"/>
  <c r="N45" i="1"/>
  <c r="N44" i="1"/>
  <c r="N43" i="1"/>
  <c r="N42" i="1"/>
  <c r="M41" i="1"/>
  <c r="L41" i="1"/>
  <c r="K41" i="1"/>
  <c r="J41" i="1"/>
  <c r="I41" i="1"/>
  <c r="H41" i="1"/>
  <c r="G41" i="1"/>
  <c r="F41" i="1"/>
  <c r="E41" i="1"/>
  <c r="E45" i="1" s="1"/>
  <c r="D41" i="1"/>
  <c r="C41" i="1"/>
  <c r="B41" i="1"/>
  <c r="N39" i="1"/>
  <c r="N38" i="1"/>
  <c r="N37" i="1"/>
  <c r="M36" i="1"/>
  <c r="L36" i="1"/>
  <c r="K36" i="1"/>
  <c r="J36" i="1"/>
  <c r="I36" i="1"/>
  <c r="H36" i="1"/>
  <c r="G36" i="1"/>
  <c r="F36" i="1"/>
  <c r="E36" i="1"/>
  <c r="D36" i="1"/>
  <c r="C36" i="1"/>
  <c r="B36" i="1"/>
  <c r="N32" i="1"/>
  <c r="N31" i="1"/>
  <c r="N30" i="1"/>
  <c r="N29" i="1"/>
  <c r="N28" i="1"/>
  <c r="N27" i="1"/>
  <c r="M26" i="1"/>
  <c r="L26" i="1"/>
  <c r="K26" i="1"/>
  <c r="J26" i="1"/>
  <c r="I26" i="1"/>
  <c r="H26" i="1"/>
  <c r="G26" i="1"/>
  <c r="F26" i="1"/>
  <c r="E26" i="1"/>
  <c r="D26" i="1"/>
  <c r="C26" i="1"/>
  <c r="B26" i="1"/>
  <c r="N24" i="1"/>
  <c r="N23" i="1"/>
  <c r="N22" i="1"/>
  <c r="N21" i="1"/>
  <c r="M20" i="1"/>
  <c r="L20" i="1"/>
  <c r="K20" i="1"/>
  <c r="J20" i="1"/>
  <c r="I20" i="1"/>
  <c r="H20" i="1"/>
  <c r="G20" i="1"/>
  <c r="F20" i="1"/>
  <c r="E20" i="1"/>
  <c r="D20" i="1"/>
  <c r="C20" i="1"/>
  <c r="B20" i="1"/>
  <c r="N18" i="1"/>
  <c r="N17" i="1"/>
  <c r="N16" i="1"/>
  <c r="N15" i="1"/>
  <c r="M14" i="1"/>
  <c r="L14" i="1"/>
  <c r="K14" i="1"/>
  <c r="J14" i="1"/>
  <c r="I14" i="1"/>
  <c r="H14" i="1"/>
  <c r="G14" i="1"/>
  <c r="F14" i="1"/>
  <c r="E14" i="1"/>
  <c r="D14" i="1"/>
  <c r="C14" i="1"/>
  <c r="B14" i="1"/>
  <c r="M10" i="1"/>
  <c r="L10" i="1"/>
  <c r="K10" i="1"/>
  <c r="J10" i="1"/>
  <c r="I10" i="1"/>
  <c r="H10" i="1"/>
  <c r="G10" i="1"/>
  <c r="F10" i="1"/>
  <c r="E10" i="1"/>
  <c r="D10" i="1"/>
  <c r="C10" i="1"/>
  <c r="B10" i="1"/>
  <c r="N9" i="1"/>
  <c r="N8" i="1"/>
  <c r="N7" i="1"/>
  <c r="N5" i="1"/>
  <c r="N4" i="1"/>
  <c r="M34" i="2" l="1"/>
  <c r="M37" i="2" s="1"/>
  <c r="M38" i="2" s="1"/>
  <c r="K34" i="2"/>
  <c r="J34" i="2"/>
  <c r="H34" i="2"/>
  <c r="F34" i="2"/>
  <c r="D34" i="2"/>
  <c r="L34" i="2"/>
  <c r="I34" i="2"/>
  <c r="G34" i="2"/>
  <c r="E34" i="2"/>
  <c r="C34" i="2"/>
  <c r="N29" i="2"/>
  <c r="N6" i="2"/>
  <c r="N24" i="2"/>
  <c r="N14" i="2"/>
  <c r="I45" i="1"/>
  <c r="J45" i="1"/>
  <c r="K45" i="1"/>
  <c r="L45" i="1"/>
  <c r="B45" i="1"/>
  <c r="H45" i="1"/>
  <c r="M45" i="1"/>
  <c r="F45" i="1"/>
  <c r="C45" i="1"/>
  <c r="G45" i="1"/>
  <c r="D45" i="1"/>
  <c r="N36" i="1"/>
  <c r="N41" i="1"/>
  <c r="N26" i="1"/>
  <c r="N20" i="1"/>
  <c r="N14" i="1"/>
  <c r="N10" i="1"/>
  <c r="N12" i="2" l="1"/>
  <c r="N34" i="2" s="1"/>
  <c r="N37" i="2" s="1"/>
  <c r="N38" i="2" s="1"/>
  <c r="B34" i="2"/>
</calcChain>
</file>

<file path=xl/sharedStrings.xml><?xml version="1.0" encoding="utf-8"?>
<sst xmlns="http://schemas.openxmlformats.org/spreadsheetml/2006/main" count="88" uniqueCount="71">
  <si>
    <t>Consumo luz (Prontomatic)</t>
  </si>
  <si>
    <t>Reserva area comunes</t>
  </si>
  <si>
    <t>TOTAL INGRESOS</t>
  </si>
  <si>
    <t>Agua (Sedapal)</t>
  </si>
  <si>
    <t>Energia electrica</t>
  </si>
  <si>
    <t xml:space="preserve">EGRESOS
</t>
  </si>
  <si>
    <t>SERVICIOS BASICOS</t>
  </si>
  <si>
    <t>PERSONAL</t>
  </si>
  <si>
    <t>Conserjes</t>
  </si>
  <si>
    <t>Coordinador x 12 horas</t>
  </si>
  <si>
    <t>Servicio Admnistracion residente</t>
  </si>
  <si>
    <t>INGRESOS</t>
  </si>
  <si>
    <t>Internet &amp; cable</t>
  </si>
  <si>
    <t>Telefonia movil (conserjeria)</t>
  </si>
  <si>
    <t>Comision por recaudacion</t>
  </si>
  <si>
    <t>Aire Acondicionado</t>
  </si>
  <si>
    <t>Areas verdes</t>
  </si>
  <si>
    <t>Pantalla de agua y pileta</t>
  </si>
  <si>
    <t>Piscinas</t>
  </si>
  <si>
    <t>Materiales diversos (pintura, gasfitero, e</t>
  </si>
  <si>
    <t>Utiles oficina</t>
  </si>
  <si>
    <t>Servicio backoffice</t>
  </si>
  <si>
    <t>Gastos bancarios</t>
  </si>
  <si>
    <r>
      <rPr>
        <b/>
        <sz val="10"/>
        <rFont val="Times New Roman"/>
        <family val="1"/>
      </rPr>
      <t>GASTOS OPERATIVOS (2)</t>
    </r>
  </si>
  <si>
    <r>
      <rPr>
        <b/>
        <sz val="10"/>
        <rFont val="Times New Roman"/>
        <family val="1"/>
      </rPr>
      <t>MATERIALES CONSUMIBLES</t>
    </r>
  </si>
  <si>
    <r>
      <rPr>
        <b/>
        <sz val="10"/>
        <rFont val="Times New Roman"/>
        <family val="1"/>
      </rPr>
      <t>OTROS GASTOS ORDINARIOS</t>
    </r>
  </si>
  <si>
    <r>
      <rPr>
        <b/>
        <sz val="10"/>
        <rFont val="Times New Roman"/>
        <family val="1"/>
      </rPr>
      <t>TOTAL GASTOS</t>
    </r>
  </si>
  <si>
    <t>Cuota Gastos Comunes</t>
  </si>
  <si>
    <t>Consumo agua propietarios</t>
  </si>
  <si>
    <t>Operarios de limpieza</t>
  </si>
  <si>
    <t>MANTENIMIENTOS PREVENTIVOS</t>
  </si>
  <si>
    <t>Ascensores</t>
  </si>
  <si>
    <t>Otros mantenimientos preventivos</t>
  </si>
  <si>
    <t>Utiles de limpieza</t>
  </si>
  <si>
    <t>Gastos legales</t>
  </si>
  <si>
    <t>Mora del mes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</si>
  <si>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</si>
  <si>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</si>
  <si>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</si>
  <si>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</si>
  <si>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</si>
  <si>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</si>
  <si>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</si>
  <si>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</si>
  <si>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</si>
  <si>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</si>
  <si>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</si>
  <si>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</si>
  <si>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</si>
  <si>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Internet</t>
  </si>
  <si>
    <t>Telefonia conserjeria</t>
  </si>
  <si>
    <t>PP-año 2026</t>
  </si>
  <si>
    <r>
      <rPr>
        <b/>
        <i/>
        <sz val="14"/>
        <rFont val="Aptos"/>
        <family val="2"/>
      </rPr>
      <t>MATERIALES CONSUMIBLES</t>
    </r>
  </si>
  <si>
    <r>
      <rPr>
        <b/>
        <i/>
        <sz val="14"/>
        <rFont val="Aptos"/>
        <family val="2"/>
      </rPr>
      <t>OTROS GASTOS ORDINARIOS</t>
    </r>
  </si>
  <si>
    <t>Servicio app web</t>
  </si>
  <si>
    <r>
      <rPr>
        <b/>
        <i/>
        <sz val="14"/>
        <rFont val="Aptos"/>
        <family val="2"/>
      </rPr>
      <t>TOTAL GASTOS</t>
    </r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</si>
  <si>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</si>
  <si>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</si>
  <si>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</si>
  <si>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</si>
  <si>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</si>
  <si>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</si>
  <si>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</si>
  <si>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</si>
  <si>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</si>
  <si>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</si>
  <si>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</si>
  <si>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</si>
  <si>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ADMIN</t>
  </si>
  <si>
    <t>GASTOS OPERATIVOS / CONTINGENCIAS</t>
  </si>
  <si>
    <t>Materiales diversos (pintura, gasfitero,etc)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</si>
</sst>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2">
    <font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1"/>
      <color rgb="FF000000"/>
      <name val="Times New Roman"/>
      <family val="1"/>
    </font>
    <font>
      <sz val="14"/>
      <color rgb="FF000000"/>
      <name val="Aptos"/>
      <family val="2"/>
    </font>
    <font>
      <b/>
      <sz val="14"/>
      <color rgb="FF000000"/>
      <name val="Aptos"/>
      <family val="2"/>
    </font>
    <font>
      <b/>
      <u/>
      <sz val="14"/>
      <color rgb="FF000000"/>
      <name val="Aptos"/>
      <family val="2"/>
    </font>
    <font>
      <b/>
      <i/>
      <sz val="14"/>
      <color rgb="FF000000"/>
      <name val="Aptos"/>
      <family val="2"/>
    </font>
    <font>
      <b/>
      <i/>
      <sz val="14"/>
      <name val="Aptos"/>
      <family val="2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165" fontId="3" fillId="0" borderId="0" xfId="1" applyNumberFormat="1" applyFont="1" applyBorder="1" applyAlignment="1">
      <alignment vertical="top" shrinkToFit="1"/>
    </xf>
    <xf numFmtId="165" fontId="3" fillId="0" borderId="0" xfId="1" applyNumberFormat="1" applyFont="1" applyBorder="1" applyAlignment="1">
      <alignment horizontal="right" vertical="top" shrinkToFit="1"/>
    </xf>
    <xf numFmtId="165" fontId="3" fillId="0" borderId="1" xfId="1" applyNumberFormat="1" applyFont="1" applyBorder="1" applyAlignment="1">
      <alignment vertical="top" shrinkToFit="1"/>
    </xf>
    <xf numFmtId="165" fontId="3" fillId="0" borderId="1" xfId="1" applyNumberFormat="1" applyFont="1" applyBorder="1" applyAlignment="1">
      <alignment horizontal="right" vertical="top" shrinkToFit="1"/>
    </xf>
    <xf numFmtId="165" fontId="2" fillId="0" borderId="0" xfId="1" applyNumberFormat="1" applyFont="1" applyBorder="1" applyAlignment="1">
      <alignment vertical="top" shrinkToFit="1"/>
    </xf>
    <xf numFmtId="165" fontId="2" fillId="0" borderId="0" xfId="1" applyNumberFormat="1" applyFont="1" applyBorder="1" applyAlignment="1">
      <alignment horizontal="right" vertical="top" shrinkToFit="1"/>
    </xf>
    <xf numFmtId="1" fontId="2" fillId="0" borderId="0" xfId="0" applyNumberFormat="1" applyFont="1" applyAlignment="1">
      <alignment horizontal="left" vertical="center" shrinkToFit="1"/>
    </xf>
    <xf numFmtId="0" fontId="4" fillId="0" borderId="0" xfId="0" applyFont="1" applyAlignment="1">
      <alignment horizontal="center" vertical="center"/>
    </xf>
    <xf numFmtId="1" fontId="3" fillId="0" borderId="0" xfId="0" applyNumberFormat="1" applyFont="1" applyAlignment="1">
      <alignment vertical="top" shrinkToFit="1"/>
    </xf>
    <xf numFmtId="1" fontId="3" fillId="0" borderId="0" xfId="0" applyNumberFormat="1" applyFont="1" applyAlignment="1">
      <alignment horizontal="right" vertical="top" shrinkToFit="1"/>
    </xf>
    <xf numFmtId="165" fontId="2" fillId="0" borderId="0" xfId="1" applyNumberFormat="1" applyFont="1" applyBorder="1" applyAlignment="1">
      <alignment vertical="center" shrinkToFit="1"/>
    </xf>
    <xf numFmtId="165" fontId="2" fillId="0" borderId="0" xfId="1" applyNumberFormat="1" applyFont="1" applyBorder="1" applyAlignment="1">
      <alignment horizontal="right" vertical="center" shrinkToFit="1"/>
    </xf>
    <xf numFmtId="1" fontId="2" fillId="0" borderId="0" xfId="0" applyNumberFormat="1" applyFont="1" applyAlignment="1">
      <alignment vertical="center" shrinkToFit="1"/>
    </xf>
    <xf numFmtId="1" fontId="2" fillId="0" borderId="0" xfId="0" applyNumberFormat="1" applyFont="1" applyAlignment="1">
      <alignment horizontal="right" vertical="center" shrinkToFit="1"/>
    </xf>
    <xf numFmtId="165" fontId="3" fillId="0" borderId="0" xfId="1" applyNumberFormat="1" applyFont="1" applyBorder="1" applyAlignment="1">
      <alignment horizontal="right" vertical="center" shrinkToFi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165" fontId="3" fillId="0" borderId="1" xfId="1" applyNumberFormat="1" applyFont="1" applyBorder="1" applyAlignment="1">
      <alignment horizontal="right" vertical="center" shrinkToFit="1"/>
    </xf>
    <xf numFmtId="0" fontId="3" fillId="0" borderId="0" xfId="0" applyFont="1" applyAlignment="1">
      <alignment vertical="top"/>
    </xf>
    <xf numFmtId="0" fontId="3" fillId="2" borderId="0" xfId="0" applyFont="1" applyFill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165" fontId="3" fillId="0" borderId="0" xfId="1" applyNumberFormat="1" applyFont="1" applyFill="1" applyBorder="1" applyAlignment="1">
      <alignment vertical="top" shrinkToFit="1"/>
    </xf>
    <xf numFmtId="165" fontId="3" fillId="0" borderId="0" xfId="1" applyNumberFormat="1" applyFont="1" applyFill="1" applyBorder="1" applyAlignment="1">
      <alignment horizontal="right" vertical="top" shrinkToFit="1"/>
    </xf>
    <xf numFmtId="0" fontId="6" fillId="0" borderId="0" xfId="0" applyFont="1" applyAlignment="1">
      <alignment horizontal="left" vertical="top"/>
    </xf>
    <xf numFmtId="165" fontId="6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165" fontId="7" fillId="0" borderId="0" xfId="1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165" fontId="9" fillId="0" borderId="0" xfId="1" applyNumberFormat="1" applyFont="1" applyAlignment="1">
      <alignment horizontal="left" vertical="top"/>
    </xf>
    <xf numFmtId="9" fontId="6" fillId="0" borderId="0" xfId="2" applyFont="1" applyAlignment="1">
      <alignment horizontal="center" vertical="top"/>
    </xf>
    <xf numFmtId="10" fontId="6" fillId="0" borderId="0" xfId="2" applyNumberFormat="1" applyFont="1" applyAlignment="1">
      <alignment horizontal="center" vertical="top"/>
    </xf>
    <xf numFmtId="165" fontId="3" fillId="2" borderId="0" xfId="1" applyNumberFormat="1" applyFont="1" applyFill="1" applyBorder="1" applyAlignment="1">
      <alignment vertical="top" shrinkToFit="1"/>
    </xf>
    <xf numFmtId="165" fontId="3" fillId="2" borderId="0" xfId="1" applyNumberFormat="1" applyFont="1" applyFill="1" applyBorder="1" applyAlignment="1">
      <alignment horizontal="right" vertical="top" shrinkToFit="1"/>
    </xf>
    <xf numFmtId="0" fontId="0" fillId="2" borderId="0" xfId="0" applyFill="1" applyAlignment="1">
      <alignment horizontal="left" vertical="top"/>
    </xf>
    <xf numFmtId="165" fontId="7" fillId="0" borderId="0" xfId="1" applyNumberFormat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165" fontId="6" fillId="0" borderId="0" xfId="1" applyNumberFormat="1" applyFont="1" applyFill="1" applyAlignment="1">
      <alignment horizontal="left" vertical="top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Views>
    <sheetView showGridLines="0" zoomScaleNormal="100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B53" sqref="B53"/>
    </sheetView>
  </sheetViews>
  <sheetFormatPr baseColWidth="10" defaultColWidth="0" defaultRowHeight="12.75"/>
  <cols>
    <col min="1" max="1" width="37.83203125" style="3" bestFit="1" customWidth="1"/>
    <col min="2" max="14" width="15" style="3" customWidth="1"/>
    <col min="15" max="15" width="9.33203125" customWidth="1"/>
    <col min="16" max="16384" width="9.33203125" hidden="1"/>
  </cols>
  <sheetData>
    <row r="1" spans="1:15">
      <c r="B1" s="5"/>
      <c r="C1" s="5"/>
      <c r="D1" s="5"/>
      <c r="E1" s="5"/>
      <c r="F1" s="5"/>
      <c r="G1" s="5"/>
      <c r="H1" s="5"/>
      <c r="I1" s="5"/>
      <c r="J1" s="5"/>
      <c r="K1" s="5"/>
      <c r="L1" s="6"/>
      <c r="M1" s="6"/>
      <c r="N1" s="6"/>
    </row>
    <row r="2" spans="1:15" ht="15" thickBot="1">
      <c r="A2" s="30">
        <v>2025</v>
      </c>
      <c r="B2" s="28" t="s">
        <v>37</v>
      </c>
      <c r="C2" s="28" t="s">
        <v>38</v>
      </c>
      <c r="D2" s="28" t="s">
        <v>39</v>
      </c>
      <c r="E2" s="28" t="s">
        <v>40</v>
      </c>
      <c r="F2" s="28" t="s">
        <v>41</v>
      </c>
      <c r="G2" s="28" t="s">
        <v>42</v>
      </c>
      <c r="H2" s="28" t="s">
        <v>43</v>
      </c>
      <c r="I2" s="28" t="s">
        <v>44</v>
      </c>
      <c r="J2" s="28" t="s">
        <v>45</v>
      </c>
      <c r="K2" s="28" t="s">
        <v>46</v>
      </c>
      <c r="L2" s="28" t="s">
        <v>47</v>
      </c>
      <c r="M2" s="28" t="s">
        <v>48</v>
      </c>
      <c r="N2" s="29" t="s">
        <v>36</v>
      </c>
      <c r="O2" s="1"/>
    </row>
    <row r="3" spans="1:15">
      <c r="A3" s="2" t="s">
        <v>11</v>
      </c>
      <c r="B3" s="7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s="46" customFormat="1">
      <c r="A4" s="27" t="s">
        <v>27</v>
      </c>
      <c r="B4" s="44">
        <v>63451</v>
      </c>
      <c r="C4" s="44">
        <v>63451</v>
      </c>
      <c r="D4" s="44">
        <v>63451</v>
      </c>
      <c r="E4" s="44">
        <v>63451</v>
      </c>
      <c r="F4" s="44">
        <v>63451</v>
      </c>
      <c r="G4" s="44">
        <v>63451</v>
      </c>
      <c r="H4" s="44">
        <v>63451</v>
      </c>
      <c r="I4" s="44">
        <v>63451</v>
      </c>
      <c r="J4" s="44">
        <v>63451</v>
      </c>
      <c r="K4" s="44">
        <v>63451</v>
      </c>
      <c r="L4" s="45">
        <v>63451</v>
      </c>
      <c r="M4" s="45">
        <v>63451</v>
      </c>
      <c r="N4" s="45">
        <f>SUM(B4:M4)</f>
        <v>761412</v>
      </c>
    </row>
    <row r="5" spans="1:15">
      <c r="A5" s="3" t="s">
        <v>28</v>
      </c>
      <c r="B5" s="8">
        <v>4500</v>
      </c>
      <c r="C5" s="8">
        <v>4500</v>
      </c>
      <c r="D5" s="8">
        <v>4500</v>
      </c>
      <c r="E5" s="8">
        <v>4500</v>
      </c>
      <c r="F5" s="8">
        <v>4500</v>
      </c>
      <c r="G5" s="8">
        <v>4500</v>
      </c>
      <c r="H5" s="8">
        <v>4500</v>
      </c>
      <c r="I5" s="8">
        <v>4500</v>
      </c>
      <c r="J5" s="8">
        <v>4500</v>
      </c>
      <c r="K5" s="8">
        <v>4500</v>
      </c>
      <c r="L5" s="9">
        <v>4500</v>
      </c>
      <c r="M5" s="9">
        <v>4500</v>
      </c>
      <c r="N5" s="9">
        <f>SUM(B5:M5)</f>
        <v>54000</v>
      </c>
    </row>
    <row r="6" spans="1:15">
      <c r="A6" s="3" t="s">
        <v>14</v>
      </c>
      <c r="B6" s="8">
        <v>100</v>
      </c>
      <c r="C6" s="8">
        <v>100</v>
      </c>
      <c r="D6" s="8">
        <v>100</v>
      </c>
      <c r="E6" s="8">
        <v>100</v>
      </c>
      <c r="F6" s="8">
        <v>100</v>
      </c>
      <c r="G6" s="8">
        <v>100</v>
      </c>
      <c r="H6" s="8">
        <v>100</v>
      </c>
      <c r="I6" s="8">
        <v>100</v>
      </c>
      <c r="J6" s="8">
        <v>100</v>
      </c>
      <c r="K6" s="8">
        <v>100</v>
      </c>
      <c r="L6" s="9">
        <v>100</v>
      </c>
      <c r="M6" s="9">
        <v>100</v>
      </c>
      <c r="N6" s="9">
        <f>SUM(B6:M6)</f>
        <v>1200</v>
      </c>
    </row>
    <row r="7" spans="1:15">
      <c r="A7" s="3" t="s">
        <v>0</v>
      </c>
      <c r="B7" s="8">
        <v>1539</v>
      </c>
      <c r="C7" s="8">
        <v>1539</v>
      </c>
      <c r="D7" s="8">
        <v>1539</v>
      </c>
      <c r="E7" s="8">
        <v>1539</v>
      </c>
      <c r="F7" s="8">
        <v>1539</v>
      </c>
      <c r="G7" s="8">
        <v>1539</v>
      </c>
      <c r="H7" s="8">
        <v>1539</v>
      </c>
      <c r="I7" s="8">
        <v>1539</v>
      </c>
      <c r="J7" s="8">
        <v>1539</v>
      </c>
      <c r="K7" s="8">
        <v>1539</v>
      </c>
      <c r="L7" s="9">
        <v>1539</v>
      </c>
      <c r="M7" s="9">
        <v>1539</v>
      </c>
      <c r="N7" s="9">
        <f t="shared" ref="N7:N9" si="0">SUM(B7:M7)</f>
        <v>18468</v>
      </c>
    </row>
    <row r="8" spans="1:15">
      <c r="A8" s="3" t="s">
        <v>1</v>
      </c>
      <c r="B8" s="8">
        <v>1500</v>
      </c>
      <c r="C8" s="8">
        <v>1500</v>
      </c>
      <c r="D8" s="8">
        <v>1500</v>
      </c>
      <c r="E8" s="8">
        <v>1500</v>
      </c>
      <c r="F8" s="8">
        <v>1500</v>
      </c>
      <c r="G8" s="8">
        <v>1500</v>
      </c>
      <c r="H8" s="8">
        <v>1500</v>
      </c>
      <c r="I8" s="8">
        <v>1500</v>
      </c>
      <c r="J8" s="8">
        <v>1500</v>
      </c>
      <c r="K8" s="8">
        <v>1500</v>
      </c>
      <c r="L8" s="9">
        <v>1500</v>
      </c>
      <c r="M8" s="9">
        <v>1500</v>
      </c>
      <c r="N8" s="9">
        <f t="shared" si="0"/>
        <v>18000</v>
      </c>
    </row>
    <row r="9" spans="1:15" ht="13.5" thickBot="1">
      <c r="A9" s="4" t="s">
        <v>35</v>
      </c>
      <c r="B9" s="10">
        <v>250</v>
      </c>
      <c r="C9" s="10">
        <v>250</v>
      </c>
      <c r="D9" s="10">
        <v>250</v>
      </c>
      <c r="E9" s="10">
        <v>250</v>
      </c>
      <c r="F9" s="10">
        <v>250</v>
      </c>
      <c r="G9" s="10">
        <v>250</v>
      </c>
      <c r="H9" s="10">
        <v>250</v>
      </c>
      <c r="I9" s="10">
        <v>250</v>
      </c>
      <c r="J9" s="10">
        <v>250</v>
      </c>
      <c r="K9" s="10">
        <v>250</v>
      </c>
      <c r="L9" s="11">
        <v>250</v>
      </c>
      <c r="M9" s="11">
        <v>250</v>
      </c>
      <c r="N9" s="11">
        <f t="shared" si="0"/>
        <v>3000</v>
      </c>
    </row>
    <row r="10" spans="1:15">
      <c r="A10" s="2" t="s">
        <v>2</v>
      </c>
      <c r="B10" s="12">
        <f>SUM(B4:B9)</f>
        <v>71340</v>
      </c>
      <c r="C10" s="12">
        <f t="shared" ref="C10:M10" si="1">SUM(C4:C9)</f>
        <v>71340</v>
      </c>
      <c r="D10" s="12">
        <f t="shared" si="1"/>
        <v>71340</v>
      </c>
      <c r="E10" s="12">
        <f t="shared" si="1"/>
        <v>71340</v>
      </c>
      <c r="F10" s="12">
        <f t="shared" si="1"/>
        <v>71340</v>
      </c>
      <c r="G10" s="12">
        <f t="shared" si="1"/>
        <v>71340</v>
      </c>
      <c r="H10" s="12">
        <f t="shared" si="1"/>
        <v>71340</v>
      </c>
      <c r="I10" s="12">
        <f t="shared" si="1"/>
        <v>71340</v>
      </c>
      <c r="J10" s="12">
        <f t="shared" si="1"/>
        <v>71340</v>
      </c>
      <c r="K10" s="12">
        <f t="shared" si="1"/>
        <v>71340</v>
      </c>
      <c r="L10" s="12">
        <f t="shared" si="1"/>
        <v>71340</v>
      </c>
      <c r="M10" s="12">
        <f t="shared" si="1"/>
        <v>71340</v>
      </c>
      <c r="N10" s="13">
        <f>SUM(B10:M10)</f>
        <v>856080</v>
      </c>
    </row>
    <row r="11" spans="1:1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</row>
    <row r="12" spans="1:15">
      <c r="A12" s="2" t="s">
        <v>5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5" t="s">
        <v>36</v>
      </c>
      <c r="O12" s="1"/>
    </row>
    <row r="13" spans="1:15" ht="5.25" customHeight="1">
      <c r="A13" s="2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5"/>
      <c r="O13" s="1"/>
    </row>
    <row r="14" spans="1:15" s="2" customFormat="1">
      <c r="A14" s="3" t="s">
        <v>6</v>
      </c>
      <c r="B14" s="12">
        <f>SUM(B15:B18)</f>
        <v>21425</v>
      </c>
      <c r="C14" s="12">
        <f t="shared" ref="C14:M14" si="2">SUM(C15:C18)</f>
        <v>21425</v>
      </c>
      <c r="D14" s="12">
        <f t="shared" si="2"/>
        <v>21425</v>
      </c>
      <c r="E14" s="12">
        <f t="shared" si="2"/>
        <v>21425</v>
      </c>
      <c r="F14" s="12">
        <f t="shared" si="2"/>
        <v>21425</v>
      </c>
      <c r="G14" s="12">
        <f t="shared" si="2"/>
        <v>21425</v>
      </c>
      <c r="H14" s="12">
        <f t="shared" si="2"/>
        <v>21425</v>
      </c>
      <c r="I14" s="12">
        <f t="shared" si="2"/>
        <v>21425</v>
      </c>
      <c r="J14" s="12">
        <f t="shared" si="2"/>
        <v>21425</v>
      </c>
      <c r="K14" s="12">
        <f t="shared" si="2"/>
        <v>21425</v>
      </c>
      <c r="L14" s="12">
        <f t="shared" si="2"/>
        <v>21425</v>
      </c>
      <c r="M14" s="12">
        <f t="shared" si="2"/>
        <v>21425</v>
      </c>
      <c r="N14" s="13">
        <f>SUM(B14:M14)</f>
        <v>257100</v>
      </c>
    </row>
    <row r="15" spans="1:15">
      <c r="A15" s="3" t="s">
        <v>3</v>
      </c>
      <c r="B15" s="8">
        <v>5200</v>
      </c>
      <c r="C15" s="8">
        <v>5200</v>
      </c>
      <c r="D15" s="8">
        <v>5200</v>
      </c>
      <c r="E15" s="8">
        <v>5200</v>
      </c>
      <c r="F15" s="8">
        <v>5200</v>
      </c>
      <c r="G15" s="8">
        <v>5200</v>
      </c>
      <c r="H15" s="8">
        <v>5200</v>
      </c>
      <c r="I15" s="8">
        <v>5200</v>
      </c>
      <c r="J15" s="8">
        <v>5200</v>
      </c>
      <c r="K15" s="8">
        <v>5200</v>
      </c>
      <c r="L15" s="9">
        <v>5200</v>
      </c>
      <c r="M15" s="9">
        <v>5200</v>
      </c>
      <c r="N15" s="9">
        <f t="shared" ref="N15:N18" si="3">SUM(B15:M15)</f>
        <v>62400</v>
      </c>
    </row>
    <row r="16" spans="1:15">
      <c r="A16" s="3" t="s">
        <v>4</v>
      </c>
      <c r="B16" s="8">
        <v>16000</v>
      </c>
      <c r="C16" s="8">
        <v>16000</v>
      </c>
      <c r="D16" s="8">
        <v>16000</v>
      </c>
      <c r="E16" s="8">
        <v>16000</v>
      </c>
      <c r="F16" s="8">
        <v>16000</v>
      </c>
      <c r="G16" s="8">
        <v>16000</v>
      </c>
      <c r="H16" s="8">
        <v>16000</v>
      </c>
      <c r="I16" s="8">
        <v>16000</v>
      </c>
      <c r="J16" s="8">
        <v>16000</v>
      </c>
      <c r="K16" s="8">
        <v>16000</v>
      </c>
      <c r="L16" s="9">
        <v>16000</v>
      </c>
      <c r="M16" s="9">
        <v>16000</v>
      </c>
      <c r="N16" s="9">
        <f t="shared" si="3"/>
        <v>192000</v>
      </c>
    </row>
    <row r="17" spans="1:14">
      <c r="A17" s="3" t="s">
        <v>12</v>
      </c>
      <c r="B17" s="8">
        <v>170</v>
      </c>
      <c r="C17" s="8">
        <v>170</v>
      </c>
      <c r="D17" s="8">
        <v>170</v>
      </c>
      <c r="E17" s="8">
        <v>170</v>
      </c>
      <c r="F17" s="8">
        <v>170</v>
      </c>
      <c r="G17" s="8">
        <v>170</v>
      </c>
      <c r="H17" s="8">
        <v>170</v>
      </c>
      <c r="I17" s="8">
        <v>170</v>
      </c>
      <c r="J17" s="8">
        <v>170</v>
      </c>
      <c r="K17" s="8">
        <v>170</v>
      </c>
      <c r="L17" s="9">
        <v>170</v>
      </c>
      <c r="M17" s="9">
        <v>170</v>
      </c>
      <c r="N17" s="9">
        <f t="shared" si="3"/>
        <v>2040</v>
      </c>
    </row>
    <row r="18" spans="1:14">
      <c r="A18" s="3" t="s">
        <v>13</v>
      </c>
      <c r="B18" s="8">
        <v>55</v>
      </c>
      <c r="C18" s="8">
        <v>55</v>
      </c>
      <c r="D18" s="8">
        <v>55</v>
      </c>
      <c r="E18" s="8">
        <v>55</v>
      </c>
      <c r="F18" s="8">
        <v>55</v>
      </c>
      <c r="G18" s="8">
        <v>55</v>
      </c>
      <c r="H18" s="8">
        <v>55</v>
      </c>
      <c r="I18" s="8">
        <v>55</v>
      </c>
      <c r="J18" s="8">
        <v>55</v>
      </c>
      <c r="K18" s="8">
        <v>55</v>
      </c>
      <c r="L18" s="9">
        <v>55</v>
      </c>
      <c r="M18" s="9">
        <v>55</v>
      </c>
      <c r="N18" s="9">
        <f t="shared" si="3"/>
        <v>660</v>
      </c>
    </row>
    <row r="19" spans="1:14" ht="5.25" customHeight="1"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</row>
    <row r="20" spans="1:14" s="2" customFormat="1">
      <c r="A20" s="3" t="s">
        <v>7</v>
      </c>
      <c r="B20" s="12">
        <f>SUM(B21:B24)</f>
        <v>30465</v>
      </c>
      <c r="C20" s="12">
        <f t="shared" ref="C20:M20" si="4">SUM(C21:C24)</f>
        <v>30465</v>
      </c>
      <c r="D20" s="12">
        <f t="shared" si="4"/>
        <v>30465</v>
      </c>
      <c r="E20" s="12">
        <f t="shared" si="4"/>
        <v>30465</v>
      </c>
      <c r="F20" s="12">
        <f t="shared" si="4"/>
        <v>30465</v>
      </c>
      <c r="G20" s="12">
        <f t="shared" si="4"/>
        <v>30465</v>
      </c>
      <c r="H20" s="12">
        <f t="shared" si="4"/>
        <v>30465</v>
      </c>
      <c r="I20" s="12">
        <f t="shared" si="4"/>
        <v>30465</v>
      </c>
      <c r="J20" s="12">
        <f t="shared" si="4"/>
        <v>30465</v>
      </c>
      <c r="K20" s="12">
        <f t="shared" si="4"/>
        <v>30465</v>
      </c>
      <c r="L20" s="12">
        <f t="shared" si="4"/>
        <v>30465</v>
      </c>
      <c r="M20" s="12">
        <f t="shared" si="4"/>
        <v>30465</v>
      </c>
      <c r="N20" s="13">
        <f>SUM(B20:M20)</f>
        <v>365580</v>
      </c>
    </row>
    <row r="21" spans="1:14">
      <c r="A21" s="3" t="s">
        <v>8</v>
      </c>
      <c r="B21" s="8">
        <v>12229</v>
      </c>
      <c r="C21" s="8">
        <v>12229</v>
      </c>
      <c r="D21" s="8">
        <v>12229</v>
      </c>
      <c r="E21" s="8">
        <v>12229</v>
      </c>
      <c r="F21" s="8">
        <v>12229</v>
      </c>
      <c r="G21" s="8">
        <v>12229</v>
      </c>
      <c r="H21" s="8">
        <v>12229</v>
      </c>
      <c r="I21" s="8">
        <v>12229</v>
      </c>
      <c r="J21" s="8">
        <v>12229</v>
      </c>
      <c r="K21" s="8">
        <v>12229</v>
      </c>
      <c r="L21" s="9">
        <v>12229</v>
      </c>
      <c r="M21" s="9">
        <v>12229</v>
      </c>
      <c r="N21" s="9">
        <f t="shared" ref="N21:N24" si="5">SUM(B21:M21)</f>
        <v>146748</v>
      </c>
    </row>
    <row r="22" spans="1:14">
      <c r="A22" s="3" t="s">
        <v>29</v>
      </c>
      <c r="B22" s="8">
        <v>10241</v>
      </c>
      <c r="C22" s="8">
        <v>10241</v>
      </c>
      <c r="D22" s="8">
        <v>10241</v>
      </c>
      <c r="E22" s="8">
        <v>10241</v>
      </c>
      <c r="F22" s="8">
        <v>10241</v>
      </c>
      <c r="G22" s="8">
        <v>10241</v>
      </c>
      <c r="H22" s="8">
        <v>10241</v>
      </c>
      <c r="I22" s="8">
        <v>10241</v>
      </c>
      <c r="J22" s="8">
        <v>10241</v>
      </c>
      <c r="K22" s="8">
        <v>10241</v>
      </c>
      <c r="L22" s="9">
        <v>10241</v>
      </c>
      <c r="M22" s="9">
        <v>10241</v>
      </c>
      <c r="N22" s="9">
        <f t="shared" si="5"/>
        <v>122892</v>
      </c>
    </row>
    <row r="23" spans="1:14">
      <c r="A23" s="3" t="s">
        <v>9</v>
      </c>
      <c r="B23" s="8">
        <v>3782</v>
      </c>
      <c r="C23" s="8">
        <v>3782</v>
      </c>
      <c r="D23" s="8">
        <v>3782</v>
      </c>
      <c r="E23" s="8">
        <v>3782</v>
      </c>
      <c r="F23" s="8">
        <v>3782</v>
      </c>
      <c r="G23" s="8">
        <v>3782</v>
      </c>
      <c r="H23" s="8">
        <v>3782</v>
      </c>
      <c r="I23" s="8">
        <v>3782</v>
      </c>
      <c r="J23" s="8">
        <v>3782</v>
      </c>
      <c r="K23" s="8">
        <v>3782</v>
      </c>
      <c r="L23" s="9">
        <v>3782</v>
      </c>
      <c r="M23" s="9">
        <v>3782</v>
      </c>
      <c r="N23" s="9">
        <f t="shared" si="5"/>
        <v>45384</v>
      </c>
    </row>
    <row r="24" spans="1:14">
      <c r="A24" s="3" t="s">
        <v>10</v>
      </c>
      <c r="B24" s="8">
        <v>4213</v>
      </c>
      <c r="C24" s="8">
        <v>4213</v>
      </c>
      <c r="D24" s="8">
        <v>4213</v>
      </c>
      <c r="E24" s="8">
        <v>4213</v>
      </c>
      <c r="F24" s="8">
        <v>4213</v>
      </c>
      <c r="G24" s="8">
        <v>4213</v>
      </c>
      <c r="H24" s="8">
        <v>4213</v>
      </c>
      <c r="I24" s="8">
        <v>4213</v>
      </c>
      <c r="J24" s="8">
        <v>4213</v>
      </c>
      <c r="K24" s="8">
        <v>4213</v>
      </c>
      <c r="L24" s="9">
        <v>4213</v>
      </c>
      <c r="M24" s="9">
        <v>4213</v>
      </c>
      <c r="N24" s="9">
        <f t="shared" si="5"/>
        <v>50556</v>
      </c>
    </row>
    <row r="25" spans="1:14" ht="6.75" customHeight="1"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9"/>
    </row>
    <row r="26" spans="1:14" s="2" customFormat="1">
      <c r="A26" s="3" t="s">
        <v>30</v>
      </c>
      <c r="B26" s="12">
        <f>SUM(B27:B32)</f>
        <v>10421</v>
      </c>
      <c r="C26" s="12">
        <f t="shared" ref="C26:M26" si="6">SUM(C27:C32)</f>
        <v>10421</v>
      </c>
      <c r="D26" s="12">
        <f t="shared" si="6"/>
        <v>10421</v>
      </c>
      <c r="E26" s="12">
        <f t="shared" si="6"/>
        <v>10421</v>
      </c>
      <c r="F26" s="12">
        <f t="shared" si="6"/>
        <v>10421</v>
      </c>
      <c r="G26" s="12">
        <f t="shared" si="6"/>
        <v>10421</v>
      </c>
      <c r="H26" s="12">
        <f t="shared" si="6"/>
        <v>10421</v>
      </c>
      <c r="I26" s="12">
        <f t="shared" si="6"/>
        <v>10421</v>
      </c>
      <c r="J26" s="12">
        <f t="shared" si="6"/>
        <v>10421</v>
      </c>
      <c r="K26" s="12">
        <f t="shared" si="6"/>
        <v>10421</v>
      </c>
      <c r="L26" s="12">
        <f t="shared" si="6"/>
        <v>10421</v>
      </c>
      <c r="M26" s="12">
        <f t="shared" si="6"/>
        <v>10421</v>
      </c>
      <c r="N26" s="13">
        <f>SUM(B26:M26)</f>
        <v>125052</v>
      </c>
    </row>
    <row r="27" spans="1:14">
      <c r="A27" s="3" t="s">
        <v>31</v>
      </c>
      <c r="B27" s="8">
        <v>1353</v>
      </c>
      <c r="C27" s="8">
        <v>1353</v>
      </c>
      <c r="D27" s="8">
        <v>1353</v>
      </c>
      <c r="E27" s="8">
        <v>1353</v>
      </c>
      <c r="F27" s="8">
        <v>1353</v>
      </c>
      <c r="G27" s="8">
        <v>1353</v>
      </c>
      <c r="H27" s="8">
        <v>1353</v>
      </c>
      <c r="I27" s="8">
        <v>1353</v>
      </c>
      <c r="J27" s="8">
        <v>1353</v>
      </c>
      <c r="K27" s="8">
        <v>1353</v>
      </c>
      <c r="L27" s="9">
        <v>1353</v>
      </c>
      <c r="M27" s="9">
        <v>1353</v>
      </c>
      <c r="N27" s="9">
        <f t="shared" ref="N27:N32" si="7">SUM(B27:M27)</f>
        <v>16236</v>
      </c>
    </row>
    <row r="28" spans="1:14">
      <c r="A28" s="3" t="s">
        <v>15</v>
      </c>
      <c r="B28" s="8">
        <v>170</v>
      </c>
      <c r="C28" s="8">
        <v>170</v>
      </c>
      <c r="D28" s="8">
        <v>170</v>
      </c>
      <c r="E28" s="8">
        <v>170</v>
      </c>
      <c r="F28" s="8">
        <v>170</v>
      </c>
      <c r="G28" s="8">
        <v>170</v>
      </c>
      <c r="H28" s="8">
        <v>170</v>
      </c>
      <c r="I28" s="8">
        <v>170</v>
      </c>
      <c r="J28" s="8">
        <v>170</v>
      </c>
      <c r="K28" s="8">
        <v>170</v>
      </c>
      <c r="L28" s="9">
        <v>170</v>
      </c>
      <c r="M28" s="9">
        <v>170</v>
      </c>
      <c r="N28" s="9">
        <f t="shared" si="7"/>
        <v>2040</v>
      </c>
    </row>
    <row r="29" spans="1:14">
      <c r="A29" s="3" t="s">
        <v>16</v>
      </c>
      <c r="B29" s="8">
        <v>450</v>
      </c>
      <c r="C29" s="8">
        <v>450</v>
      </c>
      <c r="D29" s="8">
        <v>450</v>
      </c>
      <c r="E29" s="8">
        <v>450</v>
      </c>
      <c r="F29" s="8">
        <v>450</v>
      </c>
      <c r="G29" s="8">
        <v>450</v>
      </c>
      <c r="H29" s="8">
        <v>450</v>
      </c>
      <c r="I29" s="8">
        <v>450</v>
      </c>
      <c r="J29" s="8">
        <v>450</v>
      </c>
      <c r="K29" s="8">
        <v>450</v>
      </c>
      <c r="L29" s="9">
        <v>450</v>
      </c>
      <c r="M29" s="9">
        <v>450</v>
      </c>
      <c r="N29" s="9">
        <f t="shared" si="7"/>
        <v>5400</v>
      </c>
    </row>
    <row r="30" spans="1:14">
      <c r="A30" s="3" t="s">
        <v>17</v>
      </c>
      <c r="B30" s="8">
        <v>350</v>
      </c>
      <c r="C30" s="8">
        <v>350</v>
      </c>
      <c r="D30" s="8">
        <v>350</v>
      </c>
      <c r="E30" s="8">
        <v>350</v>
      </c>
      <c r="F30" s="8">
        <v>350</v>
      </c>
      <c r="G30" s="8">
        <v>350</v>
      </c>
      <c r="H30" s="8">
        <v>350</v>
      </c>
      <c r="I30" s="8">
        <v>350</v>
      </c>
      <c r="J30" s="8">
        <v>350</v>
      </c>
      <c r="K30" s="8">
        <v>350</v>
      </c>
      <c r="L30" s="9">
        <v>350</v>
      </c>
      <c r="M30" s="9">
        <v>350</v>
      </c>
      <c r="N30" s="9">
        <f t="shared" si="7"/>
        <v>4200</v>
      </c>
    </row>
    <row r="31" spans="1:14">
      <c r="A31" s="3" t="s">
        <v>18</v>
      </c>
      <c r="B31" s="8">
        <v>1078</v>
      </c>
      <c r="C31" s="8">
        <v>1078</v>
      </c>
      <c r="D31" s="8">
        <v>1078</v>
      </c>
      <c r="E31" s="8">
        <v>1078</v>
      </c>
      <c r="F31" s="8">
        <v>1078</v>
      </c>
      <c r="G31" s="8">
        <v>1078</v>
      </c>
      <c r="H31" s="8">
        <v>1078</v>
      </c>
      <c r="I31" s="8">
        <v>1078</v>
      </c>
      <c r="J31" s="8">
        <v>1078</v>
      </c>
      <c r="K31" s="8">
        <v>1078</v>
      </c>
      <c r="L31" s="9">
        <v>1078</v>
      </c>
      <c r="M31" s="9">
        <v>1078</v>
      </c>
      <c r="N31" s="9">
        <f t="shared" si="7"/>
        <v>12936</v>
      </c>
    </row>
    <row r="32" spans="1:14">
      <c r="A32" s="3" t="s">
        <v>32</v>
      </c>
      <c r="B32" s="8">
        <v>7020</v>
      </c>
      <c r="C32" s="8">
        <v>7020</v>
      </c>
      <c r="D32" s="8">
        <v>7020</v>
      </c>
      <c r="E32" s="8">
        <v>7020</v>
      </c>
      <c r="F32" s="8">
        <v>7020</v>
      </c>
      <c r="G32" s="8">
        <v>7020</v>
      </c>
      <c r="H32" s="8">
        <v>7020</v>
      </c>
      <c r="I32" s="8">
        <v>7020</v>
      </c>
      <c r="J32" s="8">
        <v>7020</v>
      </c>
      <c r="K32" s="8">
        <v>7020</v>
      </c>
      <c r="L32" s="9">
        <v>7020</v>
      </c>
      <c r="M32" s="9">
        <v>7020</v>
      </c>
      <c r="N32" s="9">
        <f t="shared" si="7"/>
        <v>84240</v>
      </c>
    </row>
    <row r="33" spans="1:14" ht="5.25" customHeight="1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7"/>
      <c r="M33" s="17"/>
      <c r="N33" s="17"/>
    </row>
    <row r="34" spans="1:14">
      <c r="A34" s="3" t="s">
        <v>23</v>
      </c>
      <c r="B34" s="18">
        <v>2500</v>
      </c>
      <c r="C34" s="18">
        <v>2500</v>
      </c>
      <c r="D34" s="18">
        <v>2500</v>
      </c>
      <c r="E34" s="18">
        <v>2500</v>
      </c>
      <c r="F34" s="18">
        <v>2500</v>
      </c>
      <c r="G34" s="18">
        <v>2500</v>
      </c>
      <c r="H34" s="18">
        <v>2500</v>
      </c>
      <c r="I34" s="18">
        <v>2500</v>
      </c>
      <c r="J34" s="18">
        <v>2500</v>
      </c>
      <c r="K34" s="18">
        <v>2500</v>
      </c>
      <c r="L34" s="19">
        <v>2500</v>
      </c>
      <c r="M34" s="19">
        <v>2500</v>
      </c>
      <c r="N34" s="19">
        <v>30000</v>
      </c>
    </row>
    <row r="35" spans="1:14" ht="6.75" customHeight="1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21"/>
      <c r="N35" s="21"/>
    </row>
    <row r="36" spans="1:14">
      <c r="A36" s="3" t="s">
        <v>24</v>
      </c>
      <c r="B36" s="18">
        <f>SUM(B37:B39)</f>
        <v>2309</v>
      </c>
      <c r="C36" s="18">
        <f t="shared" ref="C36:M36" si="8">SUM(C37:C39)</f>
        <v>2309</v>
      </c>
      <c r="D36" s="18">
        <f t="shared" si="8"/>
        <v>2309</v>
      </c>
      <c r="E36" s="18">
        <f t="shared" si="8"/>
        <v>2309</v>
      </c>
      <c r="F36" s="18">
        <f t="shared" si="8"/>
        <v>2309</v>
      </c>
      <c r="G36" s="18">
        <f t="shared" si="8"/>
        <v>2309</v>
      </c>
      <c r="H36" s="18">
        <f t="shared" si="8"/>
        <v>2309</v>
      </c>
      <c r="I36" s="18">
        <f t="shared" si="8"/>
        <v>2309</v>
      </c>
      <c r="J36" s="18">
        <f t="shared" si="8"/>
        <v>2309</v>
      </c>
      <c r="K36" s="18">
        <f t="shared" si="8"/>
        <v>2309</v>
      </c>
      <c r="L36" s="18">
        <f t="shared" si="8"/>
        <v>2309</v>
      </c>
      <c r="M36" s="18">
        <f t="shared" si="8"/>
        <v>2309</v>
      </c>
      <c r="N36" s="19">
        <f>SUM(B36:M36)</f>
        <v>27708</v>
      </c>
    </row>
    <row r="37" spans="1:14">
      <c r="A37" s="3" t="s">
        <v>33</v>
      </c>
      <c r="B37" s="8">
        <v>1000</v>
      </c>
      <c r="C37" s="8">
        <v>1000</v>
      </c>
      <c r="D37" s="8">
        <v>1000</v>
      </c>
      <c r="E37" s="8">
        <v>1000</v>
      </c>
      <c r="F37" s="8">
        <v>1000</v>
      </c>
      <c r="G37" s="8">
        <v>1000</v>
      </c>
      <c r="H37" s="8">
        <v>1000</v>
      </c>
      <c r="I37" s="8">
        <v>1000</v>
      </c>
      <c r="J37" s="8">
        <v>1000</v>
      </c>
      <c r="K37" s="8">
        <v>1000</v>
      </c>
      <c r="L37" s="9">
        <v>1000</v>
      </c>
      <c r="M37" s="9">
        <v>1000</v>
      </c>
      <c r="N37" s="22">
        <f t="shared" ref="N37:N39" si="9">SUM(B37:M37)</f>
        <v>12000</v>
      </c>
    </row>
    <row r="38" spans="1:14">
      <c r="A38" s="3" t="s">
        <v>19</v>
      </c>
      <c r="B38" s="8">
        <v>809</v>
      </c>
      <c r="C38" s="8">
        <v>809</v>
      </c>
      <c r="D38" s="8">
        <v>809</v>
      </c>
      <c r="E38" s="8">
        <v>809</v>
      </c>
      <c r="F38" s="8">
        <v>809</v>
      </c>
      <c r="G38" s="8">
        <v>809</v>
      </c>
      <c r="H38" s="8">
        <v>809</v>
      </c>
      <c r="I38" s="8">
        <v>809</v>
      </c>
      <c r="J38" s="8">
        <v>809</v>
      </c>
      <c r="K38" s="8">
        <v>809</v>
      </c>
      <c r="L38" s="9">
        <v>809</v>
      </c>
      <c r="M38" s="9">
        <v>809</v>
      </c>
      <c r="N38" s="22">
        <f t="shared" si="9"/>
        <v>9708</v>
      </c>
    </row>
    <row r="39" spans="1:14">
      <c r="A39" s="3" t="s">
        <v>20</v>
      </c>
      <c r="B39" s="8">
        <v>500</v>
      </c>
      <c r="C39" s="8">
        <v>500</v>
      </c>
      <c r="D39" s="8">
        <v>500</v>
      </c>
      <c r="E39" s="8">
        <v>500</v>
      </c>
      <c r="F39" s="8">
        <v>500</v>
      </c>
      <c r="G39" s="8">
        <v>500</v>
      </c>
      <c r="H39" s="8">
        <v>500</v>
      </c>
      <c r="I39" s="8">
        <v>500</v>
      </c>
      <c r="J39" s="8">
        <v>500</v>
      </c>
      <c r="K39" s="8">
        <v>500</v>
      </c>
      <c r="L39" s="9">
        <v>500</v>
      </c>
      <c r="M39" s="9">
        <v>500</v>
      </c>
      <c r="N39" s="22">
        <f t="shared" si="9"/>
        <v>6000</v>
      </c>
    </row>
    <row r="40" spans="1:14" ht="6.75" customHeight="1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4"/>
      <c r="M40" s="24"/>
      <c r="N40" s="24"/>
    </row>
    <row r="41" spans="1:14">
      <c r="A41" s="3" t="s">
        <v>25</v>
      </c>
      <c r="B41" s="18">
        <f>SUM(B42:B44)</f>
        <v>4220</v>
      </c>
      <c r="C41" s="18">
        <f t="shared" ref="C41:M41" si="10">SUM(C42:C44)</f>
        <v>4220</v>
      </c>
      <c r="D41" s="18">
        <f t="shared" si="10"/>
        <v>4220</v>
      </c>
      <c r="E41" s="18">
        <f t="shared" si="10"/>
        <v>4220</v>
      </c>
      <c r="F41" s="18">
        <f t="shared" si="10"/>
        <v>4220</v>
      </c>
      <c r="G41" s="18">
        <f t="shared" si="10"/>
        <v>4220</v>
      </c>
      <c r="H41" s="18">
        <f t="shared" si="10"/>
        <v>4220</v>
      </c>
      <c r="I41" s="18">
        <f t="shared" si="10"/>
        <v>4220</v>
      </c>
      <c r="J41" s="18">
        <f t="shared" si="10"/>
        <v>4220</v>
      </c>
      <c r="K41" s="18">
        <f t="shared" si="10"/>
        <v>4220</v>
      </c>
      <c r="L41" s="18">
        <f t="shared" si="10"/>
        <v>4220</v>
      </c>
      <c r="M41" s="18">
        <f t="shared" si="10"/>
        <v>4220</v>
      </c>
      <c r="N41" s="19">
        <f>SUM(B41:M41)</f>
        <v>50640</v>
      </c>
    </row>
    <row r="42" spans="1:14">
      <c r="A42" s="3" t="s">
        <v>34</v>
      </c>
      <c r="B42" s="8">
        <v>370</v>
      </c>
      <c r="C42" s="8">
        <v>370</v>
      </c>
      <c r="D42" s="8">
        <v>370</v>
      </c>
      <c r="E42" s="8">
        <v>370</v>
      </c>
      <c r="F42" s="8">
        <v>370</v>
      </c>
      <c r="G42" s="8">
        <v>370</v>
      </c>
      <c r="H42" s="8">
        <v>370</v>
      </c>
      <c r="I42" s="8">
        <v>370</v>
      </c>
      <c r="J42" s="8">
        <v>370</v>
      </c>
      <c r="K42" s="8">
        <v>370</v>
      </c>
      <c r="L42" s="9">
        <v>370</v>
      </c>
      <c r="M42" s="9">
        <v>370</v>
      </c>
      <c r="N42" s="22">
        <f t="shared" ref="N42:N44" si="11">SUM(B42:M42)</f>
        <v>4440</v>
      </c>
    </row>
    <row r="43" spans="1:14">
      <c r="A43" s="3" t="s">
        <v>21</v>
      </c>
      <c r="B43" s="8">
        <v>2500</v>
      </c>
      <c r="C43" s="8">
        <v>2500</v>
      </c>
      <c r="D43" s="8">
        <v>2500</v>
      </c>
      <c r="E43" s="8">
        <v>2500</v>
      </c>
      <c r="F43" s="8">
        <v>2500</v>
      </c>
      <c r="G43" s="8">
        <v>2500</v>
      </c>
      <c r="H43" s="8">
        <v>2500</v>
      </c>
      <c r="I43" s="8">
        <v>2500</v>
      </c>
      <c r="J43" s="8">
        <v>2500</v>
      </c>
      <c r="K43" s="8">
        <v>2500</v>
      </c>
      <c r="L43" s="9">
        <v>2500</v>
      </c>
      <c r="M43" s="9">
        <v>2500</v>
      </c>
      <c r="N43" s="22">
        <f t="shared" si="11"/>
        <v>30000</v>
      </c>
    </row>
    <row r="44" spans="1:14" ht="13.5" thickBot="1">
      <c r="A44" s="3" t="s">
        <v>22</v>
      </c>
      <c r="B44" s="10">
        <v>1350</v>
      </c>
      <c r="C44" s="10">
        <v>1350</v>
      </c>
      <c r="D44" s="10">
        <v>1350</v>
      </c>
      <c r="E44" s="10">
        <v>1350</v>
      </c>
      <c r="F44" s="10">
        <v>1350</v>
      </c>
      <c r="G44" s="10">
        <v>1350</v>
      </c>
      <c r="H44" s="10">
        <v>1350</v>
      </c>
      <c r="I44" s="10">
        <v>1350</v>
      </c>
      <c r="J44" s="10">
        <v>1350</v>
      </c>
      <c r="K44" s="10">
        <v>1350</v>
      </c>
      <c r="L44" s="11">
        <v>1350</v>
      </c>
      <c r="M44" s="11">
        <v>1350</v>
      </c>
      <c r="N44" s="25">
        <f t="shared" si="11"/>
        <v>16200</v>
      </c>
    </row>
    <row r="45" spans="1:14">
      <c r="A45" s="3" t="s">
        <v>26</v>
      </c>
      <c r="B45" s="12">
        <f>B41+B36+B34+B26+B20+B14</f>
        <v>71340</v>
      </c>
      <c r="C45" s="12">
        <f t="shared" ref="C45:M45" si="12">C41+C36+C34+C26+C20+C14</f>
        <v>71340</v>
      </c>
      <c r="D45" s="12">
        <f t="shared" si="12"/>
        <v>71340</v>
      </c>
      <c r="E45" s="12">
        <f t="shared" si="12"/>
        <v>71340</v>
      </c>
      <c r="F45" s="12">
        <f t="shared" si="12"/>
        <v>71340</v>
      </c>
      <c r="G45" s="12">
        <f t="shared" si="12"/>
        <v>71340</v>
      </c>
      <c r="H45" s="12">
        <f t="shared" si="12"/>
        <v>71340</v>
      </c>
      <c r="I45" s="12">
        <f t="shared" si="12"/>
        <v>71340</v>
      </c>
      <c r="J45" s="12">
        <f t="shared" si="12"/>
        <v>71340</v>
      </c>
      <c r="K45" s="12">
        <f t="shared" si="12"/>
        <v>71340</v>
      </c>
      <c r="L45" s="12">
        <f t="shared" si="12"/>
        <v>71340</v>
      </c>
      <c r="M45" s="12">
        <f t="shared" si="12"/>
        <v>71340</v>
      </c>
      <c r="N45" s="12">
        <f>N41+N36+N34+N26+N20+N14</f>
        <v>856080</v>
      </c>
    </row>
    <row r="46" spans="1:14">
      <c r="G46" s="26"/>
      <c r="H46" s="26"/>
      <c r="I46" s="26"/>
      <c r="J46" s="26"/>
      <c r="K46" s="26"/>
    </row>
    <row r="47" spans="1:14">
      <c r="B47" s="26"/>
      <c r="D47" s="26"/>
      <c r="F47" s="26"/>
      <c r="G47" s="26"/>
      <c r="H47" s="26"/>
      <c r="I47" s="26"/>
      <c r="J47" s="26"/>
    </row>
    <row r="48" spans="1:14">
      <c r="B48" s="26"/>
      <c r="D48" s="26"/>
      <c r="F48" s="26"/>
      <c r="G48" s="26"/>
      <c r="H48" s="26"/>
      <c r="I48" s="26"/>
      <c r="J48" s="26"/>
    </row>
    <row r="49" spans="2:10">
      <c r="B49" s="26"/>
      <c r="D49" s="26"/>
      <c r="F49" s="26"/>
      <c r="G49" s="26"/>
      <c r="H49" s="26"/>
      <c r="I49" s="26"/>
      <c r="J49" s="26"/>
    </row>
    <row r="50" spans="2:10">
      <c r="B50" s="26"/>
      <c r="D50" s="26"/>
      <c r="F50" s="26"/>
      <c r="G50" s="26"/>
      <c r="H50" s="26"/>
      <c r="I50" s="26"/>
      <c r="J50" s="26"/>
    </row>
    <row r="51" spans="2:10">
      <c r="B51" s="26"/>
      <c r="D51" s="26"/>
      <c r="F51" s="26"/>
      <c r="G51" s="26"/>
      <c r="H51" s="26"/>
      <c r="I51" s="26"/>
      <c r="J51" s="26"/>
    </row>
    <row r="52" spans="2:10">
      <c r="B52" s="26"/>
      <c r="D52" s="26"/>
      <c r="F52" s="26"/>
      <c r="G52" s="26"/>
      <c r="H52" s="26"/>
      <c r="I52" s="26"/>
      <c r="J52" s="26"/>
    </row>
    <row r="53" spans="2:10">
      <c r="B53" s="26"/>
      <c r="D53" s="26"/>
      <c r="F53" s="26"/>
      <c r="G53" s="26"/>
      <c r="H53" s="26"/>
      <c r="I53" s="26"/>
      <c r="J53" s="26"/>
    </row>
    <row r="54" spans="2:10">
      <c r="B54" s="26"/>
      <c r="D54" s="26"/>
      <c r="F54" s="26"/>
      <c r="G54" s="26"/>
      <c r="H54" s="26"/>
      <c r="I54" s="26"/>
      <c r="J54" s="26"/>
    </row>
    <row r="55" spans="2:10">
      <c r="B55" s="26"/>
      <c r="D55" s="26"/>
      <c r="F55" s="26"/>
      <c r="G55" s="26"/>
      <c r="H55" s="26"/>
      <c r="I55" s="26"/>
      <c r="J55" s="26"/>
    </row>
    <row r="56" spans="2:10">
      <c r="B56" s="26"/>
      <c r="D56" s="26"/>
      <c r="F56" s="26"/>
      <c r="G56" s="26"/>
      <c r="H56" s="26"/>
      <c r="I56" s="26"/>
      <c r="J56" s="26"/>
    </row>
    <row r="57" spans="2:10">
      <c r="B57" s="26"/>
      <c r="D57" s="26"/>
      <c r="F57" s="26"/>
      <c r="G57" s="26"/>
      <c r="H57" s="26"/>
      <c r="I57" s="26"/>
      <c r="J57" s="26"/>
    </row>
    <row r="58" spans="2:10">
      <c r="B58" s="26"/>
      <c r="D58" s="26"/>
      <c r="F58" s="26"/>
      <c r="G58" s="26"/>
      <c r="H58" s="26"/>
      <c r="I58" s="26"/>
      <c r="J58" s="26"/>
    </row>
    <row r="59" spans="2:10">
      <c r="B59" s="26"/>
      <c r="D59" s="26"/>
      <c r="F59" s="26"/>
      <c r="G59" s="26"/>
      <c r="H59" s="26"/>
      <c r="I59" s="26"/>
      <c r="J59" s="26"/>
    </row>
    <row r="60" spans="2:10">
      <c r="B60" s="26"/>
      <c r="D60" s="26"/>
      <c r="F60" s="26"/>
      <c r="G60" s="26"/>
      <c r="H60" s="26"/>
      <c r="I60" s="26"/>
      <c r="J60" s="26"/>
    </row>
    <row r="61" spans="2:10">
      <c r="B61" s="26"/>
      <c r="D61" s="26"/>
      <c r="F61" s="26"/>
      <c r="G61" s="26"/>
      <c r="H61" s="26"/>
      <c r="I61" s="26"/>
      <c r="J61" s="26"/>
    </row>
    <row r="62" spans="2:10">
      <c r="B62" s="26"/>
      <c r="D62" s="26"/>
      <c r="F62" s="26"/>
      <c r="G62" s="26"/>
      <c r="H62" s="26"/>
      <c r="I62" s="26"/>
      <c r="J62" s="26"/>
    </row>
    <row r="63" spans="2:10">
      <c r="B63" s="26"/>
      <c r="D63" s="26"/>
      <c r="F63" s="26"/>
      <c r="G63" s="26"/>
      <c r="H63" s="26"/>
      <c r="I63" s="26"/>
      <c r="J63" s="26"/>
    </row>
    <row r="64" spans="2:10">
      <c r="B64" s="26"/>
      <c r="D64" s="26"/>
      <c r="F64" s="26"/>
      <c r="G64" s="26"/>
      <c r="H64" s="26"/>
      <c r="I64" s="26"/>
      <c r="J64" s="26"/>
    </row>
    <row r="65" spans="2:10">
      <c r="B65" s="26"/>
      <c r="D65" s="26"/>
      <c r="F65" s="26"/>
      <c r="G65" s="26"/>
      <c r="H65" s="26"/>
      <c r="I65" s="26"/>
      <c r="J65" s="26"/>
    </row>
    <row r="66" spans="2:10">
      <c r="B66" s="26"/>
      <c r="D66" s="26"/>
      <c r="F66" s="26"/>
      <c r="G66" s="26"/>
      <c r="H66" s="26"/>
      <c r="I66" s="26"/>
      <c r="J66" s="26"/>
    </row>
    <row r="67" spans="2:10">
      <c r="B67" s="26"/>
      <c r="D67" s="26"/>
      <c r="F67" s="26"/>
      <c r="G67" s="26"/>
      <c r="H67" s="26"/>
      <c r="I67" s="26"/>
      <c r="J67" s="26"/>
    </row>
    <row r="68" spans="2:10">
      <c r="B68" s="26"/>
      <c r="D68" s="26"/>
      <c r="F68" s="26"/>
      <c r="G68" s="26"/>
      <c r="H68" s="26"/>
      <c r="I68" s="26"/>
      <c r="J68" s="26"/>
    </row>
    <row r="69" spans="2:10">
      <c r="B69" s="26"/>
      <c r="D69" s="26"/>
      <c r="F69" s="26"/>
      <c r="G69" s="26"/>
      <c r="H69" s="26"/>
      <c r="I69" s="26"/>
      <c r="J69" s="26"/>
    </row>
    <row r="70" spans="2:10">
      <c r="B70" s="26"/>
      <c r="D70" s="26"/>
      <c r="F70" s="26"/>
      <c r="G70" s="26"/>
      <c r="H70" s="26"/>
      <c r="I70" s="26"/>
      <c r="J70" s="26"/>
    </row>
    <row r="71" spans="2:10">
      <c r="B71" s="26"/>
      <c r="D71" s="26"/>
      <c r="F71" s="26"/>
      <c r="G71" s="26"/>
      <c r="H71" s="26"/>
      <c r="I71" s="26"/>
      <c r="J71" s="26"/>
    </row>
    <row r="72" spans="2:10">
      <c r="B72" s="26"/>
      <c r="D72" s="26"/>
      <c r="F72" s="26"/>
      <c r="G72" s="26"/>
      <c r="H72" s="26"/>
      <c r="I72" s="26"/>
      <c r="J72" s="26"/>
    </row>
    <row r="73" spans="2:10">
      <c r="B73" s="26"/>
      <c r="D73" s="26"/>
      <c r="F73" s="26"/>
      <c r="G73" s="26"/>
      <c r="H73" s="26"/>
      <c r="I73" s="26"/>
      <c r="J73" s="26"/>
    </row>
    <row r="74" spans="2:10">
      <c r="B74" s="26"/>
      <c r="D74" s="26"/>
      <c r="F74" s="26"/>
      <c r="G74" s="26"/>
      <c r="H74" s="26"/>
      <c r="I74" s="26"/>
      <c r="J74" s="2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8"/>
  <sheetViews>
    <sheetView showGridLines="0"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0" sqref="A10"/>
    </sheetView>
  </sheetViews>
  <sheetFormatPr baseColWidth="10" defaultColWidth="9.33203125" defaultRowHeight="18"/>
  <cols>
    <col min="1" max="1" width="60.33203125" style="33" customWidth="1"/>
    <col min="2" max="14" width="17.83203125" style="33" customWidth="1"/>
    <col min="15" max="15" width="9.33203125" style="33" customWidth="1"/>
    <col min="16" max="16384" width="9.33203125" style="33"/>
  </cols>
  <sheetData>
    <row r="2" spans="1:14" s="36" customFormat="1" ht="18.75">
      <c r="A2" s="36" t="s">
        <v>51</v>
      </c>
      <c r="B2" s="36" t="s">
        <v>56</v>
      </c>
      <c r="C2" s="36" t="s">
        <v>57</v>
      </c>
      <c r="D2" s="36" t="s">
        <v>58</v>
      </c>
      <c r="E2" s="36" t="s">
        <v>59</v>
      </c>
      <c r="F2" s="36" t="s">
        <v>60</v>
      </c>
      <c r="G2" s="36" t="s">
        <v>61</v>
      </c>
      <c r="H2" s="36" t="s">
        <v>62</v>
      </c>
      <c r="I2" s="36" t="s">
        <v>63</v>
      </c>
      <c r="J2" s="36" t="s">
        <v>64</v>
      </c>
      <c r="K2" s="36" t="s">
        <v>65</v>
      </c>
      <c r="L2" s="36" t="s">
        <v>66</v>
      </c>
      <c r="M2" s="36" t="s">
        <v>67</v>
      </c>
      <c r="N2" s="36" t="s">
        <v>36</v>
      </c>
    </row>
    <row r="4" spans="1:14" ht="18.75">
      <c r="A4" s="37" t="s">
        <v>5</v>
      </c>
    </row>
    <row r="6" spans="1:14" s="35" customFormat="1" ht="18.75">
      <c r="A6" s="38" t="s">
        <v>6</v>
      </c>
      <c r="B6" s="39">
        <f>SUM(B7:B10)</f>
        <v>20040</v>
      </c>
      <c r="C6" s="39">
        <f t="shared" ref="C6:M6" si="0">SUM(C7:C10)</f>
        <v>20040</v>
      </c>
      <c r="D6" s="39">
        <f t="shared" si="0"/>
        <v>20040</v>
      </c>
      <c r="E6" s="39">
        <f t="shared" si="0"/>
        <v>20040</v>
      </c>
      <c r="F6" s="39">
        <f t="shared" si="0"/>
        <v>20040</v>
      </c>
      <c r="G6" s="39">
        <f t="shared" si="0"/>
        <v>20040</v>
      </c>
      <c r="H6" s="39">
        <f t="shared" si="0"/>
        <v>20040</v>
      </c>
      <c r="I6" s="39">
        <f t="shared" si="0"/>
        <v>20040</v>
      </c>
      <c r="J6" s="39">
        <f t="shared" si="0"/>
        <v>20040</v>
      </c>
      <c r="K6" s="39">
        <f t="shared" si="0"/>
        <v>20040</v>
      </c>
      <c r="L6" s="39">
        <f t="shared" si="0"/>
        <v>20040</v>
      </c>
      <c r="M6" s="39">
        <f t="shared" si="0"/>
        <v>20040</v>
      </c>
      <c r="N6" s="39">
        <f>SUM(B6:M6)</f>
        <v>240480</v>
      </c>
    </row>
    <row r="7" spans="1:14" ht="18.75">
      <c r="A7" s="33" t="s">
        <v>3</v>
      </c>
      <c r="B7" s="34">
        <v>5000</v>
      </c>
      <c r="C7" s="34">
        <v>5000</v>
      </c>
      <c r="D7" s="34">
        <v>5000</v>
      </c>
      <c r="E7" s="34">
        <v>5000</v>
      </c>
      <c r="F7" s="34">
        <v>5000</v>
      </c>
      <c r="G7" s="34">
        <v>5000</v>
      </c>
      <c r="H7" s="34">
        <v>5000</v>
      </c>
      <c r="I7" s="34">
        <v>5000</v>
      </c>
      <c r="J7" s="34">
        <v>5000</v>
      </c>
      <c r="K7" s="34">
        <v>5000</v>
      </c>
      <c r="L7" s="34">
        <v>5000</v>
      </c>
      <c r="M7" s="34">
        <v>5000</v>
      </c>
      <c r="N7" s="34">
        <f t="shared" ref="N7:N10" si="1">SUM(B7:M7)</f>
        <v>60000</v>
      </c>
    </row>
    <row r="8" spans="1:14" ht="18.75">
      <c r="A8" s="33" t="s">
        <v>4</v>
      </c>
      <c r="B8" s="34">
        <v>15000</v>
      </c>
      <c r="C8" s="34">
        <v>15000</v>
      </c>
      <c r="D8" s="34">
        <v>15000</v>
      </c>
      <c r="E8" s="34">
        <v>15000</v>
      </c>
      <c r="F8" s="34">
        <v>15000</v>
      </c>
      <c r="G8" s="34">
        <v>15000</v>
      </c>
      <c r="H8" s="34">
        <v>15000</v>
      </c>
      <c r="I8" s="34">
        <v>15000</v>
      </c>
      <c r="J8" s="34">
        <v>15000</v>
      </c>
      <c r="K8" s="34">
        <v>15000</v>
      </c>
      <c r="L8" s="34">
        <v>15000</v>
      </c>
      <c r="M8" s="34">
        <v>15000</v>
      </c>
      <c r="N8" s="34">
        <f t="shared" si="1"/>
        <v>180000</v>
      </c>
    </row>
    <row r="9" spans="1:14" ht="18.75">
      <c r="A9" s="33" t="s">
        <v>49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f t="shared" si="1"/>
        <v>0</v>
      </c>
    </row>
    <row r="10" spans="1:14" ht="18.75">
      <c r="A10" s="33" t="s">
        <v>50</v>
      </c>
      <c r="B10" s="34">
        <v>40</v>
      </c>
      <c r="C10" s="34">
        <v>40</v>
      </c>
      <c r="D10" s="34">
        <v>40</v>
      </c>
      <c r="E10" s="34">
        <v>40</v>
      </c>
      <c r="F10" s="34">
        <v>40</v>
      </c>
      <c r="G10" s="34">
        <v>40</v>
      </c>
      <c r="H10" s="34">
        <v>40</v>
      </c>
      <c r="I10" s="34">
        <v>40</v>
      </c>
      <c r="J10" s="34">
        <v>40</v>
      </c>
      <c r="K10" s="34">
        <v>40</v>
      </c>
      <c r="L10" s="34">
        <v>40</v>
      </c>
      <c r="M10" s="34">
        <v>40</v>
      </c>
      <c r="N10" s="34">
        <f t="shared" si="1"/>
        <v>480</v>
      </c>
    </row>
    <row r="11" spans="1:14" ht="18.75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</row>
    <row r="12" spans="1:14" s="35" customFormat="1" ht="18.75">
      <c r="A12" s="38" t="s">
        <v>68</v>
      </c>
      <c r="B12" s="39">
        <f>20700*1.18</f>
        <v>24426</v>
      </c>
      <c r="C12" s="39">
        <f t="shared" ref="C12:M12" si="2">20700*1.18</f>
        <v>24426</v>
      </c>
      <c r="D12" s="39">
        <f t="shared" si="2"/>
        <v>24426</v>
      </c>
      <c r="E12" s="47">
        <f t="shared" si="2"/>
        <v>24426</v>
      </c>
      <c r="F12" s="47">
        <f t="shared" si="2"/>
        <v>24426</v>
      </c>
      <c r="G12" s="47">
        <f t="shared" si="2"/>
        <v>24426</v>
      </c>
      <c r="H12" s="47">
        <f t="shared" si="2"/>
        <v>24426</v>
      </c>
      <c r="I12" s="47">
        <f t="shared" si="2"/>
        <v>24426</v>
      </c>
      <c r="J12" s="47">
        <f t="shared" si="2"/>
        <v>24426</v>
      </c>
      <c r="K12" s="47">
        <f t="shared" si="2"/>
        <v>24426</v>
      </c>
      <c r="L12" s="47">
        <f t="shared" si="2"/>
        <v>24426</v>
      </c>
      <c r="M12" s="47">
        <f t="shared" si="2"/>
        <v>24426</v>
      </c>
      <c r="N12" s="39">
        <f>SUM(B12:M12)</f>
        <v>293112</v>
      </c>
    </row>
    <row r="13" spans="1:14" ht="18.75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</row>
    <row r="14" spans="1:14" s="35" customFormat="1" ht="18.75">
      <c r="A14" s="38" t="s">
        <v>30</v>
      </c>
      <c r="B14" s="39">
        <f>SUM(B15:B20)</f>
        <v>10100</v>
      </c>
      <c r="C14" s="39">
        <f t="shared" ref="C14:M14" si="3">SUM(C15:C20)</f>
        <v>10100</v>
      </c>
      <c r="D14" s="39">
        <f t="shared" si="3"/>
        <v>10100</v>
      </c>
      <c r="E14" s="39">
        <f t="shared" si="3"/>
        <v>10100</v>
      </c>
      <c r="F14" s="39">
        <f t="shared" si="3"/>
        <v>10100</v>
      </c>
      <c r="G14" s="39">
        <f t="shared" si="3"/>
        <v>10100</v>
      </c>
      <c r="H14" s="39">
        <f t="shared" si="3"/>
        <v>10100</v>
      </c>
      <c r="I14" s="39">
        <f t="shared" si="3"/>
        <v>10100</v>
      </c>
      <c r="J14" s="39">
        <f t="shared" si="3"/>
        <v>10100</v>
      </c>
      <c r="K14" s="39">
        <f t="shared" si="3"/>
        <v>10100</v>
      </c>
      <c r="L14" s="39">
        <f t="shared" si="3"/>
        <v>10100</v>
      </c>
      <c r="M14" s="39">
        <f t="shared" si="3"/>
        <v>10100</v>
      </c>
      <c r="N14" s="39">
        <f>SUM(B14:M14)</f>
        <v>121200</v>
      </c>
    </row>
    <row r="15" spans="1:14" ht="18.75">
      <c r="A15" s="33" t="s">
        <v>31</v>
      </c>
      <c r="B15" s="34">
        <v>1000</v>
      </c>
      <c r="C15" s="34">
        <v>1000</v>
      </c>
      <c r="D15" s="34">
        <v>1000</v>
      </c>
      <c r="E15" s="34">
        <v>1000</v>
      </c>
      <c r="F15" s="34">
        <v>1000</v>
      </c>
      <c r="G15" s="34">
        <v>1000</v>
      </c>
      <c r="H15" s="34">
        <v>1000</v>
      </c>
      <c r="I15" s="34">
        <v>1000</v>
      </c>
      <c r="J15" s="34">
        <v>1000</v>
      </c>
      <c r="K15" s="34">
        <v>1000</v>
      </c>
      <c r="L15" s="34">
        <v>1000</v>
      </c>
      <c r="M15" s="34">
        <v>1000</v>
      </c>
      <c r="N15" s="34">
        <f t="shared" ref="N15:N22" si="4">SUM(B15:M15)</f>
        <v>12000</v>
      </c>
    </row>
    <row r="16" spans="1:14" ht="18.75">
      <c r="A16" s="33" t="s">
        <v>15</v>
      </c>
      <c r="B16" s="34">
        <v>150</v>
      </c>
      <c r="C16" s="34">
        <v>150</v>
      </c>
      <c r="D16" s="34">
        <v>150</v>
      </c>
      <c r="E16" s="34">
        <v>150</v>
      </c>
      <c r="F16" s="34">
        <v>150</v>
      </c>
      <c r="G16" s="34">
        <v>150</v>
      </c>
      <c r="H16" s="34">
        <v>150</v>
      </c>
      <c r="I16" s="34">
        <v>150</v>
      </c>
      <c r="J16" s="34">
        <v>150</v>
      </c>
      <c r="K16" s="34">
        <v>150</v>
      </c>
      <c r="L16" s="34">
        <v>150</v>
      </c>
      <c r="M16" s="34">
        <v>150</v>
      </c>
      <c r="N16" s="34">
        <f t="shared" si="4"/>
        <v>1800</v>
      </c>
    </row>
    <row r="17" spans="1:14" ht="18.75">
      <c r="A17" s="33" t="s">
        <v>16</v>
      </c>
      <c r="B17" s="34">
        <v>450</v>
      </c>
      <c r="C17" s="34">
        <v>450</v>
      </c>
      <c r="D17" s="34">
        <v>450</v>
      </c>
      <c r="E17" s="34">
        <v>450</v>
      </c>
      <c r="F17" s="34">
        <v>450</v>
      </c>
      <c r="G17" s="34">
        <v>450</v>
      </c>
      <c r="H17" s="34">
        <v>450</v>
      </c>
      <c r="I17" s="34">
        <v>450</v>
      </c>
      <c r="J17" s="34">
        <v>450</v>
      </c>
      <c r="K17" s="34">
        <v>450</v>
      </c>
      <c r="L17" s="34">
        <v>450</v>
      </c>
      <c r="M17" s="34">
        <v>450</v>
      </c>
      <c r="N17" s="34">
        <f t="shared" si="4"/>
        <v>5400</v>
      </c>
    </row>
    <row r="18" spans="1:14" s="48" customFormat="1" ht="18.75">
      <c r="A18" s="48" t="s">
        <v>17</v>
      </c>
      <c r="B18" s="49">
        <v>300</v>
      </c>
      <c r="C18" s="49">
        <v>300</v>
      </c>
      <c r="D18" s="49">
        <v>300</v>
      </c>
      <c r="E18" s="49">
        <v>300</v>
      </c>
      <c r="F18" s="49">
        <v>300</v>
      </c>
      <c r="G18" s="49">
        <v>300</v>
      </c>
      <c r="H18" s="49">
        <v>300</v>
      </c>
      <c r="I18" s="49">
        <v>300</v>
      </c>
      <c r="J18" s="49">
        <v>300</v>
      </c>
      <c r="K18" s="49">
        <v>300</v>
      </c>
      <c r="L18" s="49">
        <v>300</v>
      </c>
      <c r="M18" s="49">
        <v>300</v>
      </c>
      <c r="N18" s="49">
        <f t="shared" si="4"/>
        <v>3600</v>
      </c>
    </row>
    <row r="19" spans="1:14" s="48" customFormat="1" ht="18.75">
      <c r="A19" s="48" t="s">
        <v>18</v>
      </c>
      <c r="B19" s="49">
        <v>1200</v>
      </c>
      <c r="C19" s="49">
        <v>1200</v>
      </c>
      <c r="D19" s="49">
        <v>1200</v>
      </c>
      <c r="E19" s="49">
        <v>1200</v>
      </c>
      <c r="F19" s="49">
        <v>1200</v>
      </c>
      <c r="G19" s="49">
        <v>1200</v>
      </c>
      <c r="H19" s="49">
        <v>1200</v>
      </c>
      <c r="I19" s="49">
        <v>1200</v>
      </c>
      <c r="J19" s="49">
        <v>1200</v>
      </c>
      <c r="K19" s="49">
        <v>1200</v>
      </c>
      <c r="L19" s="49">
        <v>1200</v>
      </c>
      <c r="M19" s="49">
        <v>1200</v>
      </c>
      <c r="N19" s="49">
        <f t="shared" si="4"/>
        <v>14400</v>
      </c>
    </row>
    <row r="20" spans="1:14" ht="18.75">
      <c r="A20" s="33" t="s">
        <v>32</v>
      </c>
      <c r="B20" s="34">
        <v>7000</v>
      </c>
      <c r="C20" s="34">
        <v>7000</v>
      </c>
      <c r="D20" s="34">
        <v>7000</v>
      </c>
      <c r="E20" s="34">
        <v>7000</v>
      </c>
      <c r="F20" s="34">
        <v>7000</v>
      </c>
      <c r="G20" s="34">
        <v>7000</v>
      </c>
      <c r="H20" s="34">
        <v>7000</v>
      </c>
      <c r="I20" s="34">
        <v>7000</v>
      </c>
      <c r="J20" s="34">
        <v>7000</v>
      </c>
      <c r="K20" s="34">
        <v>7000</v>
      </c>
      <c r="L20" s="34">
        <v>7000</v>
      </c>
      <c r="M20" s="34">
        <v>7000</v>
      </c>
      <c r="N20" s="34">
        <f t="shared" si="4"/>
        <v>84000</v>
      </c>
    </row>
    <row r="21" spans="1:14" ht="18.75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</row>
    <row r="22" spans="1:14" s="35" customFormat="1" ht="18.75">
      <c r="A22" s="40" t="s">
        <v>69</v>
      </c>
      <c r="B22" s="39">
        <v>2000</v>
      </c>
      <c r="C22" s="39">
        <v>2000</v>
      </c>
      <c r="D22" s="39">
        <v>2000</v>
      </c>
      <c r="E22" s="39">
        <v>2000</v>
      </c>
      <c r="F22" s="39">
        <v>2000</v>
      </c>
      <c r="G22" s="39">
        <v>2000</v>
      </c>
      <c r="H22" s="39">
        <v>2000</v>
      </c>
      <c r="I22" s="39">
        <v>2000</v>
      </c>
      <c r="J22" s="39">
        <v>2000</v>
      </c>
      <c r="K22" s="39">
        <v>2000</v>
      </c>
      <c r="L22" s="39">
        <v>2000</v>
      </c>
      <c r="M22" s="39">
        <v>2000</v>
      </c>
      <c r="N22" s="39">
        <f t="shared" si="4"/>
        <v>24000</v>
      </c>
    </row>
    <row r="23" spans="1:14" ht="18.75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1:14" s="35" customFormat="1" ht="18.75">
      <c r="A24" s="38" t="s">
        <v>52</v>
      </c>
      <c r="B24" s="39">
        <f>SUM(B25:B27)</f>
        <v>2000</v>
      </c>
      <c r="C24" s="39">
        <f t="shared" ref="C24:M24" si="5">SUM(C25:C27)</f>
        <v>2000</v>
      </c>
      <c r="D24" s="39">
        <f t="shared" si="5"/>
        <v>2000</v>
      </c>
      <c r="E24" s="39">
        <f t="shared" si="5"/>
        <v>2000</v>
      </c>
      <c r="F24" s="39">
        <f t="shared" si="5"/>
        <v>2000</v>
      </c>
      <c r="G24" s="39">
        <f t="shared" si="5"/>
        <v>2000</v>
      </c>
      <c r="H24" s="39">
        <f t="shared" si="5"/>
        <v>2000</v>
      </c>
      <c r="I24" s="39">
        <f t="shared" si="5"/>
        <v>2000</v>
      </c>
      <c r="J24" s="39">
        <f t="shared" si="5"/>
        <v>2000</v>
      </c>
      <c r="K24" s="39">
        <f t="shared" si="5"/>
        <v>2000</v>
      </c>
      <c r="L24" s="39">
        <f t="shared" si="5"/>
        <v>2000</v>
      </c>
      <c r="M24" s="39">
        <f t="shared" si="5"/>
        <v>2000</v>
      </c>
      <c r="N24" s="39">
        <f>SUM(B24:M24)</f>
        <v>24000</v>
      </c>
    </row>
    <row r="25" spans="1:14" ht="18.75">
      <c r="A25" s="33" t="s">
        <v>33</v>
      </c>
      <c r="B25" s="34">
        <v>1200</v>
      </c>
      <c r="C25" s="34">
        <v>1200</v>
      </c>
      <c r="D25" s="34">
        <v>1200</v>
      </c>
      <c r="E25" s="34">
        <v>1200</v>
      </c>
      <c r="F25" s="34">
        <v>1200</v>
      </c>
      <c r="G25" s="34">
        <v>1200</v>
      </c>
      <c r="H25" s="34">
        <v>1200</v>
      </c>
      <c r="I25" s="34">
        <v>1200</v>
      </c>
      <c r="J25" s="34">
        <v>1200</v>
      </c>
      <c r="K25" s="34">
        <v>1200</v>
      </c>
      <c r="L25" s="34">
        <v>1200</v>
      </c>
      <c r="M25" s="34">
        <v>1200</v>
      </c>
      <c r="N25" s="34">
        <f t="shared" ref="N25:N27" si="6">SUM(B25:M25)</f>
        <v>14400</v>
      </c>
    </row>
    <row r="26" spans="1:14" ht="18.75">
      <c r="A26" s="33" t="s">
        <v>70</v>
      </c>
      <c r="B26" s="34">
        <v>400</v>
      </c>
      <c r="C26" s="34">
        <v>400</v>
      </c>
      <c r="D26" s="34">
        <v>400</v>
      </c>
      <c r="E26" s="34">
        <v>400</v>
      </c>
      <c r="F26" s="34">
        <v>400</v>
      </c>
      <c r="G26" s="34">
        <v>400</v>
      </c>
      <c r="H26" s="34">
        <v>400</v>
      </c>
      <c r="I26" s="34">
        <v>400</v>
      </c>
      <c r="J26" s="34">
        <v>400</v>
      </c>
      <c r="K26" s="34">
        <v>400</v>
      </c>
      <c r="L26" s="34">
        <v>400</v>
      </c>
      <c r="M26" s="34">
        <v>400</v>
      </c>
      <c r="N26" s="34">
        <f t="shared" si="6"/>
        <v>4800</v>
      </c>
    </row>
    <row r="27" spans="1:14" ht="18.75">
      <c r="A27" s="33" t="s">
        <v>20</v>
      </c>
      <c r="B27" s="34">
        <v>400</v>
      </c>
      <c r="C27" s="34">
        <v>400</v>
      </c>
      <c r="D27" s="34">
        <v>400</v>
      </c>
      <c r="E27" s="34">
        <v>400</v>
      </c>
      <c r="F27" s="34">
        <v>400</v>
      </c>
      <c r="G27" s="34">
        <v>400</v>
      </c>
      <c r="H27" s="34">
        <v>400</v>
      </c>
      <c r="I27" s="34">
        <v>400</v>
      </c>
      <c r="J27" s="34">
        <v>400</v>
      </c>
      <c r="K27" s="34">
        <v>400</v>
      </c>
      <c r="L27" s="34">
        <v>400</v>
      </c>
      <c r="M27" s="34">
        <v>400</v>
      </c>
      <c r="N27" s="34">
        <f t="shared" si="6"/>
        <v>4800</v>
      </c>
    </row>
    <row r="28" spans="1:14"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</row>
    <row r="29" spans="1:14" s="35" customFormat="1" ht="18.75">
      <c r="A29" s="38" t="s">
        <v>53</v>
      </c>
      <c r="B29" s="39">
        <f>SUM(B30:B32)</f>
        <v>1550</v>
      </c>
      <c r="C29" s="39">
        <f t="shared" ref="C29:M29" si="7">SUM(C30:C32)</f>
        <v>1550</v>
      </c>
      <c r="D29" s="39">
        <f t="shared" si="7"/>
        <v>1550</v>
      </c>
      <c r="E29" s="39">
        <f t="shared" si="7"/>
        <v>1550</v>
      </c>
      <c r="F29" s="39">
        <f t="shared" si="7"/>
        <v>1550</v>
      </c>
      <c r="G29" s="39">
        <f t="shared" si="7"/>
        <v>1550</v>
      </c>
      <c r="H29" s="39">
        <f t="shared" si="7"/>
        <v>1550</v>
      </c>
      <c r="I29" s="39">
        <f t="shared" si="7"/>
        <v>1550</v>
      </c>
      <c r="J29" s="39">
        <f t="shared" si="7"/>
        <v>1550</v>
      </c>
      <c r="K29" s="39">
        <f t="shared" si="7"/>
        <v>1550</v>
      </c>
      <c r="L29" s="39">
        <f t="shared" si="7"/>
        <v>1550</v>
      </c>
      <c r="M29" s="39">
        <f t="shared" si="7"/>
        <v>1550</v>
      </c>
      <c r="N29" s="39">
        <f>SUM(B29:M29)</f>
        <v>18600</v>
      </c>
    </row>
    <row r="30" spans="1:14">
      <c r="A30" s="33" t="s">
        <v>34</v>
      </c>
      <c r="B30" s="34">
        <v>400</v>
      </c>
      <c r="C30" s="34">
        <v>400</v>
      </c>
      <c r="D30" s="34">
        <v>400</v>
      </c>
      <c r="E30" s="34">
        <v>400</v>
      </c>
      <c r="F30" s="34">
        <v>400</v>
      </c>
      <c r="G30" s="34">
        <v>400</v>
      </c>
      <c r="H30" s="34">
        <v>400</v>
      </c>
      <c r="I30" s="34">
        <v>400</v>
      </c>
      <c r="J30" s="34">
        <v>400</v>
      </c>
      <c r="K30" s="34">
        <v>400</v>
      </c>
      <c r="L30" s="34">
        <v>400</v>
      </c>
      <c r="M30" s="34">
        <v>400</v>
      </c>
      <c r="N30" s="34">
        <f t="shared" ref="N30:N32" si="8">SUM(B30:M30)</f>
        <v>4800</v>
      </c>
    </row>
    <row r="31" spans="1:14">
      <c r="A31" s="33" t="s">
        <v>54</v>
      </c>
      <c r="B31" s="34">
        <v>1000</v>
      </c>
      <c r="C31" s="34">
        <v>1000</v>
      </c>
      <c r="D31" s="34">
        <v>1000</v>
      </c>
      <c r="E31" s="34">
        <v>1000</v>
      </c>
      <c r="F31" s="34">
        <v>1000</v>
      </c>
      <c r="G31" s="34">
        <v>1000</v>
      </c>
      <c r="H31" s="34">
        <v>1000</v>
      </c>
      <c r="I31" s="34">
        <v>1000</v>
      </c>
      <c r="J31" s="34">
        <v>1000</v>
      </c>
      <c r="K31" s="34">
        <v>1000</v>
      </c>
      <c r="L31" s="34">
        <v>1000</v>
      </c>
      <c r="M31" s="34">
        <v>1000</v>
      </c>
      <c r="N31" s="34">
        <f t="shared" si="8"/>
        <v>12000</v>
      </c>
    </row>
    <row r="32" spans="1:14">
      <c r="A32" s="33" t="s">
        <v>22</v>
      </c>
      <c r="B32" s="34">
        <v>150</v>
      </c>
      <c r="C32" s="34">
        <v>150</v>
      </c>
      <c r="D32" s="34">
        <v>150</v>
      </c>
      <c r="E32" s="34">
        <v>150</v>
      </c>
      <c r="F32" s="34">
        <v>150</v>
      </c>
      <c r="G32" s="34">
        <v>150</v>
      </c>
      <c r="H32" s="34">
        <v>150</v>
      </c>
      <c r="I32" s="34">
        <v>150</v>
      </c>
      <c r="J32" s="34">
        <v>150</v>
      </c>
      <c r="K32" s="34">
        <v>150</v>
      </c>
      <c r="L32" s="34">
        <v>150</v>
      </c>
      <c r="M32" s="34">
        <v>150</v>
      </c>
      <c r="N32" s="34">
        <f t="shared" si="8"/>
        <v>1800</v>
      </c>
    </row>
    <row r="33" spans="1:14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</row>
    <row r="34" spans="1:14" s="38" customFormat="1" ht="18.75">
      <c r="A34" s="38" t="s">
        <v>55</v>
      </c>
      <c r="B34" s="41">
        <f t="shared" ref="B34:N34" si="9">B29+B24+B22+B14+B12+B6</f>
        <v>60116</v>
      </c>
      <c r="C34" s="41">
        <f t="shared" si="9"/>
        <v>60116</v>
      </c>
      <c r="D34" s="41">
        <f t="shared" si="9"/>
        <v>60116</v>
      </c>
      <c r="E34" s="41">
        <f t="shared" si="9"/>
        <v>60116</v>
      </c>
      <c r="F34" s="41">
        <f t="shared" si="9"/>
        <v>60116</v>
      </c>
      <c r="G34" s="41">
        <f t="shared" si="9"/>
        <v>60116</v>
      </c>
      <c r="H34" s="41">
        <f t="shared" si="9"/>
        <v>60116</v>
      </c>
      <c r="I34" s="41">
        <f t="shared" si="9"/>
        <v>60116</v>
      </c>
      <c r="J34" s="41">
        <f t="shared" si="9"/>
        <v>60116</v>
      </c>
      <c r="K34" s="41">
        <f t="shared" si="9"/>
        <v>60116</v>
      </c>
      <c r="L34" s="41">
        <f t="shared" si="9"/>
        <v>60116</v>
      </c>
      <c r="M34" s="41">
        <f t="shared" si="9"/>
        <v>60116</v>
      </c>
      <c r="N34" s="41">
        <f t="shared" si="9"/>
        <v>721392</v>
      </c>
    </row>
    <row r="35" spans="1:14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</row>
    <row r="36" spans="1:14">
      <c r="B36" s="31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1">
        <v>63451</v>
      </c>
      <c r="N36" s="32">
        <v>761412</v>
      </c>
    </row>
    <row r="37" spans="1:14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>
        <f>+M36-M34</f>
        <v>3335</v>
      </c>
      <c r="N37" s="34">
        <f>+N36-N34</f>
        <v>40020</v>
      </c>
    </row>
    <row r="38" spans="1:14">
      <c r="B38" s="42"/>
      <c r="M38" s="43">
        <f>+M37/M36</f>
        <v>5.2560243337378451E-2</v>
      </c>
      <c r="N38" s="43">
        <f>+N37/N36</f>
        <v>5.2560243337378451E-2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año_2025</vt:lpstr>
      <vt:lpstr>año_2026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 2025</dc:title>
  <dc:creator>Algoritmo Negocios</dc:creator>
  <cp:lastModifiedBy>PCWORKS</cp:lastModifiedBy>
  <dcterms:created xsi:type="dcterms:W3CDTF">2025-12-19T21:03:34Z</dcterms:created>
  <dcterms:modified xsi:type="dcterms:W3CDTF">2026-08-13T21:16:08Z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2025-12-19T00:00:00Z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2025-12-19T00:00:00Z</vt:filetime>
  </property>
</Properties>
</file>