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i0X1QKt86oLJPrRTufzyrMmS30ppkg07\Pacifik admin\Finanzas\"/>
    </mc:Choice>
  </mc:AlternateContent>
  <xr:revisionPtr revIDLastSave="0" documentId="13_ncr:1_{8C8EE9E3-310C-4C5E-B7AF-A51B472B58BA}" xr6:coauthVersionLast="47" xr6:coauthVersionMax="47" xr10:uidLastSave="{00000000-0000-0000-0000-000000000000}"/>
  <bookViews>
    <workbookView xWindow="-120" yWindow="-120" windowWidth="20730" windowHeight="11040" tabRatio="761" firstSheet="2" activeTab="10" xr2:uid="{FB6B0A57-3470-4D51-9DB5-8A2C88A67D4F}"/>
  </bookViews>
  <sheets>
    <sheet name="pres" sheetId="8" r:id="rId1"/>
    <sheet name="consumo_agua" sheetId="7" r:id="rId2"/>
    <sheet name="RESUMEN_mes" sheetId="11" r:id="rId3"/>
    <sheet name="calculo" sheetId="9" r:id="rId4"/>
    <sheet name="egresos" sheetId="2" r:id="rId5"/>
    <sheet name="tablas" sheetId="3" r:id="rId6"/>
    <sheet name="codigos" sheetId="4" r:id="rId7"/>
    <sheet name="ingresos" sheetId="1" r:id="rId8"/>
    <sheet name="cuotas_emitidas" sheetId="5" r:id="rId9"/>
    <sheet name="saldos" sheetId="6" r:id="rId10"/>
    <sheet name="recibo_newP" sheetId="10" r:id="rId11"/>
  </sheets>
  <externalReferences>
    <externalReference r:id="rId12"/>
  </externalReferences>
  <definedNames>
    <definedName name="_xlnm._FilterDatabase" localSheetId="3" hidden="1">calculo!$A$1:$I$384</definedName>
    <definedName name="_xlnm._FilterDatabase" localSheetId="6" hidden="1">codigos!$A$1:$C$205</definedName>
    <definedName name="_xlnm._FilterDatabase" localSheetId="1" hidden="1">consumo_agua!$A$7:$R$203</definedName>
    <definedName name="_xlnm._FilterDatabase" localSheetId="8" hidden="1">cuotas_emitidas!$A$1:$R$206</definedName>
    <definedName name="_xlnm._FilterDatabase" localSheetId="4" hidden="1">egresos!$A$1:$E$168</definedName>
    <definedName name="_xlnm._FilterDatabase" localSheetId="7" hidden="1">ingresos!$A$1:$I$1004</definedName>
    <definedName name="_xlnm._FilterDatabase" localSheetId="9" hidden="1">saldos!$A$6:$U$210</definedName>
    <definedName name="_xlnm._FilterDatabase" localSheetId="5" hidden="1">tablas!$A$1:$A$20</definedName>
    <definedName name="agua_consumo">[1]agua!$B$10:$BZ$65</definedName>
    <definedName name="_xlnm.Print_Area" localSheetId="9">saldos!$A$1:$U$212</definedName>
    <definedName name="pp_anual26">pres!$C$2</definedName>
    <definedName name="_xlnm.Print_Titles" localSheetId="9">saldos!$1:$6</definedName>
  </definedNames>
  <calcPr calcId="191029"/>
  <pivotCaches>
    <pivotCache cacheId="18" r:id="rId13"/>
    <pivotCache cacheId="2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2" i="9" l="1"/>
  <c r="G382" i="9"/>
  <c r="I382" i="9" s="1"/>
  <c r="T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R204" i="5"/>
  <c r="H381" i="9"/>
  <c r="G381" i="9"/>
  <c r="G8" i="10"/>
  <c r="I8" i="10"/>
  <c r="I5" i="10" s="1"/>
  <c r="R209" i="6" l="1"/>
  <c r="U209" i="6" s="1"/>
  <c r="I381" i="9"/>
  <c r="B39" i="10"/>
  <c r="B43" i="10"/>
  <c r="B47" i="10"/>
  <c r="B51" i="10"/>
  <c r="B41" i="10"/>
  <c r="B45" i="10"/>
  <c r="B49" i="10"/>
  <c r="B42" i="10"/>
  <c r="B46" i="10"/>
  <c r="B50" i="10"/>
  <c r="B40" i="10"/>
  <c r="B44" i="10"/>
  <c r="B48" i="10"/>
  <c r="C10" i="10"/>
  <c r="H383" i="9"/>
  <c r="G383" i="9"/>
  <c r="H380" i="9"/>
  <c r="G380" i="9"/>
  <c r="H379" i="9"/>
  <c r="G379" i="9"/>
  <c r="H378" i="9"/>
  <c r="G378" i="9"/>
  <c r="H377" i="9"/>
  <c r="G377" i="9"/>
  <c r="H376" i="9"/>
  <c r="G376" i="9"/>
  <c r="I376" i="9" s="1"/>
  <c r="H375" i="9"/>
  <c r="G375" i="9"/>
  <c r="H374" i="9"/>
  <c r="G374" i="9"/>
  <c r="I374" i="9" s="1"/>
  <c r="H373" i="9"/>
  <c r="G373" i="9"/>
  <c r="H372" i="9"/>
  <c r="G372" i="9"/>
  <c r="H371" i="9"/>
  <c r="G371" i="9"/>
  <c r="H370" i="9"/>
  <c r="G370" i="9"/>
  <c r="I370" i="9" s="1"/>
  <c r="H369" i="9"/>
  <c r="G369" i="9"/>
  <c r="H368" i="9"/>
  <c r="G368" i="9"/>
  <c r="I368" i="9" s="1"/>
  <c r="H367" i="9"/>
  <c r="G367" i="9"/>
  <c r="H366" i="9"/>
  <c r="G366" i="9"/>
  <c r="I366" i="9" s="1"/>
  <c r="H365" i="9"/>
  <c r="G365" i="9"/>
  <c r="H364" i="9"/>
  <c r="G364" i="9"/>
  <c r="H363" i="9"/>
  <c r="G363" i="9"/>
  <c r="H362" i="9"/>
  <c r="G362" i="9"/>
  <c r="I362" i="9" s="1"/>
  <c r="H361" i="9"/>
  <c r="G361" i="9"/>
  <c r="H360" i="9"/>
  <c r="G360" i="9"/>
  <c r="I360" i="9" s="1"/>
  <c r="H359" i="9"/>
  <c r="G359" i="9"/>
  <c r="H358" i="9"/>
  <c r="G358" i="9"/>
  <c r="I358" i="9" s="1"/>
  <c r="H357" i="9"/>
  <c r="G357" i="9"/>
  <c r="H356" i="9"/>
  <c r="G356" i="9"/>
  <c r="H355" i="9"/>
  <c r="G355" i="9"/>
  <c r="H354" i="9"/>
  <c r="G354" i="9"/>
  <c r="I354" i="9" s="1"/>
  <c r="H353" i="9"/>
  <c r="G353" i="9"/>
  <c r="H352" i="9"/>
  <c r="G352" i="9"/>
  <c r="I352" i="9" s="1"/>
  <c r="H351" i="9"/>
  <c r="G351" i="9"/>
  <c r="H350" i="9"/>
  <c r="G350" i="9"/>
  <c r="I350" i="9" s="1"/>
  <c r="H349" i="9"/>
  <c r="G349" i="9"/>
  <c r="H348" i="9"/>
  <c r="G348" i="9"/>
  <c r="H347" i="9"/>
  <c r="G347" i="9"/>
  <c r="H346" i="9"/>
  <c r="G346" i="9"/>
  <c r="H345" i="9"/>
  <c r="G345" i="9"/>
  <c r="H344" i="9"/>
  <c r="G344" i="9"/>
  <c r="I344" i="9" s="1"/>
  <c r="H343" i="9"/>
  <c r="G343" i="9"/>
  <c r="H342" i="9"/>
  <c r="G342" i="9"/>
  <c r="I342" i="9" s="1"/>
  <c r="H341" i="9"/>
  <c r="G341" i="9"/>
  <c r="H340" i="9"/>
  <c r="G340" i="9"/>
  <c r="H339" i="9"/>
  <c r="G339" i="9"/>
  <c r="H338" i="9"/>
  <c r="G338" i="9"/>
  <c r="I338" i="9" s="1"/>
  <c r="H337" i="9"/>
  <c r="G337" i="9"/>
  <c r="H336" i="9"/>
  <c r="G336" i="9"/>
  <c r="I336" i="9" s="1"/>
  <c r="H335" i="9"/>
  <c r="G335" i="9"/>
  <c r="H334" i="9"/>
  <c r="G334" i="9"/>
  <c r="I334" i="9" s="1"/>
  <c r="H333" i="9"/>
  <c r="G333" i="9"/>
  <c r="H332" i="9"/>
  <c r="G332" i="9"/>
  <c r="H331" i="9"/>
  <c r="G331" i="9"/>
  <c r="H330" i="9"/>
  <c r="G330" i="9"/>
  <c r="I330" i="9" s="1"/>
  <c r="H329" i="9"/>
  <c r="G329" i="9"/>
  <c r="H328" i="9"/>
  <c r="G328" i="9"/>
  <c r="I328" i="9" s="1"/>
  <c r="H327" i="9"/>
  <c r="G327" i="9"/>
  <c r="H326" i="9"/>
  <c r="G326" i="9"/>
  <c r="I326" i="9" s="1"/>
  <c r="H325" i="9"/>
  <c r="G325" i="9"/>
  <c r="H324" i="9"/>
  <c r="G324" i="9"/>
  <c r="H323" i="9"/>
  <c r="G323" i="9"/>
  <c r="H322" i="9"/>
  <c r="G322" i="9"/>
  <c r="H321" i="9"/>
  <c r="G321" i="9"/>
  <c r="H320" i="9"/>
  <c r="G320" i="9"/>
  <c r="I320" i="9" s="1"/>
  <c r="H319" i="9"/>
  <c r="G319" i="9"/>
  <c r="H318" i="9"/>
  <c r="G318" i="9"/>
  <c r="I318" i="9" s="1"/>
  <c r="H317" i="9"/>
  <c r="G317" i="9"/>
  <c r="H316" i="9"/>
  <c r="G316" i="9"/>
  <c r="I316" i="9" s="1"/>
  <c r="H315" i="9"/>
  <c r="G315" i="9"/>
  <c r="H314" i="9"/>
  <c r="G314" i="9"/>
  <c r="I314" i="9" s="1"/>
  <c r="H313" i="9"/>
  <c r="G313" i="9"/>
  <c r="H312" i="9"/>
  <c r="G312" i="9"/>
  <c r="I312" i="9" s="1"/>
  <c r="H311" i="9"/>
  <c r="G311" i="9"/>
  <c r="H310" i="9"/>
  <c r="G310" i="9"/>
  <c r="I310" i="9" s="1"/>
  <c r="H309" i="9"/>
  <c r="G309" i="9"/>
  <c r="H308" i="9"/>
  <c r="G308" i="9"/>
  <c r="I308" i="9" s="1"/>
  <c r="H307" i="9"/>
  <c r="G307" i="9"/>
  <c r="H306" i="9"/>
  <c r="G306" i="9"/>
  <c r="I306" i="9" s="1"/>
  <c r="H305" i="9"/>
  <c r="G305" i="9"/>
  <c r="H304" i="9"/>
  <c r="G304" i="9"/>
  <c r="I304" i="9" s="1"/>
  <c r="H303" i="9"/>
  <c r="G303" i="9"/>
  <c r="H302" i="9"/>
  <c r="G302" i="9"/>
  <c r="I302" i="9" s="1"/>
  <c r="H301" i="9"/>
  <c r="G301" i="9"/>
  <c r="H300" i="9"/>
  <c r="G300" i="9"/>
  <c r="I300" i="9" s="1"/>
  <c r="H299" i="9"/>
  <c r="G299" i="9"/>
  <c r="H298" i="9"/>
  <c r="G298" i="9"/>
  <c r="I298" i="9" s="1"/>
  <c r="H297" i="9"/>
  <c r="G297" i="9"/>
  <c r="H296" i="9"/>
  <c r="G296" i="9"/>
  <c r="I296" i="9" s="1"/>
  <c r="H295" i="9"/>
  <c r="G295" i="9"/>
  <c r="H294" i="9"/>
  <c r="G294" i="9"/>
  <c r="I294" i="9" s="1"/>
  <c r="H293" i="9"/>
  <c r="G293" i="9"/>
  <c r="H292" i="9"/>
  <c r="G292" i="9"/>
  <c r="I292" i="9" s="1"/>
  <c r="H291" i="9"/>
  <c r="G291" i="9"/>
  <c r="H290" i="9"/>
  <c r="G290" i="9"/>
  <c r="I290" i="9" s="1"/>
  <c r="H289" i="9"/>
  <c r="G289" i="9"/>
  <c r="H288" i="9"/>
  <c r="G288" i="9"/>
  <c r="I288" i="9" s="1"/>
  <c r="H287" i="9"/>
  <c r="G287" i="9"/>
  <c r="H286" i="9"/>
  <c r="G286" i="9"/>
  <c r="I286" i="9" s="1"/>
  <c r="H285" i="9"/>
  <c r="G285" i="9"/>
  <c r="H284" i="9"/>
  <c r="G284" i="9"/>
  <c r="I284" i="9" s="1"/>
  <c r="H283" i="9"/>
  <c r="G283" i="9"/>
  <c r="H282" i="9"/>
  <c r="G282" i="9"/>
  <c r="I282" i="9" s="1"/>
  <c r="H281" i="9"/>
  <c r="G281" i="9"/>
  <c r="H280" i="9"/>
  <c r="G280" i="9"/>
  <c r="I280" i="9" s="1"/>
  <c r="H279" i="9"/>
  <c r="G279" i="9"/>
  <c r="H278" i="9"/>
  <c r="G278" i="9"/>
  <c r="I278" i="9" s="1"/>
  <c r="H277" i="9"/>
  <c r="G277" i="9"/>
  <c r="H276" i="9"/>
  <c r="G276" i="9"/>
  <c r="I276" i="9" s="1"/>
  <c r="H275" i="9"/>
  <c r="G275" i="9"/>
  <c r="H274" i="9"/>
  <c r="G274" i="9"/>
  <c r="I274" i="9" s="1"/>
  <c r="H273" i="9"/>
  <c r="G273" i="9"/>
  <c r="H272" i="9"/>
  <c r="G272" i="9"/>
  <c r="I272" i="9" s="1"/>
  <c r="H271" i="9"/>
  <c r="G271" i="9"/>
  <c r="H270" i="9"/>
  <c r="G270" i="9"/>
  <c r="I270" i="9" s="1"/>
  <c r="H269" i="9"/>
  <c r="G269" i="9"/>
  <c r="H268" i="9"/>
  <c r="G268" i="9"/>
  <c r="I268" i="9" s="1"/>
  <c r="H267" i="9"/>
  <c r="G267" i="9"/>
  <c r="H266" i="9"/>
  <c r="G266" i="9"/>
  <c r="I266" i="9" s="1"/>
  <c r="H265" i="9"/>
  <c r="G265" i="9"/>
  <c r="H264" i="9"/>
  <c r="G264" i="9"/>
  <c r="I264" i="9" s="1"/>
  <c r="H263" i="9"/>
  <c r="G263" i="9"/>
  <c r="H262" i="9"/>
  <c r="G262" i="9"/>
  <c r="I262" i="9" s="1"/>
  <c r="H261" i="9"/>
  <c r="G261" i="9"/>
  <c r="H260" i="9"/>
  <c r="G260" i="9"/>
  <c r="I260" i="9" s="1"/>
  <c r="H259" i="9"/>
  <c r="G259" i="9"/>
  <c r="H258" i="9"/>
  <c r="G258" i="9"/>
  <c r="I258" i="9" s="1"/>
  <c r="H257" i="9"/>
  <c r="G257" i="9"/>
  <c r="H256" i="9"/>
  <c r="G256" i="9"/>
  <c r="I256" i="9" s="1"/>
  <c r="H255" i="9"/>
  <c r="G255" i="9"/>
  <c r="H254" i="9"/>
  <c r="G254" i="9"/>
  <c r="I254" i="9" s="1"/>
  <c r="H253" i="9"/>
  <c r="G253" i="9"/>
  <c r="H252" i="9"/>
  <c r="G252" i="9"/>
  <c r="I252" i="9" s="1"/>
  <c r="H251" i="9"/>
  <c r="G251" i="9"/>
  <c r="H250" i="9"/>
  <c r="G250" i="9"/>
  <c r="I250" i="9" s="1"/>
  <c r="H249" i="9"/>
  <c r="G249" i="9"/>
  <c r="H248" i="9"/>
  <c r="G248" i="9"/>
  <c r="I248" i="9" s="1"/>
  <c r="H247" i="9"/>
  <c r="G247" i="9"/>
  <c r="H246" i="9"/>
  <c r="G246" i="9"/>
  <c r="I246" i="9" s="1"/>
  <c r="H245" i="9"/>
  <c r="I245" i="9" s="1"/>
  <c r="G245" i="9"/>
  <c r="H244" i="9"/>
  <c r="G244" i="9"/>
  <c r="I244" i="9" s="1"/>
  <c r="H243" i="9"/>
  <c r="G243" i="9"/>
  <c r="H242" i="9"/>
  <c r="G242" i="9"/>
  <c r="I242" i="9" s="1"/>
  <c r="H241" i="9"/>
  <c r="I241" i="9" s="1"/>
  <c r="G241" i="9"/>
  <c r="H240" i="9"/>
  <c r="G240" i="9"/>
  <c r="I240" i="9" s="1"/>
  <c r="H239" i="9"/>
  <c r="I239" i="9" s="1"/>
  <c r="G239" i="9"/>
  <c r="H238" i="9"/>
  <c r="G238" i="9"/>
  <c r="I238" i="9" s="1"/>
  <c r="H237" i="9"/>
  <c r="I237" i="9" s="1"/>
  <c r="G237" i="9"/>
  <c r="H236" i="9"/>
  <c r="G236" i="9"/>
  <c r="I236" i="9" s="1"/>
  <c r="H235" i="9"/>
  <c r="I235" i="9" s="1"/>
  <c r="G235" i="9"/>
  <c r="H234" i="9"/>
  <c r="G234" i="9"/>
  <c r="I234" i="9" s="1"/>
  <c r="H233" i="9"/>
  <c r="I233" i="9" s="1"/>
  <c r="G233" i="9"/>
  <c r="H232" i="9"/>
  <c r="G232" i="9"/>
  <c r="I232" i="9" s="1"/>
  <c r="H231" i="9"/>
  <c r="G231" i="9"/>
  <c r="H230" i="9"/>
  <c r="G230" i="9"/>
  <c r="I230" i="9" s="1"/>
  <c r="H229" i="9"/>
  <c r="I229" i="9" s="1"/>
  <c r="G229" i="9"/>
  <c r="H228" i="9"/>
  <c r="G228" i="9"/>
  <c r="I228" i="9" s="1"/>
  <c r="H227" i="9"/>
  <c r="I227" i="9" s="1"/>
  <c r="G227" i="9"/>
  <c r="H226" i="9"/>
  <c r="G226" i="9"/>
  <c r="I226" i="9" s="1"/>
  <c r="H225" i="9"/>
  <c r="I225" i="9" s="1"/>
  <c r="G225" i="9"/>
  <c r="H224" i="9"/>
  <c r="G224" i="9"/>
  <c r="I224" i="9" s="1"/>
  <c r="H223" i="9"/>
  <c r="I223" i="9" s="1"/>
  <c r="G223" i="9"/>
  <c r="H222" i="9"/>
  <c r="G222" i="9"/>
  <c r="I222" i="9" s="1"/>
  <c r="H221" i="9"/>
  <c r="I221" i="9" s="1"/>
  <c r="G221" i="9"/>
  <c r="H220" i="9"/>
  <c r="G220" i="9"/>
  <c r="I220" i="9" s="1"/>
  <c r="H219" i="9"/>
  <c r="I219" i="9" s="1"/>
  <c r="G219" i="9"/>
  <c r="H218" i="9"/>
  <c r="G218" i="9"/>
  <c r="I218" i="9" s="1"/>
  <c r="H217" i="9"/>
  <c r="I217" i="9" s="1"/>
  <c r="G217" i="9"/>
  <c r="H216" i="9"/>
  <c r="G216" i="9"/>
  <c r="I216" i="9" s="1"/>
  <c r="H215" i="9"/>
  <c r="G215" i="9"/>
  <c r="H214" i="9"/>
  <c r="G214" i="9"/>
  <c r="I214" i="9" s="1"/>
  <c r="H213" i="9"/>
  <c r="I213" i="9" s="1"/>
  <c r="G213" i="9"/>
  <c r="H212" i="9"/>
  <c r="G212" i="9"/>
  <c r="I212" i="9" s="1"/>
  <c r="H211" i="9"/>
  <c r="I211" i="9" s="1"/>
  <c r="G211" i="9"/>
  <c r="H210" i="9"/>
  <c r="G210" i="9"/>
  <c r="I210" i="9" s="1"/>
  <c r="H209" i="9"/>
  <c r="I209" i="9" s="1"/>
  <c r="G209" i="9"/>
  <c r="H208" i="9"/>
  <c r="G208" i="9"/>
  <c r="I208" i="9" s="1"/>
  <c r="H207" i="9"/>
  <c r="I207" i="9" s="1"/>
  <c r="G207" i="9"/>
  <c r="H206" i="9"/>
  <c r="G206" i="9"/>
  <c r="I206" i="9" s="1"/>
  <c r="H205" i="9"/>
  <c r="I205" i="9" s="1"/>
  <c r="G205" i="9"/>
  <c r="H204" i="9"/>
  <c r="G204" i="9"/>
  <c r="I204" i="9" s="1"/>
  <c r="H203" i="9"/>
  <c r="I203" i="9" s="1"/>
  <c r="G203" i="9"/>
  <c r="H202" i="9"/>
  <c r="G202" i="9"/>
  <c r="I202" i="9" s="1"/>
  <c r="H201" i="9"/>
  <c r="I201" i="9" s="1"/>
  <c r="G201" i="9"/>
  <c r="H200" i="9"/>
  <c r="G200" i="9"/>
  <c r="I200" i="9" s="1"/>
  <c r="H199" i="9"/>
  <c r="G199" i="9"/>
  <c r="H198" i="9"/>
  <c r="G198" i="9"/>
  <c r="I198" i="9" s="1"/>
  <c r="H197" i="9"/>
  <c r="I197" i="9" s="1"/>
  <c r="G197" i="9"/>
  <c r="H196" i="9"/>
  <c r="G196" i="9"/>
  <c r="H195" i="9"/>
  <c r="I195" i="9" s="1"/>
  <c r="G195" i="9"/>
  <c r="H194" i="9"/>
  <c r="G194" i="9"/>
  <c r="I194" i="9" s="1"/>
  <c r="H193" i="9"/>
  <c r="I193" i="9" s="1"/>
  <c r="G193" i="9"/>
  <c r="H192" i="9"/>
  <c r="G192" i="9"/>
  <c r="I192" i="9" s="1"/>
  <c r="H191" i="9"/>
  <c r="I191" i="9" s="1"/>
  <c r="G191" i="9"/>
  <c r="H190" i="9"/>
  <c r="G190" i="9"/>
  <c r="I190" i="9" s="1"/>
  <c r="H189" i="9"/>
  <c r="I189" i="9" s="1"/>
  <c r="G189" i="9"/>
  <c r="H188" i="9"/>
  <c r="G188" i="9"/>
  <c r="H187" i="9"/>
  <c r="I187" i="9" s="1"/>
  <c r="G187" i="9"/>
  <c r="H186" i="9"/>
  <c r="G186" i="9"/>
  <c r="H185" i="9"/>
  <c r="I185" i="9" s="1"/>
  <c r="G185" i="9"/>
  <c r="H184" i="9"/>
  <c r="G184" i="9"/>
  <c r="H183" i="9"/>
  <c r="G183" i="9"/>
  <c r="H182" i="9"/>
  <c r="G182" i="9"/>
  <c r="H181" i="9"/>
  <c r="I181" i="9" s="1"/>
  <c r="G181" i="9"/>
  <c r="H180" i="9"/>
  <c r="G180" i="9"/>
  <c r="I180" i="9" s="1"/>
  <c r="H179" i="9"/>
  <c r="I179" i="9" s="1"/>
  <c r="G179" i="9"/>
  <c r="H178" i="9"/>
  <c r="G178" i="9"/>
  <c r="H177" i="9"/>
  <c r="I177" i="9" s="1"/>
  <c r="G177" i="9"/>
  <c r="H176" i="9"/>
  <c r="G176" i="9"/>
  <c r="I176" i="9" s="1"/>
  <c r="H175" i="9"/>
  <c r="I175" i="9" s="1"/>
  <c r="G175" i="9"/>
  <c r="H174" i="9"/>
  <c r="G174" i="9"/>
  <c r="H173" i="9"/>
  <c r="I173" i="9" s="1"/>
  <c r="G173" i="9"/>
  <c r="H172" i="9"/>
  <c r="G172" i="9"/>
  <c r="H171" i="9"/>
  <c r="I171" i="9" s="1"/>
  <c r="G171" i="9"/>
  <c r="H170" i="9"/>
  <c r="G170" i="9"/>
  <c r="H169" i="9"/>
  <c r="I169" i="9" s="1"/>
  <c r="G169" i="9"/>
  <c r="H168" i="9"/>
  <c r="G168" i="9"/>
  <c r="H167" i="9"/>
  <c r="G167" i="9"/>
  <c r="H166" i="9"/>
  <c r="G166" i="9"/>
  <c r="H165" i="9"/>
  <c r="I165" i="9" s="1"/>
  <c r="G165" i="9"/>
  <c r="H164" i="9"/>
  <c r="G164" i="9"/>
  <c r="H163" i="9"/>
  <c r="I163" i="9" s="1"/>
  <c r="G163" i="9"/>
  <c r="H162" i="9"/>
  <c r="G162" i="9"/>
  <c r="H161" i="9"/>
  <c r="I161" i="9" s="1"/>
  <c r="G161" i="9"/>
  <c r="H160" i="9"/>
  <c r="G160" i="9"/>
  <c r="H159" i="9"/>
  <c r="I159" i="9" s="1"/>
  <c r="G159" i="9"/>
  <c r="H158" i="9"/>
  <c r="G158" i="9"/>
  <c r="I158" i="9" s="1"/>
  <c r="H157" i="9"/>
  <c r="I157" i="9" s="1"/>
  <c r="G157" i="9"/>
  <c r="H156" i="9"/>
  <c r="G156" i="9"/>
  <c r="H155" i="9"/>
  <c r="I155" i="9" s="1"/>
  <c r="G155" i="9"/>
  <c r="H154" i="9"/>
  <c r="G154" i="9"/>
  <c r="H153" i="9"/>
  <c r="I153" i="9" s="1"/>
  <c r="G153" i="9"/>
  <c r="H152" i="9"/>
  <c r="G152" i="9"/>
  <c r="H151" i="9"/>
  <c r="G151" i="9"/>
  <c r="H150" i="9"/>
  <c r="G150" i="9"/>
  <c r="H149" i="9"/>
  <c r="I149" i="9" s="1"/>
  <c r="G149" i="9"/>
  <c r="H148" i="9"/>
  <c r="G148" i="9"/>
  <c r="I148" i="9" s="1"/>
  <c r="H147" i="9"/>
  <c r="I147" i="9" s="1"/>
  <c r="G147" i="9"/>
  <c r="H146" i="9"/>
  <c r="G146" i="9"/>
  <c r="I146" i="9" s="1"/>
  <c r="H145" i="9"/>
  <c r="I145" i="9" s="1"/>
  <c r="G145" i="9"/>
  <c r="H144" i="9"/>
  <c r="G144" i="9"/>
  <c r="H143" i="9"/>
  <c r="I143" i="9" s="1"/>
  <c r="G143" i="9"/>
  <c r="H142" i="9"/>
  <c r="G142" i="9"/>
  <c r="H141" i="9"/>
  <c r="I141" i="9" s="1"/>
  <c r="G141" i="9"/>
  <c r="H140" i="9"/>
  <c r="G140" i="9"/>
  <c r="H139" i="9"/>
  <c r="I139" i="9" s="1"/>
  <c r="G139" i="9"/>
  <c r="H138" i="9"/>
  <c r="G138" i="9"/>
  <c r="H137" i="9"/>
  <c r="I137" i="9" s="1"/>
  <c r="G137" i="9"/>
  <c r="H136" i="9"/>
  <c r="G136" i="9"/>
  <c r="I136" i="9" s="1"/>
  <c r="H135" i="9"/>
  <c r="G135" i="9"/>
  <c r="H134" i="9"/>
  <c r="G134" i="9"/>
  <c r="H133" i="9"/>
  <c r="I133" i="9" s="1"/>
  <c r="G133" i="9"/>
  <c r="H132" i="9"/>
  <c r="G132" i="9"/>
  <c r="H131" i="9"/>
  <c r="I131" i="9" s="1"/>
  <c r="G131" i="9"/>
  <c r="H130" i="9"/>
  <c r="G130" i="9"/>
  <c r="H129" i="9"/>
  <c r="I129" i="9" s="1"/>
  <c r="G129" i="9"/>
  <c r="H128" i="9"/>
  <c r="G128" i="9"/>
  <c r="H127" i="9"/>
  <c r="I127" i="9" s="1"/>
  <c r="G127" i="9"/>
  <c r="H126" i="9"/>
  <c r="G126" i="9"/>
  <c r="H125" i="9"/>
  <c r="I125" i="9" s="1"/>
  <c r="G125" i="9"/>
  <c r="H124" i="9"/>
  <c r="G124" i="9"/>
  <c r="H123" i="9"/>
  <c r="I123" i="9" s="1"/>
  <c r="G123" i="9"/>
  <c r="H122" i="9"/>
  <c r="G122" i="9"/>
  <c r="H121" i="9"/>
  <c r="I121" i="9" s="1"/>
  <c r="G121" i="9"/>
  <c r="H120" i="9"/>
  <c r="G120" i="9"/>
  <c r="H119" i="9"/>
  <c r="G119" i="9"/>
  <c r="H118" i="9"/>
  <c r="G118" i="9"/>
  <c r="H117" i="9"/>
  <c r="I117" i="9" s="1"/>
  <c r="G117" i="9"/>
  <c r="H116" i="9"/>
  <c r="G116" i="9"/>
  <c r="H115" i="9"/>
  <c r="I115" i="9" s="1"/>
  <c r="G115" i="9"/>
  <c r="H114" i="9"/>
  <c r="G114" i="9"/>
  <c r="I114" i="9" s="1"/>
  <c r="H113" i="9"/>
  <c r="I113" i="9" s="1"/>
  <c r="G113" i="9"/>
  <c r="H112" i="9"/>
  <c r="G112" i="9"/>
  <c r="H111" i="9"/>
  <c r="I111" i="9" s="1"/>
  <c r="G111" i="9"/>
  <c r="H110" i="9"/>
  <c r="G110" i="9"/>
  <c r="H109" i="9"/>
  <c r="I109" i="9" s="1"/>
  <c r="G109" i="9"/>
  <c r="H108" i="9"/>
  <c r="G108" i="9"/>
  <c r="H107" i="9"/>
  <c r="I107" i="9" s="1"/>
  <c r="G107" i="9"/>
  <c r="H106" i="9"/>
  <c r="G106" i="9"/>
  <c r="H105" i="9"/>
  <c r="I105" i="9" s="1"/>
  <c r="G105" i="9"/>
  <c r="H104" i="9"/>
  <c r="G104" i="9"/>
  <c r="H103" i="9"/>
  <c r="G103" i="9"/>
  <c r="H102" i="9"/>
  <c r="G102" i="9"/>
  <c r="H101" i="9"/>
  <c r="I101" i="9" s="1"/>
  <c r="G101" i="9"/>
  <c r="H100" i="9"/>
  <c r="G100" i="9"/>
  <c r="H99" i="9"/>
  <c r="I99" i="9" s="1"/>
  <c r="G99" i="9"/>
  <c r="H98" i="9"/>
  <c r="G98" i="9"/>
  <c r="H97" i="9"/>
  <c r="I97" i="9" s="1"/>
  <c r="G97" i="9"/>
  <c r="H96" i="9"/>
  <c r="G96" i="9"/>
  <c r="H95" i="9"/>
  <c r="I95" i="9" s="1"/>
  <c r="G95" i="9"/>
  <c r="H94" i="9"/>
  <c r="G94" i="9"/>
  <c r="H93" i="9"/>
  <c r="I93" i="9" s="1"/>
  <c r="G93" i="9"/>
  <c r="H92" i="9"/>
  <c r="G92" i="9"/>
  <c r="H91" i="9"/>
  <c r="I91" i="9" s="1"/>
  <c r="G91" i="9"/>
  <c r="H90" i="9"/>
  <c r="G90" i="9"/>
  <c r="H89" i="9"/>
  <c r="I89" i="9" s="1"/>
  <c r="G89" i="9"/>
  <c r="H88" i="9"/>
  <c r="G88" i="9"/>
  <c r="H87" i="9"/>
  <c r="G87" i="9"/>
  <c r="H86" i="9"/>
  <c r="G86" i="9"/>
  <c r="H85" i="9"/>
  <c r="I85" i="9" s="1"/>
  <c r="G85" i="9"/>
  <c r="H84" i="9"/>
  <c r="G84" i="9"/>
  <c r="I84" i="9" s="1"/>
  <c r="H83" i="9"/>
  <c r="I83" i="9" s="1"/>
  <c r="G83" i="9"/>
  <c r="H82" i="9"/>
  <c r="G82" i="9"/>
  <c r="H81" i="9"/>
  <c r="I81" i="9" s="1"/>
  <c r="G81" i="9"/>
  <c r="H80" i="9"/>
  <c r="G80" i="9"/>
  <c r="H79" i="9"/>
  <c r="I79" i="9" s="1"/>
  <c r="G79" i="9"/>
  <c r="H78" i="9"/>
  <c r="G78" i="9"/>
  <c r="H77" i="9"/>
  <c r="I77" i="9" s="1"/>
  <c r="G77" i="9"/>
  <c r="H76" i="9"/>
  <c r="G76" i="9"/>
  <c r="H75" i="9"/>
  <c r="I75" i="9" s="1"/>
  <c r="G75" i="9"/>
  <c r="H74" i="9"/>
  <c r="G74" i="9"/>
  <c r="I74" i="9" s="1"/>
  <c r="H73" i="9"/>
  <c r="I73" i="9" s="1"/>
  <c r="G73" i="9"/>
  <c r="H72" i="9"/>
  <c r="G72" i="9"/>
  <c r="H71" i="9"/>
  <c r="G71" i="9"/>
  <c r="H70" i="9"/>
  <c r="G70" i="9"/>
  <c r="H69" i="9"/>
  <c r="I69" i="9" s="1"/>
  <c r="G69" i="9"/>
  <c r="H68" i="9"/>
  <c r="G68" i="9"/>
  <c r="H67" i="9"/>
  <c r="I67" i="9" s="1"/>
  <c r="G67" i="9"/>
  <c r="H66" i="9"/>
  <c r="G66" i="9"/>
  <c r="H65" i="9"/>
  <c r="I65" i="9" s="1"/>
  <c r="G65" i="9"/>
  <c r="H64" i="9"/>
  <c r="G64" i="9"/>
  <c r="H63" i="9"/>
  <c r="I63" i="9" s="1"/>
  <c r="G63" i="9"/>
  <c r="H62" i="9"/>
  <c r="G62" i="9"/>
  <c r="H61" i="9"/>
  <c r="I61" i="9" s="1"/>
  <c r="G61" i="9"/>
  <c r="H60" i="9"/>
  <c r="G60" i="9"/>
  <c r="H59" i="9"/>
  <c r="I59" i="9" s="1"/>
  <c r="G59" i="9"/>
  <c r="H58" i="9"/>
  <c r="G58" i="9"/>
  <c r="H57" i="9"/>
  <c r="I57" i="9" s="1"/>
  <c r="G57" i="9"/>
  <c r="H56" i="9"/>
  <c r="G56" i="9"/>
  <c r="H55" i="9"/>
  <c r="G55" i="9"/>
  <c r="H54" i="9"/>
  <c r="G54" i="9"/>
  <c r="H53" i="9"/>
  <c r="I53" i="9" s="1"/>
  <c r="G53" i="9"/>
  <c r="H52" i="9"/>
  <c r="G52" i="9"/>
  <c r="H51" i="9"/>
  <c r="I51" i="9" s="1"/>
  <c r="G51" i="9"/>
  <c r="H50" i="9"/>
  <c r="G50" i="9"/>
  <c r="H49" i="9"/>
  <c r="I49" i="9" s="1"/>
  <c r="G49" i="9"/>
  <c r="H48" i="9"/>
  <c r="G48" i="9"/>
  <c r="H47" i="9"/>
  <c r="I47" i="9" s="1"/>
  <c r="G47" i="9"/>
  <c r="H46" i="9"/>
  <c r="G46" i="9"/>
  <c r="H45" i="9"/>
  <c r="I45" i="9" s="1"/>
  <c r="G45" i="9"/>
  <c r="H44" i="9"/>
  <c r="G44" i="9"/>
  <c r="I44" i="9" s="1"/>
  <c r="H43" i="9"/>
  <c r="I43" i="9" s="1"/>
  <c r="G43" i="9"/>
  <c r="H42" i="9"/>
  <c r="G42" i="9"/>
  <c r="H41" i="9"/>
  <c r="I41" i="9" s="1"/>
  <c r="G41" i="9"/>
  <c r="H40" i="9"/>
  <c r="G40" i="9"/>
  <c r="I40" i="9" s="1"/>
  <c r="H39" i="9"/>
  <c r="I39" i="9" s="1"/>
  <c r="G39" i="9"/>
  <c r="H38" i="9"/>
  <c r="G38" i="9"/>
  <c r="H37" i="9"/>
  <c r="I37" i="9" s="1"/>
  <c r="G37" i="9"/>
  <c r="H36" i="9"/>
  <c r="G36" i="9"/>
  <c r="H35" i="9"/>
  <c r="I35" i="9" s="1"/>
  <c r="G35" i="9"/>
  <c r="H34" i="9"/>
  <c r="G34" i="9"/>
  <c r="H33" i="9"/>
  <c r="I33" i="9" s="1"/>
  <c r="G33" i="9"/>
  <c r="H32" i="9"/>
  <c r="G32" i="9"/>
  <c r="H31" i="9"/>
  <c r="I31" i="9" s="1"/>
  <c r="G31" i="9"/>
  <c r="H30" i="9"/>
  <c r="G30" i="9"/>
  <c r="I30" i="9" s="1"/>
  <c r="H29" i="9"/>
  <c r="I29" i="9" s="1"/>
  <c r="G29" i="9"/>
  <c r="H28" i="9"/>
  <c r="G28" i="9"/>
  <c r="H27" i="9"/>
  <c r="I27" i="9" s="1"/>
  <c r="G27" i="9"/>
  <c r="H26" i="9"/>
  <c r="G26" i="9"/>
  <c r="H25" i="9"/>
  <c r="I25" i="9" s="1"/>
  <c r="G25" i="9"/>
  <c r="H24" i="9"/>
  <c r="G24" i="9"/>
  <c r="H23" i="9"/>
  <c r="I23" i="9" s="1"/>
  <c r="G23" i="9"/>
  <c r="H22" i="9"/>
  <c r="G22" i="9"/>
  <c r="H21" i="9"/>
  <c r="I21" i="9" s="1"/>
  <c r="G21" i="9"/>
  <c r="H20" i="9"/>
  <c r="G20" i="9"/>
  <c r="H19" i="9"/>
  <c r="I19" i="9" s="1"/>
  <c r="G19" i="9"/>
  <c r="H18" i="9"/>
  <c r="G18" i="9"/>
  <c r="I18" i="9" s="1"/>
  <c r="H17" i="9"/>
  <c r="I17" i="9" s="1"/>
  <c r="G17" i="9"/>
  <c r="H16" i="9"/>
  <c r="G16" i="9"/>
  <c r="H15" i="9"/>
  <c r="I15" i="9" s="1"/>
  <c r="G15" i="9"/>
  <c r="H14" i="9"/>
  <c r="G14" i="9"/>
  <c r="I14" i="9" s="1"/>
  <c r="H13" i="9"/>
  <c r="I13" i="9" s="1"/>
  <c r="G13" i="9"/>
  <c r="H12" i="9"/>
  <c r="G12" i="9"/>
  <c r="H11" i="9"/>
  <c r="I11" i="9" s="1"/>
  <c r="G11" i="9"/>
  <c r="H10" i="9"/>
  <c r="G10" i="9"/>
  <c r="H9" i="9"/>
  <c r="I9" i="9" s="1"/>
  <c r="G9" i="9"/>
  <c r="H8" i="9"/>
  <c r="G8" i="9"/>
  <c r="H7" i="9"/>
  <c r="I7" i="9" s="1"/>
  <c r="G7" i="9"/>
  <c r="H6" i="9"/>
  <c r="G6" i="9"/>
  <c r="H5" i="9"/>
  <c r="I5" i="9" s="1"/>
  <c r="G5" i="9"/>
  <c r="H4" i="9"/>
  <c r="G4" i="9"/>
  <c r="H3" i="9"/>
  <c r="I3" i="9" s="1"/>
  <c r="G3" i="9"/>
  <c r="H2" i="9"/>
  <c r="X203" i="7"/>
  <c r="X202" i="7"/>
  <c r="X201" i="7"/>
  <c r="X200" i="7"/>
  <c r="X199" i="7"/>
  <c r="X198" i="7"/>
  <c r="X197" i="7"/>
  <c r="X196" i="7"/>
  <c r="X195" i="7"/>
  <c r="X194" i="7"/>
  <c r="X193" i="7"/>
  <c r="X192" i="7"/>
  <c r="X191" i="7"/>
  <c r="X190" i="7"/>
  <c r="X189" i="7"/>
  <c r="X188" i="7"/>
  <c r="X187" i="7"/>
  <c r="X186" i="7"/>
  <c r="X185" i="7"/>
  <c r="X184" i="7"/>
  <c r="X183" i="7"/>
  <c r="X182" i="7"/>
  <c r="X181" i="7"/>
  <c r="X180" i="7"/>
  <c r="X179" i="7"/>
  <c r="X178" i="7"/>
  <c r="X177" i="7"/>
  <c r="X176" i="7"/>
  <c r="X175" i="7"/>
  <c r="X174" i="7"/>
  <c r="X173" i="7"/>
  <c r="X172" i="7"/>
  <c r="X171" i="7"/>
  <c r="X170" i="7"/>
  <c r="X169" i="7"/>
  <c r="X168" i="7"/>
  <c r="X167" i="7"/>
  <c r="X166" i="7"/>
  <c r="X165" i="7"/>
  <c r="X164" i="7"/>
  <c r="X163" i="7"/>
  <c r="X162" i="7"/>
  <c r="X161" i="7"/>
  <c r="X160" i="7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X115" i="7"/>
  <c r="X114" i="7"/>
  <c r="X113" i="7"/>
  <c r="X112" i="7"/>
  <c r="X111" i="7"/>
  <c r="X110" i="7"/>
  <c r="X109" i="7"/>
  <c r="X108" i="7"/>
  <c r="X107" i="7"/>
  <c r="X106" i="7"/>
  <c r="X105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X82" i="7"/>
  <c r="X81" i="7"/>
  <c r="X80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C4" i="8"/>
  <c r="W132" i="7"/>
  <c r="G2" i="9"/>
  <c r="F384" i="9"/>
  <c r="E384" i="9"/>
  <c r="D384" i="9"/>
  <c r="I383" i="9"/>
  <c r="I379" i="9"/>
  <c r="I378" i="9"/>
  <c r="I377" i="9"/>
  <c r="I359" i="9"/>
  <c r="I355" i="9"/>
  <c r="I346" i="9"/>
  <c r="I337" i="9"/>
  <c r="I329" i="9"/>
  <c r="I325" i="9"/>
  <c r="I324" i="9"/>
  <c r="I317" i="9"/>
  <c r="I315" i="9"/>
  <c r="I313" i="9"/>
  <c r="I303" i="9"/>
  <c r="I289" i="9"/>
  <c r="I281" i="9"/>
  <c r="I277" i="9"/>
  <c r="I269" i="9"/>
  <c r="I257" i="9"/>
  <c r="I255" i="9"/>
  <c r="I243" i="9"/>
  <c r="I188" i="9"/>
  <c r="I102" i="9"/>
  <c r="I249" i="9" l="1"/>
  <c r="I251" i="9"/>
  <c r="I253" i="9"/>
  <c r="I259" i="9"/>
  <c r="I261" i="9"/>
  <c r="I265" i="9"/>
  <c r="I267" i="9"/>
  <c r="I271" i="9"/>
  <c r="I273" i="9"/>
  <c r="I275" i="9"/>
  <c r="I283" i="9"/>
  <c r="I285" i="9"/>
  <c r="I287" i="9"/>
  <c r="I291" i="9"/>
  <c r="I293" i="9"/>
  <c r="I297" i="9"/>
  <c r="I299" i="9"/>
  <c r="I301" i="9"/>
  <c r="I305" i="9"/>
  <c r="I307" i="9"/>
  <c r="I309" i="9"/>
  <c r="I319" i="9"/>
  <c r="I321" i="9"/>
  <c r="I323" i="9"/>
  <c r="I327" i="9"/>
  <c r="I331" i="9"/>
  <c r="I333" i="9"/>
  <c r="I335" i="9"/>
  <c r="I339" i="9"/>
  <c r="I341" i="9"/>
  <c r="I343" i="9"/>
  <c r="I345" i="9"/>
  <c r="I347" i="9"/>
  <c r="I349" i="9"/>
  <c r="I351" i="9"/>
  <c r="I353" i="9"/>
  <c r="I357" i="9"/>
  <c r="I361" i="9"/>
  <c r="I363" i="9"/>
  <c r="I365" i="9"/>
  <c r="I367" i="9"/>
  <c r="I369" i="9"/>
  <c r="I371" i="9"/>
  <c r="I373" i="9"/>
  <c r="I28" i="9"/>
  <c r="I375" i="9"/>
  <c r="I322" i="9"/>
  <c r="I56" i="9"/>
  <c r="I90" i="9"/>
  <c r="I118" i="9"/>
  <c r="B52" i="10"/>
  <c r="I4" i="9"/>
  <c r="I6" i="9"/>
  <c r="I8" i="9"/>
  <c r="I10" i="9"/>
  <c r="I12" i="9"/>
  <c r="I16" i="9"/>
  <c r="I20" i="9"/>
  <c r="I22" i="9"/>
  <c r="I24" i="9"/>
  <c r="I26" i="9"/>
  <c r="I32" i="9"/>
  <c r="I34" i="9"/>
  <c r="I36" i="9"/>
  <c r="I38" i="9"/>
  <c r="I42" i="9"/>
  <c r="I46" i="9"/>
  <c r="I48" i="9"/>
  <c r="I50" i="9"/>
  <c r="I52" i="9"/>
  <c r="I54" i="9"/>
  <c r="I58" i="9"/>
  <c r="I60" i="9"/>
  <c r="I62" i="9"/>
  <c r="I64" i="9"/>
  <c r="I66" i="9"/>
  <c r="I68" i="9"/>
  <c r="I70" i="9"/>
  <c r="I72" i="9"/>
  <c r="I76" i="9"/>
  <c r="I78" i="9"/>
  <c r="I80" i="9"/>
  <c r="I82" i="9"/>
  <c r="I86" i="9"/>
  <c r="I88" i="9"/>
  <c r="I92" i="9"/>
  <c r="I94" i="9"/>
  <c r="I96" i="9"/>
  <c r="I98" i="9"/>
  <c r="I100" i="9"/>
  <c r="I104" i="9"/>
  <c r="I106" i="9"/>
  <c r="I108" i="9"/>
  <c r="I110" i="9"/>
  <c r="I112" i="9"/>
  <c r="I116" i="9"/>
  <c r="I120" i="9"/>
  <c r="I122" i="9"/>
  <c r="I124" i="9"/>
  <c r="I126" i="9"/>
  <c r="I128" i="9"/>
  <c r="I130" i="9"/>
  <c r="I132" i="9"/>
  <c r="I134" i="9"/>
  <c r="I138" i="9"/>
  <c r="I140" i="9"/>
  <c r="I142" i="9"/>
  <c r="I144" i="9"/>
  <c r="I150" i="9"/>
  <c r="I152" i="9"/>
  <c r="I154" i="9"/>
  <c r="I156" i="9"/>
  <c r="I160" i="9"/>
  <c r="I162" i="9"/>
  <c r="I164" i="9"/>
  <c r="I166" i="9"/>
  <c r="I168" i="9"/>
  <c r="I170" i="9"/>
  <c r="I172" i="9"/>
  <c r="I174" i="9"/>
  <c r="I178" i="9"/>
  <c r="I182" i="9"/>
  <c r="I184" i="9"/>
  <c r="I186" i="9"/>
  <c r="I196" i="9"/>
  <c r="G384" i="9"/>
  <c r="I2" i="9"/>
  <c r="H384" i="9"/>
  <c r="I55" i="9"/>
  <c r="I71" i="9"/>
  <c r="I87" i="9"/>
  <c r="I103" i="9"/>
  <c r="I119" i="9"/>
  <c r="I135" i="9"/>
  <c r="I151" i="9"/>
  <c r="I167" i="9"/>
  <c r="I183" i="9"/>
  <c r="I199" i="9"/>
  <c r="I215" i="9"/>
  <c r="I231" i="9"/>
  <c r="I247" i="9"/>
  <c r="I263" i="9"/>
  <c r="I279" i="9"/>
  <c r="I295" i="9"/>
  <c r="I311" i="9"/>
  <c r="I332" i="9"/>
  <c r="I340" i="9"/>
  <c r="I348" i="9"/>
  <c r="I356" i="9"/>
  <c r="I364" i="9"/>
  <c r="I372" i="9"/>
  <c r="I380" i="9"/>
  <c r="C5" i="8"/>
  <c r="F203" i="7"/>
  <c r="D203" i="7"/>
  <c r="B203" i="7"/>
  <c r="V202" i="7"/>
  <c r="S202" i="7"/>
  <c r="P202" i="7"/>
  <c r="M202" i="7"/>
  <c r="V201" i="7"/>
  <c r="S201" i="7"/>
  <c r="P201" i="7"/>
  <c r="M201" i="7"/>
  <c r="J201" i="7"/>
  <c r="G201" i="7"/>
  <c r="E201" i="7"/>
  <c r="C201" i="7"/>
  <c r="V200" i="7"/>
  <c r="S200" i="7"/>
  <c r="P200" i="7"/>
  <c r="M200" i="7"/>
  <c r="J200" i="7"/>
  <c r="G200" i="7"/>
  <c r="E200" i="7"/>
  <c r="C200" i="7"/>
  <c r="V199" i="7"/>
  <c r="S199" i="7"/>
  <c r="P199" i="7"/>
  <c r="M199" i="7"/>
  <c r="J199" i="7"/>
  <c r="G199" i="7"/>
  <c r="E199" i="7"/>
  <c r="C199" i="7"/>
  <c r="V198" i="7"/>
  <c r="S198" i="7"/>
  <c r="P198" i="7"/>
  <c r="M198" i="7"/>
  <c r="J198" i="7"/>
  <c r="G198" i="7"/>
  <c r="E198" i="7"/>
  <c r="C198" i="7"/>
  <c r="V197" i="7"/>
  <c r="S197" i="7"/>
  <c r="P197" i="7"/>
  <c r="M197" i="7"/>
  <c r="J197" i="7"/>
  <c r="G197" i="7"/>
  <c r="E197" i="7"/>
  <c r="C197" i="7"/>
  <c r="V196" i="7"/>
  <c r="S196" i="7"/>
  <c r="P196" i="7"/>
  <c r="M196" i="7"/>
  <c r="J196" i="7"/>
  <c r="G196" i="7"/>
  <c r="E196" i="7"/>
  <c r="C196" i="7"/>
  <c r="V195" i="7"/>
  <c r="S195" i="7"/>
  <c r="P195" i="7"/>
  <c r="M195" i="7"/>
  <c r="J195" i="7"/>
  <c r="G195" i="7"/>
  <c r="E195" i="7"/>
  <c r="C195" i="7"/>
  <c r="V194" i="7"/>
  <c r="S194" i="7"/>
  <c r="P194" i="7"/>
  <c r="M194" i="7"/>
  <c r="J194" i="7"/>
  <c r="G194" i="7"/>
  <c r="E194" i="7"/>
  <c r="C194" i="7"/>
  <c r="V193" i="7"/>
  <c r="S193" i="7"/>
  <c r="P193" i="7"/>
  <c r="M193" i="7"/>
  <c r="J193" i="7"/>
  <c r="G193" i="7"/>
  <c r="E193" i="7"/>
  <c r="C193" i="7"/>
  <c r="V192" i="7"/>
  <c r="S192" i="7"/>
  <c r="P192" i="7"/>
  <c r="M192" i="7"/>
  <c r="J192" i="7"/>
  <c r="G192" i="7"/>
  <c r="E192" i="7"/>
  <c r="C192" i="7"/>
  <c r="V191" i="7"/>
  <c r="S191" i="7"/>
  <c r="P191" i="7"/>
  <c r="M191" i="7"/>
  <c r="J191" i="7"/>
  <c r="G191" i="7"/>
  <c r="E191" i="7"/>
  <c r="C191" i="7"/>
  <c r="V190" i="7"/>
  <c r="S190" i="7"/>
  <c r="P190" i="7"/>
  <c r="M190" i="7"/>
  <c r="J190" i="7"/>
  <c r="G190" i="7"/>
  <c r="E190" i="7"/>
  <c r="C190" i="7"/>
  <c r="V189" i="7"/>
  <c r="S189" i="7"/>
  <c r="P189" i="7"/>
  <c r="M189" i="7"/>
  <c r="J189" i="7"/>
  <c r="G189" i="7"/>
  <c r="E189" i="7"/>
  <c r="C189" i="7"/>
  <c r="V188" i="7"/>
  <c r="S188" i="7"/>
  <c r="P188" i="7"/>
  <c r="M188" i="7"/>
  <c r="J188" i="7"/>
  <c r="G188" i="7"/>
  <c r="E188" i="7"/>
  <c r="C188" i="7"/>
  <c r="V187" i="7"/>
  <c r="S187" i="7"/>
  <c r="P187" i="7"/>
  <c r="M187" i="7"/>
  <c r="J187" i="7"/>
  <c r="G187" i="7"/>
  <c r="E187" i="7"/>
  <c r="C187" i="7"/>
  <c r="V186" i="7"/>
  <c r="S186" i="7"/>
  <c r="P186" i="7"/>
  <c r="M186" i="7"/>
  <c r="J186" i="7"/>
  <c r="E186" i="7"/>
  <c r="C186" i="7"/>
  <c r="V185" i="7"/>
  <c r="S185" i="7"/>
  <c r="P185" i="7"/>
  <c r="M185" i="7"/>
  <c r="J185" i="7"/>
  <c r="G185" i="7"/>
  <c r="E185" i="7"/>
  <c r="C185" i="7"/>
  <c r="V184" i="7"/>
  <c r="S184" i="7"/>
  <c r="P184" i="7"/>
  <c r="M184" i="7"/>
  <c r="J184" i="7"/>
  <c r="G184" i="7"/>
  <c r="E184" i="7"/>
  <c r="C184" i="7"/>
  <c r="V183" i="7"/>
  <c r="S183" i="7"/>
  <c r="P183" i="7"/>
  <c r="M183" i="7"/>
  <c r="J183" i="7"/>
  <c r="G183" i="7"/>
  <c r="E183" i="7"/>
  <c r="C183" i="7"/>
  <c r="V182" i="7"/>
  <c r="S182" i="7"/>
  <c r="P182" i="7"/>
  <c r="M182" i="7"/>
  <c r="J182" i="7"/>
  <c r="G182" i="7"/>
  <c r="E182" i="7"/>
  <c r="C182" i="7"/>
  <c r="V181" i="7"/>
  <c r="S181" i="7"/>
  <c r="P181" i="7"/>
  <c r="M181" i="7"/>
  <c r="J181" i="7"/>
  <c r="G181" i="7"/>
  <c r="E181" i="7"/>
  <c r="C181" i="7"/>
  <c r="V180" i="7"/>
  <c r="S180" i="7"/>
  <c r="P180" i="7"/>
  <c r="M180" i="7"/>
  <c r="J180" i="7"/>
  <c r="G180" i="7"/>
  <c r="E180" i="7"/>
  <c r="C180" i="7"/>
  <c r="V179" i="7"/>
  <c r="S179" i="7"/>
  <c r="P179" i="7"/>
  <c r="M179" i="7"/>
  <c r="J179" i="7"/>
  <c r="G179" i="7"/>
  <c r="E179" i="7"/>
  <c r="C179" i="7"/>
  <c r="V178" i="7"/>
  <c r="S178" i="7"/>
  <c r="P178" i="7"/>
  <c r="M178" i="7"/>
  <c r="J178" i="7"/>
  <c r="G178" i="7"/>
  <c r="E178" i="7"/>
  <c r="C178" i="7"/>
  <c r="V177" i="7"/>
  <c r="S177" i="7"/>
  <c r="P177" i="7"/>
  <c r="M177" i="7"/>
  <c r="J177" i="7"/>
  <c r="G177" i="7"/>
  <c r="E177" i="7"/>
  <c r="C177" i="7"/>
  <c r="V176" i="7"/>
  <c r="S176" i="7"/>
  <c r="P176" i="7"/>
  <c r="M176" i="7"/>
  <c r="J176" i="7"/>
  <c r="G176" i="7"/>
  <c r="E176" i="7"/>
  <c r="C176" i="7"/>
  <c r="V175" i="7"/>
  <c r="S175" i="7"/>
  <c r="P175" i="7"/>
  <c r="M175" i="7"/>
  <c r="J175" i="7"/>
  <c r="G175" i="7"/>
  <c r="E175" i="7"/>
  <c r="C175" i="7"/>
  <c r="V174" i="7"/>
  <c r="S174" i="7"/>
  <c r="P174" i="7"/>
  <c r="M174" i="7"/>
  <c r="J174" i="7"/>
  <c r="G174" i="7"/>
  <c r="E174" i="7"/>
  <c r="C174" i="7"/>
  <c r="V173" i="7"/>
  <c r="S173" i="7"/>
  <c r="P173" i="7"/>
  <c r="M173" i="7"/>
  <c r="J173" i="7"/>
  <c r="G173" i="7"/>
  <c r="E173" i="7"/>
  <c r="C173" i="7"/>
  <c r="V172" i="7"/>
  <c r="S172" i="7"/>
  <c r="P172" i="7"/>
  <c r="M172" i="7"/>
  <c r="J172" i="7"/>
  <c r="G172" i="7"/>
  <c r="E172" i="7"/>
  <c r="C172" i="7"/>
  <c r="V171" i="7"/>
  <c r="S171" i="7"/>
  <c r="P171" i="7"/>
  <c r="M171" i="7"/>
  <c r="J171" i="7"/>
  <c r="G171" i="7"/>
  <c r="E171" i="7"/>
  <c r="C171" i="7"/>
  <c r="V170" i="7"/>
  <c r="S170" i="7"/>
  <c r="P170" i="7"/>
  <c r="M170" i="7"/>
  <c r="J170" i="7"/>
  <c r="G170" i="7"/>
  <c r="E170" i="7"/>
  <c r="C170" i="7"/>
  <c r="V169" i="7"/>
  <c r="S169" i="7"/>
  <c r="P169" i="7"/>
  <c r="M169" i="7"/>
  <c r="J169" i="7"/>
  <c r="G169" i="7"/>
  <c r="E169" i="7"/>
  <c r="C169" i="7"/>
  <c r="V168" i="7"/>
  <c r="S168" i="7"/>
  <c r="P168" i="7"/>
  <c r="M168" i="7"/>
  <c r="J168" i="7"/>
  <c r="G168" i="7"/>
  <c r="E168" i="7"/>
  <c r="C168" i="7"/>
  <c r="V167" i="7"/>
  <c r="S167" i="7"/>
  <c r="P167" i="7"/>
  <c r="M167" i="7"/>
  <c r="J167" i="7"/>
  <c r="G167" i="7"/>
  <c r="E167" i="7"/>
  <c r="C167" i="7"/>
  <c r="V166" i="7"/>
  <c r="S166" i="7"/>
  <c r="P166" i="7"/>
  <c r="M166" i="7"/>
  <c r="J166" i="7"/>
  <c r="G166" i="7"/>
  <c r="E166" i="7"/>
  <c r="C166" i="7"/>
  <c r="V165" i="7"/>
  <c r="S165" i="7"/>
  <c r="P165" i="7"/>
  <c r="M165" i="7"/>
  <c r="J165" i="7"/>
  <c r="G165" i="7"/>
  <c r="E165" i="7"/>
  <c r="C165" i="7"/>
  <c r="V164" i="7"/>
  <c r="S164" i="7"/>
  <c r="P164" i="7"/>
  <c r="M164" i="7"/>
  <c r="J164" i="7"/>
  <c r="E164" i="7"/>
  <c r="C164" i="7"/>
  <c r="V163" i="7"/>
  <c r="S163" i="7"/>
  <c r="P163" i="7"/>
  <c r="M163" i="7"/>
  <c r="J163" i="7"/>
  <c r="G163" i="7"/>
  <c r="E163" i="7"/>
  <c r="C163" i="7"/>
  <c r="V162" i="7"/>
  <c r="S162" i="7"/>
  <c r="P162" i="7"/>
  <c r="M162" i="7"/>
  <c r="J162" i="7"/>
  <c r="G162" i="7"/>
  <c r="E162" i="7"/>
  <c r="C162" i="7"/>
  <c r="V161" i="7"/>
  <c r="S161" i="7"/>
  <c r="P161" i="7"/>
  <c r="M161" i="7"/>
  <c r="J161" i="7"/>
  <c r="E161" i="7"/>
  <c r="C161" i="7"/>
  <c r="V160" i="7"/>
  <c r="S160" i="7"/>
  <c r="P160" i="7"/>
  <c r="M160" i="7"/>
  <c r="J160" i="7"/>
  <c r="G160" i="7"/>
  <c r="E160" i="7"/>
  <c r="C160" i="7"/>
  <c r="V159" i="7"/>
  <c r="S159" i="7"/>
  <c r="P159" i="7"/>
  <c r="M159" i="7"/>
  <c r="J159" i="7"/>
  <c r="E159" i="7"/>
  <c r="C159" i="7"/>
  <c r="V158" i="7"/>
  <c r="S158" i="7"/>
  <c r="P158" i="7"/>
  <c r="M158" i="7"/>
  <c r="J158" i="7"/>
  <c r="G158" i="7"/>
  <c r="E158" i="7"/>
  <c r="C158" i="7"/>
  <c r="V157" i="7"/>
  <c r="S157" i="7"/>
  <c r="P157" i="7"/>
  <c r="M157" i="7"/>
  <c r="J157" i="7"/>
  <c r="G157" i="7"/>
  <c r="E157" i="7"/>
  <c r="C157" i="7"/>
  <c r="V156" i="7"/>
  <c r="S156" i="7"/>
  <c r="P156" i="7"/>
  <c r="M156" i="7"/>
  <c r="J156" i="7"/>
  <c r="G156" i="7"/>
  <c r="E156" i="7"/>
  <c r="C156" i="7"/>
  <c r="V155" i="7"/>
  <c r="S155" i="7"/>
  <c r="P155" i="7"/>
  <c r="M155" i="7"/>
  <c r="J155" i="7"/>
  <c r="G155" i="7"/>
  <c r="E155" i="7"/>
  <c r="C155" i="7"/>
  <c r="V154" i="7"/>
  <c r="S154" i="7"/>
  <c r="P154" i="7"/>
  <c r="M154" i="7"/>
  <c r="J154" i="7"/>
  <c r="G154" i="7"/>
  <c r="E154" i="7"/>
  <c r="C154" i="7"/>
  <c r="V153" i="7"/>
  <c r="S153" i="7"/>
  <c r="P153" i="7"/>
  <c r="M153" i="7"/>
  <c r="J153" i="7"/>
  <c r="G153" i="7"/>
  <c r="E153" i="7"/>
  <c r="C153" i="7"/>
  <c r="V152" i="7"/>
  <c r="S152" i="7"/>
  <c r="P152" i="7"/>
  <c r="M152" i="7"/>
  <c r="J152" i="7"/>
  <c r="G152" i="7"/>
  <c r="E152" i="7"/>
  <c r="C152" i="7"/>
  <c r="V151" i="7"/>
  <c r="S151" i="7"/>
  <c r="P151" i="7"/>
  <c r="M151" i="7"/>
  <c r="J151" i="7"/>
  <c r="G151" i="7"/>
  <c r="E151" i="7"/>
  <c r="C151" i="7"/>
  <c r="V150" i="7"/>
  <c r="S150" i="7"/>
  <c r="P150" i="7"/>
  <c r="M150" i="7"/>
  <c r="J150" i="7"/>
  <c r="G150" i="7"/>
  <c r="E150" i="7"/>
  <c r="C150" i="7"/>
  <c r="V149" i="7"/>
  <c r="S149" i="7"/>
  <c r="P149" i="7"/>
  <c r="M149" i="7"/>
  <c r="J149" i="7"/>
  <c r="G149" i="7"/>
  <c r="E149" i="7"/>
  <c r="C149" i="7"/>
  <c r="V148" i="7"/>
  <c r="S148" i="7"/>
  <c r="P148" i="7"/>
  <c r="M148" i="7"/>
  <c r="J148" i="7"/>
  <c r="G148" i="7"/>
  <c r="E148" i="7"/>
  <c r="C148" i="7"/>
  <c r="V147" i="7"/>
  <c r="S147" i="7"/>
  <c r="P147" i="7"/>
  <c r="M147" i="7"/>
  <c r="J147" i="7"/>
  <c r="G147" i="7"/>
  <c r="E147" i="7"/>
  <c r="C147" i="7"/>
  <c r="V146" i="7"/>
  <c r="S146" i="7"/>
  <c r="P146" i="7"/>
  <c r="M146" i="7"/>
  <c r="J146" i="7"/>
  <c r="G146" i="7"/>
  <c r="E146" i="7"/>
  <c r="C146" i="7"/>
  <c r="V145" i="7"/>
  <c r="S145" i="7"/>
  <c r="P145" i="7"/>
  <c r="M145" i="7"/>
  <c r="J145" i="7"/>
  <c r="G145" i="7"/>
  <c r="E145" i="7"/>
  <c r="C145" i="7"/>
  <c r="V144" i="7"/>
  <c r="S144" i="7"/>
  <c r="P144" i="7"/>
  <c r="M144" i="7"/>
  <c r="J144" i="7"/>
  <c r="G144" i="7"/>
  <c r="E144" i="7"/>
  <c r="C144" i="7"/>
  <c r="V143" i="7"/>
  <c r="S143" i="7"/>
  <c r="P143" i="7"/>
  <c r="M143" i="7"/>
  <c r="J143" i="7"/>
  <c r="G143" i="7"/>
  <c r="E143" i="7"/>
  <c r="C143" i="7"/>
  <c r="V142" i="7"/>
  <c r="S142" i="7"/>
  <c r="P142" i="7"/>
  <c r="M142" i="7"/>
  <c r="J142" i="7"/>
  <c r="G142" i="7"/>
  <c r="E142" i="7"/>
  <c r="C142" i="7"/>
  <c r="V141" i="7"/>
  <c r="S141" i="7"/>
  <c r="P141" i="7"/>
  <c r="M141" i="7"/>
  <c r="J141" i="7"/>
  <c r="G141" i="7"/>
  <c r="E141" i="7"/>
  <c r="C141" i="7"/>
  <c r="V140" i="7"/>
  <c r="S140" i="7"/>
  <c r="P140" i="7"/>
  <c r="M140" i="7"/>
  <c r="J140" i="7"/>
  <c r="G140" i="7"/>
  <c r="E140" i="7"/>
  <c r="C140" i="7"/>
  <c r="V139" i="7"/>
  <c r="S139" i="7"/>
  <c r="P139" i="7"/>
  <c r="M139" i="7"/>
  <c r="J139" i="7"/>
  <c r="G139" i="7"/>
  <c r="E139" i="7"/>
  <c r="C139" i="7"/>
  <c r="V138" i="7"/>
  <c r="S138" i="7"/>
  <c r="P138" i="7"/>
  <c r="M138" i="7"/>
  <c r="J138" i="7"/>
  <c r="G138" i="7"/>
  <c r="E138" i="7"/>
  <c r="C138" i="7"/>
  <c r="V137" i="7"/>
  <c r="S137" i="7"/>
  <c r="P137" i="7"/>
  <c r="M137" i="7"/>
  <c r="J137" i="7"/>
  <c r="G137" i="7"/>
  <c r="E137" i="7"/>
  <c r="C137" i="7"/>
  <c r="V136" i="7"/>
  <c r="S136" i="7"/>
  <c r="P136" i="7"/>
  <c r="M136" i="7"/>
  <c r="J136" i="7"/>
  <c r="G136" i="7"/>
  <c r="E136" i="7"/>
  <c r="C136" i="7"/>
  <c r="V135" i="7"/>
  <c r="S135" i="7"/>
  <c r="P135" i="7"/>
  <c r="M135" i="7"/>
  <c r="J135" i="7"/>
  <c r="G135" i="7"/>
  <c r="E135" i="7"/>
  <c r="C135" i="7"/>
  <c r="V134" i="7"/>
  <c r="S134" i="7"/>
  <c r="P134" i="7"/>
  <c r="M134" i="7"/>
  <c r="J134" i="7"/>
  <c r="E134" i="7"/>
  <c r="C134" i="7"/>
  <c r="V133" i="7"/>
  <c r="S133" i="7"/>
  <c r="P133" i="7"/>
  <c r="M133" i="7"/>
  <c r="J133" i="7"/>
  <c r="G133" i="7"/>
  <c r="E133" i="7"/>
  <c r="C133" i="7"/>
  <c r="T132" i="7"/>
  <c r="Q132" i="7"/>
  <c r="P132" i="7"/>
  <c r="N132" i="7"/>
  <c r="M132" i="7"/>
  <c r="K132" i="7"/>
  <c r="H132" i="7"/>
  <c r="H203" i="7" s="1"/>
  <c r="E132" i="7"/>
  <c r="C132" i="7"/>
  <c r="V131" i="7"/>
  <c r="S131" i="7"/>
  <c r="P131" i="7"/>
  <c r="M131" i="7"/>
  <c r="J131" i="7"/>
  <c r="G131" i="7"/>
  <c r="E131" i="7"/>
  <c r="C131" i="7"/>
  <c r="V130" i="7"/>
  <c r="S130" i="7"/>
  <c r="P130" i="7"/>
  <c r="M130" i="7"/>
  <c r="J130" i="7"/>
  <c r="G130" i="7"/>
  <c r="E130" i="7"/>
  <c r="C130" i="7"/>
  <c r="V129" i="7"/>
  <c r="S129" i="7"/>
  <c r="P129" i="7"/>
  <c r="M129" i="7"/>
  <c r="J129" i="7"/>
  <c r="G129" i="7"/>
  <c r="E129" i="7"/>
  <c r="C129" i="7"/>
  <c r="V128" i="7"/>
  <c r="S128" i="7"/>
  <c r="P128" i="7"/>
  <c r="M128" i="7"/>
  <c r="J128" i="7"/>
  <c r="G128" i="7"/>
  <c r="E128" i="7"/>
  <c r="C128" i="7"/>
  <c r="V127" i="7"/>
  <c r="S127" i="7"/>
  <c r="P127" i="7"/>
  <c r="M127" i="7"/>
  <c r="J127" i="7"/>
  <c r="G127" i="7"/>
  <c r="E127" i="7"/>
  <c r="C127" i="7"/>
  <c r="V126" i="7"/>
  <c r="S126" i="7"/>
  <c r="P126" i="7"/>
  <c r="M126" i="7"/>
  <c r="J126" i="7"/>
  <c r="G126" i="7"/>
  <c r="E126" i="7"/>
  <c r="C126" i="7"/>
  <c r="V125" i="7"/>
  <c r="S125" i="7"/>
  <c r="P125" i="7"/>
  <c r="M125" i="7"/>
  <c r="J125" i="7"/>
  <c r="G125" i="7"/>
  <c r="E125" i="7"/>
  <c r="C125" i="7"/>
  <c r="V124" i="7"/>
  <c r="S124" i="7"/>
  <c r="P124" i="7"/>
  <c r="M124" i="7"/>
  <c r="J124" i="7"/>
  <c r="G124" i="7"/>
  <c r="E124" i="7"/>
  <c r="C124" i="7"/>
  <c r="V123" i="7"/>
  <c r="S123" i="7"/>
  <c r="P123" i="7"/>
  <c r="M123" i="7"/>
  <c r="J123" i="7"/>
  <c r="E123" i="7"/>
  <c r="C123" i="7"/>
  <c r="V122" i="7"/>
  <c r="S122" i="7"/>
  <c r="P122" i="7"/>
  <c r="M122" i="7"/>
  <c r="J122" i="7"/>
  <c r="G122" i="7"/>
  <c r="E122" i="7"/>
  <c r="C122" i="7"/>
  <c r="V121" i="7"/>
  <c r="S121" i="7"/>
  <c r="P121" i="7"/>
  <c r="M121" i="7"/>
  <c r="J121" i="7"/>
  <c r="G121" i="7"/>
  <c r="E121" i="7"/>
  <c r="C121" i="7"/>
  <c r="V120" i="7"/>
  <c r="S120" i="7"/>
  <c r="P120" i="7"/>
  <c r="M120" i="7"/>
  <c r="J120" i="7"/>
  <c r="G120" i="7"/>
  <c r="E120" i="7"/>
  <c r="C120" i="7"/>
  <c r="V119" i="7"/>
  <c r="S119" i="7"/>
  <c r="P119" i="7"/>
  <c r="M119" i="7"/>
  <c r="J119" i="7"/>
  <c r="G119" i="7"/>
  <c r="E119" i="7"/>
  <c r="C119" i="7"/>
  <c r="V118" i="7"/>
  <c r="S118" i="7"/>
  <c r="P118" i="7"/>
  <c r="M118" i="7"/>
  <c r="J118" i="7"/>
  <c r="G118" i="7"/>
  <c r="E118" i="7"/>
  <c r="C118" i="7"/>
  <c r="V117" i="7"/>
  <c r="S117" i="7"/>
  <c r="P117" i="7"/>
  <c r="M117" i="7"/>
  <c r="J117" i="7"/>
  <c r="G117" i="7"/>
  <c r="E117" i="7"/>
  <c r="C117" i="7"/>
  <c r="V116" i="7"/>
  <c r="S116" i="7"/>
  <c r="P116" i="7"/>
  <c r="M116" i="7"/>
  <c r="J116" i="7"/>
  <c r="G116" i="7"/>
  <c r="E116" i="7"/>
  <c r="C116" i="7"/>
  <c r="V115" i="7"/>
  <c r="S115" i="7"/>
  <c r="P115" i="7"/>
  <c r="M115" i="7"/>
  <c r="J115" i="7"/>
  <c r="G115" i="7"/>
  <c r="E115" i="7"/>
  <c r="C115" i="7"/>
  <c r="V114" i="7"/>
  <c r="S114" i="7"/>
  <c r="P114" i="7"/>
  <c r="M114" i="7"/>
  <c r="J114" i="7"/>
  <c r="G114" i="7"/>
  <c r="E114" i="7"/>
  <c r="C114" i="7"/>
  <c r="V113" i="7"/>
  <c r="S113" i="7"/>
  <c r="P113" i="7"/>
  <c r="M113" i="7"/>
  <c r="J113" i="7"/>
  <c r="G113" i="7"/>
  <c r="E113" i="7"/>
  <c r="C113" i="7"/>
  <c r="V112" i="7"/>
  <c r="S112" i="7"/>
  <c r="P112" i="7"/>
  <c r="M112" i="7"/>
  <c r="J112" i="7"/>
  <c r="G112" i="7"/>
  <c r="E112" i="7"/>
  <c r="C112" i="7"/>
  <c r="V111" i="7"/>
  <c r="S111" i="7"/>
  <c r="P111" i="7"/>
  <c r="M111" i="7"/>
  <c r="J111" i="7"/>
  <c r="G111" i="7"/>
  <c r="E111" i="7"/>
  <c r="C111" i="7"/>
  <c r="V110" i="7"/>
  <c r="S110" i="7"/>
  <c r="P110" i="7"/>
  <c r="M110" i="7"/>
  <c r="J110" i="7"/>
  <c r="G110" i="7"/>
  <c r="E110" i="7"/>
  <c r="C110" i="7"/>
  <c r="V109" i="7"/>
  <c r="S109" i="7"/>
  <c r="P109" i="7"/>
  <c r="M109" i="7"/>
  <c r="J109" i="7"/>
  <c r="G109" i="7"/>
  <c r="E109" i="7"/>
  <c r="C109" i="7"/>
  <c r="V108" i="7"/>
  <c r="S108" i="7"/>
  <c r="P108" i="7"/>
  <c r="M108" i="7"/>
  <c r="J108" i="7"/>
  <c r="G108" i="7"/>
  <c r="E108" i="7"/>
  <c r="C108" i="7"/>
  <c r="V107" i="7"/>
  <c r="S107" i="7"/>
  <c r="P107" i="7"/>
  <c r="M107" i="7"/>
  <c r="J107" i="7"/>
  <c r="G107" i="7"/>
  <c r="E107" i="7"/>
  <c r="C107" i="7"/>
  <c r="V106" i="7"/>
  <c r="S106" i="7"/>
  <c r="P106" i="7"/>
  <c r="M106" i="7"/>
  <c r="J106" i="7"/>
  <c r="G106" i="7"/>
  <c r="E106" i="7"/>
  <c r="C106" i="7"/>
  <c r="V105" i="7"/>
  <c r="S105" i="7"/>
  <c r="P105" i="7"/>
  <c r="M105" i="7"/>
  <c r="J105" i="7"/>
  <c r="G105" i="7"/>
  <c r="E105" i="7"/>
  <c r="C105" i="7"/>
  <c r="V104" i="7"/>
  <c r="S104" i="7"/>
  <c r="P104" i="7"/>
  <c r="M104" i="7"/>
  <c r="J104" i="7"/>
  <c r="G104" i="7"/>
  <c r="E104" i="7"/>
  <c r="C104" i="7"/>
  <c r="V103" i="7"/>
  <c r="S103" i="7"/>
  <c r="P103" i="7"/>
  <c r="M103" i="7"/>
  <c r="J103" i="7"/>
  <c r="G103" i="7"/>
  <c r="E103" i="7"/>
  <c r="C103" i="7"/>
  <c r="V102" i="7"/>
  <c r="S102" i="7"/>
  <c r="P102" i="7"/>
  <c r="M102" i="7"/>
  <c r="J102" i="7"/>
  <c r="G102" i="7"/>
  <c r="E102" i="7"/>
  <c r="C102" i="7"/>
  <c r="V101" i="7"/>
  <c r="S101" i="7"/>
  <c r="P101" i="7"/>
  <c r="M101" i="7"/>
  <c r="J101" i="7"/>
  <c r="G101" i="7"/>
  <c r="E101" i="7"/>
  <c r="C101" i="7"/>
  <c r="V100" i="7"/>
  <c r="S100" i="7"/>
  <c r="P100" i="7"/>
  <c r="M100" i="7"/>
  <c r="J100" i="7"/>
  <c r="G100" i="7"/>
  <c r="E100" i="7"/>
  <c r="C100" i="7"/>
  <c r="V99" i="7"/>
  <c r="S99" i="7"/>
  <c r="P99" i="7"/>
  <c r="M99" i="7"/>
  <c r="J99" i="7"/>
  <c r="G99" i="7"/>
  <c r="E99" i="7"/>
  <c r="C99" i="7"/>
  <c r="V98" i="7"/>
  <c r="S98" i="7"/>
  <c r="P98" i="7"/>
  <c r="M98" i="7"/>
  <c r="J98" i="7"/>
  <c r="G98" i="7"/>
  <c r="E98" i="7"/>
  <c r="C98" i="7"/>
  <c r="V97" i="7"/>
  <c r="S97" i="7"/>
  <c r="P97" i="7"/>
  <c r="M97" i="7"/>
  <c r="J97" i="7"/>
  <c r="G97" i="7"/>
  <c r="E97" i="7"/>
  <c r="C97" i="7"/>
  <c r="V96" i="7"/>
  <c r="S96" i="7"/>
  <c r="P96" i="7"/>
  <c r="M96" i="7"/>
  <c r="J96" i="7"/>
  <c r="G96" i="7"/>
  <c r="E96" i="7"/>
  <c r="C96" i="7"/>
  <c r="V95" i="7"/>
  <c r="S95" i="7"/>
  <c r="P95" i="7"/>
  <c r="M95" i="7"/>
  <c r="J95" i="7"/>
  <c r="G95" i="7"/>
  <c r="E95" i="7"/>
  <c r="C95" i="7"/>
  <c r="V94" i="7"/>
  <c r="S94" i="7"/>
  <c r="P94" i="7"/>
  <c r="M94" i="7"/>
  <c r="J94" i="7"/>
  <c r="G94" i="7"/>
  <c r="E94" i="7"/>
  <c r="C94" i="7"/>
  <c r="V93" i="7"/>
  <c r="S93" i="7"/>
  <c r="P93" i="7"/>
  <c r="M93" i="7"/>
  <c r="J93" i="7"/>
  <c r="G93" i="7"/>
  <c r="E93" i="7"/>
  <c r="C93" i="7"/>
  <c r="V92" i="7"/>
  <c r="S92" i="7"/>
  <c r="P92" i="7"/>
  <c r="M92" i="7"/>
  <c r="J92" i="7"/>
  <c r="G92" i="7"/>
  <c r="E92" i="7"/>
  <c r="C92" i="7"/>
  <c r="V91" i="7"/>
  <c r="S91" i="7"/>
  <c r="P91" i="7"/>
  <c r="M91" i="7"/>
  <c r="J91" i="7"/>
  <c r="G91" i="7"/>
  <c r="E91" i="7"/>
  <c r="C91" i="7"/>
  <c r="V90" i="7"/>
  <c r="S90" i="7"/>
  <c r="P90" i="7"/>
  <c r="M90" i="7"/>
  <c r="J90" i="7"/>
  <c r="G90" i="7"/>
  <c r="E90" i="7"/>
  <c r="C90" i="7"/>
  <c r="V89" i="7"/>
  <c r="S89" i="7"/>
  <c r="P89" i="7"/>
  <c r="M89" i="7"/>
  <c r="J89" i="7"/>
  <c r="G89" i="7"/>
  <c r="E89" i="7"/>
  <c r="C89" i="7"/>
  <c r="V88" i="7"/>
  <c r="S88" i="7"/>
  <c r="P88" i="7"/>
  <c r="M88" i="7"/>
  <c r="J88" i="7"/>
  <c r="G88" i="7"/>
  <c r="E88" i="7"/>
  <c r="C88" i="7"/>
  <c r="V87" i="7"/>
  <c r="S87" i="7"/>
  <c r="P87" i="7"/>
  <c r="M87" i="7"/>
  <c r="J87" i="7"/>
  <c r="G87" i="7"/>
  <c r="E87" i="7"/>
  <c r="C87" i="7"/>
  <c r="V86" i="7"/>
  <c r="S86" i="7"/>
  <c r="P86" i="7"/>
  <c r="M86" i="7"/>
  <c r="J86" i="7"/>
  <c r="G86" i="7"/>
  <c r="E86" i="7"/>
  <c r="C86" i="7"/>
  <c r="V85" i="7"/>
  <c r="S85" i="7"/>
  <c r="P85" i="7"/>
  <c r="M85" i="7"/>
  <c r="J85" i="7"/>
  <c r="G85" i="7"/>
  <c r="E85" i="7"/>
  <c r="C85" i="7"/>
  <c r="V84" i="7"/>
  <c r="S84" i="7"/>
  <c r="P84" i="7"/>
  <c r="M84" i="7"/>
  <c r="J84" i="7"/>
  <c r="G84" i="7"/>
  <c r="E84" i="7"/>
  <c r="C84" i="7"/>
  <c r="V83" i="7"/>
  <c r="S83" i="7"/>
  <c r="P83" i="7"/>
  <c r="M83" i="7"/>
  <c r="J83" i="7"/>
  <c r="G83" i="7"/>
  <c r="E83" i="7"/>
  <c r="C83" i="7"/>
  <c r="V82" i="7"/>
  <c r="S82" i="7"/>
  <c r="P82" i="7"/>
  <c r="M82" i="7"/>
  <c r="J82" i="7"/>
  <c r="G82" i="7"/>
  <c r="E82" i="7"/>
  <c r="C82" i="7"/>
  <c r="V81" i="7"/>
  <c r="S81" i="7"/>
  <c r="P81" i="7"/>
  <c r="M81" i="7"/>
  <c r="J81" i="7"/>
  <c r="G81" i="7"/>
  <c r="E81" i="7"/>
  <c r="C81" i="7"/>
  <c r="V80" i="7"/>
  <c r="S80" i="7"/>
  <c r="P80" i="7"/>
  <c r="M80" i="7"/>
  <c r="J80" i="7"/>
  <c r="G80" i="7"/>
  <c r="E80" i="7"/>
  <c r="C80" i="7"/>
  <c r="V79" i="7"/>
  <c r="S79" i="7"/>
  <c r="P79" i="7"/>
  <c r="M79" i="7"/>
  <c r="J79" i="7"/>
  <c r="G79" i="7"/>
  <c r="E79" i="7"/>
  <c r="C79" i="7"/>
  <c r="V78" i="7"/>
  <c r="S78" i="7"/>
  <c r="P78" i="7"/>
  <c r="M78" i="7"/>
  <c r="J78" i="7"/>
  <c r="G78" i="7"/>
  <c r="E78" i="7"/>
  <c r="C78" i="7"/>
  <c r="V77" i="7"/>
  <c r="S77" i="7"/>
  <c r="P77" i="7"/>
  <c r="M77" i="7"/>
  <c r="J77" i="7"/>
  <c r="G77" i="7"/>
  <c r="E77" i="7"/>
  <c r="C77" i="7"/>
  <c r="V76" i="7"/>
  <c r="S76" i="7"/>
  <c r="P76" i="7"/>
  <c r="M76" i="7"/>
  <c r="J76" i="7"/>
  <c r="G76" i="7"/>
  <c r="E76" i="7"/>
  <c r="C76" i="7"/>
  <c r="V75" i="7"/>
  <c r="S75" i="7"/>
  <c r="P75" i="7"/>
  <c r="M75" i="7"/>
  <c r="J75" i="7"/>
  <c r="G75" i="7"/>
  <c r="E75" i="7"/>
  <c r="C75" i="7"/>
  <c r="V74" i="7"/>
  <c r="S74" i="7"/>
  <c r="P74" i="7"/>
  <c r="M74" i="7"/>
  <c r="J74" i="7"/>
  <c r="G74" i="7"/>
  <c r="E74" i="7"/>
  <c r="C74" i="7"/>
  <c r="V73" i="7"/>
  <c r="S73" i="7"/>
  <c r="P73" i="7"/>
  <c r="M73" i="7"/>
  <c r="J73" i="7"/>
  <c r="G73" i="7"/>
  <c r="E73" i="7"/>
  <c r="C73" i="7"/>
  <c r="V72" i="7"/>
  <c r="S72" i="7"/>
  <c r="P72" i="7"/>
  <c r="M72" i="7"/>
  <c r="J72" i="7"/>
  <c r="G72" i="7"/>
  <c r="E72" i="7"/>
  <c r="C72" i="7"/>
  <c r="V71" i="7"/>
  <c r="S71" i="7"/>
  <c r="P71" i="7"/>
  <c r="M71" i="7"/>
  <c r="J71" i="7"/>
  <c r="G71" i="7"/>
  <c r="E71" i="7"/>
  <c r="C71" i="7"/>
  <c r="V70" i="7"/>
  <c r="S70" i="7"/>
  <c r="P70" i="7"/>
  <c r="M70" i="7"/>
  <c r="J70" i="7"/>
  <c r="G70" i="7"/>
  <c r="E70" i="7"/>
  <c r="C70" i="7"/>
  <c r="V69" i="7"/>
  <c r="S69" i="7"/>
  <c r="P69" i="7"/>
  <c r="M69" i="7"/>
  <c r="J69" i="7"/>
  <c r="G69" i="7"/>
  <c r="E69" i="7"/>
  <c r="C69" i="7"/>
  <c r="V68" i="7"/>
  <c r="S68" i="7"/>
  <c r="P68" i="7"/>
  <c r="M68" i="7"/>
  <c r="J68" i="7"/>
  <c r="G68" i="7"/>
  <c r="E68" i="7"/>
  <c r="C68" i="7"/>
  <c r="V67" i="7"/>
  <c r="S67" i="7"/>
  <c r="P67" i="7"/>
  <c r="M67" i="7"/>
  <c r="J67" i="7"/>
  <c r="G67" i="7"/>
  <c r="E67" i="7"/>
  <c r="C67" i="7"/>
  <c r="V66" i="7"/>
  <c r="S66" i="7"/>
  <c r="P66" i="7"/>
  <c r="M66" i="7"/>
  <c r="J66" i="7"/>
  <c r="G66" i="7"/>
  <c r="E66" i="7"/>
  <c r="C66" i="7"/>
  <c r="V65" i="7"/>
  <c r="S65" i="7"/>
  <c r="P65" i="7"/>
  <c r="M65" i="7"/>
  <c r="J65" i="7"/>
  <c r="G65" i="7"/>
  <c r="E65" i="7"/>
  <c r="C65" i="7"/>
  <c r="V64" i="7"/>
  <c r="S64" i="7"/>
  <c r="P64" i="7"/>
  <c r="M64" i="7"/>
  <c r="J64" i="7"/>
  <c r="G64" i="7"/>
  <c r="E64" i="7"/>
  <c r="C64" i="7"/>
  <c r="V63" i="7"/>
  <c r="S63" i="7"/>
  <c r="P63" i="7"/>
  <c r="M63" i="7"/>
  <c r="J63" i="7"/>
  <c r="G63" i="7"/>
  <c r="E63" i="7"/>
  <c r="C63" i="7"/>
  <c r="V62" i="7"/>
  <c r="S62" i="7"/>
  <c r="P62" i="7"/>
  <c r="M62" i="7"/>
  <c r="J62" i="7"/>
  <c r="G62" i="7"/>
  <c r="E62" i="7"/>
  <c r="C62" i="7"/>
  <c r="V61" i="7"/>
  <c r="S61" i="7"/>
  <c r="P61" i="7"/>
  <c r="M61" i="7"/>
  <c r="J61" i="7"/>
  <c r="G61" i="7"/>
  <c r="E61" i="7"/>
  <c r="C61" i="7"/>
  <c r="V60" i="7"/>
  <c r="S60" i="7"/>
  <c r="P60" i="7"/>
  <c r="M60" i="7"/>
  <c r="J60" i="7"/>
  <c r="G60" i="7"/>
  <c r="E60" i="7"/>
  <c r="C60" i="7"/>
  <c r="V59" i="7"/>
  <c r="S59" i="7"/>
  <c r="P59" i="7"/>
  <c r="M59" i="7"/>
  <c r="J59" i="7"/>
  <c r="G59" i="7"/>
  <c r="E59" i="7"/>
  <c r="C59" i="7"/>
  <c r="V58" i="7"/>
  <c r="S58" i="7"/>
  <c r="P58" i="7"/>
  <c r="M58" i="7"/>
  <c r="J58" i="7"/>
  <c r="G58" i="7"/>
  <c r="E58" i="7"/>
  <c r="C58" i="7"/>
  <c r="V57" i="7"/>
  <c r="S57" i="7"/>
  <c r="P57" i="7"/>
  <c r="M57" i="7"/>
  <c r="J57" i="7"/>
  <c r="G57" i="7"/>
  <c r="E57" i="7"/>
  <c r="C57" i="7"/>
  <c r="V56" i="7"/>
  <c r="S56" i="7"/>
  <c r="P56" i="7"/>
  <c r="R56" i="7" s="1"/>
  <c r="M56" i="7"/>
  <c r="J56" i="7"/>
  <c r="G56" i="7"/>
  <c r="E56" i="7"/>
  <c r="C56" i="7"/>
  <c r="V55" i="7"/>
  <c r="S55" i="7"/>
  <c r="P55" i="7"/>
  <c r="M55" i="7"/>
  <c r="J55" i="7"/>
  <c r="G55" i="7"/>
  <c r="E55" i="7"/>
  <c r="C55" i="7"/>
  <c r="V54" i="7"/>
  <c r="S54" i="7"/>
  <c r="P54" i="7"/>
  <c r="R54" i="7" s="1"/>
  <c r="M54" i="7"/>
  <c r="J54" i="7"/>
  <c r="G54" i="7"/>
  <c r="E54" i="7"/>
  <c r="C54" i="7"/>
  <c r="V53" i="7"/>
  <c r="S53" i="7"/>
  <c r="P53" i="7"/>
  <c r="M53" i="7"/>
  <c r="J53" i="7"/>
  <c r="G53" i="7"/>
  <c r="E53" i="7"/>
  <c r="C53" i="7"/>
  <c r="V52" i="7"/>
  <c r="S52" i="7"/>
  <c r="P52" i="7"/>
  <c r="R52" i="7" s="1"/>
  <c r="M52" i="7"/>
  <c r="J52" i="7"/>
  <c r="G52" i="7"/>
  <c r="E52" i="7"/>
  <c r="C52" i="7"/>
  <c r="V51" i="7"/>
  <c r="S51" i="7"/>
  <c r="P51" i="7"/>
  <c r="M51" i="7"/>
  <c r="J51" i="7"/>
  <c r="G51" i="7"/>
  <c r="E51" i="7"/>
  <c r="C51" i="7"/>
  <c r="V50" i="7"/>
  <c r="S50" i="7"/>
  <c r="P50" i="7"/>
  <c r="R50" i="7" s="1"/>
  <c r="M50" i="7"/>
  <c r="J50" i="7"/>
  <c r="G50" i="7"/>
  <c r="E50" i="7"/>
  <c r="C50" i="7"/>
  <c r="V49" i="7"/>
  <c r="S49" i="7"/>
  <c r="P49" i="7"/>
  <c r="M49" i="7"/>
  <c r="J49" i="7"/>
  <c r="G49" i="7"/>
  <c r="E49" i="7"/>
  <c r="C49" i="7"/>
  <c r="V48" i="7"/>
  <c r="S48" i="7"/>
  <c r="P48" i="7"/>
  <c r="R48" i="7" s="1"/>
  <c r="M48" i="7"/>
  <c r="J48" i="7"/>
  <c r="G48" i="7"/>
  <c r="E48" i="7"/>
  <c r="C48" i="7"/>
  <c r="V47" i="7"/>
  <c r="S47" i="7"/>
  <c r="P47" i="7"/>
  <c r="M47" i="7"/>
  <c r="J47" i="7"/>
  <c r="G47" i="7"/>
  <c r="E47" i="7"/>
  <c r="C47" i="7"/>
  <c r="V46" i="7"/>
  <c r="S46" i="7"/>
  <c r="P46" i="7"/>
  <c r="R46" i="7" s="1"/>
  <c r="M46" i="7"/>
  <c r="J46" i="7"/>
  <c r="G46" i="7"/>
  <c r="E46" i="7"/>
  <c r="C46" i="7"/>
  <c r="V45" i="7"/>
  <c r="S45" i="7"/>
  <c r="P45" i="7"/>
  <c r="M45" i="7"/>
  <c r="J45" i="7"/>
  <c r="G45" i="7"/>
  <c r="E45" i="7"/>
  <c r="C45" i="7"/>
  <c r="V44" i="7"/>
  <c r="S44" i="7"/>
  <c r="P44" i="7"/>
  <c r="R44" i="7" s="1"/>
  <c r="M44" i="7"/>
  <c r="J44" i="7"/>
  <c r="G44" i="7"/>
  <c r="E44" i="7"/>
  <c r="C44" i="7"/>
  <c r="V43" i="7"/>
  <c r="S43" i="7"/>
  <c r="P43" i="7"/>
  <c r="M43" i="7"/>
  <c r="J43" i="7"/>
  <c r="G43" i="7"/>
  <c r="E43" i="7"/>
  <c r="C43" i="7"/>
  <c r="V42" i="7"/>
  <c r="S42" i="7"/>
  <c r="P42" i="7"/>
  <c r="R42" i="7" s="1"/>
  <c r="M42" i="7"/>
  <c r="J42" i="7"/>
  <c r="G42" i="7"/>
  <c r="E42" i="7"/>
  <c r="C42" i="7"/>
  <c r="V41" i="7"/>
  <c r="S41" i="7"/>
  <c r="P41" i="7"/>
  <c r="M41" i="7"/>
  <c r="J41" i="7"/>
  <c r="G41" i="7"/>
  <c r="E41" i="7"/>
  <c r="C41" i="7"/>
  <c r="V40" i="7"/>
  <c r="S40" i="7"/>
  <c r="P40" i="7"/>
  <c r="R40" i="7" s="1"/>
  <c r="M40" i="7"/>
  <c r="J40" i="7"/>
  <c r="G40" i="7"/>
  <c r="E40" i="7"/>
  <c r="C40" i="7"/>
  <c r="V39" i="7"/>
  <c r="S39" i="7"/>
  <c r="P39" i="7"/>
  <c r="M39" i="7"/>
  <c r="J39" i="7"/>
  <c r="G39" i="7"/>
  <c r="E39" i="7"/>
  <c r="C39" i="7"/>
  <c r="V38" i="7"/>
  <c r="S38" i="7"/>
  <c r="P38" i="7"/>
  <c r="R38" i="7" s="1"/>
  <c r="M38" i="7"/>
  <c r="J38" i="7"/>
  <c r="G38" i="7"/>
  <c r="E38" i="7"/>
  <c r="C38" i="7"/>
  <c r="V37" i="7"/>
  <c r="S37" i="7"/>
  <c r="P37" i="7"/>
  <c r="M37" i="7"/>
  <c r="J37" i="7"/>
  <c r="G37" i="7"/>
  <c r="E37" i="7"/>
  <c r="C37" i="7"/>
  <c r="V36" i="7"/>
  <c r="S36" i="7"/>
  <c r="P36" i="7"/>
  <c r="R36" i="7" s="1"/>
  <c r="M36" i="7"/>
  <c r="J36" i="7"/>
  <c r="G36" i="7"/>
  <c r="E36" i="7"/>
  <c r="C36" i="7"/>
  <c r="V35" i="7"/>
  <c r="S35" i="7"/>
  <c r="P35" i="7"/>
  <c r="M35" i="7"/>
  <c r="J35" i="7"/>
  <c r="G35" i="7"/>
  <c r="E35" i="7"/>
  <c r="C35" i="7"/>
  <c r="V34" i="7"/>
  <c r="S34" i="7"/>
  <c r="P34" i="7"/>
  <c r="R34" i="7" s="1"/>
  <c r="M34" i="7"/>
  <c r="J34" i="7"/>
  <c r="G34" i="7"/>
  <c r="E34" i="7"/>
  <c r="C34" i="7"/>
  <c r="V33" i="7"/>
  <c r="S33" i="7"/>
  <c r="P33" i="7"/>
  <c r="M33" i="7"/>
  <c r="J33" i="7"/>
  <c r="G33" i="7"/>
  <c r="E33" i="7"/>
  <c r="C33" i="7"/>
  <c r="V32" i="7"/>
  <c r="S32" i="7"/>
  <c r="P32" i="7"/>
  <c r="R32" i="7" s="1"/>
  <c r="M32" i="7"/>
  <c r="J32" i="7"/>
  <c r="G32" i="7"/>
  <c r="E32" i="7"/>
  <c r="C32" i="7"/>
  <c r="V31" i="7"/>
  <c r="S31" i="7"/>
  <c r="P31" i="7"/>
  <c r="M31" i="7"/>
  <c r="J31" i="7"/>
  <c r="G31" i="7"/>
  <c r="E31" i="7"/>
  <c r="C31" i="7"/>
  <c r="V30" i="7"/>
  <c r="S30" i="7"/>
  <c r="P30" i="7"/>
  <c r="R30" i="7" s="1"/>
  <c r="M30" i="7"/>
  <c r="J30" i="7"/>
  <c r="G30" i="7"/>
  <c r="E30" i="7"/>
  <c r="C30" i="7"/>
  <c r="V29" i="7"/>
  <c r="S29" i="7"/>
  <c r="P29" i="7"/>
  <c r="M29" i="7"/>
  <c r="J29" i="7"/>
  <c r="G29" i="7"/>
  <c r="E29" i="7"/>
  <c r="C29" i="7"/>
  <c r="V28" i="7"/>
  <c r="S28" i="7"/>
  <c r="P28" i="7"/>
  <c r="R28" i="7" s="1"/>
  <c r="M28" i="7"/>
  <c r="J28" i="7"/>
  <c r="G28" i="7"/>
  <c r="E28" i="7"/>
  <c r="C28" i="7"/>
  <c r="V27" i="7"/>
  <c r="S27" i="7"/>
  <c r="P27" i="7"/>
  <c r="M27" i="7"/>
  <c r="J27" i="7"/>
  <c r="G27" i="7"/>
  <c r="E27" i="7"/>
  <c r="C27" i="7"/>
  <c r="V26" i="7"/>
  <c r="S26" i="7"/>
  <c r="P26" i="7"/>
  <c r="R26" i="7" s="1"/>
  <c r="M26" i="7"/>
  <c r="J26" i="7"/>
  <c r="G26" i="7"/>
  <c r="E26" i="7"/>
  <c r="C26" i="7"/>
  <c r="V25" i="7"/>
  <c r="S25" i="7"/>
  <c r="P25" i="7"/>
  <c r="M25" i="7"/>
  <c r="J25" i="7"/>
  <c r="G25" i="7"/>
  <c r="E25" i="7"/>
  <c r="C25" i="7"/>
  <c r="V24" i="7"/>
  <c r="S24" i="7"/>
  <c r="P24" i="7"/>
  <c r="R24" i="7" s="1"/>
  <c r="M24" i="7"/>
  <c r="J24" i="7"/>
  <c r="G24" i="7"/>
  <c r="E24" i="7"/>
  <c r="C24" i="7"/>
  <c r="V23" i="7"/>
  <c r="S23" i="7"/>
  <c r="P23" i="7"/>
  <c r="M23" i="7"/>
  <c r="J23" i="7"/>
  <c r="G23" i="7"/>
  <c r="E23" i="7"/>
  <c r="C23" i="7"/>
  <c r="V22" i="7"/>
  <c r="S22" i="7"/>
  <c r="P22" i="7"/>
  <c r="R22" i="7" s="1"/>
  <c r="M22" i="7"/>
  <c r="J22" i="7"/>
  <c r="G22" i="7"/>
  <c r="E22" i="7"/>
  <c r="C22" i="7"/>
  <c r="V21" i="7"/>
  <c r="S21" i="7"/>
  <c r="P21" i="7"/>
  <c r="M21" i="7"/>
  <c r="J21" i="7"/>
  <c r="G21" i="7"/>
  <c r="E21" i="7"/>
  <c r="C21" i="7"/>
  <c r="V20" i="7"/>
  <c r="S20" i="7"/>
  <c r="P20" i="7"/>
  <c r="R20" i="7" s="1"/>
  <c r="M20" i="7"/>
  <c r="J20" i="7"/>
  <c r="G20" i="7"/>
  <c r="E20" i="7"/>
  <c r="C20" i="7"/>
  <c r="V19" i="7"/>
  <c r="S19" i="7"/>
  <c r="P19" i="7"/>
  <c r="M19" i="7"/>
  <c r="J19" i="7"/>
  <c r="G19" i="7"/>
  <c r="E19" i="7"/>
  <c r="C19" i="7"/>
  <c r="V18" i="7"/>
  <c r="S18" i="7"/>
  <c r="P18" i="7"/>
  <c r="R18" i="7" s="1"/>
  <c r="M18" i="7"/>
  <c r="J18" i="7"/>
  <c r="G18" i="7"/>
  <c r="E18" i="7"/>
  <c r="C18" i="7"/>
  <c r="V17" i="7"/>
  <c r="S17" i="7"/>
  <c r="P17" i="7"/>
  <c r="M17" i="7"/>
  <c r="J17" i="7"/>
  <c r="G17" i="7"/>
  <c r="E17" i="7"/>
  <c r="C17" i="7"/>
  <c r="V16" i="7"/>
  <c r="S16" i="7"/>
  <c r="P16" i="7"/>
  <c r="R16" i="7" s="1"/>
  <c r="M16" i="7"/>
  <c r="J16" i="7"/>
  <c r="G16" i="7"/>
  <c r="E16" i="7"/>
  <c r="C16" i="7"/>
  <c r="V15" i="7"/>
  <c r="S15" i="7"/>
  <c r="P15" i="7"/>
  <c r="M15" i="7"/>
  <c r="J15" i="7"/>
  <c r="G15" i="7"/>
  <c r="E15" i="7"/>
  <c r="C15" i="7"/>
  <c r="V14" i="7"/>
  <c r="S14" i="7"/>
  <c r="P14" i="7"/>
  <c r="R14" i="7" s="1"/>
  <c r="M14" i="7"/>
  <c r="J14" i="7"/>
  <c r="G14" i="7"/>
  <c r="E14" i="7"/>
  <c r="C14" i="7"/>
  <c r="V13" i="7"/>
  <c r="S13" i="7"/>
  <c r="P13" i="7"/>
  <c r="M13" i="7"/>
  <c r="J13" i="7"/>
  <c r="G13" i="7"/>
  <c r="E13" i="7"/>
  <c r="C13" i="7"/>
  <c r="V12" i="7"/>
  <c r="S12" i="7"/>
  <c r="P12" i="7"/>
  <c r="R12" i="7" s="1"/>
  <c r="M12" i="7"/>
  <c r="J12" i="7"/>
  <c r="G12" i="7"/>
  <c r="E12" i="7"/>
  <c r="C12" i="7"/>
  <c r="V11" i="7"/>
  <c r="S11" i="7"/>
  <c r="P11" i="7"/>
  <c r="M11" i="7"/>
  <c r="J11" i="7"/>
  <c r="G11" i="7"/>
  <c r="E11" i="7"/>
  <c r="C11" i="7"/>
  <c r="V10" i="7"/>
  <c r="S10" i="7"/>
  <c r="P10" i="7"/>
  <c r="R10" i="7" s="1"/>
  <c r="M10" i="7"/>
  <c r="J10" i="7"/>
  <c r="G10" i="7"/>
  <c r="E10" i="7"/>
  <c r="C10" i="7"/>
  <c r="V9" i="7"/>
  <c r="S9" i="7"/>
  <c r="P9" i="7"/>
  <c r="M9" i="7"/>
  <c r="J9" i="7"/>
  <c r="G9" i="7"/>
  <c r="E9" i="7"/>
  <c r="C9" i="7"/>
  <c r="V8" i="7"/>
  <c r="S8" i="7"/>
  <c r="P8" i="7"/>
  <c r="P203" i="7" s="1"/>
  <c r="M8" i="7"/>
  <c r="M203" i="7" s="1"/>
  <c r="J8" i="7"/>
  <c r="G8" i="7"/>
  <c r="E8" i="7"/>
  <c r="E203" i="7" s="1"/>
  <c r="C8" i="7"/>
  <c r="C203" i="7" s="1"/>
  <c r="R3" i="7"/>
  <c r="R2" i="7"/>
  <c r="O2" i="7"/>
  <c r="O3" i="7" s="1"/>
  <c r="I384" i="9" l="1"/>
  <c r="O10" i="7"/>
  <c r="O12" i="7"/>
  <c r="O14" i="7"/>
  <c r="O16" i="7"/>
  <c r="O18" i="7"/>
  <c r="O20" i="7"/>
  <c r="O22" i="7"/>
  <c r="O24" i="7"/>
  <c r="O26" i="7"/>
  <c r="O28" i="7"/>
  <c r="O30" i="7"/>
  <c r="O32" i="7"/>
  <c r="O34" i="7"/>
  <c r="O36" i="7"/>
  <c r="O38" i="7"/>
  <c r="O40" i="7"/>
  <c r="O42" i="7"/>
  <c r="O44" i="7"/>
  <c r="O46" i="7"/>
  <c r="O48" i="7"/>
  <c r="O50" i="7"/>
  <c r="O52" i="7"/>
  <c r="O54" i="7"/>
  <c r="O56" i="7"/>
  <c r="O57" i="7"/>
  <c r="O200" i="7"/>
  <c r="O196" i="7"/>
  <c r="O192" i="7"/>
  <c r="O188" i="7"/>
  <c r="O183" i="7"/>
  <c r="O179" i="7"/>
  <c r="O175" i="7"/>
  <c r="O171" i="7"/>
  <c r="O167" i="7"/>
  <c r="O162" i="7"/>
  <c r="O156" i="7"/>
  <c r="O152" i="7"/>
  <c r="O148" i="7"/>
  <c r="O144" i="7"/>
  <c r="O140" i="7"/>
  <c r="O199" i="7"/>
  <c r="O178" i="7"/>
  <c r="O174" i="7"/>
  <c r="O194" i="7"/>
  <c r="O185" i="7"/>
  <c r="O181" i="7"/>
  <c r="O137" i="7"/>
  <c r="O136" i="7"/>
  <c r="O128" i="7"/>
  <c r="O124" i="7"/>
  <c r="O119" i="7"/>
  <c r="O115" i="7"/>
  <c r="O111" i="7"/>
  <c r="O107" i="7"/>
  <c r="O103" i="7"/>
  <c r="O99" i="7"/>
  <c r="O95" i="7"/>
  <c r="O91" i="7"/>
  <c r="O87" i="7"/>
  <c r="O83" i="7"/>
  <c r="O79" i="7"/>
  <c r="O75" i="7"/>
  <c r="O71" i="7"/>
  <c r="O67" i="7"/>
  <c r="O126" i="7"/>
  <c r="O121" i="7"/>
  <c r="O117" i="7"/>
  <c r="O113" i="7"/>
  <c r="O109" i="7"/>
  <c r="O105" i="7"/>
  <c r="O101" i="7"/>
  <c r="O97" i="7"/>
  <c r="O93" i="7"/>
  <c r="O89" i="7"/>
  <c r="O85" i="7"/>
  <c r="O81" i="7"/>
  <c r="O77" i="7"/>
  <c r="O73" i="7"/>
  <c r="O69" i="7"/>
  <c r="O65" i="7"/>
  <c r="O63" i="7"/>
  <c r="O53" i="7"/>
  <c r="O49" i="7"/>
  <c r="O45" i="7"/>
  <c r="O41" i="7"/>
  <c r="O37" i="7"/>
  <c r="O33" i="7"/>
  <c r="O29" i="7"/>
  <c r="O25" i="7"/>
  <c r="O21" i="7"/>
  <c r="O17" i="7"/>
  <c r="O13" i="7"/>
  <c r="O9" i="7"/>
  <c r="O61" i="7"/>
  <c r="O59" i="7"/>
  <c r="O55" i="7"/>
  <c r="O51" i="7"/>
  <c r="O47" i="7"/>
  <c r="O43" i="7"/>
  <c r="O39" i="7"/>
  <c r="O35" i="7"/>
  <c r="O31" i="7"/>
  <c r="O27" i="7"/>
  <c r="O23" i="7"/>
  <c r="O19" i="7"/>
  <c r="O15" i="7"/>
  <c r="O11" i="7"/>
  <c r="R198" i="7"/>
  <c r="R194" i="7"/>
  <c r="R190" i="7"/>
  <c r="R186" i="7"/>
  <c r="R185" i="7"/>
  <c r="R181" i="7"/>
  <c r="R177" i="7"/>
  <c r="R173" i="7"/>
  <c r="R169" i="7"/>
  <c r="R165" i="7"/>
  <c r="R159" i="7"/>
  <c r="R158" i="7"/>
  <c r="R154" i="7"/>
  <c r="R150" i="7"/>
  <c r="R146" i="7"/>
  <c r="R142" i="7"/>
  <c r="R201" i="7"/>
  <c r="R197" i="7"/>
  <c r="R180" i="7"/>
  <c r="R135" i="7"/>
  <c r="R130" i="7"/>
  <c r="R126" i="7"/>
  <c r="R121" i="7"/>
  <c r="R117" i="7"/>
  <c r="R113" i="7"/>
  <c r="R109" i="7"/>
  <c r="R105" i="7"/>
  <c r="R101" i="7"/>
  <c r="R97" i="7"/>
  <c r="R93" i="7"/>
  <c r="R89" i="7"/>
  <c r="R85" i="7"/>
  <c r="R81" i="7"/>
  <c r="R77" i="7"/>
  <c r="R73" i="7"/>
  <c r="R69" i="7"/>
  <c r="R124" i="7"/>
  <c r="R119" i="7"/>
  <c r="R115" i="7"/>
  <c r="R111" i="7"/>
  <c r="R107" i="7"/>
  <c r="R103" i="7"/>
  <c r="R99" i="7"/>
  <c r="R95" i="7"/>
  <c r="R91" i="7"/>
  <c r="R87" i="7"/>
  <c r="R83" i="7"/>
  <c r="R79" i="7"/>
  <c r="R75" i="7"/>
  <c r="R71" i="7"/>
  <c r="R67" i="7"/>
  <c r="R9" i="7"/>
  <c r="R13" i="7"/>
  <c r="R17" i="7"/>
  <c r="R21" i="7"/>
  <c r="R25" i="7"/>
  <c r="R29" i="7"/>
  <c r="R33" i="7"/>
  <c r="R37" i="7"/>
  <c r="R41" i="7"/>
  <c r="R45" i="7"/>
  <c r="R49" i="7"/>
  <c r="R53" i="7"/>
  <c r="R57" i="7"/>
  <c r="R62" i="7"/>
  <c r="R63" i="7"/>
  <c r="O64" i="7"/>
  <c r="O8" i="7"/>
  <c r="O58" i="7"/>
  <c r="R64" i="7"/>
  <c r="O123" i="7"/>
  <c r="O125" i="7"/>
  <c r="O127" i="7"/>
  <c r="O129" i="7"/>
  <c r="O130" i="7"/>
  <c r="O131" i="7"/>
  <c r="O132" i="7"/>
  <c r="O134" i="7"/>
  <c r="O135" i="7"/>
  <c r="R11" i="7"/>
  <c r="R15" i="7"/>
  <c r="R19" i="7"/>
  <c r="R23" i="7"/>
  <c r="R27" i="7"/>
  <c r="R31" i="7"/>
  <c r="R35" i="7"/>
  <c r="R39" i="7"/>
  <c r="R43" i="7"/>
  <c r="R47" i="7"/>
  <c r="R51" i="7"/>
  <c r="R55" i="7"/>
  <c r="R58" i="7"/>
  <c r="R59" i="7"/>
  <c r="O60" i="7"/>
  <c r="O66" i="7"/>
  <c r="O68" i="7"/>
  <c r="O70" i="7"/>
  <c r="O72" i="7"/>
  <c r="O74" i="7"/>
  <c r="O76" i="7"/>
  <c r="O78" i="7"/>
  <c r="O80" i="7"/>
  <c r="O82" i="7"/>
  <c r="O84" i="7"/>
  <c r="O86" i="7"/>
  <c r="O88" i="7"/>
  <c r="O90" i="7"/>
  <c r="O92" i="7"/>
  <c r="O94" i="7"/>
  <c r="O96" i="7"/>
  <c r="O98" i="7"/>
  <c r="O100" i="7"/>
  <c r="O102" i="7"/>
  <c r="O104" i="7"/>
  <c r="O106" i="7"/>
  <c r="O108" i="7"/>
  <c r="O110" i="7"/>
  <c r="O112" i="7"/>
  <c r="O114" i="7"/>
  <c r="O116" i="7"/>
  <c r="O118" i="7"/>
  <c r="O120" i="7"/>
  <c r="O122" i="7"/>
  <c r="R123" i="7"/>
  <c r="R125" i="7"/>
  <c r="R127" i="7"/>
  <c r="R128" i="7"/>
  <c r="R129" i="7"/>
  <c r="R131" i="7"/>
  <c r="O133" i="7"/>
  <c r="R134" i="7"/>
  <c r="R136" i="7"/>
  <c r="R137" i="7"/>
  <c r="R8" i="7"/>
  <c r="R60" i="7"/>
  <c r="R61" i="7"/>
  <c r="O62" i="7"/>
  <c r="R65" i="7"/>
  <c r="R66" i="7"/>
  <c r="R68" i="7"/>
  <c r="R70" i="7"/>
  <c r="R72" i="7"/>
  <c r="R74" i="7"/>
  <c r="R76" i="7"/>
  <c r="R78" i="7"/>
  <c r="R80" i="7"/>
  <c r="R82" i="7"/>
  <c r="R84" i="7"/>
  <c r="R86" i="7"/>
  <c r="R88" i="7"/>
  <c r="R90" i="7"/>
  <c r="R92" i="7"/>
  <c r="R94" i="7"/>
  <c r="R96" i="7"/>
  <c r="R98" i="7"/>
  <c r="R100" i="7"/>
  <c r="R102" i="7"/>
  <c r="R104" i="7"/>
  <c r="R106" i="7"/>
  <c r="R108" i="7"/>
  <c r="R110" i="7"/>
  <c r="R112" i="7"/>
  <c r="R114" i="7"/>
  <c r="R116" i="7"/>
  <c r="R118" i="7"/>
  <c r="R120" i="7"/>
  <c r="R122" i="7"/>
  <c r="R132" i="7"/>
  <c r="R133" i="7"/>
  <c r="J132" i="7"/>
  <c r="V132" i="7"/>
  <c r="V203" i="7" s="1"/>
  <c r="X2" i="7" s="1"/>
  <c r="X3" i="7" s="1"/>
  <c r="O159" i="7"/>
  <c r="O160" i="7"/>
  <c r="R161" i="7"/>
  <c r="R162" i="7"/>
  <c r="R163" i="7"/>
  <c r="G132" i="7"/>
  <c r="S132" i="7"/>
  <c r="O138" i="7"/>
  <c r="O139" i="7"/>
  <c r="O141" i="7"/>
  <c r="O142" i="7"/>
  <c r="O143" i="7"/>
  <c r="O145" i="7"/>
  <c r="O146" i="7"/>
  <c r="O147" i="7"/>
  <c r="O149" i="7"/>
  <c r="O150" i="7"/>
  <c r="O151" i="7"/>
  <c r="O153" i="7"/>
  <c r="O154" i="7"/>
  <c r="O155" i="7"/>
  <c r="O157" i="7"/>
  <c r="O158" i="7"/>
  <c r="R160" i="7"/>
  <c r="O186" i="7"/>
  <c r="O187" i="7"/>
  <c r="O189" i="7"/>
  <c r="O190" i="7"/>
  <c r="O191" i="7"/>
  <c r="O193" i="7"/>
  <c r="O195" i="7"/>
  <c r="O197" i="7"/>
  <c r="O198" i="7"/>
  <c r="O201" i="7"/>
  <c r="O202" i="7"/>
  <c r="R138" i="7"/>
  <c r="R139" i="7"/>
  <c r="R140" i="7"/>
  <c r="R141" i="7"/>
  <c r="R143" i="7"/>
  <c r="R144" i="7"/>
  <c r="R145" i="7"/>
  <c r="R147" i="7"/>
  <c r="R148" i="7"/>
  <c r="R149" i="7"/>
  <c r="R151" i="7"/>
  <c r="R152" i="7"/>
  <c r="R153" i="7"/>
  <c r="R155" i="7"/>
  <c r="R156" i="7"/>
  <c r="R157" i="7"/>
  <c r="O164" i="7"/>
  <c r="O165" i="7"/>
  <c r="O166" i="7"/>
  <c r="O168" i="7"/>
  <c r="O169" i="7"/>
  <c r="O170" i="7"/>
  <c r="O172" i="7"/>
  <c r="O173" i="7"/>
  <c r="O176" i="7"/>
  <c r="O177" i="7"/>
  <c r="O180" i="7"/>
  <c r="O182" i="7"/>
  <c r="O184" i="7"/>
  <c r="R187" i="7"/>
  <c r="R188" i="7"/>
  <c r="R189" i="7"/>
  <c r="R191" i="7"/>
  <c r="R192" i="7"/>
  <c r="R193" i="7"/>
  <c r="R195" i="7"/>
  <c r="R196" i="7"/>
  <c r="R199" i="7"/>
  <c r="R200" i="7"/>
  <c r="R202" i="7"/>
  <c r="O161" i="7"/>
  <c r="O163" i="7"/>
  <c r="R164" i="7"/>
  <c r="R166" i="7"/>
  <c r="R167" i="7"/>
  <c r="R168" i="7"/>
  <c r="R170" i="7"/>
  <c r="R171" i="7"/>
  <c r="R172" i="7"/>
  <c r="R174" i="7"/>
  <c r="R175" i="7"/>
  <c r="R176" i="7"/>
  <c r="R178" i="7"/>
  <c r="R179" i="7"/>
  <c r="R182" i="7"/>
  <c r="R183" i="7"/>
  <c r="R184" i="7"/>
  <c r="O203" i="7" l="1"/>
  <c r="S203" i="7"/>
  <c r="U2" i="7" s="1"/>
  <c r="U3" i="7" s="1"/>
  <c r="R203" i="7"/>
  <c r="J203" i="7"/>
  <c r="L2" i="7" s="1"/>
  <c r="L3" i="7" s="1"/>
  <c r="L132" i="7" s="1"/>
  <c r="G203" i="7"/>
  <c r="I2" i="7" s="1"/>
  <c r="I3" i="7" s="1"/>
  <c r="I164" i="7" l="1"/>
  <c r="I200" i="7"/>
  <c r="I196" i="7"/>
  <c r="I192" i="7"/>
  <c r="I188" i="7"/>
  <c r="I183" i="7"/>
  <c r="I179" i="7"/>
  <c r="I175" i="7"/>
  <c r="I171" i="7"/>
  <c r="I167" i="7"/>
  <c r="I162" i="7"/>
  <c r="I156" i="7"/>
  <c r="I152" i="7"/>
  <c r="I148" i="7"/>
  <c r="I144" i="7"/>
  <c r="I140" i="7"/>
  <c r="I199" i="7"/>
  <c r="I178" i="7"/>
  <c r="I174" i="7"/>
  <c r="I161" i="7"/>
  <c r="I194" i="7"/>
  <c r="I186" i="7"/>
  <c r="I181" i="7"/>
  <c r="I159" i="7"/>
  <c r="I137" i="7"/>
  <c r="I128" i="7"/>
  <c r="I124" i="7"/>
  <c r="I119" i="7"/>
  <c r="I115" i="7"/>
  <c r="I111" i="7"/>
  <c r="I107" i="7"/>
  <c r="I103" i="7"/>
  <c r="I99" i="7"/>
  <c r="I95" i="7"/>
  <c r="I91" i="7"/>
  <c r="I87" i="7"/>
  <c r="I83" i="7"/>
  <c r="I79" i="7"/>
  <c r="I75" i="7"/>
  <c r="I71" i="7"/>
  <c r="I67" i="7"/>
  <c r="I123" i="7"/>
  <c r="I134" i="7"/>
  <c r="I126" i="7"/>
  <c r="I121" i="7"/>
  <c r="I117" i="7"/>
  <c r="I113" i="7"/>
  <c r="I109" i="7"/>
  <c r="I105" i="7"/>
  <c r="I101" i="7"/>
  <c r="I97" i="7"/>
  <c r="I93" i="7"/>
  <c r="I89" i="7"/>
  <c r="I85" i="7"/>
  <c r="I81" i="7"/>
  <c r="I77" i="7"/>
  <c r="I73" i="7"/>
  <c r="I69" i="7"/>
  <c r="I65" i="7"/>
  <c r="I63" i="7"/>
  <c r="I53" i="7"/>
  <c r="I49" i="7"/>
  <c r="I45" i="7"/>
  <c r="I41" i="7"/>
  <c r="I37" i="7"/>
  <c r="I33" i="7"/>
  <c r="I29" i="7"/>
  <c r="I25" i="7"/>
  <c r="I21" i="7"/>
  <c r="I17" i="7"/>
  <c r="I13" i="7"/>
  <c r="I9" i="7"/>
  <c r="I61" i="7"/>
  <c r="I59" i="7"/>
  <c r="I55" i="7"/>
  <c r="I51" i="7"/>
  <c r="I47" i="7"/>
  <c r="I43" i="7"/>
  <c r="I39" i="7"/>
  <c r="I35" i="7"/>
  <c r="I31" i="7"/>
  <c r="I27" i="7"/>
  <c r="I23" i="7"/>
  <c r="I19" i="7"/>
  <c r="I15" i="7"/>
  <c r="I11" i="7"/>
  <c r="I10" i="7"/>
  <c r="I14" i="7"/>
  <c r="I18" i="7"/>
  <c r="I22" i="7"/>
  <c r="I26" i="7"/>
  <c r="I30" i="7"/>
  <c r="I34" i="7"/>
  <c r="I38" i="7"/>
  <c r="I42" i="7"/>
  <c r="I46" i="7"/>
  <c r="I50" i="7"/>
  <c r="I54" i="7"/>
  <c r="I57" i="7"/>
  <c r="I60" i="7"/>
  <c r="I127" i="7"/>
  <c r="I130" i="7"/>
  <c r="I166" i="7"/>
  <c r="I169" i="7"/>
  <c r="I172" i="7"/>
  <c r="I176" i="7"/>
  <c r="I180" i="7"/>
  <c r="I189" i="7"/>
  <c r="I191" i="7"/>
  <c r="I195" i="7"/>
  <c r="I198" i="7"/>
  <c r="I66" i="7"/>
  <c r="I70" i="7"/>
  <c r="I74" i="7"/>
  <c r="I78" i="7"/>
  <c r="I82" i="7"/>
  <c r="I86" i="7"/>
  <c r="I90" i="7"/>
  <c r="I94" i="7"/>
  <c r="I98" i="7"/>
  <c r="I102" i="7"/>
  <c r="I106" i="7"/>
  <c r="I110" i="7"/>
  <c r="I114" i="7"/>
  <c r="I118" i="7"/>
  <c r="I122" i="7"/>
  <c r="I133" i="7"/>
  <c r="I136" i="7"/>
  <c r="I184" i="7"/>
  <c r="I139" i="7"/>
  <c r="I142" i="7"/>
  <c r="I145" i="7"/>
  <c r="I147" i="7"/>
  <c r="I150" i="7"/>
  <c r="I153" i="7"/>
  <c r="I155" i="7"/>
  <c r="I158" i="7"/>
  <c r="I12" i="7"/>
  <c r="I16" i="7"/>
  <c r="I20" i="7"/>
  <c r="I24" i="7"/>
  <c r="I28" i="7"/>
  <c r="I32" i="7"/>
  <c r="I36" i="7"/>
  <c r="I40" i="7"/>
  <c r="I44" i="7"/>
  <c r="I48" i="7"/>
  <c r="I52" i="7"/>
  <c r="I56" i="7"/>
  <c r="I8" i="7"/>
  <c r="I58" i="7"/>
  <c r="I125" i="7"/>
  <c r="I129" i="7"/>
  <c r="I131" i="7"/>
  <c r="I165" i="7"/>
  <c r="I168" i="7"/>
  <c r="I170" i="7"/>
  <c r="I173" i="7"/>
  <c r="I177" i="7"/>
  <c r="I163" i="7"/>
  <c r="I160" i="7"/>
  <c r="I187" i="7"/>
  <c r="I190" i="7"/>
  <c r="I193" i="7"/>
  <c r="I197" i="7"/>
  <c r="I201" i="7"/>
  <c r="I68" i="7"/>
  <c r="I72" i="7"/>
  <c r="I76" i="7"/>
  <c r="I80" i="7"/>
  <c r="I84" i="7"/>
  <c r="I88" i="7"/>
  <c r="I92" i="7"/>
  <c r="I96" i="7"/>
  <c r="I100" i="7"/>
  <c r="I104" i="7"/>
  <c r="I108" i="7"/>
  <c r="I112" i="7"/>
  <c r="I116" i="7"/>
  <c r="I120" i="7"/>
  <c r="I62" i="7"/>
  <c r="I64" i="7"/>
  <c r="I135" i="7"/>
  <c r="I182" i="7"/>
  <c r="I185" i="7"/>
  <c r="I138" i="7"/>
  <c r="I141" i="7"/>
  <c r="I143" i="7"/>
  <c r="I146" i="7"/>
  <c r="I149" i="7"/>
  <c r="I151" i="7"/>
  <c r="I154" i="7"/>
  <c r="I157" i="7"/>
  <c r="L198" i="7"/>
  <c r="L194" i="7"/>
  <c r="L190" i="7"/>
  <c r="L186" i="7"/>
  <c r="L185" i="7"/>
  <c r="L181" i="7"/>
  <c r="L177" i="7"/>
  <c r="L173" i="7"/>
  <c r="L169" i="7"/>
  <c r="L165" i="7"/>
  <c r="L159" i="7"/>
  <c r="L158" i="7"/>
  <c r="L154" i="7"/>
  <c r="L150" i="7"/>
  <c r="L146" i="7"/>
  <c r="L142" i="7"/>
  <c r="L201" i="7"/>
  <c r="L197" i="7"/>
  <c r="L180" i="7"/>
  <c r="L176" i="7"/>
  <c r="L196" i="7"/>
  <c r="L135" i="7"/>
  <c r="L130" i="7"/>
  <c r="L126" i="7"/>
  <c r="L121" i="7"/>
  <c r="L117" i="7"/>
  <c r="L113" i="7"/>
  <c r="L109" i="7"/>
  <c r="L105" i="7"/>
  <c r="L101" i="7"/>
  <c r="L97" i="7"/>
  <c r="L93" i="7"/>
  <c r="L89" i="7"/>
  <c r="L85" i="7"/>
  <c r="L81" i="7"/>
  <c r="L77" i="7"/>
  <c r="L73" i="7"/>
  <c r="L69" i="7"/>
  <c r="L124" i="7"/>
  <c r="L119" i="7"/>
  <c r="L115" i="7"/>
  <c r="L111" i="7"/>
  <c r="L107" i="7"/>
  <c r="L103" i="7"/>
  <c r="L99" i="7"/>
  <c r="L95" i="7"/>
  <c r="L91" i="7"/>
  <c r="L87" i="7"/>
  <c r="L83" i="7"/>
  <c r="L79" i="7"/>
  <c r="L75" i="7"/>
  <c r="L71" i="7"/>
  <c r="L67" i="7"/>
  <c r="L61" i="7"/>
  <c r="L59" i="7"/>
  <c r="L51" i="7"/>
  <c r="L47" i="7"/>
  <c r="L43" i="7"/>
  <c r="L39" i="7"/>
  <c r="L35" i="7"/>
  <c r="L31" i="7"/>
  <c r="L27" i="7"/>
  <c r="L23" i="7"/>
  <c r="L19" i="7"/>
  <c r="L15" i="7"/>
  <c r="L11" i="7"/>
  <c r="L65" i="7"/>
  <c r="L63" i="7"/>
  <c r="L58" i="7"/>
  <c r="L57" i="7"/>
  <c r="L53" i="7"/>
  <c r="L49" i="7"/>
  <c r="L45" i="7"/>
  <c r="L41" i="7"/>
  <c r="L37" i="7"/>
  <c r="L33" i="7"/>
  <c r="L29" i="7"/>
  <c r="L25" i="7"/>
  <c r="L21" i="7"/>
  <c r="L17" i="7"/>
  <c r="L13" i="7"/>
  <c r="L9" i="7"/>
  <c r="L14" i="7"/>
  <c r="L22" i="7"/>
  <c r="L30" i="7"/>
  <c r="L38" i="7"/>
  <c r="L46" i="7"/>
  <c r="L54" i="7"/>
  <c r="L125" i="7"/>
  <c r="L131" i="7"/>
  <c r="L136" i="7"/>
  <c r="L70" i="7"/>
  <c r="L78" i="7"/>
  <c r="L86" i="7"/>
  <c r="L94" i="7"/>
  <c r="L102" i="7"/>
  <c r="L110" i="7"/>
  <c r="L118" i="7"/>
  <c r="L8" i="7"/>
  <c r="L138" i="7"/>
  <c r="L143" i="7"/>
  <c r="L148" i="7"/>
  <c r="L153" i="7"/>
  <c r="L191" i="7"/>
  <c r="L199" i="7"/>
  <c r="L164" i="7"/>
  <c r="L170" i="7"/>
  <c r="L175" i="7"/>
  <c r="L183" i="7"/>
  <c r="L161" i="7"/>
  <c r="L16" i="7"/>
  <c r="L24" i="7"/>
  <c r="L32" i="7"/>
  <c r="L40" i="7"/>
  <c r="L48" i="7"/>
  <c r="L55" i="7"/>
  <c r="L127" i="7"/>
  <c r="L137" i="7"/>
  <c r="L72" i="7"/>
  <c r="L80" i="7"/>
  <c r="L88" i="7"/>
  <c r="L96" i="7"/>
  <c r="L104" i="7"/>
  <c r="L112" i="7"/>
  <c r="L120" i="7"/>
  <c r="L139" i="7"/>
  <c r="L144" i="7"/>
  <c r="L149" i="7"/>
  <c r="L155" i="7"/>
  <c r="L187" i="7"/>
  <c r="L192" i="7"/>
  <c r="L200" i="7"/>
  <c r="L166" i="7"/>
  <c r="L171" i="7"/>
  <c r="L178" i="7"/>
  <c r="L184" i="7"/>
  <c r="L162" i="7"/>
  <c r="L10" i="7"/>
  <c r="L18" i="7"/>
  <c r="L26" i="7"/>
  <c r="L34" i="7"/>
  <c r="L42" i="7"/>
  <c r="L50" i="7"/>
  <c r="L56" i="7"/>
  <c r="L128" i="7"/>
  <c r="L60" i="7"/>
  <c r="L66" i="7"/>
  <c r="L74" i="7"/>
  <c r="L82" i="7"/>
  <c r="L90" i="7"/>
  <c r="L98" i="7"/>
  <c r="L106" i="7"/>
  <c r="L114" i="7"/>
  <c r="L122" i="7"/>
  <c r="L133" i="7"/>
  <c r="L62" i="7"/>
  <c r="L64" i="7"/>
  <c r="L140" i="7"/>
  <c r="L145" i="7"/>
  <c r="L151" i="7"/>
  <c r="L156" i="7"/>
  <c r="L188" i="7"/>
  <c r="L193" i="7"/>
  <c r="L167" i="7"/>
  <c r="L172" i="7"/>
  <c r="L179" i="7"/>
  <c r="L163" i="7"/>
  <c r="L12" i="7"/>
  <c r="L20" i="7"/>
  <c r="L28" i="7"/>
  <c r="L36" i="7"/>
  <c r="L44" i="7"/>
  <c r="L52" i="7"/>
  <c r="L123" i="7"/>
  <c r="L129" i="7"/>
  <c r="L134" i="7"/>
  <c r="L68" i="7"/>
  <c r="L76" i="7"/>
  <c r="L84" i="7"/>
  <c r="L92" i="7"/>
  <c r="L100" i="7"/>
  <c r="L108" i="7"/>
  <c r="L116" i="7"/>
  <c r="L141" i="7"/>
  <c r="L147" i="7"/>
  <c r="L152" i="7"/>
  <c r="L157" i="7"/>
  <c r="L189" i="7"/>
  <c r="L195" i="7"/>
  <c r="L168" i="7"/>
  <c r="L174" i="7"/>
  <c r="L182" i="7"/>
  <c r="L160" i="7"/>
  <c r="I132" i="7"/>
  <c r="U200" i="7"/>
  <c r="U196" i="7"/>
  <c r="U192" i="7"/>
  <c r="U188" i="7"/>
  <c r="U183" i="7"/>
  <c r="U179" i="7"/>
  <c r="U175" i="7"/>
  <c r="U171" i="7"/>
  <c r="U167" i="7"/>
  <c r="U162" i="7"/>
  <c r="U156" i="7"/>
  <c r="U152" i="7"/>
  <c r="U148" i="7"/>
  <c r="U144" i="7"/>
  <c r="U140" i="7"/>
  <c r="U199" i="7"/>
  <c r="U178" i="7"/>
  <c r="U174" i="7"/>
  <c r="U194" i="7"/>
  <c r="U137" i="7"/>
  <c r="U136" i="7"/>
  <c r="U128" i="7"/>
  <c r="U124" i="7"/>
  <c r="U119" i="7"/>
  <c r="U115" i="7"/>
  <c r="U111" i="7"/>
  <c r="U107" i="7"/>
  <c r="U103" i="7"/>
  <c r="U99" i="7"/>
  <c r="U95" i="7"/>
  <c r="U91" i="7"/>
  <c r="U87" i="7"/>
  <c r="U83" i="7"/>
  <c r="U79" i="7"/>
  <c r="U75" i="7"/>
  <c r="U71" i="7"/>
  <c r="U67" i="7"/>
  <c r="U126" i="7"/>
  <c r="U121" i="7"/>
  <c r="U117" i="7"/>
  <c r="U113" i="7"/>
  <c r="U109" i="7"/>
  <c r="U105" i="7"/>
  <c r="U101" i="7"/>
  <c r="U97" i="7"/>
  <c r="U93" i="7"/>
  <c r="U89" i="7"/>
  <c r="U85" i="7"/>
  <c r="U81" i="7"/>
  <c r="U77" i="7"/>
  <c r="U73" i="7"/>
  <c r="U69" i="7"/>
  <c r="U65" i="7"/>
  <c r="U63" i="7"/>
  <c r="U53" i="7"/>
  <c r="U49" i="7"/>
  <c r="U45" i="7"/>
  <c r="U41" i="7"/>
  <c r="U37" i="7"/>
  <c r="U33" i="7"/>
  <c r="U29" i="7"/>
  <c r="U25" i="7"/>
  <c r="U21" i="7"/>
  <c r="U17" i="7"/>
  <c r="U13" i="7"/>
  <c r="U9" i="7"/>
  <c r="U61" i="7"/>
  <c r="U59" i="7"/>
  <c r="U55" i="7"/>
  <c r="U51" i="7"/>
  <c r="U47" i="7"/>
  <c r="U43" i="7"/>
  <c r="U39" i="7"/>
  <c r="U35" i="7"/>
  <c r="U31" i="7"/>
  <c r="U27" i="7"/>
  <c r="U23" i="7"/>
  <c r="U19" i="7"/>
  <c r="U15" i="7"/>
  <c r="U11" i="7"/>
  <c r="U68" i="7"/>
  <c r="U72" i="7"/>
  <c r="U76" i="7"/>
  <c r="U80" i="7"/>
  <c r="U84" i="7"/>
  <c r="U88" i="7"/>
  <c r="U92" i="7"/>
  <c r="U96" i="7"/>
  <c r="U100" i="7"/>
  <c r="U104" i="7"/>
  <c r="U108" i="7"/>
  <c r="U112" i="7"/>
  <c r="U116" i="7"/>
  <c r="U120" i="7"/>
  <c r="U8" i="7"/>
  <c r="U62" i="7"/>
  <c r="U64" i="7"/>
  <c r="U135" i="7"/>
  <c r="U182" i="7"/>
  <c r="U185" i="7"/>
  <c r="U138" i="7"/>
  <c r="U141" i="7"/>
  <c r="U143" i="7"/>
  <c r="U146" i="7"/>
  <c r="U149" i="7"/>
  <c r="U151" i="7"/>
  <c r="U154" i="7"/>
  <c r="U157" i="7"/>
  <c r="U202" i="7"/>
  <c r="U10" i="7"/>
  <c r="U14" i="7"/>
  <c r="U18" i="7"/>
  <c r="U22" i="7"/>
  <c r="U26" i="7"/>
  <c r="U30" i="7"/>
  <c r="U34" i="7"/>
  <c r="U38" i="7"/>
  <c r="U42" i="7"/>
  <c r="U46" i="7"/>
  <c r="U50" i="7"/>
  <c r="U54" i="7"/>
  <c r="U57" i="7"/>
  <c r="U60" i="7"/>
  <c r="U123" i="7"/>
  <c r="U127" i="7"/>
  <c r="U130" i="7"/>
  <c r="U164" i="7"/>
  <c r="U166" i="7"/>
  <c r="U169" i="7"/>
  <c r="U172" i="7"/>
  <c r="U176" i="7"/>
  <c r="U180" i="7"/>
  <c r="U161" i="7"/>
  <c r="U159" i="7"/>
  <c r="U186" i="7"/>
  <c r="U189" i="7"/>
  <c r="U191" i="7"/>
  <c r="U195" i="7"/>
  <c r="U198" i="7"/>
  <c r="U66" i="7"/>
  <c r="U70" i="7"/>
  <c r="U74" i="7"/>
  <c r="U78" i="7"/>
  <c r="U82" i="7"/>
  <c r="U86" i="7"/>
  <c r="U90" i="7"/>
  <c r="U94" i="7"/>
  <c r="U98" i="7"/>
  <c r="U102" i="7"/>
  <c r="U106" i="7"/>
  <c r="U110" i="7"/>
  <c r="U114" i="7"/>
  <c r="U118" i="7"/>
  <c r="U122" i="7"/>
  <c r="U133" i="7"/>
  <c r="U58" i="7"/>
  <c r="U134" i="7"/>
  <c r="U181" i="7"/>
  <c r="U184" i="7"/>
  <c r="U139" i="7"/>
  <c r="U142" i="7"/>
  <c r="U145" i="7"/>
  <c r="U147" i="7"/>
  <c r="U150" i="7"/>
  <c r="U153" i="7"/>
  <c r="U155" i="7"/>
  <c r="U158" i="7"/>
  <c r="U12" i="7"/>
  <c r="U16" i="7"/>
  <c r="U20" i="7"/>
  <c r="U24" i="7"/>
  <c r="U28" i="7"/>
  <c r="U32" i="7"/>
  <c r="U36" i="7"/>
  <c r="U40" i="7"/>
  <c r="U44" i="7"/>
  <c r="U48" i="7"/>
  <c r="U52" i="7"/>
  <c r="U56" i="7"/>
  <c r="U125" i="7"/>
  <c r="U129" i="7"/>
  <c r="U131" i="7"/>
  <c r="U165" i="7"/>
  <c r="U168" i="7"/>
  <c r="U170" i="7"/>
  <c r="U173" i="7"/>
  <c r="U177" i="7"/>
  <c r="U163" i="7"/>
  <c r="U160" i="7"/>
  <c r="U187" i="7"/>
  <c r="U190" i="7"/>
  <c r="U193" i="7"/>
  <c r="U197" i="7"/>
  <c r="U201" i="7"/>
  <c r="U132" i="7"/>
  <c r="L203" i="7" l="1"/>
  <c r="U203" i="7"/>
  <c r="I203" i="7"/>
  <c r="Q206" i="5" l="1"/>
  <c r="P206" i="5"/>
  <c r="O206" i="5"/>
  <c r="N206" i="5"/>
  <c r="M206" i="5"/>
  <c r="L206" i="5"/>
  <c r="K206" i="5"/>
  <c r="J206" i="5"/>
  <c r="I206" i="5"/>
  <c r="H206" i="5"/>
  <c r="G206" i="5"/>
  <c r="F206" i="5"/>
  <c r="E206" i="5"/>
  <c r="D689" i="1"/>
  <c r="D545" i="1"/>
  <c r="P77" i="6" s="1"/>
  <c r="D610" i="1"/>
  <c r="Q210" i="6"/>
  <c r="T210" i="6" s="1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Q208" i="6"/>
  <c r="T208" i="6" s="1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Q207" i="6"/>
  <c r="T207" i="6" s="1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Q206" i="6"/>
  <c r="T206" i="6" s="1"/>
  <c r="P206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Q205" i="6"/>
  <c r="T205" i="6" s="1"/>
  <c r="P205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Q204" i="6"/>
  <c r="T204" i="6" s="1"/>
  <c r="P204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Q203" i="6"/>
  <c r="T203" i="6" s="1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Q202" i="6"/>
  <c r="T202" i="6" s="1"/>
  <c r="P202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Q201" i="6"/>
  <c r="T201" i="6" s="1"/>
  <c r="P201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Q200" i="6"/>
  <c r="T200" i="6" s="1"/>
  <c r="P200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Q199" i="6"/>
  <c r="T199" i="6" s="1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Q198" i="6"/>
  <c r="T198" i="6" s="1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Q197" i="6"/>
  <c r="T197" i="6" s="1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Q196" i="6"/>
  <c r="T196" i="6" s="1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Q195" i="6"/>
  <c r="T195" i="6" s="1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Q194" i="6"/>
  <c r="T194" i="6" s="1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Q193" i="6"/>
  <c r="T193" i="6" s="1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Q192" i="6"/>
  <c r="T192" i="6" s="1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Q191" i="6"/>
  <c r="T191" i="6" s="1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Q190" i="6"/>
  <c r="T190" i="6" s="1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Q189" i="6"/>
  <c r="T189" i="6" s="1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Q188" i="6"/>
  <c r="T188" i="6" s="1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Q187" i="6"/>
  <c r="T187" i="6" s="1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Q186" i="6"/>
  <c r="T186" i="6" s="1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Q185" i="6"/>
  <c r="T185" i="6" s="1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Q184" i="6"/>
  <c r="T184" i="6" s="1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Q183" i="6"/>
  <c r="T183" i="6" s="1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Q182" i="6"/>
  <c r="T182" i="6" s="1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Q181" i="6"/>
  <c r="T181" i="6" s="1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Q180" i="6"/>
  <c r="T180" i="6" s="1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Q179" i="6"/>
  <c r="T179" i="6" s="1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Q178" i="6"/>
  <c r="T178" i="6" s="1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Q177" i="6"/>
  <c r="T177" i="6" s="1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Q176" i="6"/>
  <c r="T176" i="6" s="1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Q175" i="6"/>
  <c r="T175" i="6" s="1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Q174" i="6"/>
  <c r="T174" i="6" s="1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Q173" i="6"/>
  <c r="T173" i="6" s="1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Q172" i="6"/>
  <c r="T172" i="6" s="1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Q171" i="6"/>
  <c r="T171" i="6" s="1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Q170" i="6"/>
  <c r="T170" i="6" s="1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Q169" i="6"/>
  <c r="T169" i="6" s="1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Q168" i="6"/>
  <c r="T168" i="6" s="1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Q167" i="6"/>
  <c r="T167" i="6" s="1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Q166" i="6"/>
  <c r="T166" i="6" s="1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Q165" i="6"/>
  <c r="T165" i="6" s="1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Q164" i="6"/>
  <c r="T164" i="6" s="1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Q163" i="6"/>
  <c r="T163" i="6" s="1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Q162" i="6"/>
  <c r="T162" i="6" s="1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Q161" i="6"/>
  <c r="T161" i="6" s="1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Q160" i="6"/>
  <c r="T160" i="6" s="1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Q159" i="6"/>
  <c r="T159" i="6" s="1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Q158" i="6"/>
  <c r="T158" i="6" s="1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Q157" i="6"/>
  <c r="T157" i="6" s="1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Q156" i="6"/>
  <c r="T156" i="6" s="1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Q155" i="6"/>
  <c r="T155" i="6" s="1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Q154" i="6"/>
  <c r="T154" i="6" s="1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Q153" i="6"/>
  <c r="T153" i="6" s="1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Q152" i="6"/>
  <c r="T152" i="6" s="1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Q151" i="6"/>
  <c r="T151" i="6" s="1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Q150" i="6"/>
  <c r="T150" i="6" s="1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Q149" i="6"/>
  <c r="T149" i="6" s="1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Q148" i="6"/>
  <c r="T148" i="6" s="1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Q147" i="6"/>
  <c r="T147" i="6" s="1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Q146" i="6"/>
  <c r="T146" i="6" s="1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Q145" i="6"/>
  <c r="T145" i="6" s="1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Q144" i="6"/>
  <c r="T144" i="6" s="1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Q143" i="6"/>
  <c r="T143" i="6" s="1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Q142" i="6"/>
  <c r="T142" i="6" s="1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Q141" i="6"/>
  <c r="T141" i="6" s="1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Q140" i="6"/>
  <c r="T140" i="6" s="1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Q139" i="6"/>
  <c r="T139" i="6" s="1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Q138" i="6"/>
  <c r="T138" i="6" s="1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Q137" i="6"/>
  <c r="T137" i="6" s="1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Q136" i="6"/>
  <c r="T136" i="6" s="1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Q135" i="6"/>
  <c r="T135" i="6" s="1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Q134" i="6"/>
  <c r="T134" i="6" s="1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Q133" i="6"/>
  <c r="T133" i="6" s="1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Q132" i="6"/>
  <c r="T132" i="6" s="1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Q131" i="6"/>
  <c r="T131" i="6" s="1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Q130" i="6"/>
  <c r="T130" i="6" s="1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Q129" i="6"/>
  <c r="T129" i="6" s="1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Q128" i="6"/>
  <c r="T128" i="6" s="1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Q127" i="6"/>
  <c r="T127" i="6" s="1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Q126" i="6"/>
  <c r="T126" i="6" s="1"/>
  <c r="O126" i="6"/>
  <c r="N126" i="6"/>
  <c r="M126" i="6"/>
  <c r="L126" i="6"/>
  <c r="K126" i="6"/>
  <c r="J126" i="6"/>
  <c r="I126" i="6"/>
  <c r="H126" i="6"/>
  <c r="G126" i="6"/>
  <c r="F126" i="6"/>
  <c r="E126" i="6"/>
  <c r="D126" i="6"/>
  <c r="Q125" i="6"/>
  <c r="T125" i="6" s="1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Q124" i="6"/>
  <c r="T124" i="6" s="1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Q123" i="6"/>
  <c r="T123" i="6" s="1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Q122" i="6"/>
  <c r="T122" i="6" s="1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Q121" i="6"/>
  <c r="T121" i="6" s="1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Q120" i="6"/>
  <c r="T120" i="6" s="1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Q119" i="6"/>
  <c r="T119" i="6" s="1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Q118" i="6"/>
  <c r="T118" i="6" s="1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Q117" i="6"/>
  <c r="T117" i="6" s="1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Q116" i="6"/>
  <c r="T116" i="6" s="1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Q115" i="6"/>
  <c r="T115" i="6" s="1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14" i="6"/>
  <c r="T114" i="6" s="1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Q113" i="6"/>
  <c r="T113" i="6" s="1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Q112" i="6"/>
  <c r="T112" i="6" s="1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Q111" i="6"/>
  <c r="T111" i="6" s="1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Q110" i="6"/>
  <c r="T110" i="6" s="1"/>
  <c r="P110" i="6"/>
  <c r="O110" i="6"/>
  <c r="N110" i="6"/>
  <c r="L110" i="6"/>
  <c r="K110" i="6"/>
  <c r="J110" i="6"/>
  <c r="I110" i="6"/>
  <c r="H110" i="6"/>
  <c r="G110" i="6"/>
  <c r="F110" i="6"/>
  <c r="E110" i="6"/>
  <c r="D110" i="6"/>
  <c r="Q109" i="6"/>
  <c r="T109" i="6" s="1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Q108" i="6"/>
  <c r="T108" i="6" s="1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Q107" i="6"/>
  <c r="T107" i="6" s="1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Q106" i="6"/>
  <c r="T106" i="6" s="1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Q105" i="6"/>
  <c r="T105" i="6" s="1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Q104" i="6"/>
  <c r="T104" i="6" s="1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Q103" i="6"/>
  <c r="T103" i="6" s="1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Q102" i="6"/>
  <c r="T102" i="6" s="1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Q101" i="6"/>
  <c r="T101" i="6" s="1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Q100" i="6"/>
  <c r="T100" i="6" s="1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Q99" i="6"/>
  <c r="T99" i="6" s="1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Q98" i="6"/>
  <c r="T98" i="6" s="1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Q97" i="6"/>
  <c r="T97" i="6" s="1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Q96" i="6"/>
  <c r="T96" i="6" s="1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Q95" i="6"/>
  <c r="T95" i="6" s="1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Q94" i="6"/>
  <c r="T94" i="6" s="1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Q93" i="6"/>
  <c r="T93" i="6" s="1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Q92" i="6"/>
  <c r="T92" i="6" s="1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Q91" i="6"/>
  <c r="T91" i="6" s="1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Q90" i="6"/>
  <c r="T90" i="6" s="1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Q89" i="6"/>
  <c r="T89" i="6" s="1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Q88" i="6"/>
  <c r="T88" i="6" s="1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Q87" i="6"/>
  <c r="T87" i="6" s="1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Q86" i="6"/>
  <c r="T86" i="6" s="1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Q85" i="6"/>
  <c r="T85" i="6" s="1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Q84" i="6"/>
  <c r="T84" i="6" s="1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Q83" i="6"/>
  <c r="T83" i="6" s="1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Q82" i="6"/>
  <c r="T82" i="6" s="1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Q81" i="6"/>
  <c r="T81" i="6" s="1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Q80" i="6"/>
  <c r="T80" i="6" s="1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Q79" i="6"/>
  <c r="T79" i="6" s="1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Q78" i="6"/>
  <c r="T78" i="6" s="1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Q77" i="6"/>
  <c r="T77" i="6" s="1"/>
  <c r="O77" i="6"/>
  <c r="N77" i="6"/>
  <c r="M77" i="6"/>
  <c r="L77" i="6"/>
  <c r="K77" i="6"/>
  <c r="J77" i="6"/>
  <c r="I77" i="6"/>
  <c r="H77" i="6"/>
  <c r="G77" i="6"/>
  <c r="F77" i="6"/>
  <c r="E77" i="6"/>
  <c r="D77" i="6"/>
  <c r="Q76" i="6"/>
  <c r="T76" i="6" s="1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Q75" i="6"/>
  <c r="T75" i="6" s="1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Q74" i="6"/>
  <c r="T74" i="6" s="1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Q73" i="6"/>
  <c r="T73" i="6" s="1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Q72" i="6"/>
  <c r="T72" i="6" s="1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Q71" i="6"/>
  <c r="T71" i="6" s="1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Q70" i="6"/>
  <c r="T70" i="6" s="1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Q69" i="6"/>
  <c r="T69" i="6" s="1"/>
  <c r="P69" i="6"/>
  <c r="O69" i="6"/>
  <c r="I49" i="10" s="1"/>
  <c r="N69" i="6"/>
  <c r="I48" i="10" s="1"/>
  <c r="M69" i="6"/>
  <c r="L69" i="6"/>
  <c r="K69" i="6"/>
  <c r="I45" i="10" s="1"/>
  <c r="J69" i="6"/>
  <c r="I44" i="10" s="1"/>
  <c r="I69" i="6"/>
  <c r="H69" i="6"/>
  <c r="G69" i="6"/>
  <c r="I41" i="10" s="1"/>
  <c r="F69" i="6"/>
  <c r="I40" i="10" s="1"/>
  <c r="E69" i="6"/>
  <c r="D69" i="6"/>
  <c r="Q68" i="6"/>
  <c r="T68" i="6" s="1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Q67" i="6"/>
  <c r="T67" i="6" s="1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Q66" i="6"/>
  <c r="T66" i="6" s="1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Q65" i="6"/>
  <c r="T65" i="6" s="1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Q64" i="6"/>
  <c r="T64" i="6" s="1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Q63" i="6"/>
  <c r="T63" i="6" s="1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Q62" i="6"/>
  <c r="T62" i="6" s="1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Q61" i="6"/>
  <c r="T61" i="6" s="1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Q60" i="6"/>
  <c r="T60" i="6" s="1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Q59" i="6"/>
  <c r="T59" i="6" s="1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Q58" i="6"/>
  <c r="T58" i="6" s="1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Q57" i="6"/>
  <c r="T57" i="6" s="1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Q56" i="6"/>
  <c r="T56" i="6" s="1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Q55" i="6"/>
  <c r="T55" i="6" s="1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Q54" i="6"/>
  <c r="T54" i="6" s="1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Q53" i="6"/>
  <c r="T53" i="6" s="1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Q52" i="6"/>
  <c r="T52" i="6" s="1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Q51" i="6"/>
  <c r="T51" i="6" s="1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Q50" i="6"/>
  <c r="T50" i="6" s="1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Q49" i="6"/>
  <c r="T49" i="6" s="1"/>
  <c r="P49" i="6"/>
  <c r="O49" i="6"/>
  <c r="M49" i="6"/>
  <c r="L49" i="6"/>
  <c r="K49" i="6"/>
  <c r="J49" i="6"/>
  <c r="I49" i="6"/>
  <c r="H49" i="6"/>
  <c r="G49" i="6"/>
  <c r="F49" i="6"/>
  <c r="E49" i="6"/>
  <c r="D49" i="6"/>
  <c r="Q48" i="6"/>
  <c r="T48" i="6" s="1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Q47" i="6"/>
  <c r="T47" i="6" s="1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Q46" i="6"/>
  <c r="T46" i="6" s="1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Q45" i="6"/>
  <c r="T45" i="6" s="1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Q44" i="6"/>
  <c r="T44" i="6" s="1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Q43" i="6"/>
  <c r="T43" i="6" s="1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Q42" i="6"/>
  <c r="T42" i="6" s="1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Q41" i="6"/>
  <c r="T41" i="6" s="1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Q40" i="6"/>
  <c r="T40" i="6" s="1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Q39" i="6"/>
  <c r="T39" i="6" s="1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Q38" i="6"/>
  <c r="T38" i="6" s="1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Q37" i="6"/>
  <c r="T37" i="6" s="1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Q36" i="6"/>
  <c r="T36" i="6" s="1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Q35" i="6"/>
  <c r="T35" i="6" s="1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Q34" i="6"/>
  <c r="T34" i="6" s="1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Q33" i="6"/>
  <c r="T33" i="6" s="1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Q32" i="6"/>
  <c r="T32" i="6" s="1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Q31" i="6"/>
  <c r="T31" i="6" s="1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Q30" i="6"/>
  <c r="T30" i="6" s="1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Q29" i="6"/>
  <c r="T29" i="6" s="1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Q28" i="6"/>
  <c r="T28" i="6" s="1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Q27" i="6"/>
  <c r="T27" i="6" s="1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Q26" i="6"/>
  <c r="T26" i="6" s="1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Q25" i="6"/>
  <c r="T25" i="6" s="1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Q24" i="6"/>
  <c r="T24" i="6" s="1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Q23" i="6"/>
  <c r="T23" i="6" s="1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Q22" i="6"/>
  <c r="T22" i="6" s="1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Q21" i="6"/>
  <c r="T21" i="6" s="1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Q20" i="6"/>
  <c r="T20" i="6" s="1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Q19" i="6"/>
  <c r="T19" i="6" s="1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Q18" i="6"/>
  <c r="T18" i="6" s="1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Q17" i="6"/>
  <c r="T17" i="6" s="1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Q16" i="6"/>
  <c r="T16" i="6" s="1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Q15" i="6"/>
  <c r="T15" i="6" s="1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Q14" i="6"/>
  <c r="T14" i="6" s="1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Q13" i="6"/>
  <c r="T13" i="6" s="1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Q12" i="6"/>
  <c r="T12" i="6" s="1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Q11" i="6"/>
  <c r="T11" i="6" s="1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Q10" i="6"/>
  <c r="T10" i="6" s="1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Q9" i="6"/>
  <c r="T9" i="6" s="1"/>
  <c r="P9" i="6"/>
  <c r="O9" i="6"/>
  <c r="N9" i="6"/>
  <c r="M9" i="6"/>
  <c r="L9" i="6"/>
  <c r="K9" i="6"/>
  <c r="J9" i="6"/>
  <c r="I9" i="6"/>
  <c r="H9" i="6"/>
  <c r="G9" i="6"/>
  <c r="F9" i="6"/>
  <c r="E9" i="6"/>
  <c r="D9" i="6"/>
  <c r="Q8" i="6"/>
  <c r="T8" i="6" s="1"/>
  <c r="P8" i="6"/>
  <c r="O8" i="6"/>
  <c r="N8" i="6"/>
  <c r="M8" i="6"/>
  <c r="L8" i="6"/>
  <c r="K8" i="6"/>
  <c r="J8" i="6"/>
  <c r="I8" i="6"/>
  <c r="H8" i="6"/>
  <c r="G8" i="6"/>
  <c r="F8" i="6"/>
  <c r="E8" i="6"/>
  <c r="D8" i="6"/>
  <c r="N49" i="6"/>
  <c r="P126" i="6"/>
  <c r="M110" i="6"/>
  <c r="Q7" i="6"/>
  <c r="T7" i="6" s="1"/>
  <c r="P7" i="6"/>
  <c r="O7" i="6"/>
  <c r="N7" i="6"/>
  <c r="M7" i="6"/>
  <c r="L7" i="6"/>
  <c r="K7" i="6"/>
  <c r="J7" i="6"/>
  <c r="I7" i="6"/>
  <c r="H7" i="6"/>
  <c r="G7" i="6"/>
  <c r="F7" i="6"/>
  <c r="E7" i="6"/>
  <c r="D7" i="6"/>
  <c r="R205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D206" i="5"/>
  <c r="R206" i="5" l="1"/>
  <c r="T211" i="6"/>
  <c r="I42" i="10"/>
  <c r="I46" i="10"/>
  <c r="I50" i="10"/>
  <c r="I43" i="10"/>
  <c r="I47" i="10"/>
  <c r="I51" i="10"/>
  <c r="I39" i="10"/>
  <c r="P211" i="6"/>
  <c r="L211" i="6"/>
  <c r="H211" i="6"/>
  <c r="F211" i="6"/>
  <c r="J211" i="6"/>
  <c r="N211" i="6"/>
  <c r="G211" i="6"/>
  <c r="K211" i="6"/>
  <c r="O211" i="6"/>
  <c r="E211" i="6"/>
  <c r="I211" i="6"/>
  <c r="M211" i="6"/>
  <c r="Q211" i="6"/>
  <c r="R204" i="6"/>
  <c r="U204" i="6" s="1"/>
  <c r="R110" i="6"/>
  <c r="U110" i="6" s="1"/>
  <c r="R196" i="6"/>
  <c r="U196" i="6" s="1"/>
  <c r="R199" i="6"/>
  <c r="U199" i="6" s="1"/>
  <c r="R191" i="6"/>
  <c r="U191" i="6" s="1"/>
  <c r="R131" i="6"/>
  <c r="U131" i="6" s="1"/>
  <c r="R175" i="6"/>
  <c r="U175" i="6" s="1"/>
  <c r="R203" i="6"/>
  <c r="U203" i="6" s="1"/>
  <c r="R147" i="6"/>
  <c r="U147" i="6" s="1"/>
  <c r="R156" i="6"/>
  <c r="U156" i="6" s="1"/>
  <c r="R167" i="6"/>
  <c r="U167" i="6" s="1"/>
  <c r="R183" i="6"/>
  <c r="U183" i="6" s="1"/>
  <c r="R200" i="6"/>
  <c r="U200" i="6" s="1"/>
  <c r="R127" i="6"/>
  <c r="U127" i="6" s="1"/>
  <c r="R135" i="6"/>
  <c r="U135" i="6" s="1"/>
  <c r="R139" i="6"/>
  <c r="U139" i="6" s="1"/>
  <c r="R140" i="6"/>
  <c r="U140" i="6" s="1"/>
  <c r="R148" i="6"/>
  <c r="U148" i="6" s="1"/>
  <c r="R151" i="6"/>
  <c r="U151" i="6" s="1"/>
  <c r="R155" i="6"/>
  <c r="U155" i="6" s="1"/>
  <c r="R159" i="6"/>
  <c r="U159" i="6" s="1"/>
  <c r="R163" i="6"/>
  <c r="U163" i="6" s="1"/>
  <c r="R164" i="6"/>
  <c r="U164" i="6" s="1"/>
  <c r="R168" i="6"/>
  <c r="U168" i="6" s="1"/>
  <c r="R171" i="6"/>
  <c r="U171" i="6" s="1"/>
  <c r="R172" i="6"/>
  <c r="U172" i="6" s="1"/>
  <c r="R176" i="6"/>
  <c r="U176" i="6" s="1"/>
  <c r="R179" i="6"/>
  <c r="U179" i="6" s="1"/>
  <c r="R180" i="6"/>
  <c r="U180" i="6" s="1"/>
  <c r="R184" i="6"/>
  <c r="U184" i="6" s="1"/>
  <c r="R187" i="6"/>
  <c r="U187" i="6" s="1"/>
  <c r="R188" i="6"/>
  <c r="U188" i="6" s="1"/>
  <c r="R192" i="6"/>
  <c r="U192" i="6" s="1"/>
  <c r="R195" i="6"/>
  <c r="U195" i="6" s="1"/>
  <c r="R132" i="6"/>
  <c r="U132" i="6" s="1"/>
  <c r="R143" i="6"/>
  <c r="U143" i="6" s="1"/>
  <c r="R128" i="6"/>
  <c r="U128" i="6" s="1"/>
  <c r="R136" i="6"/>
  <c r="U136" i="6" s="1"/>
  <c r="R144" i="6"/>
  <c r="U144" i="6" s="1"/>
  <c r="R152" i="6"/>
  <c r="U152" i="6" s="1"/>
  <c r="R160" i="6"/>
  <c r="U160" i="6" s="1"/>
  <c r="R115" i="6"/>
  <c r="U115" i="6" s="1"/>
  <c r="R119" i="6"/>
  <c r="U119" i="6" s="1"/>
  <c r="R120" i="6"/>
  <c r="U120" i="6" s="1"/>
  <c r="R124" i="6"/>
  <c r="U124" i="6" s="1"/>
  <c r="R109" i="6"/>
  <c r="U109" i="6" s="1"/>
  <c r="R93" i="6"/>
  <c r="U93" i="6" s="1"/>
  <c r="R64" i="6"/>
  <c r="U64" i="6" s="1"/>
  <c r="R68" i="6"/>
  <c r="U68" i="6" s="1"/>
  <c r="R69" i="6"/>
  <c r="U69" i="6" s="1"/>
  <c r="R72" i="6"/>
  <c r="U72" i="6" s="1"/>
  <c r="R76" i="6"/>
  <c r="U76" i="6" s="1"/>
  <c r="R77" i="6"/>
  <c r="U77" i="6" s="1"/>
  <c r="R80" i="6"/>
  <c r="U80" i="6" s="1"/>
  <c r="R84" i="6"/>
  <c r="U84" i="6" s="1"/>
  <c r="R85" i="6"/>
  <c r="U85" i="6" s="1"/>
  <c r="R88" i="6"/>
  <c r="U88" i="6" s="1"/>
  <c r="R92" i="6"/>
  <c r="U92" i="6" s="1"/>
  <c r="R96" i="6"/>
  <c r="U96" i="6" s="1"/>
  <c r="R100" i="6"/>
  <c r="U100" i="6" s="1"/>
  <c r="R101" i="6"/>
  <c r="U101" i="6" s="1"/>
  <c r="R104" i="6"/>
  <c r="U104" i="6" s="1"/>
  <c r="R105" i="6"/>
  <c r="U105" i="6" s="1"/>
  <c r="R108" i="6"/>
  <c r="U108" i="6" s="1"/>
  <c r="R113" i="6"/>
  <c r="U113" i="6" s="1"/>
  <c r="R123" i="6"/>
  <c r="U123" i="6" s="1"/>
  <c r="R111" i="6"/>
  <c r="U111" i="6" s="1"/>
  <c r="R112" i="6"/>
  <c r="U112" i="6" s="1"/>
  <c r="R116" i="6"/>
  <c r="U116" i="6" s="1"/>
  <c r="R117" i="6"/>
  <c r="U117" i="6" s="1"/>
  <c r="R121" i="6"/>
  <c r="U121" i="6" s="1"/>
  <c r="R122" i="6"/>
  <c r="U122" i="6" s="1"/>
  <c r="R125" i="6"/>
  <c r="U125" i="6" s="1"/>
  <c r="R126" i="6"/>
  <c r="U126" i="6" s="1"/>
  <c r="R129" i="6"/>
  <c r="U129" i="6" s="1"/>
  <c r="R130" i="6"/>
  <c r="U130" i="6" s="1"/>
  <c r="R133" i="6"/>
  <c r="U133" i="6" s="1"/>
  <c r="R134" i="6"/>
  <c r="U134" i="6" s="1"/>
  <c r="R137" i="6"/>
  <c r="U137" i="6" s="1"/>
  <c r="R138" i="6"/>
  <c r="U138" i="6" s="1"/>
  <c r="R141" i="6"/>
  <c r="U141" i="6" s="1"/>
  <c r="R142" i="6"/>
  <c r="U142" i="6" s="1"/>
  <c r="R145" i="6"/>
  <c r="U145" i="6" s="1"/>
  <c r="R146" i="6"/>
  <c r="U146" i="6" s="1"/>
  <c r="R149" i="6"/>
  <c r="U149" i="6" s="1"/>
  <c r="R150" i="6"/>
  <c r="U150" i="6" s="1"/>
  <c r="R153" i="6"/>
  <c r="U153" i="6" s="1"/>
  <c r="R154" i="6"/>
  <c r="U154" i="6" s="1"/>
  <c r="R157" i="6"/>
  <c r="U157" i="6" s="1"/>
  <c r="R158" i="6"/>
  <c r="U158" i="6" s="1"/>
  <c r="R161" i="6"/>
  <c r="U161" i="6" s="1"/>
  <c r="R162" i="6"/>
  <c r="U162" i="6" s="1"/>
  <c r="R165" i="6"/>
  <c r="U165" i="6" s="1"/>
  <c r="R166" i="6"/>
  <c r="U166" i="6" s="1"/>
  <c r="R169" i="6"/>
  <c r="U169" i="6" s="1"/>
  <c r="R173" i="6"/>
  <c r="U173" i="6" s="1"/>
  <c r="R174" i="6"/>
  <c r="U174" i="6" s="1"/>
  <c r="R177" i="6"/>
  <c r="U177" i="6" s="1"/>
  <c r="R178" i="6"/>
  <c r="U178" i="6" s="1"/>
  <c r="R181" i="6"/>
  <c r="U181" i="6" s="1"/>
  <c r="R182" i="6"/>
  <c r="U182" i="6" s="1"/>
  <c r="R185" i="6"/>
  <c r="U185" i="6" s="1"/>
  <c r="R186" i="6"/>
  <c r="U186" i="6" s="1"/>
  <c r="R189" i="6"/>
  <c r="U189" i="6" s="1"/>
  <c r="R190" i="6"/>
  <c r="U190" i="6" s="1"/>
  <c r="R193" i="6"/>
  <c r="U193" i="6" s="1"/>
  <c r="R194" i="6"/>
  <c r="U194" i="6" s="1"/>
  <c r="R197" i="6"/>
  <c r="U197" i="6" s="1"/>
  <c r="R198" i="6"/>
  <c r="U198" i="6" s="1"/>
  <c r="R201" i="6"/>
  <c r="U201" i="6" s="1"/>
  <c r="R202" i="6"/>
  <c r="U202" i="6" s="1"/>
  <c r="R65" i="6"/>
  <c r="U65" i="6" s="1"/>
  <c r="R73" i="6"/>
  <c r="U73" i="6" s="1"/>
  <c r="R81" i="6"/>
  <c r="U81" i="6" s="1"/>
  <c r="R89" i="6"/>
  <c r="U89" i="6" s="1"/>
  <c r="R97" i="6"/>
  <c r="U97" i="6" s="1"/>
  <c r="R107" i="6"/>
  <c r="U107" i="6" s="1"/>
  <c r="R60" i="6"/>
  <c r="U60" i="6" s="1"/>
  <c r="R66" i="6"/>
  <c r="U66" i="6" s="1"/>
  <c r="R67" i="6"/>
  <c r="U67" i="6" s="1"/>
  <c r="R70" i="6"/>
  <c r="U70" i="6" s="1"/>
  <c r="R71" i="6"/>
  <c r="U71" i="6" s="1"/>
  <c r="R74" i="6"/>
  <c r="U74" i="6" s="1"/>
  <c r="R75" i="6"/>
  <c r="U75" i="6" s="1"/>
  <c r="R78" i="6"/>
  <c r="U78" i="6" s="1"/>
  <c r="R79" i="6"/>
  <c r="U79" i="6" s="1"/>
  <c r="R82" i="6"/>
  <c r="U82" i="6" s="1"/>
  <c r="R83" i="6"/>
  <c r="U83" i="6" s="1"/>
  <c r="R86" i="6"/>
  <c r="U86" i="6" s="1"/>
  <c r="R87" i="6"/>
  <c r="U87" i="6" s="1"/>
  <c r="R90" i="6"/>
  <c r="U90" i="6" s="1"/>
  <c r="R91" i="6"/>
  <c r="U91" i="6" s="1"/>
  <c r="R94" i="6"/>
  <c r="U94" i="6" s="1"/>
  <c r="R95" i="6"/>
  <c r="U95" i="6" s="1"/>
  <c r="R98" i="6"/>
  <c r="U98" i="6" s="1"/>
  <c r="R99" i="6"/>
  <c r="U99" i="6" s="1"/>
  <c r="R102" i="6"/>
  <c r="U102" i="6" s="1"/>
  <c r="R103" i="6"/>
  <c r="U103" i="6" s="1"/>
  <c r="R106" i="6"/>
  <c r="U106" i="6" s="1"/>
  <c r="R114" i="6"/>
  <c r="U114" i="6" s="1"/>
  <c r="R118" i="6"/>
  <c r="U118" i="6" s="1"/>
  <c r="R44" i="6"/>
  <c r="U44" i="6" s="1"/>
  <c r="R39" i="6"/>
  <c r="U39" i="6" s="1"/>
  <c r="R51" i="6"/>
  <c r="U51" i="6" s="1"/>
  <c r="R55" i="6"/>
  <c r="U55" i="6" s="1"/>
  <c r="R59" i="6"/>
  <c r="U59" i="6" s="1"/>
  <c r="R47" i="6"/>
  <c r="U47" i="6" s="1"/>
  <c r="R52" i="6"/>
  <c r="U52" i="6" s="1"/>
  <c r="R36" i="6"/>
  <c r="U36" i="6" s="1"/>
  <c r="R16" i="6"/>
  <c r="U16" i="6" s="1"/>
  <c r="R20" i="6"/>
  <c r="U20" i="6" s="1"/>
  <c r="R24" i="6"/>
  <c r="U24" i="6" s="1"/>
  <c r="R28" i="6"/>
  <c r="U28" i="6" s="1"/>
  <c r="R31" i="6"/>
  <c r="U31" i="6" s="1"/>
  <c r="R32" i="6"/>
  <c r="U32" i="6" s="1"/>
  <c r="R35" i="6"/>
  <c r="U35" i="6" s="1"/>
  <c r="R40" i="6"/>
  <c r="U40" i="6" s="1"/>
  <c r="R43" i="6"/>
  <c r="U43" i="6" s="1"/>
  <c r="R48" i="6"/>
  <c r="U48" i="6" s="1"/>
  <c r="R56" i="6"/>
  <c r="U56" i="6" s="1"/>
  <c r="R12" i="6"/>
  <c r="U12" i="6" s="1"/>
  <c r="R17" i="6"/>
  <c r="U17" i="6" s="1"/>
  <c r="R14" i="6"/>
  <c r="U14" i="6" s="1"/>
  <c r="R15" i="6"/>
  <c r="U15" i="6" s="1"/>
  <c r="R18" i="6"/>
  <c r="U18" i="6" s="1"/>
  <c r="R19" i="6"/>
  <c r="U19" i="6" s="1"/>
  <c r="R21" i="6"/>
  <c r="U21" i="6" s="1"/>
  <c r="R22" i="6"/>
  <c r="U22" i="6" s="1"/>
  <c r="R23" i="6"/>
  <c r="U23" i="6" s="1"/>
  <c r="R25" i="6"/>
  <c r="U25" i="6" s="1"/>
  <c r="R26" i="6"/>
  <c r="U26" i="6" s="1"/>
  <c r="R27" i="6"/>
  <c r="U27" i="6" s="1"/>
  <c r="R29" i="6"/>
  <c r="U29" i="6" s="1"/>
  <c r="R30" i="6"/>
  <c r="U30" i="6" s="1"/>
  <c r="R33" i="6"/>
  <c r="U33" i="6" s="1"/>
  <c r="R34" i="6"/>
  <c r="U34" i="6" s="1"/>
  <c r="R37" i="6"/>
  <c r="U37" i="6" s="1"/>
  <c r="R38" i="6"/>
  <c r="U38" i="6" s="1"/>
  <c r="R41" i="6"/>
  <c r="U41" i="6" s="1"/>
  <c r="R42" i="6"/>
  <c r="U42" i="6" s="1"/>
  <c r="R45" i="6"/>
  <c r="U45" i="6" s="1"/>
  <c r="R46" i="6"/>
  <c r="U46" i="6" s="1"/>
  <c r="R49" i="6"/>
  <c r="U49" i="6" s="1"/>
  <c r="R50" i="6"/>
  <c r="U50" i="6" s="1"/>
  <c r="R53" i="6"/>
  <c r="U53" i="6" s="1"/>
  <c r="R54" i="6"/>
  <c r="U54" i="6" s="1"/>
  <c r="R57" i="6"/>
  <c r="U57" i="6" s="1"/>
  <c r="R58" i="6"/>
  <c r="U58" i="6" s="1"/>
  <c r="R61" i="6"/>
  <c r="U61" i="6" s="1"/>
  <c r="R62" i="6"/>
  <c r="U62" i="6" s="1"/>
  <c r="R63" i="6"/>
  <c r="U63" i="6" s="1"/>
  <c r="R10" i="6"/>
  <c r="U10" i="6" s="1"/>
  <c r="R11" i="6"/>
  <c r="U11" i="6" s="1"/>
  <c r="R13" i="6"/>
  <c r="U13" i="6" s="1"/>
  <c r="R8" i="6"/>
  <c r="U8" i="6" s="1"/>
  <c r="R9" i="6"/>
  <c r="U9" i="6" s="1"/>
  <c r="R7" i="6"/>
  <c r="U7" i="6" s="1"/>
  <c r="I52" i="10" l="1"/>
  <c r="H54" i="10" s="1"/>
  <c r="R205" i="6"/>
  <c r="U205" i="6" s="1"/>
  <c r="D211" i="6"/>
  <c r="R208" i="6"/>
  <c r="U208" i="6" s="1"/>
  <c r="R207" i="6"/>
  <c r="U207" i="6" s="1"/>
  <c r="R206" i="6"/>
  <c r="U206" i="6" s="1"/>
  <c r="R170" i="6"/>
  <c r="U170" i="6" s="1"/>
  <c r="U211" i="6" s="1"/>
  <c r="R210" i="6"/>
  <c r="U210" i="6" s="1"/>
  <c r="R21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tc={F8028C12-2EE1-47EC-B56B-0793B80CE279}</author>
  </authors>
  <commentList>
    <comment ref="C4" authorId="0" shapeId="0" xr:uid="{F8028C12-2EE1-47EC-B56B-0793B80CE2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AJUSTE DE 700 X 3MESES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Algoritmo Negocios</author>
  </authors>
  <commentList>
    <comment ref="H7" authorId="0" shapeId="0" xr:uid="{5FD6E945-0025-42E5-BCF6-BE7FF0347C4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foto final </t>
        </r>
      </text>
    </comment>
    <comment ref="V17" authorId="1" shapeId="0" xr:uid="{DC068BB6-F5B7-4C0A-90DF-6926CE1C10FF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Montos muy diferenciados</t>
        </r>
      </text>
    </comment>
    <comment ref="V37" authorId="1" shapeId="0" xr:uid="{0E935336-51F8-4189-B0E1-E25FFEFAB8D1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más del doble</t>
        </r>
      </text>
    </comment>
    <comment ref="V52" authorId="1" shapeId="0" xr:uid="{B3AC976D-15C5-49F2-A5B2-129691C64AF8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menos de lo normal</t>
        </r>
      </text>
    </comment>
    <comment ref="V73" authorId="1" shapeId="0" xr:uid="{D15E9183-54A5-45D9-9DF6-984D6009940B}">
      <text>
        <r>
          <rPr>
            <b/>
            <sz val="9"/>
            <color indexed="81"/>
            <rFont val="Tahoma"/>
            <charset val="1"/>
          </rPr>
          <t xml:space="preserve">Algoritmo Negocios:
</t>
        </r>
        <r>
          <rPr>
            <sz val="9"/>
            <color indexed="81"/>
            <rFont val="Tahoma"/>
            <family val="2"/>
          </rPr>
          <t>NOTA: Observar</t>
        </r>
      </text>
    </comment>
    <comment ref="V106" authorId="1" shapeId="0" xr:uid="{B418B8DB-3E2B-441A-AB70-8877696F41D5}">
      <text>
        <r>
          <rPr>
            <b/>
            <sz val="9"/>
            <color indexed="81"/>
            <rFont val="Tahoma"/>
            <charset val="1"/>
          </rPr>
          <t>Algoritmo Negocios:</t>
        </r>
        <r>
          <rPr>
            <sz val="9"/>
            <color indexed="81"/>
            <rFont val="Tahoma"/>
            <charset val="1"/>
          </rPr>
          <t xml:space="preserve">
NOTA: Monto negativo</t>
        </r>
      </text>
    </comment>
    <comment ref="V120" authorId="1" shapeId="0" xr:uid="{E2F6AFA1-A8A3-419D-80FF-3DFBAD11466A}">
      <text>
        <r>
          <rPr>
            <b/>
            <sz val="9"/>
            <color indexed="81"/>
            <rFont val="Tahoma"/>
            <charset val="1"/>
          </rPr>
          <t>Algoritmo Negocios:</t>
        </r>
        <r>
          <rPr>
            <sz val="9"/>
            <color indexed="81"/>
            <rFont val="Tahoma"/>
            <charset val="1"/>
          </rPr>
          <t xml:space="preserve">
NOTA: Monto negativo</t>
        </r>
      </text>
    </comment>
    <comment ref="V122" authorId="1" shapeId="0" xr:uid="{E4B64BF2-C066-47EB-9439-8E11F0A23420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aumenta el doble
</t>
        </r>
      </text>
    </comment>
    <comment ref="F123" authorId="0" shapeId="0" xr:uid="{83B3EC5F-070C-4663-9E47-AAC9C944AAA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307
</t>
        </r>
      </text>
    </comment>
    <comment ref="F132" authorId="0" shapeId="0" xr:uid="{DFF0BE1E-7292-4672-B1C3-A2B87A6BC2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649
</t>
        </r>
      </text>
    </comment>
    <comment ref="V132" authorId="1" shapeId="0" xr:uid="{67D099C2-6771-4365-B65B-5D5C2B03E87A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sale negativo</t>
        </r>
      </text>
    </comment>
    <comment ref="F134" authorId="0" shapeId="0" xr:uid="{42A4685F-E218-4982-8083-9F1859DE8AE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455</t>
        </r>
      </text>
    </comment>
    <comment ref="F159" authorId="0" shapeId="0" xr:uid="{55FA1EB3-FC03-42AD-BDE3-7875A2459CB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158</t>
        </r>
      </text>
    </comment>
    <comment ref="F161" authorId="0" shapeId="0" xr:uid="{376F58D4-506E-44BA-A9CB-85D07D5138B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101
</t>
        </r>
      </text>
    </comment>
    <comment ref="F164" authorId="0" shapeId="0" xr:uid="{49DD5580-9175-4BCA-9997-B188710640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143</t>
        </r>
      </text>
    </comment>
    <comment ref="V165" authorId="1" shapeId="0" xr:uid="{95598005-C16A-496F-86AB-20A1F1A65192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menos del doble
</t>
        </r>
      </text>
    </comment>
    <comment ref="V166" authorId="1" shapeId="0" xr:uid="{6172A59B-8951-42D1-A8A8-584E0D64912D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más del doble
</t>
        </r>
      </text>
    </comment>
    <comment ref="V170" authorId="1" shapeId="0" xr:uid="{DD801DEF-2C29-4906-93A6-6398178B1FF4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sale negativo</t>
        </r>
      </text>
    </comment>
    <comment ref="V175" authorId="1" shapeId="0" xr:uid="{A13A6601-051A-4881-AE09-D5498DB89CD9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más del doble</t>
        </r>
      </text>
    </comment>
    <comment ref="V178" authorId="1" shapeId="0" xr:uid="{B91AD421-0CBD-43A5-9328-5C88D72249A5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más del doble</t>
        </r>
      </text>
    </comment>
    <comment ref="F186" authorId="0" shapeId="0" xr:uid="{1F822E3F-30AC-49D6-8C16-0B4D7AE509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341</t>
        </r>
      </text>
    </comment>
    <comment ref="V196" authorId="1" shapeId="0" xr:uid="{66A2BD8B-CDEB-46BD-AAF7-14FC90B098AB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menos de la mitad?</t>
        </r>
      </text>
    </comment>
    <comment ref="H197" authorId="0" shapeId="0" xr:uid="{294F992F-BAB3-42B3-9138-463401957C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lo correcto debio ser 62
</t>
        </r>
      </text>
    </comment>
    <comment ref="V197" authorId="1" shapeId="0" xr:uid="{1BC60F89-F237-442B-9A5E-041FB133BFC4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negativo</t>
        </r>
      </text>
    </comment>
    <comment ref="V200" authorId="1" shapeId="0" xr:uid="{F45AF2DC-1CD6-4C75-8387-E4961090C40F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negativo</t>
        </r>
      </text>
    </comment>
    <comment ref="V202" authorId="1" shapeId="0" xr:uid="{CA786170-3A60-44A6-BB77-AF6E95F53E0B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aumenta en 11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tc={FE080931-B794-466D-A073-01F0A13C6AB4}</author>
  </authors>
  <commentList>
    <comment ref="C41" authorId="0" shapeId="0" xr:uid="{FE080931-B794-466D-A073-01F0A13C6A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ajusto cuotas mensuales 23.37</t>
      </text>
    </comment>
  </commentList>
</comments>
</file>

<file path=xl/sharedStrings.xml><?xml version="1.0" encoding="utf-8"?>
<sst xmlns="http://schemas.openxmlformats.org/spreadsheetml/2006/main" count="9114" uniqueCount="2321">
  <si>
    <t>Fecha</t>
  </si>
  <si>
    <t>Descripción operación</t>
  </si>
  <si>
    <t>Monto</t>
  </si>
  <si>
    <t>Operación - Número</t>
  </si>
  <si>
    <t>Referencia2</t>
  </si>
  <si>
    <t/>
  </si>
  <si>
    <t>COM.MANTENIM</t>
  </si>
  <si>
    <t>00000000</t>
  </si>
  <si>
    <t>TRAN.CTAS.TERC.BM</t>
  </si>
  <si>
    <t>04243181</t>
  </si>
  <si>
    <t>03089984</t>
  </si>
  <si>
    <t>01147563</t>
  </si>
  <si>
    <t>ENVIO.EST.CTA</t>
  </si>
  <si>
    <t>00922526</t>
  </si>
  <si>
    <t>02159673</t>
  </si>
  <si>
    <t>04057037</t>
  </si>
  <si>
    <t>TRANSF.BCO.INTERBANK</t>
  </si>
  <si>
    <t>02969072</t>
  </si>
  <si>
    <t>02466805</t>
  </si>
  <si>
    <t>06316368</t>
  </si>
  <si>
    <t>TRANSF.BCO.SCOTIABANK</t>
  </si>
  <si>
    <t>02641744</t>
  </si>
  <si>
    <t>04379962</t>
  </si>
  <si>
    <t>TRAN.CTAS.TERC.HK</t>
  </si>
  <si>
    <t>06068949</t>
  </si>
  <si>
    <t>02477847</t>
  </si>
  <si>
    <t>05405035</t>
  </si>
  <si>
    <t>02575512</t>
  </si>
  <si>
    <t>IMPUESTO ITF</t>
  </si>
  <si>
    <t>DE BERTOLOTTO INVESTME</t>
  </si>
  <si>
    <t>02050826</t>
  </si>
  <si>
    <t>01175882</t>
  </si>
  <si>
    <t>TRANSF.BCO.BBVA</t>
  </si>
  <si>
    <t>02628817</t>
  </si>
  <si>
    <t>02671269</t>
  </si>
  <si>
    <t>05275043</t>
  </si>
  <si>
    <t>04507172</t>
  </si>
  <si>
    <t>04758347</t>
  </si>
  <si>
    <t>02625761</t>
  </si>
  <si>
    <t>01645935</t>
  </si>
  <si>
    <t>02039976</t>
  </si>
  <si>
    <t>02597032</t>
  </si>
  <si>
    <t>01847778</t>
  </si>
  <si>
    <t>02648966</t>
  </si>
  <si>
    <t>02544870</t>
  </si>
  <si>
    <t>02585059</t>
  </si>
  <si>
    <t>DEPOSITO AG 981945</t>
  </si>
  <si>
    <t>00090790</t>
  </si>
  <si>
    <t>03212730</t>
  </si>
  <si>
    <t>01569667</t>
  </si>
  <si>
    <t>02132541</t>
  </si>
  <si>
    <t>00668414</t>
  </si>
  <si>
    <t>01430615</t>
  </si>
  <si>
    <t>04731144</t>
  </si>
  <si>
    <t>02868748</t>
  </si>
  <si>
    <t>02267630</t>
  </si>
  <si>
    <t>06017738</t>
  </si>
  <si>
    <t>00589497</t>
  </si>
  <si>
    <t>02556593</t>
  </si>
  <si>
    <t>DEPOSITO AG 971093</t>
  </si>
  <si>
    <t>00048102</t>
  </si>
  <si>
    <t>00603438</t>
  </si>
  <si>
    <t>00150906</t>
  </si>
  <si>
    <t>05144617</t>
  </si>
  <si>
    <t>00669135</t>
  </si>
  <si>
    <t>00157192</t>
  </si>
  <si>
    <t>00848723</t>
  </si>
  <si>
    <t>03392234</t>
  </si>
  <si>
    <t>05034305</t>
  </si>
  <si>
    <t>02524685</t>
  </si>
  <si>
    <t>02949004</t>
  </si>
  <si>
    <t>01737357</t>
  </si>
  <si>
    <t>01542778</t>
  </si>
  <si>
    <t>ENTREGA C/CHEQUES FUE</t>
  </si>
  <si>
    <t>00788858</t>
  </si>
  <si>
    <t>01030013</t>
  </si>
  <si>
    <t>03214653</t>
  </si>
  <si>
    <t>04244321</t>
  </si>
  <si>
    <t>02185017</t>
  </si>
  <si>
    <t>04046820</t>
  </si>
  <si>
    <t>02271919</t>
  </si>
  <si>
    <t>01528693</t>
  </si>
  <si>
    <t>02130246</t>
  </si>
  <si>
    <t>01860628</t>
  </si>
  <si>
    <t>04079146</t>
  </si>
  <si>
    <t>01403678</t>
  </si>
  <si>
    <t>06046753</t>
  </si>
  <si>
    <t>02276178</t>
  </si>
  <si>
    <t>00923700</t>
  </si>
  <si>
    <t>03514114</t>
  </si>
  <si>
    <t>02261205</t>
  </si>
  <si>
    <t>06124269</t>
  </si>
  <si>
    <t>TRANSF.BCO.NACION</t>
  </si>
  <si>
    <t>02914978</t>
  </si>
  <si>
    <t>03001621</t>
  </si>
  <si>
    <t>02077874</t>
  </si>
  <si>
    <t>03373949</t>
  </si>
  <si>
    <t>02307204</t>
  </si>
  <si>
    <t>02226271</t>
  </si>
  <si>
    <t>02929203</t>
  </si>
  <si>
    <t>03261083</t>
  </si>
  <si>
    <t>02217822</t>
  </si>
  <si>
    <t>05210098</t>
  </si>
  <si>
    <t>06015474</t>
  </si>
  <si>
    <t>02444433</t>
  </si>
  <si>
    <t>03398567</t>
  </si>
  <si>
    <t>01287156</t>
  </si>
  <si>
    <t>03032758</t>
  </si>
  <si>
    <t>02873420</t>
  </si>
  <si>
    <t>DEPOSITO AG 988720</t>
  </si>
  <si>
    <t>00085488</t>
  </si>
  <si>
    <t>01312587</t>
  </si>
  <si>
    <t>03333724</t>
  </si>
  <si>
    <t>DEPOSITO AG 972970</t>
  </si>
  <si>
    <t>00014284</t>
  </si>
  <si>
    <t>05103837</t>
  </si>
  <si>
    <t>00784443</t>
  </si>
  <si>
    <t>02901656</t>
  </si>
  <si>
    <t>01064784</t>
  </si>
  <si>
    <t>03944124</t>
  </si>
  <si>
    <t>01028093</t>
  </si>
  <si>
    <t>02381354</t>
  </si>
  <si>
    <t>00339606</t>
  </si>
  <si>
    <t>02961072</t>
  </si>
  <si>
    <t>02269401</t>
  </si>
  <si>
    <t>02873310</t>
  </si>
  <si>
    <t>02102134</t>
  </si>
  <si>
    <t>02018703</t>
  </si>
  <si>
    <t>04267467</t>
  </si>
  <si>
    <t>02014706</t>
  </si>
  <si>
    <t>04344503</t>
  </si>
  <si>
    <t>02056469</t>
  </si>
  <si>
    <t>02045584</t>
  </si>
  <si>
    <t>04025358</t>
  </si>
  <si>
    <t>02046015</t>
  </si>
  <si>
    <t>02095994</t>
  </si>
  <si>
    <t>02102219</t>
  </si>
  <si>
    <t>02277709</t>
  </si>
  <si>
    <t>02875769</t>
  </si>
  <si>
    <t>02879993</t>
  </si>
  <si>
    <t>04650215</t>
  </si>
  <si>
    <t>02681879</t>
  </si>
  <si>
    <t>01785642</t>
  </si>
  <si>
    <t>04117560</t>
  </si>
  <si>
    <t>04649520</t>
  </si>
  <si>
    <t>02225372</t>
  </si>
  <si>
    <t>EMIS.CHEQ GEREN VENT</t>
  </si>
  <si>
    <t>00073300</t>
  </si>
  <si>
    <t>COMISIONES CARTA ORDEN</t>
  </si>
  <si>
    <t>00070749</t>
  </si>
  <si>
    <t>01046457</t>
  </si>
  <si>
    <t>06083703</t>
  </si>
  <si>
    <t>00063063</t>
  </si>
  <si>
    <t>02115002</t>
  </si>
  <si>
    <t>ENTR.EFEC. 0815546</t>
  </si>
  <si>
    <t>00815546</t>
  </si>
  <si>
    <t>04344637</t>
  </si>
  <si>
    <t>02893773</t>
  </si>
  <si>
    <t>01184116</t>
  </si>
  <si>
    <t>02280238</t>
  </si>
  <si>
    <t>02206220</t>
  </si>
  <si>
    <t>ENTR.EFEC. 0631681</t>
  </si>
  <si>
    <t>00631681</t>
  </si>
  <si>
    <t>02518076</t>
  </si>
  <si>
    <t>02887536</t>
  </si>
  <si>
    <t>02493865</t>
  </si>
  <si>
    <t>01811309</t>
  </si>
  <si>
    <t>04382980</t>
  </si>
  <si>
    <t>04525487</t>
  </si>
  <si>
    <t>02406892</t>
  </si>
  <si>
    <t>02624118</t>
  </si>
  <si>
    <t>02812104</t>
  </si>
  <si>
    <t>02532181</t>
  </si>
  <si>
    <t>04769737</t>
  </si>
  <si>
    <t>02421088</t>
  </si>
  <si>
    <t>02936696</t>
  </si>
  <si>
    <t>06364632</t>
  </si>
  <si>
    <t>02633723</t>
  </si>
  <si>
    <t>01940570</t>
  </si>
  <si>
    <t>04665107</t>
  </si>
  <si>
    <t>02329476</t>
  </si>
  <si>
    <t>02587102</t>
  </si>
  <si>
    <t>02310950</t>
  </si>
  <si>
    <t>01097187</t>
  </si>
  <si>
    <t>00554599</t>
  </si>
  <si>
    <t>00979814</t>
  </si>
  <si>
    <t>02302495</t>
  </si>
  <si>
    <t>TRANSF.BCO.PICHINCHA</t>
  </si>
  <si>
    <t>00052658</t>
  </si>
  <si>
    <t>02692875</t>
  </si>
  <si>
    <t>03004245</t>
  </si>
  <si>
    <t>02607176</t>
  </si>
  <si>
    <t>06038055</t>
  </si>
  <si>
    <t>04315211</t>
  </si>
  <si>
    <t>04116946</t>
  </si>
  <si>
    <t>ENTR.EFEC. 0567303</t>
  </si>
  <si>
    <t>00567303</t>
  </si>
  <si>
    <t>03369136</t>
  </si>
  <si>
    <t>00309424</t>
  </si>
  <si>
    <t>02335804</t>
  </si>
  <si>
    <t>02498486</t>
  </si>
  <si>
    <t>EMIS. CHEQ DE GERENCIA</t>
  </si>
  <si>
    <t>00216355</t>
  </si>
  <si>
    <t>02120334</t>
  </si>
  <si>
    <t>02630529</t>
  </si>
  <si>
    <t>01125667</t>
  </si>
  <si>
    <t>01061359</t>
  </si>
  <si>
    <t>03234701</t>
  </si>
  <si>
    <t>02777843</t>
  </si>
  <si>
    <t>03239190</t>
  </si>
  <si>
    <t>02734607</t>
  </si>
  <si>
    <t>02932196</t>
  </si>
  <si>
    <t>04937179</t>
  </si>
  <si>
    <t>01312201</t>
  </si>
  <si>
    <t>01712136</t>
  </si>
  <si>
    <t>00822197</t>
  </si>
  <si>
    <t>01426799</t>
  </si>
  <si>
    <t>DEPOSITO AG 986604</t>
  </si>
  <si>
    <t>00273490</t>
  </si>
  <si>
    <t>05316678</t>
  </si>
  <si>
    <t>02603044</t>
  </si>
  <si>
    <t>04658131</t>
  </si>
  <si>
    <t>01063239</t>
  </si>
  <si>
    <t>03703496</t>
  </si>
  <si>
    <t>02008577</t>
  </si>
  <si>
    <t>05044572</t>
  </si>
  <si>
    <t>02236557</t>
  </si>
  <si>
    <t>06953028</t>
  </si>
  <si>
    <t>02838531</t>
  </si>
  <si>
    <t>00485389</t>
  </si>
  <si>
    <t>05551900</t>
  </si>
  <si>
    <t>01916544</t>
  </si>
  <si>
    <t>03904694</t>
  </si>
  <si>
    <t>06046144</t>
  </si>
  <si>
    <t>02959876</t>
  </si>
  <si>
    <t>06469783</t>
  </si>
  <si>
    <t>01502596</t>
  </si>
  <si>
    <t>02550065</t>
  </si>
  <si>
    <t>02316241</t>
  </si>
  <si>
    <t>02651698</t>
  </si>
  <si>
    <t>00008322</t>
  </si>
  <si>
    <t>02203830</t>
  </si>
  <si>
    <t>04365232</t>
  </si>
  <si>
    <t>00520699</t>
  </si>
  <si>
    <t>02115925</t>
  </si>
  <si>
    <t>05134217</t>
  </si>
  <si>
    <t>00026206</t>
  </si>
  <si>
    <t>01044775</t>
  </si>
  <si>
    <t>02713616</t>
  </si>
  <si>
    <t>02699038</t>
  </si>
  <si>
    <t>02128282</t>
  </si>
  <si>
    <t>02413793</t>
  </si>
  <si>
    <t>00925459</t>
  </si>
  <si>
    <t>01180267</t>
  </si>
  <si>
    <t>02136329</t>
  </si>
  <si>
    <t>05646182</t>
  </si>
  <si>
    <t>04380816</t>
  </si>
  <si>
    <t>02977856</t>
  </si>
  <si>
    <t>05985924</t>
  </si>
  <si>
    <t>04006826</t>
  </si>
  <si>
    <t>A 194 35396121 0</t>
  </si>
  <si>
    <t>01011671</t>
  </si>
  <si>
    <t>60 saldo mant bombas y</t>
  </si>
  <si>
    <t>A 192 74404443 0</t>
  </si>
  <si>
    <t>01008192</t>
  </si>
  <si>
    <t>saldo 60 mant camaras</t>
  </si>
  <si>
    <t>A 193 25372364 0</t>
  </si>
  <si>
    <t>01008692</t>
  </si>
  <si>
    <t>202509 mant piscina pi</t>
  </si>
  <si>
    <t>A 194 2636555 0</t>
  </si>
  <si>
    <t>01008193</t>
  </si>
  <si>
    <t>diez luminarias adicio</t>
  </si>
  <si>
    <t>A 191 7786938 0</t>
  </si>
  <si>
    <t>01010181</t>
  </si>
  <si>
    <t>202510 plus adicionale</t>
  </si>
  <si>
    <t>A 193 71013755 0</t>
  </si>
  <si>
    <t>01009692</t>
  </si>
  <si>
    <t>202510 octubre mant ja</t>
  </si>
  <si>
    <t>A 192 77423480 0</t>
  </si>
  <si>
    <t>01010672</t>
  </si>
  <si>
    <t>son 09 nueve limpieza</t>
  </si>
  <si>
    <t>A 193 04699499 0</t>
  </si>
  <si>
    <t>01011172</t>
  </si>
  <si>
    <t>proyecto luminarias ad</t>
  </si>
  <si>
    <t>A 192 70157524 0</t>
  </si>
  <si>
    <t>01009187</t>
  </si>
  <si>
    <t>Son cinco 5 limpieza p</t>
  </si>
  <si>
    <t>TLC 0050S3 MANT OCT</t>
  </si>
  <si>
    <t>02408183</t>
  </si>
  <si>
    <t>02012834</t>
  </si>
  <si>
    <t>02732485</t>
  </si>
  <si>
    <t>05470728</t>
  </si>
  <si>
    <t>02014708</t>
  </si>
  <si>
    <t>02122101</t>
  </si>
  <si>
    <t>02834545</t>
  </si>
  <si>
    <t>02864893</t>
  </si>
  <si>
    <t>06039284</t>
  </si>
  <si>
    <t>00996208</t>
  </si>
  <si>
    <t>01111134</t>
  </si>
  <si>
    <t>50 LUMINARIAS CON SENS</t>
  </si>
  <si>
    <t>01172874</t>
  </si>
  <si>
    <t>SALDO 50 LUMINARIAS CO</t>
  </si>
  <si>
    <t>A 191 2367445 0</t>
  </si>
  <si>
    <t>01108214</t>
  </si>
  <si>
    <t>ANTICIPO 40 INSTALACIO</t>
  </si>
  <si>
    <t>01791218</t>
  </si>
  <si>
    <t>00562117</t>
  </si>
  <si>
    <t>00772608</t>
  </si>
  <si>
    <t>02274706</t>
  </si>
  <si>
    <t>02234966</t>
  </si>
  <si>
    <t>02585149</t>
  </si>
  <si>
    <t>00579772</t>
  </si>
  <si>
    <t>01183893</t>
  </si>
  <si>
    <t>04490977</t>
  </si>
  <si>
    <t>02983388</t>
  </si>
  <si>
    <t>02847379</t>
  </si>
  <si>
    <t>02841288</t>
  </si>
  <si>
    <t>04579341</t>
  </si>
  <si>
    <t>01629396</t>
  </si>
  <si>
    <t>04211807</t>
  </si>
  <si>
    <t>03533035</t>
  </si>
  <si>
    <t>06026700</t>
  </si>
  <si>
    <t>00005358</t>
  </si>
  <si>
    <t>04282783</t>
  </si>
  <si>
    <t>01203411</t>
  </si>
  <si>
    <t>02873980</t>
  </si>
  <si>
    <t>06116546</t>
  </si>
  <si>
    <t>02714564</t>
  </si>
  <si>
    <t>03982548</t>
  </si>
  <si>
    <t>01052483</t>
  </si>
  <si>
    <t>TRANFERENCIA CCE</t>
  </si>
  <si>
    <t>04012974</t>
  </si>
  <si>
    <t>A 191 2097589 0</t>
  </si>
  <si>
    <t>01162648</t>
  </si>
  <si>
    <t>material limpieza paci</t>
  </si>
  <si>
    <t>01163128</t>
  </si>
  <si>
    <t>Audit gestion dos anos</t>
  </si>
  <si>
    <t>A 191 97211880 0</t>
  </si>
  <si>
    <t>01161183</t>
  </si>
  <si>
    <t>RG depa 1212 lounge an</t>
  </si>
  <si>
    <t>A 191 04291231 0</t>
  </si>
  <si>
    <t>01160717</t>
  </si>
  <si>
    <t>reembolso garantia DEP</t>
  </si>
  <si>
    <t>A 191 39132335 0</t>
  </si>
  <si>
    <t>01160225</t>
  </si>
  <si>
    <t>RG depa 207 lounge 251</t>
  </si>
  <si>
    <t>A 191 01775351 0</t>
  </si>
  <si>
    <t>01161184</t>
  </si>
  <si>
    <t>RG depa 1002 lounge 25</t>
  </si>
  <si>
    <t>A 193 35382222 0</t>
  </si>
  <si>
    <t>01163129</t>
  </si>
  <si>
    <t>REEMBOLSO GARANTIA DEP</t>
  </si>
  <si>
    <t>A 191 29719140 0</t>
  </si>
  <si>
    <t>01162144</t>
  </si>
  <si>
    <t>A 192 97940244 0</t>
  </si>
  <si>
    <t>01161182</t>
  </si>
  <si>
    <t>reembolso garantia dep</t>
  </si>
  <si>
    <t>A 191 08348364 0</t>
  </si>
  <si>
    <t>01161679</t>
  </si>
  <si>
    <t>Honorarios agosto y se</t>
  </si>
  <si>
    <t>A 193 76088550 0</t>
  </si>
  <si>
    <t>01162647</t>
  </si>
  <si>
    <t>reembolso internet mov</t>
  </si>
  <si>
    <t>A 193 17476343 0</t>
  </si>
  <si>
    <t>01161678</t>
  </si>
  <si>
    <t>RG depa 312 arcade 251</t>
  </si>
  <si>
    <t>A 191 90808548 0</t>
  </si>
  <si>
    <t>01161677</t>
  </si>
  <si>
    <t>RG depa 1006 arcade 25</t>
  </si>
  <si>
    <t>01161185</t>
  </si>
  <si>
    <t>Internet Pacifik 20250</t>
  </si>
  <si>
    <t>01226952</t>
  </si>
  <si>
    <t>01502140</t>
  </si>
  <si>
    <t>01499136</t>
  </si>
  <si>
    <t>01148427</t>
  </si>
  <si>
    <t>01162025</t>
  </si>
  <si>
    <t>04016305</t>
  </si>
  <si>
    <t>01699731</t>
  </si>
  <si>
    <t>02236078</t>
  </si>
  <si>
    <t>01571226</t>
  </si>
  <si>
    <t>00012008</t>
  </si>
  <si>
    <t>06074633</t>
  </si>
  <si>
    <t>02446593</t>
  </si>
  <si>
    <t>02809940</t>
  </si>
  <si>
    <t>06075303</t>
  </si>
  <si>
    <t>02599873</t>
  </si>
  <si>
    <t>02240815</t>
  </si>
  <si>
    <t>01402902</t>
  </si>
  <si>
    <t>01225432</t>
  </si>
  <si>
    <t>01371190</t>
  </si>
  <si>
    <t>01447023</t>
  </si>
  <si>
    <t>00164874</t>
  </si>
  <si>
    <t>03020570</t>
  </si>
  <si>
    <t>00152317</t>
  </si>
  <si>
    <t>04456271</t>
  </si>
  <si>
    <t>02962937</t>
  </si>
  <si>
    <t>03064597</t>
  </si>
  <si>
    <t>02936858</t>
  </si>
  <si>
    <t>02091283</t>
  </si>
  <si>
    <t>00183124</t>
  </si>
  <si>
    <t>02889763</t>
  </si>
  <si>
    <t>01808611</t>
  </si>
  <si>
    <t>04827567</t>
  </si>
  <si>
    <t>01472352</t>
  </si>
  <si>
    <t>06107638</t>
  </si>
  <si>
    <t>01294975</t>
  </si>
  <si>
    <t>06007575</t>
  </si>
  <si>
    <t>01483074</t>
  </si>
  <si>
    <t>02237728</t>
  </si>
  <si>
    <t>02733913</t>
  </si>
  <si>
    <t>00086938</t>
  </si>
  <si>
    <t>ENTR.EFEC. 0013065</t>
  </si>
  <si>
    <t>00013065</t>
  </si>
  <si>
    <t>03513010</t>
  </si>
  <si>
    <t>02154361</t>
  </si>
  <si>
    <t>06027844</t>
  </si>
  <si>
    <t>02014380</t>
  </si>
  <si>
    <t>02430862</t>
  </si>
  <si>
    <t>02504453</t>
  </si>
  <si>
    <t>02204114</t>
  </si>
  <si>
    <t>00385018</t>
  </si>
  <si>
    <t>05470761</t>
  </si>
  <si>
    <t>05393556</t>
  </si>
  <si>
    <t>02278475</t>
  </si>
  <si>
    <t>02259143</t>
  </si>
  <si>
    <t>02029566</t>
  </si>
  <si>
    <t>06155307</t>
  </si>
  <si>
    <t>03787842</t>
  </si>
  <si>
    <t>01962652</t>
  </si>
  <si>
    <t>06168843</t>
  </si>
  <si>
    <t>01114795</t>
  </si>
  <si>
    <t>01081705</t>
  </si>
  <si>
    <t>01284674</t>
  </si>
  <si>
    <t>MANT CISTERNAS Y BOMBA</t>
  </si>
  <si>
    <t>04022457</t>
  </si>
  <si>
    <t>01286577</t>
  </si>
  <si>
    <t>PACIFIK MANT PRENVENTI</t>
  </si>
  <si>
    <t>A 191 74870101 0</t>
  </si>
  <si>
    <t>01286103</t>
  </si>
  <si>
    <t>A 193 03842884 0</t>
  </si>
  <si>
    <t>01286102</t>
  </si>
  <si>
    <t>01287551</t>
  </si>
  <si>
    <t>SERVICIOS EXTRAS LIMPI</t>
  </si>
  <si>
    <t>05623964</t>
  </si>
  <si>
    <t>02517238</t>
  </si>
  <si>
    <t>02341768</t>
  </si>
  <si>
    <t>03968157</t>
  </si>
  <si>
    <t>02742208</t>
  </si>
  <si>
    <t>00062675</t>
  </si>
  <si>
    <t>01798155</t>
  </si>
  <si>
    <t>03363837</t>
  </si>
  <si>
    <t>03586963</t>
  </si>
  <si>
    <t>01035254</t>
  </si>
  <si>
    <t>01881607</t>
  </si>
  <si>
    <t>02980048</t>
  </si>
  <si>
    <t>02975688</t>
  </si>
  <si>
    <t>01793465</t>
  </si>
  <si>
    <t>03732600</t>
  </si>
  <si>
    <t>02133321</t>
  </si>
  <si>
    <t>02467202</t>
  </si>
  <si>
    <t>03755424</t>
  </si>
  <si>
    <t>03721609</t>
  </si>
  <si>
    <t>02131558</t>
  </si>
  <si>
    <t>00855810</t>
  </si>
  <si>
    <t>02834124</t>
  </si>
  <si>
    <t>02826857</t>
  </si>
  <si>
    <t>03118936</t>
  </si>
  <si>
    <t>02502791</t>
  </si>
  <si>
    <t>04257570</t>
  </si>
  <si>
    <t>ENTR.EFEC. 0099414</t>
  </si>
  <si>
    <t>00099414</t>
  </si>
  <si>
    <t>01273818</t>
  </si>
  <si>
    <t>01893293</t>
  </si>
  <si>
    <t>00750769</t>
  </si>
  <si>
    <t>02611114</t>
  </si>
  <si>
    <t>ENTR.EFEC. 0800064</t>
  </si>
  <si>
    <t>00800064</t>
  </si>
  <si>
    <t>ENTR.EFEC. 0797697</t>
  </si>
  <si>
    <t>00797697</t>
  </si>
  <si>
    <t>02109910</t>
  </si>
  <si>
    <t>01387232</t>
  </si>
  <si>
    <t>02435870</t>
  </si>
  <si>
    <t>03117139</t>
  </si>
  <si>
    <t>ENTR.EFEC. 0214483</t>
  </si>
  <si>
    <t>00214483</t>
  </si>
  <si>
    <t>02303943</t>
  </si>
  <si>
    <t>02961523</t>
  </si>
  <si>
    <t>00114942</t>
  </si>
  <si>
    <t>05351892</t>
  </si>
  <si>
    <t>02370720</t>
  </si>
  <si>
    <t>02868922</t>
  </si>
  <si>
    <t>00088391</t>
  </si>
  <si>
    <t>02130505</t>
  </si>
  <si>
    <t>02259087</t>
  </si>
  <si>
    <t>02499880</t>
  </si>
  <si>
    <t>01858286</t>
  </si>
  <si>
    <t>04773145</t>
  </si>
  <si>
    <t>03350643</t>
  </si>
  <si>
    <t>05959738</t>
  </si>
  <si>
    <t>02154968</t>
  </si>
  <si>
    <t>02874731</t>
  </si>
  <si>
    <t>02408877</t>
  </si>
  <si>
    <t>02831730</t>
  </si>
  <si>
    <t>02501272</t>
  </si>
  <si>
    <t>04115593</t>
  </si>
  <si>
    <t>04762494</t>
  </si>
  <si>
    <t>02102468</t>
  </si>
  <si>
    <t>02758475</t>
  </si>
  <si>
    <t>02585101</t>
  </si>
  <si>
    <t>02313966</t>
  </si>
  <si>
    <t>03379568</t>
  </si>
  <si>
    <t>02973820</t>
  </si>
  <si>
    <t>04071624</t>
  </si>
  <si>
    <t>06006850</t>
  </si>
  <si>
    <t>01947836</t>
  </si>
  <si>
    <t>01935007</t>
  </si>
  <si>
    <t>06108814</t>
  </si>
  <si>
    <t>02742761</t>
  </si>
  <si>
    <t>00756422</t>
  </si>
  <si>
    <t>01667380</t>
  </si>
  <si>
    <t>04379081</t>
  </si>
  <si>
    <t>06338968</t>
  </si>
  <si>
    <t>01489798</t>
  </si>
  <si>
    <t>00106634</t>
  </si>
  <si>
    <t>ENTR.EFEC. 0331488</t>
  </si>
  <si>
    <t>00331488</t>
  </si>
  <si>
    <t>05013029</t>
  </si>
  <si>
    <t>06193819</t>
  </si>
  <si>
    <t>00103502</t>
  </si>
  <si>
    <t>02320411</t>
  </si>
  <si>
    <t>04946542</t>
  </si>
  <si>
    <t>DE INMOBILIARIA 23 SAC</t>
  </si>
  <si>
    <t>02150230</t>
  </si>
  <si>
    <t>01517277</t>
  </si>
  <si>
    <t>01518499</t>
  </si>
  <si>
    <t>05960842</t>
  </si>
  <si>
    <t>02714421</t>
  </si>
  <si>
    <t>04475460</t>
  </si>
  <si>
    <t>02433958</t>
  </si>
  <si>
    <t>02390495</t>
  </si>
  <si>
    <t>05239747</t>
  </si>
  <si>
    <t>02962936</t>
  </si>
  <si>
    <t>06752338</t>
  </si>
  <si>
    <t>02724168</t>
  </si>
  <si>
    <t>03370925</t>
  </si>
  <si>
    <t>03827341</t>
  </si>
  <si>
    <t>04937016</t>
  </si>
  <si>
    <t>00537600</t>
  </si>
  <si>
    <t>01935673</t>
  </si>
  <si>
    <t>06543668</t>
  </si>
  <si>
    <t>04583572</t>
  </si>
  <si>
    <t>07037860</t>
  </si>
  <si>
    <t>02362328</t>
  </si>
  <si>
    <t>06649549</t>
  </si>
  <si>
    <t>06574077</t>
  </si>
  <si>
    <t>02256230</t>
  </si>
  <si>
    <t>07410443</t>
  </si>
  <si>
    <t>00355240</t>
  </si>
  <si>
    <t>04172885</t>
  </si>
  <si>
    <t>01514637</t>
  </si>
  <si>
    <t>01704392</t>
  </si>
  <si>
    <t>01242561</t>
  </si>
  <si>
    <t>06155688</t>
  </si>
  <si>
    <t>07143203</t>
  </si>
  <si>
    <t>03379087</t>
  </si>
  <si>
    <t>07078061</t>
  </si>
  <si>
    <t>02297088</t>
  </si>
  <si>
    <t>03029589</t>
  </si>
  <si>
    <t>05160699</t>
  </si>
  <si>
    <t>02014112</t>
  </si>
  <si>
    <t>05350480</t>
  </si>
  <si>
    <t>02290570</t>
  </si>
  <si>
    <t>02889920</t>
  </si>
  <si>
    <t>00793093</t>
  </si>
  <si>
    <t>01411793</t>
  </si>
  <si>
    <t>03322726</t>
  </si>
  <si>
    <t>00924976</t>
  </si>
  <si>
    <t>02744550</t>
  </si>
  <si>
    <t>02828797</t>
  </si>
  <si>
    <t>01327251</t>
  </si>
  <si>
    <t>03544206</t>
  </si>
  <si>
    <t>07283408</t>
  </si>
  <si>
    <t>07423870</t>
  </si>
  <si>
    <t>00284206</t>
  </si>
  <si>
    <t>06913326</t>
  </si>
  <si>
    <t>03520665</t>
  </si>
  <si>
    <t>02487841</t>
  </si>
  <si>
    <t>02516798</t>
  </si>
  <si>
    <t>06157414</t>
  </si>
  <si>
    <t>07178031</t>
  </si>
  <si>
    <t>02126293</t>
  </si>
  <si>
    <t>02429503</t>
  </si>
  <si>
    <t>PLUZ000003017922</t>
  </si>
  <si>
    <t>04236770</t>
  </si>
  <si>
    <t>SEDA000007458225</t>
  </si>
  <si>
    <t>04237253</t>
  </si>
  <si>
    <t>A 193 2409247 0</t>
  </si>
  <si>
    <t>01238194</t>
  </si>
  <si>
    <t>ANTICIPO correctivos a</t>
  </si>
  <si>
    <t>01237709</t>
  </si>
  <si>
    <t>RG lounge depa 305</t>
  </si>
  <si>
    <t>A 192 25252848 0</t>
  </si>
  <si>
    <t>01237252</t>
  </si>
  <si>
    <t>RG lounge depa 1512</t>
  </si>
  <si>
    <t>A 191 90494916 0</t>
  </si>
  <si>
    <t>01236769</t>
  </si>
  <si>
    <t>RG lounge depa 307</t>
  </si>
  <si>
    <t>01236285</t>
  </si>
  <si>
    <t>RG lounge depa 1105 co</t>
  </si>
  <si>
    <t>A 193 71878948 0</t>
  </si>
  <si>
    <t>01236286</t>
  </si>
  <si>
    <t>RG lounge depa 705 con</t>
  </si>
  <si>
    <t>01237708</t>
  </si>
  <si>
    <t>REEMBOLSO PAGOS</t>
  </si>
  <si>
    <t>01236287</t>
  </si>
  <si>
    <t>RG arcade depa 1506</t>
  </si>
  <si>
    <t>TELE000952426971</t>
  </si>
  <si>
    <t>00239690</t>
  </si>
  <si>
    <t>06247809</t>
  </si>
  <si>
    <t>04842771</t>
  </si>
  <si>
    <t>02648482</t>
  </si>
  <si>
    <t>04099794</t>
  </si>
  <si>
    <t>05681805</t>
  </si>
  <si>
    <t>02398532</t>
  </si>
  <si>
    <t>DE PRONTOMATIC PERU SO</t>
  </si>
  <si>
    <t>02102727</t>
  </si>
  <si>
    <t>ENTR.EFEC. 0515893</t>
  </si>
  <si>
    <t>00515893</t>
  </si>
  <si>
    <t>02151178</t>
  </si>
  <si>
    <t>01501572</t>
  </si>
  <si>
    <t>02059779</t>
  </si>
  <si>
    <t>DE INMOBILIARIA IMPULS</t>
  </si>
  <si>
    <t>02300949</t>
  </si>
  <si>
    <t>00043615</t>
  </si>
  <si>
    <t>02582742</t>
  </si>
  <si>
    <t>03090235</t>
  </si>
  <si>
    <t>03017411</t>
  </si>
  <si>
    <t>03457335</t>
  </si>
  <si>
    <t>01724791</t>
  </si>
  <si>
    <t>02318230</t>
  </si>
  <si>
    <t>02161190</t>
  </si>
  <si>
    <t>02301852</t>
  </si>
  <si>
    <t>02303796</t>
  </si>
  <si>
    <t>TLC 0050S3 MANT NOV</t>
  </si>
  <si>
    <t>02467069</t>
  </si>
  <si>
    <t>02595090</t>
  </si>
  <si>
    <t>01481973</t>
  </si>
  <si>
    <t>02147646</t>
  </si>
  <si>
    <t>06106026</t>
  </si>
  <si>
    <t>02723059</t>
  </si>
  <si>
    <t>02022558</t>
  </si>
  <si>
    <t>03466642</t>
  </si>
  <si>
    <t>03689568</t>
  </si>
  <si>
    <t>ENTR.EFEC. 0256045</t>
  </si>
  <si>
    <t>00256045</t>
  </si>
  <si>
    <t>01750187</t>
  </si>
  <si>
    <t>01009452</t>
  </si>
  <si>
    <t>05885365</t>
  </si>
  <si>
    <t>03298781</t>
  </si>
  <si>
    <t>02606669</t>
  </si>
  <si>
    <t>06086575</t>
  </si>
  <si>
    <t>03547929</t>
  </si>
  <si>
    <t>02402891</t>
  </si>
  <si>
    <t>03962248</t>
  </si>
  <si>
    <t>03517712</t>
  </si>
  <si>
    <t>03339402</t>
  </si>
  <si>
    <t>04073061</t>
  </si>
  <si>
    <t>03760521</t>
  </si>
  <si>
    <t>02921591</t>
  </si>
  <si>
    <t>01374895</t>
  </si>
  <si>
    <t>03779807</t>
  </si>
  <si>
    <t>02920728</t>
  </si>
  <si>
    <t>02354243</t>
  </si>
  <si>
    <t>02318692</t>
  </si>
  <si>
    <t>02640438</t>
  </si>
  <si>
    <t>02903431</t>
  </si>
  <si>
    <t>05693591</t>
  </si>
  <si>
    <t>00894962</t>
  </si>
  <si>
    <t>ENTR.EFEC. 0356127</t>
  </si>
  <si>
    <t>00356127</t>
  </si>
  <si>
    <t>05096699</t>
  </si>
  <si>
    <t>03827287</t>
  </si>
  <si>
    <t>01952283</t>
  </si>
  <si>
    <t>01070069</t>
  </si>
  <si>
    <t>01723289</t>
  </si>
  <si>
    <t>ENTR.EFEC. 0981968</t>
  </si>
  <si>
    <t>00981968</t>
  </si>
  <si>
    <t>00825431</t>
  </si>
  <si>
    <t>00107471</t>
  </si>
  <si>
    <t>01667918</t>
  </si>
  <si>
    <t>04547026</t>
  </si>
  <si>
    <t>04586580</t>
  </si>
  <si>
    <t>04024517</t>
  </si>
  <si>
    <t>A 194 35487825 0</t>
  </si>
  <si>
    <t>01288171</t>
  </si>
  <si>
    <t>SALDO FRENO HIDRAULICO</t>
  </si>
  <si>
    <t>01290072</t>
  </si>
  <si>
    <t>RCC admin puerta piso</t>
  </si>
  <si>
    <t>01291054</t>
  </si>
  <si>
    <t>Mant correctivo tuberi</t>
  </si>
  <si>
    <t>01290568</t>
  </si>
  <si>
    <t>SALDO MANT CORRECTIVO</t>
  </si>
  <si>
    <t>A 191 02193176 0</t>
  </si>
  <si>
    <t>01288640</t>
  </si>
  <si>
    <t>RG depa 1004 lounge</t>
  </si>
  <si>
    <t>A 194 37261014 0</t>
  </si>
  <si>
    <t>01289088</t>
  </si>
  <si>
    <t>RG depa 1011 lounge</t>
  </si>
  <si>
    <t>PLUZ000003017921</t>
  </si>
  <si>
    <t>04290569</t>
  </si>
  <si>
    <t>05969090</t>
  </si>
  <si>
    <t>00643931</t>
  </si>
  <si>
    <t>05011808</t>
  </si>
  <si>
    <t>01270216</t>
  </si>
  <si>
    <t>03424844</t>
  </si>
  <si>
    <t>02410773</t>
  </si>
  <si>
    <t>02032647</t>
  </si>
  <si>
    <t>02038806</t>
  </si>
  <si>
    <t>00725832</t>
  </si>
  <si>
    <t>03341902</t>
  </si>
  <si>
    <t>05115056</t>
  </si>
  <si>
    <t>02250347</t>
  </si>
  <si>
    <t>00668177</t>
  </si>
  <si>
    <t>02789965</t>
  </si>
  <si>
    <t>06580649</t>
  </si>
  <si>
    <t>02731718</t>
  </si>
  <si>
    <t>02561890</t>
  </si>
  <si>
    <t>02679199</t>
  </si>
  <si>
    <t>06531410</t>
  </si>
  <si>
    <t>01265346</t>
  </si>
  <si>
    <t>02490853</t>
  </si>
  <si>
    <t>03607057</t>
  </si>
  <si>
    <t>05335826</t>
  </si>
  <si>
    <t>05699108</t>
  </si>
  <si>
    <t>01248743</t>
  </si>
  <si>
    <t>02159025</t>
  </si>
  <si>
    <t>00072548</t>
  </si>
  <si>
    <t>02204118</t>
  </si>
  <si>
    <t>02556556</t>
  </si>
  <si>
    <t>01089972</t>
  </si>
  <si>
    <t>00365895</t>
  </si>
  <si>
    <t>02503994</t>
  </si>
  <si>
    <t>02195954</t>
  </si>
  <si>
    <t>05725318</t>
  </si>
  <si>
    <t>06110101</t>
  </si>
  <si>
    <t>01720483</t>
  </si>
  <si>
    <t>00153754</t>
  </si>
  <si>
    <t>06653860</t>
  </si>
  <si>
    <t>02184034</t>
  </si>
  <si>
    <t>04128563</t>
  </si>
  <si>
    <t>04001596</t>
  </si>
  <si>
    <t>A 193 31380710 0</t>
  </si>
  <si>
    <t>01009103</t>
  </si>
  <si>
    <t>RG LOUNGE DEPA 208</t>
  </si>
  <si>
    <t>01494159</t>
  </si>
  <si>
    <t>02170960</t>
  </si>
  <si>
    <t>02895445</t>
  </si>
  <si>
    <t>02613524</t>
  </si>
  <si>
    <t>01509010</t>
  </si>
  <si>
    <t>02233173</t>
  </si>
  <si>
    <t>02087069</t>
  </si>
  <si>
    <t>02105927</t>
  </si>
  <si>
    <t>01696164</t>
  </si>
  <si>
    <t>02890562</t>
  </si>
  <si>
    <t>02130585</t>
  </si>
  <si>
    <t>01193850</t>
  </si>
  <si>
    <t>anticipo instalacion s</t>
  </si>
  <si>
    <t>01194336</t>
  </si>
  <si>
    <t>anticipo conexion puer</t>
  </si>
  <si>
    <t>A 192 33757449 0</t>
  </si>
  <si>
    <t>01192888</t>
  </si>
  <si>
    <t>RG DEPA 701 ARCADE</t>
  </si>
  <si>
    <t>A 194 38316782 0</t>
  </si>
  <si>
    <t>01194819</t>
  </si>
  <si>
    <t>RG arcade depa 809</t>
  </si>
  <si>
    <t>03378633</t>
  </si>
  <si>
    <t>04663039</t>
  </si>
  <si>
    <t>01738750</t>
  </si>
  <si>
    <t>04990440</t>
  </si>
  <si>
    <t>05231236</t>
  </si>
  <si>
    <t>05231788</t>
  </si>
  <si>
    <t>02938795</t>
  </si>
  <si>
    <t>05219150</t>
  </si>
  <si>
    <t>05247317</t>
  </si>
  <si>
    <t>05230752</t>
  </si>
  <si>
    <t>02915542</t>
  </si>
  <si>
    <t>03416472</t>
  </si>
  <si>
    <t>03410693</t>
  </si>
  <si>
    <t>03410322</t>
  </si>
  <si>
    <t>03417512</t>
  </si>
  <si>
    <t>04769337</t>
  </si>
  <si>
    <t>05622200</t>
  </si>
  <si>
    <t>01796495</t>
  </si>
  <si>
    <t>01214787</t>
  </si>
  <si>
    <t>01213706</t>
  </si>
  <si>
    <t>05043852</t>
  </si>
  <si>
    <t>01218479</t>
  </si>
  <si>
    <t>02005324</t>
  </si>
  <si>
    <t>02240681</t>
  </si>
  <si>
    <t>06062379</t>
  </si>
  <si>
    <t>05224827</t>
  </si>
  <si>
    <t>02786194</t>
  </si>
  <si>
    <t>05834471</t>
  </si>
  <si>
    <t>01027056</t>
  </si>
  <si>
    <t>01044520</t>
  </si>
  <si>
    <t>02631650</t>
  </si>
  <si>
    <t>03848434</t>
  </si>
  <si>
    <t>00526727</t>
  </si>
  <si>
    <t>01012388</t>
  </si>
  <si>
    <t>2511 SALDO CORRECTIVO</t>
  </si>
  <si>
    <t>01015366</t>
  </si>
  <si>
    <t>2511 MANT PREVENTIVO A</t>
  </si>
  <si>
    <t>01014872</t>
  </si>
  <si>
    <t>2510 MANT JARDINERIA A</t>
  </si>
  <si>
    <t>DEPOSITO AG 373982</t>
  </si>
  <si>
    <t>00002571</t>
  </si>
  <si>
    <t>02435768</t>
  </si>
  <si>
    <t>02592361</t>
  </si>
  <si>
    <t>02188475</t>
  </si>
  <si>
    <t>05684089</t>
  </si>
  <si>
    <t>02059523</t>
  </si>
  <si>
    <t>04709460</t>
  </si>
  <si>
    <t>02778738</t>
  </si>
  <si>
    <t>02891560</t>
  </si>
  <si>
    <t>02429108</t>
  </si>
  <si>
    <t>02271789</t>
  </si>
  <si>
    <t>02006869</t>
  </si>
  <si>
    <t>02385422</t>
  </si>
  <si>
    <t>02387822</t>
  </si>
  <si>
    <t>02117763</t>
  </si>
  <si>
    <t>02476435</t>
  </si>
  <si>
    <t>03960500</t>
  </si>
  <si>
    <t>04455066</t>
  </si>
  <si>
    <t>02037304</t>
  </si>
  <si>
    <t>05466325</t>
  </si>
  <si>
    <t>02238257</t>
  </si>
  <si>
    <t>04389083</t>
  </si>
  <si>
    <t>02722598</t>
  </si>
  <si>
    <t>05310625</t>
  </si>
  <si>
    <t>01570832</t>
  </si>
  <si>
    <t>01556413</t>
  </si>
  <si>
    <t>02330658</t>
  </si>
  <si>
    <t>02145922</t>
  </si>
  <si>
    <t>02534103</t>
  </si>
  <si>
    <t>04662709</t>
  </si>
  <si>
    <t>05260460</t>
  </si>
  <si>
    <t>01448307</t>
  </si>
  <si>
    <t>00560500</t>
  </si>
  <si>
    <t>03834811</t>
  </si>
  <si>
    <t>02914362</t>
  </si>
  <si>
    <t>04163492</t>
  </si>
  <si>
    <t>04166043</t>
  </si>
  <si>
    <t>01164543</t>
  </si>
  <si>
    <t>Saldo proyecto luminar</t>
  </si>
  <si>
    <t>01166041</t>
  </si>
  <si>
    <t>ANTICIPO 40 CORRECTIVO</t>
  </si>
  <si>
    <t>01165536</t>
  </si>
  <si>
    <t>2510 mant piscina espe</t>
  </si>
  <si>
    <t>A 193 38445350 0</t>
  </si>
  <si>
    <t>01164059</t>
  </si>
  <si>
    <t>RG LOUNGE DEPA 1405</t>
  </si>
  <si>
    <t>A 193 93935334 0</t>
  </si>
  <si>
    <t>01164058</t>
  </si>
  <si>
    <t>RG LOUNGE DEPA 301</t>
  </si>
  <si>
    <t>A 193 16143407 0</t>
  </si>
  <si>
    <t>01165044</t>
  </si>
  <si>
    <t>RG lounge con extensio</t>
  </si>
  <si>
    <t>04166042</t>
  </si>
  <si>
    <t>TDPC000756853236</t>
  </si>
  <si>
    <t>04164544</t>
  </si>
  <si>
    <t>01166516</t>
  </si>
  <si>
    <t>RG arcade depa 1212</t>
  </si>
  <si>
    <t>02780005</t>
  </si>
  <si>
    <t>03945610</t>
  </si>
  <si>
    <t>04974769</t>
  </si>
  <si>
    <t>01792657</t>
  </si>
  <si>
    <t>00933281</t>
  </si>
  <si>
    <t>06018645</t>
  </si>
  <si>
    <t>02576541</t>
  </si>
  <si>
    <t>01170811</t>
  </si>
  <si>
    <t>01465879</t>
  </si>
  <si>
    <t>01164448</t>
  </si>
  <si>
    <t>02142388</t>
  </si>
  <si>
    <t>01993266</t>
  </si>
  <si>
    <t>02310292</t>
  </si>
  <si>
    <t>01475237</t>
  </si>
  <si>
    <t>02916709</t>
  </si>
  <si>
    <t>04872508</t>
  </si>
  <si>
    <t>00924929</t>
  </si>
  <si>
    <t>04131612</t>
  </si>
  <si>
    <t>04128714</t>
  </si>
  <si>
    <t>A 191 00267192 0</t>
  </si>
  <si>
    <t>01131130</t>
  </si>
  <si>
    <t>anticipo Pozos a tierr</t>
  </si>
  <si>
    <t>01128713</t>
  </si>
  <si>
    <t>202512 mant preventivo</t>
  </si>
  <si>
    <t>01131609</t>
  </si>
  <si>
    <t>202512 mant jardines a</t>
  </si>
  <si>
    <t>01130167</t>
  </si>
  <si>
    <t>2512 Apoyo extras del</t>
  </si>
  <si>
    <t>A 192 05709519 0</t>
  </si>
  <si>
    <t>01128715</t>
  </si>
  <si>
    <t>2512 Limpieza Parrilas</t>
  </si>
  <si>
    <t>A 194 99849835 0</t>
  </si>
  <si>
    <t>01130166</t>
  </si>
  <si>
    <t>2512 parrillas limpiez</t>
  </si>
  <si>
    <t>MOVI000756853236</t>
  </si>
  <si>
    <t>04131611</t>
  </si>
  <si>
    <t>04131610</t>
  </si>
  <si>
    <t>04766419</t>
  </si>
  <si>
    <t>06019996</t>
  </si>
  <si>
    <t>01549529</t>
  </si>
  <si>
    <t>02498216</t>
  </si>
  <si>
    <t>01489669</t>
  </si>
  <si>
    <t>02592429</t>
  </si>
  <si>
    <t>01543568</t>
  </si>
  <si>
    <t>01597661</t>
  </si>
  <si>
    <t>02662205</t>
  </si>
  <si>
    <t>02403460</t>
  </si>
  <si>
    <t>TLC 0050S3 MANT DIC</t>
  </si>
  <si>
    <t>01392161</t>
  </si>
  <si>
    <t>00086611</t>
  </si>
  <si>
    <t>03958974</t>
  </si>
  <si>
    <t>ENTR.EFEC. 0036290</t>
  </si>
  <si>
    <t>00036290</t>
  </si>
  <si>
    <t>02699692</t>
  </si>
  <si>
    <t>01226691</t>
  </si>
  <si>
    <t>01224820</t>
  </si>
  <si>
    <t>00017302</t>
  </si>
  <si>
    <t>05858531</t>
  </si>
  <si>
    <t>05282470</t>
  </si>
  <si>
    <t>02321546</t>
  </si>
  <si>
    <t>02557375</t>
  </si>
  <si>
    <t>05274333</t>
  </si>
  <si>
    <t>05290560</t>
  </si>
  <si>
    <t>02281490</t>
  </si>
  <si>
    <t>02848006</t>
  </si>
  <si>
    <t>02823577</t>
  </si>
  <si>
    <t>01083397</t>
  </si>
  <si>
    <t>06081950</t>
  </si>
  <si>
    <t>03983455</t>
  </si>
  <si>
    <t>03761803</t>
  </si>
  <si>
    <t>03042041</t>
  </si>
  <si>
    <t>03389876</t>
  </si>
  <si>
    <t>03206808</t>
  </si>
  <si>
    <t>02197731</t>
  </si>
  <si>
    <t>A 191 72436435 0</t>
  </si>
  <si>
    <t>01078110</t>
  </si>
  <si>
    <t>PINTURA PROYECTO PACIF</t>
  </si>
  <si>
    <t>A 192 39711415 0</t>
  </si>
  <si>
    <t>01077615</t>
  </si>
  <si>
    <t>RG depa 1607 lounge ex</t>
  </si>
  <si>
    <t>A 192 38762981 0</t>
  </si>
  <si>
    <t>01078601</t>
  </si>
  <si>
    <t>RG depa 1610 lounge ex</t>
  </si>
  <si>
    <t>01077616</t>
  </si>
  <si>
    <t>RG depa 405 lounge ext</t>
  </si>
  <si>
    <t>02091953</t>
  </si>
  <si>
    <t>02088709</t>
  </si>
  <si>
    <t>02893081</t>
  </si>
  <si>
    <t>02020352</t>
  </si>
  <si>
    <t>02272717</t>
  </si>
  <si>
    <t>ENTR.EFEC. 0565858</t>
  </si>
  <si>
    <t>00565858</t>
  </si>
  <si>
    <t>03744626</t>
  </si>
  <si>
    <t>02683872</t>
  </si>
  <si>
    <t>03875569</t>
  </si>
  <si>
    <t>02871874</t>
  </si>
  <si>
    <t>02867706</t>
  </si>
  <si>
    <t>02620295</t>
  </si>
  <si>
    <t>03011352</t>
  </si>
  <si>
    <t>06031211</t>
  </si>
  <si>
    <t>03608894</t>
  </si>
  <si>
    <t>00932275</t>
  </si>
  <si>
    <t>03674894</t>
  </si>
  <si>
    <t>02051060</t>
  </si>
  <si>
    <t>01744136</t>
  </si>
  <si>
    <t>04789377</t>
  </si>
  <si>
    <t>03916008</t>
  </si>
  <si>
    <t>00046631</t>
  </si>
  <si>
    <t>04006084</t>
  </si>
  <si>
    <t>01054517</t>
  </si>
  <si>
    <t>2512 SUMINISTROS LIMPI</t>
  </si>
  <si>
    <t>01165445</t>
  </si>
  <si>
    <t>02843397</t>
  </si>
  <si>
    <t>00846444</t>
  </si>
  <si>
    <t>06075864</t>
  </si>
  <si>
    <t>02438253</t>
  </si>
  <si>
    <t>00581704</t>
  </si>
  <si>
    <t>00327176</t>
  </si>
  <si>
    <t>06536340</t>
  </si>
  <si>
    <t>04223286</t>
  </si>
  <si>
    <t>04120973</t>
  </si>
  <si>
    <t>04104524</t>
  </si>
  <si>
    <t>02757581</t>
  </si>
  <si>
    <t>00722874</t>
  </si>
  <si>
    <t>02418603</t>
  </si>
  <si>
    <t>01703471</t>
  </si>
  <si>
    <t>00166127</t>
  </si>
  <si>
    <t>01745475</t>
  </si>
  <si>
    <t>02821224</t>
  </si>
  <si>
    <t>DE COMPANIA INCUBADORA</t>
  </si>
  <si>
    <t>00877753</t>
  </si>
  <si>
    <t>02185083</t>
  </si>
  <si>
    <t>02826779</t>
  </si>
  <si>
    <t>03222193</t>
  </si>
  <si>
    <t>02444535</t>
  </si>
  <si>
    <t>01021088</t>
  </si>
  <si>
    <t>ASCENSORES SUR SALDO C</t>
  </si>
  <si>
    <t>04000125</t>
  </si>
  <si>
    <t>A 193 08266868 0</t>
  </si>
  <si>
    <t>01023572</t>
  </si>
  <si>
    <t>RG lounge depa 1201</t>
  </si>
  <si>
    <t>01021087</t>
  </si>
  <si>
    <t>RG lounge depa 1602</t>
  </si>
  <si>
    <t>01022574</t>
  </si>
  <si>
    <t>RG lounge depa 207 con</t>
  </si>
  <si>
    <t>A 191 91465886 0</t>
  </si>
  <si>
    <t>01021086</t>
  </si>
  <si>
    <t>RG lounge depa 1012 co</t>
  </si>
  <si>
    <t>00626080</t>
  </si>
  <si>
    <t>02099190</t>
  </si>
  <si>
    <t>02091193</t>
  </si>
  <si>
    <t>04182976</t>
  </si>
  <si>
    <t>02203772</t>
  </si>
  <si>
    <t>03255181</t>
  </si>
  <si>
    <t>06001400</t>
  </si>
  <si>
    <t>02364908</t>
  </si>
  <si>
    <t>04473277</t>
  </si>
  <si>
    <t>02824312</t>
  </si>
  <si>
    <t>05003802</t>
  </si>
  <si>
    <t>06510766</t>
  </si>
  <si>
    <t>01743480</t>
  </si>
  <si>
    <t>00017563</t>
  </si>
  <si>
    <t>02019720</t>
  </si>
  <si>
    <t>00180783</t>
  </si>
  <si>
    <t>01762135</t>
  </si>
  <si>
    <t>00922162</t>
  </si>
  <si>
    <t>02865302</t>
  </si>
  <si>
    <t>02942183</t>
  </si>
  <si>
    <t>02161821</t>
  </si>
  <si>
    <t>06642301</t>
  </si>
  <si>
    <t>06606454</t>
  </si>
  <si>
    <t>00757832</t>
  </si>
  <si>
    <t>ENTR.EFEC. 0181149</t>
  </si>
  <si>
    <t>00181149</t>
  </si>
  <si>
    <t>08462622</t>
  </si>
  <si>
    <t>03973064</t>
  </si>
  <si>
    <t>02064528</t>
  </si>
  <si>
    <t>04160620</t>
  </si>
  <si>
    <t>02530430</t>
  </si>
  <si>
    <t>00885625</t>
  </si>
  <si>
    <t>06537522</t>
  </si>
  <si>
    <t>05022941</t>
  </si>
  <si>
    <t>05026635</t>
  </si>
  <si>
    <t>01245877</t>
  </si>
  <si>
    <t>04133460</t>
  </si>
  <si>
    <t>04094960</t>
  </si>
  <si>
    <t>04585894</t>
  </si>
  <si>
    <t>02043446</t>
  </si>
  <si>
    <t>01067365</t>
  </si>
  <si>
    <t>ANTICIPO PINTURA PROYE</t>
  </si>
  <si>
    <t>01512617</t>
  </si>
  <si>
    <t>02696554</t>
  </si>
  <si>
    <t>02713975</t>
  </si>
  <si>
    <t>06174188</t>
  </si>
  <si>
    <t>02001353</t>
  </si>
  <si>
    <t>01312349</t>
  </si>
  <si>
    <t>ENTR.EFEC. 0069057</t>
  </si>
  <si>
    <t>00069057</t>
  </si>
  <si>
    <t>05523707</t>
  </si>
  <si>
    <t>01326847</t>
  </si>
  <si>
    <t>01327824</t>
  </si>
  <si>
    <t>2511 MANT PISCINA Y PI</t>
  </si>
  <si>
    <t>01327343</t>
  </si>
  <si>
    <t>Mant correctivos 3 asc</t>
  </si>
  <si>
    <t>A 193 91008153 0</t>
  </si>
  <si>
    <t>01325401</t>
  </si>
  <si>
    <t>RG lounge depa 1011 ev</t>
  </si>
  <si>
    <t>01327823</t>
  </si>
  <si>
    <t>RG lounge depa 312</t>
  </si>
  <si>
    <t>01325883</t>
  </si>
  <si>
    <t>RG lounge depa 706</t>
  </si>
  <si>
    <t>01327342</t>
  </si>
  <si>
    <t>RG lounge depa 1002</t>
  </si>
  <si>
    <t>01325402</t>
  </si>
  <si>
    <t>RG lounge depa 1006</t>
  </si>
  <si>
    <t>A 193 90595875 0</t>
  </si>
  <si>
    <t>01326846</t>
  </si>
  <si>
    <t>RG lounge depa 907 ext</t>
  </si>
  <si>
    <t>01324904</t>
  </si>
  <si>
    <t>2511 MANT AREAS VERDES</t>
  </si>
  <si>
    <t>03412949</t>
  </si>
  <si>
    <t>02074948</t>
  </si>
  <si>
    <t>00721247</t>
  </si>
  <si>
    <t>00836813</t>
  </si>
  <si>
    <t>02843186</t>
  </si>
  <si>
    <t>05573518</t>
  </si>
  <si>
    <t>02698093</t>
  </si>
  <si>
    <t>02071278</t>
  </si>
  <si>
    <t>02852737</t>
  </si>
  <si>
    <t>04795877</t>
  </si>
  <si>
    <t>05647910</t>
  </si>
  <si>
    <t>02953592</t>
  </si>
  <si>
    <t>01067313</t>
  </si>
  <si>
    <t>PINTURA PROYECTO ANTIC</t>
  </si>
  <si>
    <t>ENTR.EFEC. 0535579</t>
  </si>
  <si>
    <t>00535579</t>
  </si>
  <si>
    <t>01835792</t>
  </si>
  <si>
    <t>05010901</t>
  </si>
  <si>
    <t>01647620</t>
  </si>
  <si>
    <t>00590787</t>
  </si>
  <si>
    <t>02544666</t>
  </si>
  <si>
    <t>03226661</t>
  </si>
  <si>
    <t>00428046</t>
  </si>
  <si>
    <t>01582150</t>
  </si>
  <si>
    <t>02331937</t>
  </si>
  <si>
    <t>02657936</t>
  </si>
  <si>
    <t>01958804</t>
  </si>
  <si>
    <t>04910805</t>
  </si>
  <si>
    <t>02026779</t>
  </si>
  <si>
    <t>03645542</t>
  </si>
  <si>
    <t>00917303</t>
  </si>
  <si>
    <t>00180881</t>
  </si>
  <si>
    <t>00883532</t>
  </si>
  <si>
    <t>02222068</t>
  </si>
  <si>
    <t>02211779</t>
  </si>
  <si>
    <t>02072506</t>
  </si>
  <si>
    <t>02008212</t>
  </si>
  <si>
    <t>02068468</t>
  </si>
  <si>
    <t>00214990</t>
  </si>
  <si>
    <t>00930480</t>
  </si>
  <si>
    <t>02177758</t>
  </si>
  <si>
    <t>02668263</t>
  </si>
  <si>
    <t>02825976</t>
  </si>
  <si>
    <t>02840058</t>
  </si>
  <si>
    <t>02435231</t>
  </si>
  <si>
    <t>02314538</t>
  </si>
  <si>
    <t>02143800</t>
  </si>
  <si>
    <t>02735993</t>
  </si>
  <si>
    <t>02076173</t>
  </si>
  <si>
    <t>06014455</t>
  </si>
  <si>
    <t>07132220</t>
  </si>
  <si>
    <t>00748582</t>
  </si>
  <si>
    <t>02199842</t>
  </si>
  <si>
    <t>00908638</t>
  </si>
  <si>
    <t>06729056</t>
  </si>
  <si>
    <t>CULQ020614642247</t>
  </si>
  <si>
    <t>00014044</t>
  </si>
  <si>
    <t>01308742</t>
  </si>
  <si>
    <t>06028689</t>
  </si>
  <si>
    <t>01138647</t>
  </si>
  <si>
    <t>ER admin plan verano y</t>
  </si>
  <si>
    <t>A 191 90371682 0</t>
  </si>
  <si>
    <t>01137676</t>
  </si>
  <si>
    <t>RG lounge depa 1003</t>
  </si>
  <si>
    <t>04012247</t>
  </si>
  <si>
    <t>03702583</t>
  </si>
  <si>
    <t>00356613</t>
  </si>
  <si>
    <t>01384726</t>
  </si>
  <si>
    <t>TRANSF.BCO.FALABELLA</t>
  </si>
  <si>
    <t>02157477</t>
  </si>
  <si>
    <t>06733149</t>
  </si>
  <si>
    <t>01068663</t>
  </si>
  <si>
    <t>02395637</t>
  </si>
  <si>
    <t>00466209</t>
  </si>
  <si>
    <t>04387187</t>
  </si>
  <si>
    <t>00867353</t>
  </si>
  <si>
    <t>02513865</t>
  </si>
  <si>
    <t>ENTR.EFEC. 0074378</t>
  </si>
  <si>
    <t>00074378</t>
  </si>
  <si>
    <t>00946929</t>
  </si>
  <si>
    <t>02905092</t>
  </si>
  <si>
    <t>08129096</t>
  </si>
  <si>
    <t>03228009</t>
  </si>
  <si>
    <t>02258025</t>
  </si>
  <si>
    <t>02995270</t>
  </si>
  <si>
    <t>01064760</t>
  </si>
  <si>
    <t>anticipo correctivos p</t>
  </si>
  <si>
    <t>01065246</t>
  </si>
  <si>
    <t>2512 Materiales limpie</t>
  </si>
  <si>
    <t>01064759</t>
  </si>
  <si>
    <t>2511 plus noviembre ha</t>
  </si>
  <si>
    <t>01066724</t>
  </si>
  <si>
    <t>2511 parrilla limpieza</t>
  </si>
  <si>
    <t>04065735</t>
  </si>
  <si>
    <t>01067210</t>
  </si>
  <si>
    <t>2511 parrillas limpiez</t>
  </si>
  <si>
    <t>01067209</t>
  </si>
  <si>
    <t>02750764</t>
  </si>
  <si>
    <t>03880889</t>
  </si>
  <si>
    <t>00555789</t>
  </si>
  <si>
    <t>04771772</t>
  </si>
  <si>
    <t>03429355</t>
  </si>
  <si>
    <t>02410336</t>
  </si>
  <si>
    <t>04737039</t>
  </si>
  <si>
    <t>04068760</t>
  </si>
  <si>
    <t>02725344</t>
  </si>
  <si>
    <t>05817694</t>
  </si>
  <si>
    <t>01222294</t>
  </si>
  <si>
    <t>05821538</t>
  </si>
  <si>
    <t>04118358</t>
  </si>
  <si>
    <t>02115421</t>
  </si>
  <si>
    <t>01518148</t>
  </si>
  <si>
    <t>00893543</t>
  </si>
  <si>
    <t>02068520</t>
  </si>
  <si>
    <t>VENTANILLA</t>
  </si>
  <si>
    <t>BUSTAMANTE RUIZ EDUARDO CARLOS</t>
  </si>
  <si>
    <t>NUNEZ ESTRADA YULY CRISTINA</t>
  </si>
  <si>
    <t>CELI GUTIERREZ DIANA KARINA</t>
  </si>
  <si>
    <t>ORE-ROSARIO-CRISTOPHER</t>
  </si>
  <si>
    <t>REGALADO SANTANA MARIA CELINDA</t>
  </si>
  <si>
    <t>MARIA GISELLA YOUNG GUERRERO</t>
  </si>
  <si>
    <t>CARDENAS MORIANO HEVELYNE HILDA</t>
  </si>
  <si>
    <t>BLAS-OLIVER-LIDIA</t>
  </si>
  <si>
    <t>MENDOZA BAZAN SILVIA VERONICA</t>
  </si>
  <si>
    <t>CUBA REYES ANGIE CONSUELO LESLIE</t>
  </si>
  <si>
    <t>HUERTA HUERTA CARLA ALESSANDRA</t>
  </si>
  <si>
    <t>OLIVARES SAAVEDRA JAIME ALBERTO</t>
  </si>
  <si>
    <t>JOSE AUGUSTO CANDELA ROJAS</t>
  </si>
  <si>
    <t>MILUSKA CRIS TAPIA CASARETTO</t>
  </si>
  <si>
    <t>RAMOS-REQUEJO-MABEL</t>
  </si>
  <si>
    <t>RUIZ SANDOVAL FLOR DE MARIA</t>
  </si>
  <si>
    <t>HUANAY MARTINEZ FRANZ CESAR</t>
  </si>
  <si>
    <t>CAO NN DACHAO</t>
  </si>
  <si>
    <t>MEJIA TURRIATE DEBORA DICK</t>
  </si>
  <si>
    <t>LOCK GOVEA JOSE EDILBERTO</t>
  </si>
  <si>
    <t>VALDEZ CADENILLAS AGUSTIN</t>
  </si>
  <si>
    <t>TIPON GALVIS MICHAEL</t>
  </si>
  <si>
    <t>JOSE SALDARRIAGA CEDANO</t>
  </si>
  <si>
    <t>FIORELLA TOLEDO MUENTE</t>
  </si>
  <si>
    <t>VALDIVIA OBANDO OSCAR EDMUNDO FRANCISCO</t>
  </si>
  <si>
    <t>FLORES MORALES MELISSA</t>
  </si>
  <si>
    <t>CISNEROS CAHUANA JUANA CLENIA</t>
  </si>
  <si>
    <t>CORDERO VILCA PEDRO LUIS</t>
  </si>
  <si>
    <t>NEIRA UN JAN MILAGROS ANDREA</t>
  </si>
  <si>
    <t>GARCIA-SUAREZ-CARLOS</t>
  </si>
  <si>
    <t>MONICA JULIE GUERRERO ABARCA</t>
  </si>
  <si>
    <t>GUERRERO GUERRERO BENNER ROLAN</t>
  </si>
  <si>
    <t>MEDINA SARMIENTO JAVIER</t>
  </si>
  <si>
    <t>DIEGO SEGURA MENDEZ</t>
  </si>
  <si>
    <t>MORALES-DURAND-DE-DURAN-ZANDRA</t>
  </si>
  <si>
    <t>ORELLANA VARGAS CARMEN ROSA</t>
  </si>
  <si>
    <t>BERTOLOTTO INVESTMENTS S.A.C.</t>
  </si>
  <si>
    <t>MARULANDA HIDALGO BRIGIDO HORACIO</t>
  </si>
  <si>
    <t>PABLO ABEL MINIANO GARCIA</t>
  </si>
  <si>
    <t>PANIAGUA HARTLEY SANDRO MIGUEL</t>
  </si>
  <si>
    <t>HENDRICK FONG OSCAR ALEJANDRO</t>
  </si>
  <si>
    <t>FLORES GARCIA KATIUSKA TERESA</t>
  </si>
  <si>
    <t>DE-LA-CRUZ DELGADO WALTER</t>
  </si>
  <si>
    <t>LIANG NN YANQIU</t>
  </si>
  <si>
    <t>ORTEGA DELGADILLO EMPERATRIZ</t>
  </si>
  <si>
    <t>SALINAS SOUZA CARLOS ENRIQUE JOSE ALFR</t>
  </si>
  <si>
    <t>JUSTO-NIETO-MILENA</t>
  </si>
  <si>
    <t>RAMOS GUTTI DANIEL FRANCISCO</t>
  </si>
  <si>
    <t>REZUKHIN NN DMITRII</t>
  </si>
  <si>
    <t>HERRERA-CASTRO-VANESA</t>
  </si>
  <si>
    <t>PARI NUNEZ LEONOR</t>
  </si>
  <si>
    <t>ZAPATA VELASCO ANGELA PATRICIA</t>
  </si>
  <si>
    <t>PUJOL-CORRECHER-EDUARDO</t>
  </si>
  <si>
    <t>FIGUEROA MARQUEZ ELIZABETH JANETH</t>
  </si>
  <si>
    <t>TORRES VILLANTOY SUSAN VICTORIA</t>
  </si>
  <si>
    <t>JOSE LAMADRID MESONES</t>
  </si>
  <si>
    <t>GUTIERREZ GUERRERO YEISON MARTIN</t>
  </si>
  <si>
    <t>BASTERRECHEA NN JIMMY</t>
  </si>
  <si>
    <t>CHAVEZ-TAGLE-SISLEY</t>
  </si>
  <si>
    <t>GUTIERREZ CORDOVA ANGELA PIERINA</t>
  </si>
  <si>
    <t>EDWARD SANDOVAL AMASIFUEN</t>
  </si>
  <si>
    <t>CARDENAS MORIANO WOLFGAN ANGEL</t>
  </si>
  <si>
    <t>SOTO CONDORI GIANFRANCO</t>
  </si>
  <si>
    <t>GODOY ACOSTA NORA EULALIA</t>
  </si>
  <si>
    <t>ROSARIO TORRES PATRICIA DEL CARMEN</t>
  </si>
  <si>
    <t>MILAGROS MERCEDES BARRIENTOS FLORES</t>
  </si>
  <si>
    <t>VALDIVIESO LIDIA-O-RIOS NILTON</t>
  </si>
  <si>
    <t>LOREDO RODRIGUEZ CESAR ANTONIO</t>
  </si>
  <si>
    <t>CLAUDIA VILLAVICENCIO PONCE DE LEON</t>
  </si>
  <si>
    <t>DIEGO HERNAN MORALES X</t>
  </si>
  <si>
    <t>CAPILLO TELLO LICET</t>
  </si>
  <si>
    <t>IZQUIERDO ALATA LIAM JUAN PEDRO</t>
  </si>
  <si>
    <t>CHUMPITAZ-JORDAN-GIANFRANCO</t>
  </si>
  <si>
    <t>VEGA DIESTRA DAVID VICTOR</t>
  </si>
  <si>
    <t>LOPEZ ARCE JUDITH MELISSA</t>
  </si>
  <si>
    <t>SAUNE PACCO JOSE OSWALDO</t>
  </si>
  <si>
    <t>GUTIERREZ-ESQUICHA-OLIVER</t>
  </si>
  <si>
    <t>MONZON JUAREZ MILAGROS DEL CARMEN</t>
  </si>
  <si>
    <t>ROSA TUME ZEGARRA</t>
  </si>
  <si>
    <t>JERSON JULIANO CHUCO PAUCAR</t>
  </si>
  <si>
    <t>CASTRO BARRERA ANITA MARITZA</t>
  </si>
  <si>
    <t>OCHOA-ALEJOS-CESAR</t>
  </si>
  <si>
    <t>ORLANDO SULLCAHUAMAN OTERO</t>
  </si>
  <si>
    <t>CASTILLO MERCEDES ANA ISABEL</t>
  </si>
  <si>
    <t>SANALEA REANO-DE-LLANO YOLANDA</t>
  </si>
  <si>
    <t>MALDONADO DE-LA-CRUZ NORA TERESA</t>
  </si>
  <si>
    <t>GESTORA DE INVERSIONES INMOBILIARIAS S.A.C.</t>
  </si>
  <si>
    <t>ALVA CUELLAR DUGLAS CONCEPCION</t>
  </si>
  <si>
    <t>TINEDO LOPEZ PEDRO LUIS</t>
  </si>
  <si>
    <t>ALEXANDER ANDRES BAYONA QUISPE</t>
  </si>
  <si>
    <t>CARMEN MALACHE</t>
  </si>
  <si>
    <t>SALVATIERRA TORRES ROGGER DANNY</t>
  </si>
  <si>
    <t>DIAZ POMPA EZEQUIAS</t>
  </si>
  <si>
    <t>CANCINO APAZA MARYLIN MARYBEL</t>
  </si>
  <si>
    <t>NEIRA UN-JAN MILAGROS ANDREA</t>
  </si>
  <si>
    <t>JAVIER ALONSO BARRIENTOS CASTILLO</t>
  </si>
  <si>
    <t>PARDO NAVARRO KENNEDY</t>
  </si>
  <si>
    <t>MENDOZA SALDANA FRANK ANDRE</t>
  </si>
  <si>
    <t>FALCON-RAMOS-CAROLINA</t>
  </si>
  <si>
    <t>BOZA VILLAVICENCIO ROSA ISABEL</t>
  </si>
  <si>
    <t>BENITES BALDOCEDA MARIA DE LOS ANGELES</t>
  </si>
  <si>
    <t>YAIPEN PANTOJA ALEXIS</t>
  </si>
  <si>
    <t>VALLEBUONA MAYTA LUIS ALBERTO</t>
  </si>
  <si>
    <t>LUIS FERNANDO DELGADO SILVA</t>
  </si>
  <si>
    <t>LOURDES DE LOS ANGEL MADUE�O CHUMPITAZ</t>
  </si>
  <si>
    <t>GUTIERREZ-PECEROS-ALBERTO</t>
  </si>
  <si>
    <t>HELEN FRANCESCA HENOSTROZA CRUZ</t>
  </si>
  <si>
    <t>ANDRADES ROMA JOSE MARCELO</t>
  </si>
  <si>
    <t>CHAUCA-DE-LOS-SANTOS-PATRICIA</t>
  </si>
  <si>
    <t>LU BEJARANO PAMELA MILAGROS</t>
  </si>
  <si>
    <t>TOLOSA-ALVARES-WILKENDRY</t>
  </si>
  <si>
    <t>FRANCISCO MOISES BARTRA SAN MARTIN</t>
  </si>
  <si>
    <t>GARCIA ARCE ANDRES DANIEL</t>
  </si>
  <si>
    <t>ROJAS CACERES VITHIA MARCELA</t>
  </si>
  <si>
    <t>MIMBELA LLONTOP PABLO AUGUSTO</t>
  </si>
  <si>
    <t>OSORIO MOQUILLAZA JESUS ALFONSO</t>
  </si>
  <si>
    <t>CASAS-PEREA-JOSE</t>
  </si>
  <si>
    <t>RUIZ GUTIERREZ ROLANDO</t>
  </si>
  <si>
    <t>INVERSIONES MANTA SAC</t>
  </si>
  <si>
    <t>CLAVIJO GONZALEZ LIZ TATIANA</t>
  </si>
  <si>
    <t>CASTILLA PEREZ CARMELA FERMINA</t>
  </si>
  <si>
    <t>MARIOLITH CARBI VALLE</t>
  </si>
  <si>
    <t>SABRINA HENOSTROZA CRUZ</t>
  </si>
  <si>
    <t>ALIAGA ALVAREZ ZARELLA DENISSE</t>
  </si>
  <si>
    <t>RUBEN DARIO TORANZO SILVA</t>
  </si>
  <si>
    <t>NAVARRO VILLAVICENCIO JOSE KARLO</t>
  </si>
  <si>
    <t>HENOSTROZA CRUZ HELEN FRANCESCA</t>
  </si>
  <si>
    <t>MENDIOLA LOPEZ MARIA ELENA MARTINA</t>
  </si>
  <si>
    <t>QUISPE TAPIA BERLINNE CLARET</t>
  </si>
  <si>
    <t>PADILLA-CRUZ-LOURDES</t>
  </si>
  <si>
    <t>ENRIQUEZ-ILLESCAS-LAURA</t>
  </si>
  <si>
    <t>OJEDA ORMACHEA BENJAMIN JHAROL</t>
  </si>
  <si>
    <t>QUISPE GINA-O-ZUNE BENILDA</t>
  </si>
  <si>
    <t>BUENO CHAVEZ SILVIA ISABEL</t>
  </si>
  <si>
    <t>DAVILA SANTILLAN ERLINDA MERCEDES</t>
  </si>
  <si>
    <t>CANDELA GRANADOS ALVARO GONZALO</t>
  </si>
  <si>
    <t>VALDIVIA PASACHE GEORGE LOUIS ALEXANDER</t>
  </si>
  <si>
    <t>ANA CLAUDIA ARRESCURENAGA ORIHUELA</t>
  </si>
  <si>
    <t>ROJAS ANGULO VICTOR HENRY</t>
  </si>
  <si>
    <t>NILS SALVADOR ESQUIVEL</t>
  </si>
  <si>
    <t>PATRICIA ANTONELLA CHAUCA DE LOS SANTOS</t>
  </si>
  <si>
    <t>TINEO CASTANEDA CLAUDIA VILMA</t>
  </si>
  <si>
    <t>HARO CABALLERO CAROL ELIZABETH</t>
  </si>
  <si>
    <t>MAYOR OLAZABAL CESAR</t>
  </si>
  <si>
    <t>MADUENO CHUMPITAZ LOURDES DE LOS ANGELES</t>
  </si>
  <si>
    <t>RICHARD SALCEDO JAUREGUI</t>
  </si>
  <si>
    <t>JOSE SAU E PACCO</t>
  </si>
  <si>
    <t>AGUIRRE GUTIERREZ KEILA CECILIA</t>
  </si>
  <si>
    <t>ROCA ZEGARRA RAQUEL JENIFFER</t>
  </si>
  <si>
    <t>DURANGO CHAVEZ OLGA KARINA</t>
  </si>
  <si>
    <t>LOPEZ ZUNIGA ENRIQUE</t>
  </si>
  <si>
    <t>LIZARZABURU PETROZZI MIKEL ARITZ</t>
  </si>
  <si>
    <t>MERINO NEGRON PEDRO MANUEL</t>
  </si>
  <si>
    <t>HERRERA CASTRO VANESA ZARELA</t>
  </si>
  <si>
    <t>GABANCHO-DAVILA-VALERIA</t>
  </si>
  <si>
    <t>NAVARRO LEYVA EDGARDO MILCIADES</t>
  </si>
  <si>
    <t>RUDY CRISTIAN DELGADO SORIANO</t>
  </si>
  <si>
    <t>MONTES DE OCA BRAMOSIO MARIA GABY</t>
  </si>
  <si>
    <t>FERRER CODINA MILAGROS DE JESUS</t>
  </si>
  <si>
    <t>LI NN XIAN YI</t>
  </si>
  <si>
    <t>INMOBILIARIA 23 SAC</t>
  </si>
  <si>
    <t>TIBURCIO-GARCIA-ANDERSON</t>
  </si>
  <si>
    <t>BALLENA CAPUNAY FELIX ADALBERTO</t>
  </si>
  <si>
    <t>IKRO &amp; DR COMPANY EIRL</t>
  </si>
  <si>
    <t>MENDEZ BRAVO JUAN JOSE</t>
  </si>
  <si>
    <t>ALATA FLORES GABRIELA VANESA</t>
  </si>
  <si>
    <t>LAMADRID MESONES JOSE ALBERTO</t>
  </si>
  <si>
    <t>JOEL ANTONIO AVILA FERNANDEZ</t>
  </si>
  <si>
    <t>PACHECO URQUIAGA FERNANDO</t>
  </si>
  <si>
    <t>MESONES DEL-RIO MARIA ISABEL</t>
  </si>
  <si>
    <t>ALVAREZ-SALAS-CARLOS</t>
  </si>
  <si>
    <t>BERROSPI-SEVILLANOS-SEVILLANOS-JHOJAN KLAUS</t>
  </si>
  <si>
    <t>CONSTRUCCIONES CIVILES E INDUSTRIALES GU</t>
  </si>
  <si>
    <t>PAREDES ESTEFANY-O-GAMERO OSCAR</t>
  </si>
  <si>
    <t>TOLOSA ALVAREZ WILKENDRY ANTONIO</t>
  </si>
  <si>
    <t>PEREZ SANCHEZ KIRIA JAEL</t>
  </si>
  <si>
    <t>BERMEJO-DE-LA-CRUZ-JOSE</t>
  </si>
  <si>
    <t>LIDIA VALDIVIESO FALCON</t>
  </si>
  <si>
    <t>NEGRINI WITHER JORGE ENRIQUE</t>
  </si>
  <si>
    <t>DELGADO SILVA LUIS FERNANDO</t>
  </si>
  <si>
    <t>VICTOR DANIEL DE LA CRUZ SOLO</t>
  </si>
  <si>
    <t>NEIRA BUSTAMANTE GIANELLA LIZETH</t>
  </si>
  <si>
    <t>SANCHEZ---SALAZAR OLCESE GLADYS MARIELA</t>
  </si>
  <si>
    <t>DANITZA PALACIOS CARDENAS</t>
  </si>
  <si>
    <t>VILLACORTA ROCA KATHERINE MISHELL</t>
  </si>
  <si>
    <t>CHAFLOQUE-MORENO-ALEXIS</t>
  </si>
  <si>
    <t>AYAQUE LARICO ISAAC ALFREDO</t>
  </si>
  <si>
    <t>TUPAYACHI VALLENAS DENIS ALFREDO</t>
  </si>
  <si>
    <t>MORALES CORDOVA JUAN ALARICO</t>
  </si>
  <si>
    <t>VERASTEGUI BUSTAMANTE DAVID RAUL</t>
  </si>
  <si>
    <t>CANCHANYA ARTEAGA KATHERINE GIOVANNA</t>
  </si>
  <si>
    <t>RODRIGUEZ-SOSA-TAMARA</t>
  </si>
  <si>
    <t>TOMATEO HUARCAYA MARIA ISABEL</t>
  </si>
  <si>
    <t>SILVA OLIVERA IVET JOHANA</t>
  </si>
  <si>
    <t>GIANELLA LIZETH NEIRA BUSTAMANTE</t>
  </si>
  <si>
    <t>RODAS AKHENS ABOGADOS SAC</t>
  </si>
  <si>
    <t>ENRIQUEZ ILLESCAS LAURA STELLA</t>
  </si>
  <si>
    <t>ORE ROSARIO CRISTOPHER GREY</t>
  </si>
  <si>
    <t>HELEN HENOSTROZA CRUZ</t>
  </si>
  <si>
    <t>VALERA-ASPILLAGA-FIORELLA</t>
  </si>
  <si>
    <t>CONSORCIO FUENTES EIRL</t>
  </si>
  <si>
    <t>MARULANDA CALDERON ANDREA YOSELYN</t>
  </si>
  <si>
    <t>CHUMPITAZ JORDAN GIANFRANCO</t>
  </si>
  <si>
    <t>EVELYNN VARGAS ABAD</t>
  </si>
  <si>
    <t>LUIS DAVID SULCA CORONADO</t>
  </si>
  <si>
    <t>BALLON MENACHO VERONICA ESTHER</t>
  </si>
  <si>
    <t>MUNOZ NN NATALIA</t>
  </si>
  <si>
    <t>JO LAURENT RENZO</t>
  </si>
  <si>
    <t>MORON CHOCANO JULIO CESAR</t>
  </si>
  <si>
    <t>CANAS DIAZ SABRINA VALENTINA</t>
  </si>
  <si>
    <t>DELGADO SALDANA ALBERTO ALEXANDER</t>
  </si>
  <si>
    <t>TELLO VENEGAS FRANCO</t>
  </si>
  <si>
    <t>INFANTES-PANDURO-JHEYSON</t>
  </si>
  <si>
    <t>ARAUCO-GODINEZ-BRENDA</t>
  </si>
  <si>
    <t>RUIZ LLASACA IRMA MILAGROS</t>
  </si>
  <si>
    <t>ALVARADO BRINGAS MILUSKA CARLA</t>
  </si>
  <si>
    <t>PARI N LEONOR -O- INGA L LUIS</t>
  </si>
  <si>
    <t>MIRLEY AVENDA O SILVA</t>
  </si>
  <si>
    <t>VILLAVICENCIO-PONCE-DE-LEON-ANA</t>
  </si>
  <si>
    <t>VENTURA FERREYRA MILAGRITOS DEL PILAR</t>
  </si>
  <si>
    <t>APARCANA ROSADIO LUIS MIGUEL</t>
  </si>
  <si>
    <t>WILKENDRY ANTONIO TOLOSA ALVAREZ</t>
  </si>
  <si>
    <t>RAMOS REQUEJO MABEL LICER</t>
  </si>
  <si>
    <t>CHAVEZ LINDO MYLADY ANGIE</t>
  </si>
  <si>
    <t>REJAS REYES TEOBALDO ALFREDO</t>
  </si>
  <si>
    <t>LIZETH ALEJANDRA TIBURCIO GARCIA</t>
  </si>
  <si>
    <t>GUERRERO GUERRERO MIRTHA ROSARIO</t>
  </si>
  <si>
    <t>MILKA MOY MACEDO</t>
  </si>
  <si>
    <t>GARCIA-ARCE-ANDRES DANIEL</t>
  </si>
  <si>
    <t>RUBIANO BARRERA NELSON RICARDO</t>
  </si>
  <si>
    <t>CORDERO-VILCA-PEDRO</t>
  </si>
  <si>
    <t>ROSAS LIMAYLLA JHENIFER FLORINDA</t>
  </si>
  <si>
    <t>JUSTO NIETO MILENA KATHERINE</t>
  </si>
  <si>
    <t>CARRASCO BEAS ALFREDO EDILBERTO</t>
  </si>
  <si>
    <t>CHAVEZ JULCAHUANCA LUCIA ELIZABETH</t>
  </si>
  <si>
    <t>BUSTAMANTE EDUARDO-O-SARMIENTO INGRID</t>
  </si>
  <si>
    <t>SOLER CLAVIJO GABRIELA ANDREINA</t>
  </si>
  <si>
    <t>ZAPATA ARANA MIRTHA BELINDA</t>
  </si>
  <si>
    <t>MARIA CECILIA SOLARI ATOCHE</t>
  </si>
  <si>
    <t>GONZALES VIDAL MIGUEL ANGEL</t>
  </si>
  <si>
    <t>MADUENO MORALES LUCIENNE MARGARETH</t>
  </si>
  <si>
    <t>VEGA DE VERASTEGUI BERTHA YDALIA</t>
  </si>
  <si>
    <t>LECTOR BRICENO PAOLA MITTCHELL DANIELA</t>
  </si>
  <si>
    <t>MERINO PARKER ANDREA MELISSA</t>
  </si>
  <si>
    <t>MARILYN ROXANA VELIZ CACHO</t>
  </si>
  <si>
    <t>BENNER ISAAC GUERRERO WALLER</t>
  </si>
  <si>
    <t>NU EZ-ESTRADA-YULY</t>
  </si>
  <si>
    <t>PRONTOMATIC PERU SOCIEDAD ANONIMA CERRAD</t>
  </si>
  <si>
    <t>ENKANTA CLINICAS DENTALES SOCIEDAD ANONI</t>
  </si>
  <si>
    <t>INMOBILIARIA IMPULSO LEON SAC</t>
  </si>
  <si>
    <t>MATIAS RAMIREZ SUSY MAGALLI</t>
  </si>
  <si>
    <t>CCACHURA-LUZA-ALEX</t>
  </si>
  <si>
    <t>BARRIENTOS FLORES MILAGROS MERCEDES</t>
  </si>
  <si>
    <t>ANGEL GIOVANNI JOSE MOGOLLON ANGELES</t>
  </si>
  <si>
    <t>PAOLA FABIOLA QUI�ONES PONCE DE LEON</t>
  </si>
  <si>
    <t>CASTRO ALMEIDA RAUL ARMANDO</t>
  </si>
  <si>
    <t>MARIA ANGELICA BENITEZ DEL AGUILA</t>
  </si>
  <si>
    <t>DELGADO-SILVA-LUIS</t>
  </si>
  <si>
    <t>ALBAN-MALACHE-CARLA</t>
  </si>
  <si>
    <t>CURAHUA SANCHEZ FLOR DE MARIA</t>
  </si>
  <si>
    <t>FUENTES-ALARCON-PERVIS</t>
  </si>
  <si>
    <t>BRIZUELA ESPINOZA JHON CARLOS</t>
  </si>
  <si>
    <t>MENDOZA MELGAREJO YANNINA ANTONIETA</t>
  </si>
  <si>
    <t>HOLGUIN CUBILLAS RUTH AGRIPINA</t>
  </si>
  <si>
    <t>RENTERIA CHIOK MARIA ISABEL</t>
  </si>
  <si>
    <t>CANAS RODRIGUEZ GUSTAVO JOSE</t>
  </si>
  <si>
    <t>OYOLA LAURENCIO JERSON ALONSO</t>
  </si>
  <si>
    <t>CUBA REYES JHONNY ERIC</t>
  </si>
  <si>
    <t>ALBERTO ALEXANDER DELGADO SALDA�A</t>
  </si>
  <si>
    <t>YOUNG GUERRERO MARIA GISELLA</t>
  </si>
  <si>
    <t>fecha</t>
  </si>
  <si>
    <t>glosa</t>
  </si>
  <si>
    <t>valor soles</t>
  </si>
  <si>
    <t>operación nro.</t>
  </si>
  <si>
    <t>detalle-referencia</t>
  </si>
  <si>
    <t>codigo</t>
  </si>
  <si>
    <t>anexo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</si>
  <si>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</si>
  <si>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</si>
  <si>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</si>
  <si>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</si>
  <si>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</si>
  <si>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</si>
  <si>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</si>
  <si>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</si>
  <si>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</si>
  <si>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</si>
  <si>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</si>
  <si>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</si>
  <si>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periodos anteriores</t>
  </si>
  <si>
    <t>cine</t>
  </si>
  <si>
    <t>parrilla</t>
  </si>
  <si>
    <t>lounge</t>
  </si>
  <si>
    <t>otro 1</t>
  </si>
  <si>
    <t>PP-001</t>
  </si>
  <si>
    <t>PP-011</t>
  </si>
  <si>
    <t>PP-031</t>
  </si>
  <si>
    <t>PP-041</t>
  </si>
  <si>
    <t>PP-021</t>
  </si>
  <si>
    <t>PP-061</t>
  </si>
  <si>
    <t>PP-051</t>
  </si>
  <si>
    <t>PACIFIK</t>
  </si>
  <si>
    <t>CODIGO</t>
  </si>
  <si>
    <t>PROPIETARIO(S)</t>
  </si>
  <si>
    <t>propiedad</t>
  </si>
  <si>
    <t>PP-000</t>
  </si>
  <si>
    <t>SIN IDENTIFICAR</t>
  </si>
  <si>
    <t>E000</t>
  </si>
  <si>
    <t>AJK ASOCIADOS SAC</t>
  </si>
  <si>
    <t>DEPA-1605</t>
  </si>
  <si>
    <t>PP-002</t>
  </si>
  <si>
    <t>ALBAN MALACHE CHABELI</t>
  </si>
  <si>
    <t>DEPA-612</t>
  </si>
  <si>
    <t>PP-003</t>
  </si>
  <si>
    <t>RUIZ JAVIER ALEJANDRO</t>
  </si>
  <si>
    <t>DEPA-811</t>
  </si>
  <si>
    <t>PP-004</t>
  </si>
  <si>
    <t>ALEXANDER STRAHLE JURGEN</t>
  </si>
  <si>
    <t>DEPA-902</t>
  </si>
  <si>
    <t>PP-005</t>
  </si>
  <si>
    <t>DEPA-1205</t>
  </si>
  <si>
    <t>PP-006</t>
  </si>
  <si>
    <t>DEPA-1001</t>
  </si>
  <si>
    <t>PP-007</t>
  </si>
  <si>
    <t>ANTON ENICE</t>
  </si>
  <si>
    <t>DEPA-610</t>
  </si>
  <si>
    <t>PP-008</t>
  </si>
  <si>
    <t>DEPA-606</t>
  </si>
  <si>
    <t>PP-009</t>
  </si>
  <si>
    <t>ASTO VARGAS HANS PIERRE</t>
  </si>
  <si>
    <t>DEPA-1311</t>
  </si>
  <si>
    <t>PP-010</t>
  </si>
  <si>
    <t>AVENDAÑO SILVA MIRLEY JESUS</t>
  </si>
  <si>
    <t>ESTA-087</t>
  </si>
  <si>
    <t>AVILA JOEL ANTONIO</t>
  </si>
  <si>
    <t>DEPA-804</t>
  </si>
  <si>
    <t>PP-012</t>
  </si>
  <si>
    <t>DEPA-1602</t>
  </si>
  <si>
    <t>PP-013</t>
  </si>
  <si>
    <t>BADA CARPIO OSCAR</t>
  </si>
  <si>
    <t>DEPA-101</t>
  </si>
  <si>
    <t>PP-014</t>
  </si>
  <si>
    <t xml:space="preserve">HENDRICK OSCAR  / HENDRICKLUISA </t>
  </si>
  <si>
    <t>DEPA-1101</t>
  </si>
  <si>
    <t>PP-015</t>
  </si>
  <si>
    <t>BENITES CERNA CARLOS ENRIQUE</t>
  </si>
  <si>
    <t>DEPA-1006</t>
  </si>
  <si>
    <t>PP-016</t>
  </si>
  <si>
    <t>BERTOLOTTO INVESTMENTS S.A.C</t>
  </si>
  <si>
    <t>DEPA-1703</t>
  </si>
  <si>
    <t>PP-017</t>
  </si>
  <si>
    <t>BLAS OLIVER LIDIA ROSALVA</t>
  </si>
  <si>
    <t>DEPA-1609</t>
  </si>
  <si>
    <t>PP-018</t>
  </si>
  <si>
    <t>CALDERON MINCHOLA JUAN CARLOS</t>
  </si>
  <si>
    <t>DEPA-1401</t>
  </si>
  <si>
    <t>PP-019</t>
  </si>
  <si>
    <t>DEPA-1504</t>
  </si>
  <si>
    <t>PP-020</t>
  </si>
  <si>
    <t>CANEDO TAPIA MANUEL HERNAN</t>
  </si>
  <si>
    <t>DEPA-1710</t>
  </si>
  <si>
    <t>CAO DACHAO</t>
  </si>
  <si>
    <t>DEPA-1310</t>
  </si>
  <si>
    <t>PP-022</t>
  </si>
  <si>
    <t>DEPA-1607</t>
  </si>
  <si>
    <t>PP-023</t>
  </si>
  <si>
    <t>DEPA-1107</t>
  </si>
  <si>
    <t>PP-024</t>
  </si>
  <si>
    <t>CARMONA DIAZ MERY</t>
  </si>
  <si>
    <t>DEPA-1201</t>
  </si>
  <si>
    <t>PP-025</t>
  </si>
  <si>
    <t>DEPA-1306</t>
  </si>
  <si>
    <t>PP-026</t>
  </si>
  <si>
    <t>CARRILLO GALLO EDSON</t>
  </si>
  <si>
    <t>DEPA-611</t>
  </si>
  <si>
    <t>PP-027</t>
  </si>
  <si>
    <t>CARRILLO PINEDA FERNANDO</t>
  </si>
  <si>
    <t>ESTA-140</t>
  </si>
  <si>
    <t>PP-028</t>
  </si>
  <si>
    <t>CASAS JOSE</t>
  </si>
  <si>
    <t>DEPA-1002</t>
  </si>
  <si>
    <t>PP-029</t>
  </si>
  <si>
    <t>DEPA-1204</t>
  </si>
  <si>
    <t>PP-030</t>
  </si>
  <si>
    <t>DEPA-1403</t>
  </si>
  <si>
    <t>DEPA-407</t>
  </si>
  <si>
    <t>PP-032</t>
  </si>
  <si>
    <t>SOLARI ATOCHE MARIA CECILIA</t>
  </si>
  <si>
    <t>DEPA-907</t>
  </si>
  <si>
    <t>PP-033</t>
  </si>
  <si>
    <t>CHAFLOQUE MORENO ALEXIS JHONNY</t>
  </si>
  <si>
    <t>DEPA-1312</t>
  </si>
  <si>
    <t>PP-034</t>
  </si>
  <si>
    <t>CHAVEZ JULCAHUANCA VANESSA</t>
  </si>
  <si>
    <t>DEPA-1111</t>
  </si>
  <si>
    <t>PP-035</t>
  </si>
  <si>
    <t>CHAVEZ TAGLE SISLEY</t>
  </si>
  <si>
    <t>DEPA-609</t>
  </si>
  <si>
    <t>PP-036</t>
  </si>
  <si>
    <t>CHAVEZ MYLADY</t>
  </si>
  <si>
    <t>DEPA-510</t>
  </si>
  <si>
    <t>PP-037</t>
  </si>
  <si>
    <t>CHIA ALEGRE JORGE WILLIAMS</t>
  </si>
  <si>
    <t>DEPA-202</t>
  </si>
  <si>
    <t>PP-038</t>
  </si>
  <si>
    <t>CHIROQUE FLOR LOZANO</t>
  </si>
  <si>
    <t>DEPA-1011</t>
  </si>
  <si>
    <t>PP-039</t>
  </si>
  <si>
    <t>CISNEROS ISLA GLORIA LEONOR</t>
  </si>
  <si>
    <t>DEPO-160</t>
  </si>
  <si>
    <t>PP-040</t>
  </si>
  <si>
    <t>DEPA-1610</t>
  </si>
  <si>
    <t>CORNEJO JORGE JOSE ADRIAN</t>
  </si>
  <si>
    <t>DEPA-104</t>
  </si>
  <si>
    <t>PP-042</t>
  </si>
  <si>
    <t>CORRECHER DEL TORO GURMENSINDA</t>
  </si>
  <si>
    <t>DEPA-503</t>
  </si>
  <si>
    <t>PP-043</t>
  </si>
  <si>
    <t>DEPA-105</t>
  </si>
  <si>
    <t>PP-044</t>
  </si>
  <si>
    <t>DE LA CRUZ DELGADO WALTER</t>
  </si>
  <si>
    <t>DEPA-410</t>
  </si>
  <si>
    <t>PP-045</t>
  </si>
  <si>
    <t>RUIZ  FLOR DE MARIA</t>
  </si>
  <si>
    <t>DEPA-205</t>
  </si>
  <si>
    <t>PP-046</t>
  </si>
  <si>
    <t>DE MATTEIS DANIELE</t>
  </si>
  <si>
    <t>DEPA-1509</t>
  </si>
  <si>
    <t>PP-047</t>
  </si>
  <si>
    <t>DIAZ QUINTANA DAVID ENRIQUE</t>
  </si>
  <si>
    <t>DEPA-304</t>
  </si>
  <si>
    <t>PP-048</t>
  </si>
  <si>
    <t>DEPA-1210</t>
  </si>
  <si>
    <t>PP-049</t>
  </si>
  <si>
    <t>DEPA-904</t>
  </si>
  <si>
    <t>PP-050</t>
  </si>
  <si>
    <t>ESPINOZA PACHECO ELBIA ELIZABETH</t>
  </si>
  <si>
    <t>DEPA-409</t>
  </si>
  <si>
    <t>ESTRADA DIANA</t>
  </si>
  <si>
    <t>DEPA-1102</t>
  </si>
  <si>
    <t>PP-052</t>
  </si>
  <si>
    <t>FALCON RAMOS CAROLINA FRANCHESKA</t>
  </si>
  <si>
    <t>DEPA-707</t>
  </si>
  <si>
    <t>PP-053</t>
  </si>
  <si>
    <t>FERRER MILAGROS</t>
  </si>
  <si>
    <t>DEPA-1004</t>
  </si>
  <si>
    <t>PP-054</t>
  </si>
  <si>
    <t>FUENTES ALARCON PERVIS</t>
  </si>
  <si>
    <t>DEPA-604</t>
  </si>
  <si>
    <t>PP-055</t>
  </si>
  <si>
    <t>GAMERO OSCAR</t>
  </si>
  <si>
    <t>DEPA-1612</t>
  </si>
  <si>
    <t>PP-056</t>
  </si>
  <si>
    <t>DEPA-903</t>
  </si>
  <si>
    <t>PP-057</t>
  </si>
  <si>
    <t>GARCIA TEJADA NORMA YSABEL</t>
  </si>
  <si>
    <t>DEPA-1502</t>
  </si>
  <si>
    <t>PP-058</t>
  </si>
  <si>
    <t>GARCIA JOSE</t>
  </si>
  <si>
    <t>DEPA-501</t>
  </si>
  <si>
    <t>PP-059</t>
  </si>
  <si>
    <t>GARFIAS HURTADO MARISOL</t>
  </si>
  <si>
    <t>DEPA-1402</t>
  </si>
  <si>
    <t>PP-060</t>
  </si>
  <si>
    <t>GAVIDIA DIAZ ROSA TANIA</t>
  </si>
  <si>
    <t>ESTA-106</t>
  </si>
  <si>
    <t>GHERSI GIURFA DANIEL DAVID</t>
  </si>
  <si>
    <t>DEPA-712</t>
  </si>
  <si>
    <t>PP-062</t>
  </si>
  <si>
    <t>DEPA-1003</t>
  </si>
  <si>
    <t>PP-063</t>
  </si>
  <si>
    <t>GOMEZ BARTRA JOHANNA GORGETE</t>
  </si>
  <si>
    <t>DEPA-602</t>
  </si>
  <si>
    <t>PP-064</t>
  </si>
  <si>
    <t>GOMEZ VILLENA ROLANDO MARTIN</t>
  </si>
  <si>
    <t>DEPA-701</t>
  </si>
  <si>
    <t>PP-065</t>
  </si>
  <si>
    <t>DEPA-404</t>
  </si>
  <si>
    <t>PP-066</t>
  </si>
  <si>
    <t>GONZALES LUIS</t>
  </si>
  <si>
    <t>DEPA-312</t>
  </si>
  <si>
    <t>PP-067</t>
  </si>
  <si>
    <t>LOCK GOVEA JOSE</t>
  </si>
  <si>
    <t>DEPA-406</t>
  </si>
  <si>
    <t>PP-068</t>
  </si>
  <si>
    <t>GUERRERO ABARCA MONICA JULIE</t>
  </si>
  <si>
    <t>DEPA-307</t>
  </si>
  <si>
    <t>PP-069</t>
  </si>
  <si>
    <t>GUERRERO GUERRERO JEAN MARCO</t>
  </si>
  <si>
    <t>DEPA-908</t>
  </si>
  <si>
    <t>PP-070</t>
  </si>
  <si>
    <t>GUERRERO GUERRERO KETY FAGNI</t>
  </si>
  <si>
    <t>DEPA-909</t>
  </si>
  <si>
    <t>PP-071</t>
  </si>
  <si>
    <t>GUERRERO JIMENEZ SERGIO</t>
  </si>
  <si>
    <t>DEPA-302</t>
  </si>
  <si>
    <t>PP-072</t>
  </si>
  <si>
    <t>GUERRERO SERGIO</t>
  </si>
  <si>
    <t>DEPA-403</t>
  </si>
  <si>
    <t>PP-073</t>
  </si>
  <si>
    <t>GUIMARAY RICARDO</t>
  </si>
  <si>
    <t>DEPA-209</t>
  </si>
  <si>
    <t>PP-074</t>
  </si>
  <si>
    <t>DEPA-1603</t>
  </si>
  <si>
    <t>PP-075</t>
  </si>
  <si>
    <t>GUTIERREZ PECEROS ALBERTO</t>
  </si>
  <si>
    <t>DEPA-1302</t>
  </si>
  <si>
    <t>PP-076</t>
  </si>
  <si>
    <t>HAYA HIDALGO FERNANDO TEOBALDO</t>
  </si>
  <si>
    <t>DEPA-901</t>
  </si>
  <si>
    <t>PP-077</t>
  </si>
  <si>
    <t>HENOSTROZA DIAZ JULIAN</t>
  </si>
  <si>
    <t>DEPA-910</t>
  </si>
  <si>
    <t>PP-078</t>
  </si>
  <si>
    <t>HERNAN MORALES DIEGO</t>
  </si>
  <si>
    <t>DEPA-810</t>
  </si>
  <si>
    <t>PP-079</t>
  </si>
  <si>
    <t>HERRERA MENDOZA JEAN PIERRE</t>
  </si>
  <si>
    <t>DEPA-1206</t>
  </si>
  <si>
    <t>PP-080</t>
  </si>
  <si>
    <t>DEPA-310</t>
  </si>
  <si>
    <t>PP-081</t>
  </si>
  <si>
    <t>HUANGAL KESSLER JOSEFINA</t>
  </si>
  <si>
    <t>DEPA-1511</t>
  </si>
  <si>
    <t>PP-082</t>
  </si>
  <si>
    <t>DEPA-1208</t>
  </si>
  <si>
    <t>PP-083</t>
  </si>
  <si>
    <t>INDUSTRIAS GENERALES SAC</t>
  </si>
  <si>
    <t>DEPA-1705</t>
  </si>
  <si>
    <t>PP-084</t>
  </si>
  <si>
    <t>INFANTES JHEYSON</t>
  </si>
  <si>
    <t>DEPA-1303</t>
  </si>
  <si>
    <t>PP-085</t>
  </si>
  <si>
    <t xml:space="preserve">PARI NUÑEZ LEONOR </t>
  </si>
  <si>
    <t>DEPA-512</t>
  </si>
  <si>
    <t>PP-086</t>
  </si>
  <si>
    <t>DEPA-710</t>
  </si>
  <si>
    <t>PP-087</t>
  </si>
  <si>
    <t>JARA CISNEROS RICHARD</t>
  </si>
  <si>
    <t>DEPA-1604</t>
  </si>
  <si>
    <t>PP-088</t>
  </si>
  <si>
    <t>JIMENEZ CARMEN</t>
  </si>
  <si>
    <t>DEPA-508</t>
  </si>
  <si>
    <t>PP-089</t>
  </si>
  <si>
    <t>JO RENZO</t>
  </si>
  <si>
    <t>DEPA-1212</t>
  </si>
  <si>
    <t>PP-090</t>
  </si>
  <si>
    <t>JURADO PAZ Y MIÑO VICTOR</t>
  </si>
  <si>
    <t>DEPA-703</t>
  </si>
  <si>
    <t>PP-091</t>
  </si>
  <si>
    <t>DEPA-1309</t>
  </si>
  <si>
    <t>PP-092</t>
  </si>
  <si>
    <t>LA MADRID JOSE</t>
  </si>
  <si>
    <t>DEPA-1007</t>
  </si>
  <si>
    <t>PP-093</t>
  </si>
  <si>
    <t>MENDOZA TERESA LAURA</t>
  </si>
  <si>
    <t>DEPA-1406</t>
  </si>
  <si>
    <t>PP-094</t>
  </si>
  <si>
    <t>LAURA MENDOZA YSELA ROCIO</t>
  </si>
  <si>
    <t>DEPA-1009</t>
  </si>
  <si>
    <t>PP-095</t>
  </si>
  <si>
    <t>LEON PRISCILLA</t>
  </si>
  <si>
    <t>DEPA-1104</t>
  </si>
  <si>
    <t>PP-096</t>
  </si>
  <si>
    <t>LIANG YANQIU</t>
  </si>
  <si>
    <t>DEPA-1505</t>
  </si>
  <si>
    <t>PP-097</t>
  </si>
  <si>
    <t>DEPA-1304</t>
  </si>
  <si>
    <t>PP-098</t>
  </si>
  <si>
    <t>LLANO QUISPE JOSE LUIS</t>
  </si>
  <si>
    <t>DEPA-1712</t>
  </si>
  <si>
    <t>PP-099</t>
  </si>
  <si>
    <t>LOPEZ CORNELIO DAVID</t>
  </si>
  <si>
    <t>DEPA-1103</t>
  </si>
  <si>
    <t>PP-100</t>
  </si>
  <si>
    <t>LOPEZ FORTUNATO</t>
  </si>
  <si>
    <t>DEPA-1301</t>
  </si>
  <si>
    <t>PP-101</t>
  </si>
  <si>
    <t>DEPA-1501</t>
  </si>
  <si>
    <t>PP-102</t>
  </si>
  <si>
    <t>DURAN ZANDRA LUZ</t>
  </si>
  <si>
    <t>DEPA-1711</t>
  </si>
  <si>
    <t>PP-103</t>
  </si>
  <si>
    <t>MADUEÑO MORALES LUCIENNE</t>
  </si>
  <si>
    <t>DEPA-805</t>
  </si>
  <si>
    <t>PP-104</t>
  </si>
  <si>
    <t>MALDONADO DE LA CRUZ NORA TERESA</t>
  </si>
  <si>
    <t>DEPA-1108</t>
  </si>
  <si>
    <t>PP-105</t>
  </si>
  <si>
    <t>SANCHEZ ALLAN ANDY MARCELO</t>
  </si>
  <si>
    <t>DEPA-1709</t>
  </si>
  <si>
    <t>PP-106</t>
  </si>
  <si>
    <t>SPEICHER LUIS</t>
  </si>
  <si>
    <t>DEPA-705</t>
  </si>
  <si>
    <t>PP-107</t>
  </si>
  <si>
    <t xml:space="preserve">MENDIOLA LOPEZ MARIA ELENA </t>
  </si>
  <si>
    <t>ESTA-064</t>
  </si>
  <si>
    <t>PP-108</t>
  </si>
  <si>
    <t>DEPA-102</t>
  </si>
  <si>
    <t>PP-109</t>
  </si>
  <si>
    <t>MERINO BRIONES SUSY</t>
  </si>
  <si>
    <t>DEPA-1209</t>
  </si>
  <si>
    <t>PP-110</t>
  </si>
  <si>
    <t>MESONES DEL RIO MARIA ISABEL</t>
  </si>
  <si>
    <t>DEPA-411</t>
  </si>
  <si>
    <t>PP-111</t>
  </si>
  <si>
    <t>MINIANO GARCIA PABLO ABEL</t>
  </si>
  <si>
    <t>DEPA-601</t>
  </si>
  <si>
    <t>PP-112</t>
  </si>
  <si>
    <t>MONTESINOS JORGE LUIS</t>
  </si>
  <si>
    <t>DEPA-1409</t>
  </si>
  <si>
    <t>PP-113</t>
  </si>
  <si>
    <t>DEPA-1405</t>
  </si>
  <si>
    <t>PP-114</t>
  </si>
  <si>
    <t>MORALES LANDAURO GERARDO ALBERTO</t>
  </si>
  <si>
    <t>DEPA-1010</t>
  </si>
  <si>
    <t>PP-115</t>
  </si>
  <si>
    <t>MORON JENNY</t>
  </si>
  <si>
    <t>DEPA-208</t>
  </si>
  <si>
    <t>PP-116</t>
  </si>
  <si>
    <t>ESTA-100</t>
  </si>
  <si>
    <t>PP-117</t>
  </si>
  <si>
    <t>DEPA-905</t>
  </si>
  <si>
    <t>PP-118</t>
  </si>
  <si>
    <t>DEPA-912</t>
  </si>
  <si>
    <t>PP-119</t>
  </si>
  <si>
    <t>NUÑEZ ESTRADA YULY CRISTINA</t>
  </si>
  <si>
    <t>DEPA-401</t>
  </si>
  <si>
    <t>PP-120</t>
  </si>
  <si>
    <t>OCHOA CESAR</t>
  </si>
  <si>
    <t>DEPA-607</t>
  </si>
  <si>
    <t>PP-121</t>
  </si>
  <si>
    <t>MOGOLLÓN ANGELES ANGEL GIOVANNI JOSÉ  - GUTIÉRREZ RREZ CÓRDOVA ANGELA PIERINA</t>
  </si>
  <si>
    <t>DEPA-408</t>
  </si>
  <si>
    <t>PP-122</t>
  </si>
  <si>
    <t>DEPA-1608</t>
  </si>
  <si>
    <t>PP-123</t>
  </si>
  <si>
    <t>DEPA-709</t>
  </si>
  <si>
    <t>PP-124</t>
  </si>
  <si>
    <t>DEPA-812</t>
  </si>
  <si>
    <t>PP-125</t>
  </si>
  <si>
    <t>DEPA-1008</t>
  </si>
  <si>
    <t>PP-126</t>
  </si>
  <si>
    <t>PANIAGUA SANDRO</t>
  </si>
  <si>
    <t>DEPA-1512</t>
  </si>
  <si>
    <t>PP-127</t>
  </si>
  <si>
    <t>PAREDES SALAZAR SARITA DEL CARMEN</t>
  </si>
  <si>
    <t>DEPA-1005</t>
  </si>
  <si>
    <t>PP-128</t>
  </si>
  <si>
    <t>PARKER CHAVEZ DIANA MARIA</t>
  </si>
  <si>
    <t>DEPA-210</t>
  </si>
  <si>
    <t>PP-129</t>
  </si>
  <si>
    <t>PASSION FRESH SAC</t>
  </si>
  <si>
    <t>DEPA-1305</t>
  </si>
  <si>
    <t>PP-130</t>
  </si>
  <si>
    <t>PASTOR NICOLAS ROSA MARIA</t>
  </si>
  <si>
    <t>DEPA-1211</t>
  </si>
  <si>
    <t>PP-131</t>
  </si>
  <si>
    <t>PAZ ALATA JUAN DIEGO</t>
  </si>
  <si>
    <t>DEPA-809</t>
  </si>
  <si>
    <t>PP-132</t>
  </si>
  <si>
    <t>PERALTA PARI RUBEN</t>
  </si>
  <si>
    <t>DEPA-507</t>
  </si>
  <si>
    <t>PP-133</t>
  </si>
  <si>
    <t>PONCE DE LEON MARIA</t>
  </si>
  <si>
    <t>DEPA-306</t>
  </si>
  <si>
    <t>PP-134</t>
  </si>
  <si>
    <t xml:space="preserve">MONZON MILAGROS </t>
  </si>
  <si>
    <t>DEPA-509</t>
  </si>
  <si>
    <t>PP-135</t>
  </si>
  <si>
    <t>QUISPE JOSE LUIS</t>
  </si>
  <si>
    <t>DEPA-803</t>
  </si>
  <si>
    <t>PP-136</t>
  </si>
  <si>
    <t>RAMOS GUTTI DANIEL</t>
  </si>
  <si>
    <t>DEPA-708</t>
  </si>
  <si>
    <t>PP-137</t>
  </si>
  <si>
    <t>DEPA-1601</t>
  </si>
  <si>
    <t>PP-138</t>
  </si>
  <si>
    <t>DEPO-184</t>
  </si>
  <si>
    <t>PP-139</t>
  </si>
  <si>
    <t>DEPA-511</t>
  </si>
  <si>
    <t>PP-140</t>
  </si>
  <si>
    <t>RIOS JULCA NILTON</t>
  </si>
  <si>
    <t>ESTA-074</t>
  </si>
  <si>
    <t>PP-141</t>
  </si>
  <si>
    <t>RIVERA MADARIAGA FIORELLA VANESSA</t>
  </si>
  <si>
    <t>DEPA-806</t>
  </si>
  <si>
    <t>PP-142</t>
  </si>
  <si>
    <t>ROBLEDANO VICTOR</t>
  </si>
  <si>
    <t>DEPA-201</t>
  </si>
  <si>
    <t>PP-143</t>
  </si>
  <si>
    <t>ROBLES SOTELO ERICK EUGENIO</t>
  </si>
  <si>
    <t>DEPA-412</t>
  </si>
  <si>
    <t>PP-144</t>
  </si>
  <si>
    <t>RODRIGUEZ CECILIA</t>
  </si>
  <si>
    <t>DEPA-207</t>
  </si>
  <si>
    <t>PP-145</t>
  </si>
  <si>
    <t>ROJAS VICTOR</t>
  </si>
  <si>
    <t>DEPA-1110</t>
  </si>
  <si>
    <t>PP-146</t>
  </si>
  <si>
    <t>ROSAS JHENIFER</t>
  </si>
  <si>
    <t>DEPA-204</t>
  </si>
  <si>
    <t>PP-147</t>
  </si>
  <si>
    <t>RUBIANO NELSON</t>
  </si>
  <si>
    <t>DEPA-1507</t>
  </si>
  <si>
    <t>PP-148</t>
  </si>
  <si>
    <t>RUIZ GUTIERREZ ROSA</t>
  </si>
  <si>
    <t>DEPA-704</t>
  </si>
  <si>
    <t>PP-149</t>
  </si>
  <si>
    <t>SAAVEDRA MACHUCA DANY ELVIS</t>
  </si>
  <si>
    <t>DEPA-603</t>
  </si>
  <si>
    <t>PP-150</t>
  </si>
  <si>
    <t>SALINAS SOUZA CARLOS ENRIQUE JOSE ALFREDO</t>
  </si>
  <si>
    <t>DEPA-1106</t>
  </si>
  <si>
    <t>PP-151</t>
  </si>
  <si>
    <t>SALVADOR NILS</t>
  </si>
  <si>
    <t>DEPA-1105</t>
  </si>
  <si>
    <t>PP-152</t>
  </si>
  <si>
    <t>SAMANAMUD LOZANO NADIA</t>
  </si>
  <si>
    <t>DEPA-906</t>
  </si>
  <si>
    <t>PP-153</t>
  </si>
  <si>
    <t>SANCHEZ DIAZ RUBEN</t>
  </si>
  <si>
    <t>DEPA-711</t>
  </si>
  <si>
    <t>PP-154</t>
  </si>
  <si>
    <t>SANCHEZ-SALAZAR OLCESE GLADYS MARIELA</t>
  </si>
  <si>
    <t>DEPA-206</t>
  </si>
  <si>
    <t>PP-155</t>
  </si>
  <si>
    <t>SANDOVAL AMASIFUEN EDWARD</t>
  </si>
  <si>
    <t>DEPA-1410</t>
  </si>
  <si>
    <t>PP-156</t>
  </si>
  <si>
    <t>DEPA-1404</t>
  </si>
  <si>
    <t>PP-157</t>
  </si>
  <si>
    <t>BUSTAMANTE EDUARDO  - SARMIENTO INGRID</t>
  </si>
  <si>
    <t>DEPA-405</t>
  </si>
  <si>
    <t>PP-158</t>
  </si>
  <si>
    <t>DEPA-311</t>
  </si>
  <si>
    <t>PP-159</t>
  </si>
  <si>
    <t>SAUÑE PACCO JOSE OSWALDO</t>
  </si>
  <si>
    <t>DEPA-1707</t>
  </si>
  <si>
    <t>PP-160</t>
  </si>
  <si>
    <t>SEMINARIO OMAR</t>
  </si>
  <si>
    <t>DEPA-911</t>
  </si>
  <si>
    <t>PP-161</t>
  </si>
  <si>
    <t>SOTO GIANFRANCO</t>
  </si>
  <si>
    <t>DEPA-1109</t>
  </si>
  <si>
    <t>PP-162</t>
  </si>
  <si>
    <t>SULLCAHUAMAN OTERO ORLANDO</t>
  </si>
  <si>
    <t>DEPA-402</t>
  </si>
  <si>
    <t>PP-163</t>
  </si>
  <si>
    <t xml:space="preserve">HERZL THOMAS  - GONZALES MONICA </t>
  </si>
  <si>
    <t>DEPA-1506</t>
  </si>
  <si>
    <t>PP-164</t>
  </si>
  <si>
    <t>TIBURCIO GARCIA LIZETH ALEJANDRA</t>
  </si>
  <si>
    <t>DEPA-807</t>
  </si>
  <si>
    <t>PP-165</t>
  </si>
  <si>
    <t>DEPA-1207</t>
  </si>
  <si>
    <t>PP-166</t>
  </si>
  <si>
    <t>TINEO CASTAÑEDA CLAUDIA</t>
  </si>
  <si>
    <t>DEPA-1611</t>
  </si>
  <si>
    <t>PP-167</t>
  </si>
  <si>
    <t>TORANZO RUBEN</t>
  </si>
  <si>
    <t>DEPA-309</t>
  </si>
  <si>
    <t>PP-168</t>
  </si>
  <si>
    <t>TORRES HUANGAL RODRIGO GUILLERMO</t>
  </si>
  <si>
    <t>DEPA-1408</t>
  </si>
  <si>
    <t>PP-169</t>
  </si>
  <si>
    <t>TORRES TORRES GUILLERMO</t>
  </si>
  <si>
    <t>DEPA-1508</t>
  </si>
  <si>
    <t>PP-170</t>
  </si>
  <si>
    <t>TORRES VALLEJOS CLAUDIA MARINA</t>
  </si>
  <si>
    <t>DEPA-107</t>
  </si>
  <si>
    <t>PP-171</t>
  </si>
  <si>
    <t>TORRES VILANTOY SUSAN</t>
  </si>
  <si>
    <t>DEPA-1012</t>
  </si>
  <si>
    <t>PP-172</t>
  </si>
  <si>
    <t>TORRES ANGELICA</t>
  </si>
  <si>
    <t>DEPA-802</t>
  </si>
  <si>
    <t>PP-173</t>
  </si>
  <si>
    <t>DEPA-808</t>
  </si>
  <si>
    <t>PP-174</t>
  </si>
  <si>
    <t>DEPA-1606</t>
  </si>
  <si>
    <t>PP-175</t>
  </si>
  <si>
    <t>VALDIVIA OBANDO OSCAR</t>
  </si>
  <si>
    <t>DEPA-608</t>
  </si>
  <si>
    <t>PP-176</t>
  </si>
  <si>
    <t>DEPA-1503</t>
  </si>
  <si>
    <t>PP-177</t>
  </si>
  <si>
    <t>FIORELLA NN</t>
  </si>
  <si>
    <t>DEPA-103</t>
  </si>
  <si>
    <t>PP-178</t>
  </si>
  <si>
    <t>DEPA-1112</t>
  </si>
  <si>
    <t>PP-179</t>
  </si>
  <si>
    <t>VALVERDE ROJAS MARIA ANTONIETA</t>
  </si>
  <si>
    <t>DEPA-1307</t>
  </si>
  <si>
    <t>PP-180</t>
  </si>
  <si>
    <t>VEGA DAVID VICTOR</t>
  </si>
  <si>
    <t>DEPA-502</t>
  </si>
  <si>
    <t>PP-181</t>
  </si>
  <si>
    <t>VEGA LUIS</t>
  </si>
  <si>
    <t>DEPA-505</t>
  </si>
  <si>
    <t>PP-182</t>
  </si>
  <si>
    <t>VELASQUEZ MATOS KATHERINE SUSEI</t>
  </si>
  <si>
    <t>DEPA-203</t>
  </si>
  <si>
    <t>PP-183</t>
  </si>
  <si>
    <t>VERASTEGUI BUSTAMANTE DAVID</t>
  </si>
  <si>
    <t>DEPA-1701</t>
  </si>
  <si>
    <t>PP-184</t>
  </si>
  <si>
    <t>VERASTEGUI JUSTO</t>
  </si>
  <si>
    <t>DEPA-1708</t>
  </si>
  <si>
    <t>PP-185</t>
  </si>
  <si>
    <t>VILLAVICENCIO CARLOS</t>
  </si>
  <si>
    <t>DEPA-605</t>
  </si>
  <si>
    <t>PP-186</t>
  </si>
  <si>
    <t>VISO TOLEDO JAIME JUAN</t>
  </si>
  <si>
    <t>DEPA-301</t>
  </si>
  <si>
    <t>PP-187</t>
  </si>
  <si>
    <t>WILSON BUENO FRANK ERICK</t>
  </si>
  <si>
    <t>DEPA-1308</t>
  </si>
  <si>
    <t>PP-188</t>
  </si>
  <si>
    <t>DEPA-1702</t>
  </si>
  <si>
    <t>PP-189</t>
  </si>
  <si>
    <t xml:space="preserve">LI XIAN YI </t>
  </si>
  <si>
    <t>DEPA-1510</t>
  </si>
  <si>
    <t>PP-190</t>
  </si>
  <si>
    <t>DEPA-1407</t>
  </si>
  <si>
    <t>PP-191</t>
  </si>
  <si>
    <t>ZAMBRANO JUAREZ VALERIA</t>
  </si>
  <si>
    <t>DEPA-1411</t>
  </si>
  <si>
    <t>PP-192</t>
  </si>
  <si>
    <t>DEPA-303</t>
  </si>
  <si>
    <t>PP-193</t>
  </si>
  <si>
    <t>ZAPATA VELASCO ANGELA</t>
  </si>
  <si>
    <t>DEPA-1412</t>
  </si>
  <si>
    <t>PP-194</t>
  </si>
  <si>
    <t>ALVARES PEÑA CARLOS EDUARDO</t>
  </si>
  <si>
    <t>DEPA-1706</t>
  </si>
  <si>
    <t>PP-195</t>
  </si>
  <si>
    <t>GUERRERO BENNER ROLAN</t>
  </si>
  <si>
    <t>DEPA-504</t>
  </si>
  <si>
    <t>PP-196</t>
  </si>
  <si>
    <t>MADUEÑO CHUMPITAZ LOURDES DE LOS ANGELES</t>
  </si>
  <si>
    <t>DEPA-1704</t>
  </si>
  <si>
    <t>PP-197</t>
  </si>
  <si>
    <t>RAMÍREZ PACHECO GIAN PAUL</t>
  </si>
  <si>
    <t>DEPA-106</t>
  </si>
  <si>
    <t>PP-198</t>
  </si>
  <si>
    <t>ROSAS JHENIFER adicional 1</t>
  </si>
  <si>
    <t>ESTA-002</t>
  </si>
  <si>
    <t>PP-199</t>
  </si>
  <si>
    <t>ROSAS JHENIFER adicional 2</t>
  </si>
  <si>
    <t>ESTA-157</t>
  </si>
  <si>
    <t>PP-200</t>
  </si>
  <si>
    <t>VILLAVICENCIO CARLOS adiciona1</t>
  </si>
  <si>
    <t>DEPO-165</t>
  </si>
  <si>
    <t>PP-201</t>
  </si>
  <si>
    <t>AQUIJE MORON HERNAN</t>
  </si>
  <si>
    <t>ESTA-010</t>
  </si>
  <si>
    <t>PP-LAV</t>
  </si>
  <si>
    <t>LAVANDERIA PRONTOMATIK</t>
  </si>
  <si>
    <t>acumulado</t>
  </si>
  <si>
    <t>mes</t>
  </si>
  <si>
    <t>sin identificar</t>
  </si>
  <si>
    <t>arcade</t>
  </si>
  <si>
    <t>INFANTES</t>
  </si>
  <si>
    <t>recibo</t>
  </si>
  <si>
    <t>m3 conteo</t>
  </si>
  <si>
    <t>&lt;promedio</t>
  </si>
  <si>
    <t>c.u. x m3</t>
  </si>
  <si>
    <t>JUNTA DE PROPIETARIOS DEL EDIFICIO MULTIFAMILIAR " PACIFIK OCEAN TOWER"</t>
  </si>
  <si>
    <t xml:space="preserve">Historico - consumo de agua </t>
  </si>
  <si>
    <t>DEPAF</t>
  </si>
  <si>
    <t>MAYO</t>
  </si>
  <si>
    <t>consumo&gt;</t>
  </si>
  <si>
    <t>JUNIO</t>
  </si>
  <si>
    <t>JULIO</t>
  </si>
  <si>
    <t>AGOSTO</t>
  </si>
  <si>
    <t>PEN-agua</t>
  </si>
  <si>
    <t>SET</t>
  </si>
  <si>
    <t>OCT</t>
  </si>
  <si>
    <t>NOV</t>
  </si>
  <si>
    <t>DIC</t>
  </si>
  <si>
    <t>*pablo</t>
  </si>
  <si>
    <t>DEPA-305</t>
  </si>
  <si>
    <t>DEPA-308</t>
  </si>
  <si>
    <t>DEPA-506</t>
  </si>
  <si>
    <t>DEPA-706</t>
  </si>
  <si>
    <t>DEPA-801</t>
  </si>
  <si>
    <t>*medidor nuevo val. 25/08/2025</t>
  </si>
  <si>
    <t>Falta depa 1203</t>
  </si>
  <si>
    <t>PRESUPUESTO X DISTRIBUIR</t>
  </si>
  <si>
    <t>agua potable 2025-12</t>
  </si>
  <si>
    <t>PREDIO</t>
  </si>
  <si>
    <t>ÁREA TECHADA</t>
  </si>
  <si>
    <t>ÁREA OCUPADA</t>
  </si>
  <si>
    <t>% PARTICIPACIÓN</t>
  </si>
  <si>
    <t>VALOR CUOTA</t>
  </si>
  <si>
    <t>AGUA CONSUMO</t>
  </si>
  <si>
    <t>SUMA</t>
  </si>
  <si>
    <t>ESTA-020</t>
  </si>
  <si>
    <t>ESTA-067</t>
  </si>
  <si>
    <t>ESTA-042</t>
  </si>
  <si>
    <t>ESTA-077</t>
  </si>
  <si>
    <t>ESTA-063</t>
  </si>
  <si>
    <t>ESTA-065</t>
  </si>
  <si>
    <t>ESTA-056</t>
  </si>
  <si>
    <t>ESTA-104</t>
  </si>
  <si>
    <t>ESTA-036</t>
  </si>
  <si>
    <t>ESTA-153</t>
  </si>
  <si>
    <t>ESTA-143</t>
  </si>
  <si>
    <t>ESTA-103</t>
  </si>
  <si>
    <t>ESTA-003</t>
  </si>
  <si>
    <t>ESTA-008</t>
  </si>
  <si>
    <t>ESTA-011</t>
  </si>
  <si>
    <t>ESTA-019</t>
  </si>
  <si>
    <t>ESTA-022</t>
  </si>
  <si>
    <t>ESTA-046</t>
  </si>
  <si>
    <t>ESTA-054</t>
  </si>
  <si>
    <t>ESTA-062</t>
  </si>
  <si>
    <t>ESTA-091</t>
  </si>
  <si>
    <t>ESTA-097</t>
  </si>
  <si>
    <t>DEPO-180</t>
  </si>
  <si>
    <t>ESTA-035</t>
  </si>
  <si>
    <t>ESTA-053</t>
  </si>
  <si>
    <t>ESTA-092</t>
  </si>
  <si>
    <t>ESTA-132</t>
  </si>
  <si>
    <t>ESTA-060</t>
  </si>
  <si>
    <t>DEPO-186</t>
  </si>
  <si>
    <t>DEPO-173</t>
  </si>
  <si>
    <t>DEPO-161</t>
  </si>
  <si>
    <t>ESTA-015</t>
  </si>
  <si>
    <t>ESTA-016</t>
  </si>
  <si>
    <t>ESTA-017</t>
  </si>
  <si>
    <t>ESTA-032</t>
  </si>
  <si>
    <t>CASAS PEREA JOSE</t>
  </si>
  <si>
    <t>ESTA-150</t>
  </si>
  <si>
    <t>ESTA-130</t>
  </si>
  <si>
    <t>ESTA-148</t>
  </si>
  <si>
    <t>ESTA-121</t>
  </si>
  <si>
    <t>ESTA-078</t>
  </si>
  <si>
    <t>ESTA-013</t>
  </si>
  <si>
    <t>ESTA-058</t>
  </si>
  <si>
    <t>ESTA-009</t>
  </si>
  <si>
    <t>ESTA-073</t>
  </si>
  <si>
    <t>ESTA-115</t>
  </si>
  <si>
    <t>ESTA-006</t>
  </si>
  <si>
    <t>ESTA-004</t>
  </si>
  <si>
    <t>ESTA-141</t>
  </si>
  <si>
    <t>DEPO-178</t>
  </si>
  <si>
    <t>ESTA-139</t>
  </si>
  <si>
    <t>ESTA-093</t>
  </si>
  <si>
    <t>ESTA-066</t>
  </si>
  <si>
    <t>ESTA-086</t>
  </si>
  <si>
    <t>ESTA-081</t>
  </si>
  <si>
    <t>ESTA-031</t>
  </si>
  <si>
    <t>ESTA-037</t>
  </si>
  <si>
    <t>ESTA-055</t>
  </si>
  <si>
    <t>ESTA-088</t>
  </si>
  <si>
    <t>ESTA-027</t>
  </si>
  <si>
    <t>ESTA-039</t>
  </si>
  <si>
    <t>DEPO-175</t>
  </si>
  <si>
    <t>ESTA-126</t>
  </si>
  <si>
    <t>ESTA-045</t>
  </si>
  <si>
    <t>ESTA-154</t>
  </si>
  <si>
    <t>ESTA-151</t>
  </si>
  <si>
    <t>GUERRERO JIMENEZ SERGIO adicional 1</t>
  </si>
  <si>
    <t>ESTA-142</t>
  </si>
  <si>
    <t>ESTA-070</t>
  </si>
  <si>
    <t>DEPO-159</t>
  </si>
  <si>
    <t>DEPO-162</t>
  </si>
  <si>
    <t>ESTA-034</t>
  </si>
  <si>
    <t>ESTA-089</t>
  </si>
  <si>
    <t>ESTA-138</t>
  </si>
  <si>
    <t>ESTA-120</t>
  </si>
  <si>
    <t>ESTA-155</t>
  </si>
  <si>
    <t>DEPO-172</t>
  </si>
  <si>
    <t>ESTA-090</t>
  </si>
  <si>
    <t>ESTA-102</t>
  </si>
  <si>
    <t>ESTA-083</t>
  </si>
  <si>
    <t>ESTA-133</t>
  </si>
  <si>
    <t>ESTA-146</t>
  </si>
  <si>
    <t>ESTA-117</t>
  </si>
  <si>
    <t>ESTA-129</t>
  </si>
  <si>
    <t>DEPO-171</t>
  </si>
  <si>
    <t>ESTA-085</t>
  </si>
  <si>
    <t>ESTA-135</t>
  </si>
  <si>
    <t>ESTA-068</t>
  </si>
  <si>
    <t>ESTA-158</t>
  </si>
  <si>
    <t>ESTA-107</t>
  </si>
  <si>
    <t>ESTA-051</t>
  </si>
  <si>
    <t>DEPO-167</t>
  </si>
  <si>
    <t>ESTA-059</t>
  </si>
  <si>
    <t>ESTA-149</t>
  </si>
  <si>
    <t>ESTA-108</t>
  </si>
  <si>
    <t>ESTA-018</t>
  </si>
  <si>
    <t>ESTA-026</t>
  </si>
  <si>
    <t>ESTA-047</t>
  </si>
  <si>
    <t>ESTA-048</t>
  </si>
  <si>
    <t>ESTA-069</t>
  </si>
  <si>
    <t>ESTA-021</t>
  </si>
  <si>
    <t>ESTA-110</t>
  </si>
  <si>
    <t>ESTA-061</t>
  </si>
  <si>
    <t>ESTA-122</t>
  </si>
  <si>
    <t>ESTA-057</t>
  </si>
  <si>
    <t>ESTA-044</t>
  </si>
  <si>
    <t>ESTA-096</t>
  </si>
  <si>
    <t>ESTA-075</t>
  </si>
  <si>
    <t>ESTA-137</t>
  </si>
  <si>
    <t>ESTA-084</t>
  </si>
  <si>
    <t>ESTA-119</t>
  </si>
  <si>
    <t>ESTA-145</t>
  </si>
  <si>
    <t>ESTA-094</t>
  </si>
  <si>
    <t>ESTA-113</t>
  </si>
  <si>
    <t>ESTA-049</t>
  </si>
  <si>
    <t>ESTA-112</t>
  </si>
  <si>
    <t>ESTA-038</t>
  </si>
  <si>
    <t>ESTA-134</t>
  </si>
  <si>
    <t>ESTA-071</t>
  </si>
  <si>
    <t>DEPO-185</t>
  </si>
  <si>
    <t>ESTA-127</t>
  </si>
  <si>
    <t>ESTA-005</t>
  </si>
  <si>
    <t>ESTA-124</t>
  </si>
  <si>
    <t>DEPO-164</t>
  </si>
  <si>
    <t>ESTA-024</t>
  </si>
  <si>
    <t>ESTA-144</t>
  </si>
  <si>
    <t>ESTA-099</t>
  </si>
  <si>
    <t>DEPO-182</t>
  </si>
  <si>
    <t>DEPO-170</t>
  </si>
  <si>
    <t>ESTA-033</t>
  </si>
  <si>
    <t>DEPO-169</t>
  </si>
  <si>
    <t>ESTA-072</t>
  </si>
  <si>
    <t>ESTA-123</t>
  </si>
  <si>
    <t>ESTA-109</t>
  </si>
  <si>
    <t>DEPO-179</t>
  </si>
  <si>
    <t>ESTA-131</t>
  </si>
  <si>
    <t>ESTA-156</t>
  </si>
  <si>
    <t>DEPO-177</t>
  </si>
  <si>
    <t>ESTA-007</t>
  </si>
  <si>
    <t>ESTA-098</t>
  </si>
  <si>
    <t>ESTA-076</t>
  </si>
  <si>
    <t>ESTA-029</t>
  </si>
  <si>
    <t>ESTA-095</t>
  </si>
  <si>
    <t>ESTA-043</t>
  </si>
  <si>
    <t>DEPO-174</t>
  </si>
  <si>
    <t>ESTA-116</t>
  </si>
  <si>
    <t>ESTA-111</t>
  </si>
  <si>
    <t>ESTA-105</t>
  </si>
  <si>
    <t>ESTA-101</t>
  </si>
  <si>
    <t>ESTA-125</t>
  </si>
  <si>
    <t>DEPO-181</t>
  </si>
  <si>
    <t>ESTA-030</t>
  </si>
  <si>
    <t xml:space="preserve">VALERA ASPILLAGA FIORELLA VANESSA </t>
  </si>
  <si>
    <t>DEPO-176</t>
  </si>
  <si>
    <t>ESTA-152</t>
  </si>
  <si>
    <t>ESTA-082</t>
  </si>
  <si>
    <t>ESTA-114</t>
  </si>
  <si>
    <t>ESTA-028</t>
  </si>
  <si>
    <t>ESTA-040</t>
  </si>
  <si>
    <t>ESTA-041</t>
  </si>
  <si>
    <t>ESTA-023</t>
  </si>
  <si>
    <t>ESTA-079</t>
  </si>
  <si>
    <t>DEPO-168</t>
  </si>
  <si>
    <t>ESTA-052</t>
  </si>
  <si>
    <t>ESTA-118</t>
  </si>
  <si>
    <t>ESTA-136</t>
  </si>
  <si>
    <t>ESTA-050</t>
  </si>
  <si>
    <t>ESTA-128</t>
  </si>
  <si>
    <t>DEPO-183</t>
  </si>
  <si>
    <t>ESTA-147</t>
  </si>
  <si>
    <t>ESTA-080</t>
  </si>
  <si>
    <t>ESTA-025</t>
  </si>
  <si>
    <t>ESTA-014</t>
  </si>
  <si>
    <t>ESTA-012</t>
  </si>
  <si>
    <t>DEPO-166</t>
  </si>
  <si>
    <t>RECIBO MANTENIMIENTO</t>
  </si>
  <si>
    <t>cuota del mes</t>
  </si>
  <si>
    <t>Periodo</t>
  </si>
  <si>
    <t>Fecha emisión</t>
  </si>
  <si>
    <t>Fecha vencimiento</t>
  </si>
  <si>
    <t>Consumo agua (m3)</t>
  </si>
  <si>
    <t>Codigo Propietario</t>
  </si>
  <si>
    <t>2026-enero</t>
  </si>
  <si>
    <t>Titular 1</t>
  </si>
  <si>
    <t>Titular 2</t>
  </si>
  <si>
    <t>Arrendatario</t>
  </si>
  <si>
    <t>Informacion historica:</t>
  </si>
  <si>
    <t>cuotas emitidas</t>
  </si>
  <si>
    <t>periodos ant.</t>
  </si>
  <si>
    <t>abonos recibidos</t>
  </si>
  <si>
    <t>Recibo digital elaborado por:</t>
  </si>
  <si>
    <t>ALGORITMO ADMIN</t>
  </si>
  <si>
    <t>EDIFICIO MULTIFAMILIAR "PACIFIK OCEAN TOWER"</t>
  </si>
  <si>
    <t>Av. Bertolotto Negro 850 - San Miguel</t>
  </si>
  <si>
    <t>Total general</t>
  </si>
  <si>
    <t>Suma de VALOR CUOTA</t>
  </si>
  <si>
    <t>Suma de AGUA CONSUMO</t>
  </si>
  <si>
    <t>Suma de SUMA</t>
  </si>
  <si>
    <t>Predio</t>
  </si>
  <si>
    <t xml:space="preserve"> % PARTICIPACIÓN</t>
  </si>
  <si>
    <t xml:space="preserve"> SUMA</t>
  </si>
  <si>
    <t xml:space="preserve"> VALOR CUOTA S/.</t>
  </si>
  <si>
    <t xml:space="preserve"> AGUA CONSUMO S/.</t>
  </si>
  <si>
    <t>Valores</t>
  </si>
  <si>
    <t>varios</t>
  </si>
  <si>
    <t>9999999</t>
  </si>
  <si>
    <t>GENERICO</t>
  </si>
  <si>
    <t>FECHA ABONO</t>
  </si>
  <si>
    <t>IMPORTE RECIBIDO</t>
  </si>
  <si>
    <t>saldo por cobrar al mes anterior</t>
  </si>
  <si>
    <t>Listado de morosos al 31/12/2025</t>
  </si>
  <si>
    <t>ULTIMO MES DIC-2025</t>
  </si>
  <si>
    <t>MESES ANTERIORES</t>
  </si>
  <si>
    <t>PP-202</t>
  </si>
  <si>
    <t>PALOMINO CRISTHIAN</t>
  </si>
  <si>
    <t>PALOMINO CRISTIAN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</si>
</sst>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S/&quot;\ * #,##0.00_);_(&quot;S/&quot;\ * \(#,##0.00\);_(&quot;S/&quot;\ * &quot;-&quot;??_);_(@_)"/>
    <numFmt numFmtId="43" formatCode="_(* #,##0.00_);_(* \(#,##0.00\);_(* &quot;-&quot;??_);_(@_)"/>
    <numFmt numFmtId="164" formatCode="_(* #,##0_);_(* \(#,##0\);_(* &quot;-&quot;??_);_(@_)"/>
    <numFmt numFmtId="165" formatCode="_(&quot;S/&quot;\ * #,##0.0000_);_(&quot;S/&quot;\ * \(#,##0.0000\);_(&quot;S/&quot;\ * &quot;-&quot;??_);_(@_)"/>
    <numFmt numFmtId="166" formatCode="0.0000%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"/>
      <family val="2"/>
    </font>
    <font>
      <b/>
      <i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u val="singleAccounting"/>
      <sz val="11"/>
      <color theme="1"/>
      <name val="Aptos Narrow"/>
      <family val="2"/>
      <scheme val="minor"/>
    </font>
    <font>
      <sz val="27"/>
      <color theme="1"/>
      <name val="Aptos"/>
      <family val="2"/>
    </font>
    <font>
      <b/>
      <u/>
      <sz val="48"/>
      <color theme="1"/>
      <name val="Aptos"/>
      <family val="2"/>
    </font>
    <font>
      <b/>
      <sz val="36"/>
      <color theme="1"/>
      <name val="Aptos"/>
      <family val="2"/>
    </font>
    <font>
      <b/>
      <sz val="27"/>
      <color theme="1"/>
      <name val="Aptos"/>
      <family val="2"/>
    </font>
    <font>
      <i/>
      <u/>
      <sz val="27"/>
      <color theme="1"/>
      <name val="Aptos"/>
      <family val="2"/>
    </font>
    <font>
      <b/>
      <sz val="27"/>
      <color rgb="FFFF0000"/>
      <name val="Aptos"/>
      <family val="2"/>
    </font>
    <font>
      <b/>
      <sz val="26"/>
      <color theme="1"/>
      <name val="Aptos"/>
      <family val="2"/>
    </font>
    <font>
      <b/>
      <sz val="26"/>
      <color rgb="FF0070C0"/>
      <name val="Aptos"/>
      <family val="2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4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FFFF"/>
      </patternFill>
    </fill>
    <fill>
      <patternFill patternType="solid">
        <fgColor rgb="FFF4F4F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43" fontId="4" fillId="3" borderId="2" xfId="1" applyFont="1" applyFill="1" applyBorder="1" applyAlignment="1">
      <alignment horizontal="center" vertical="center"/>
    </xf>
    <xf numFmtId="43" fontId="4" fillId="4" borderId="2" xfId="1" applyFont="1" applyFill="1" applyBorder="1" applyAlignment="1">
      <alignment horizontal="center" vertical="center"/>
    </xf>
    <xf numFmtId="43" fontId="0" fillId="0" borderId="0" xfId="1" applyFont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3" fontId="2" fillId="0" borderId="3" xfId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3" fontId="0" fillId="0" borderId="3" xfId="1" applyFont="1" applyBorder="1"/>
    <xf numFmtId="43" fontId="0" fillId="0" borderId="3" xfId="0" applyNumberFormat="1" applyBorder="1"/>
    <xf numFmtId="43" fontId="1" fillId="0" borderId="3" xfId="1" applyFont="1" applyBorder="1"/>
    <xf numFmtId="0" fontId="0" fillId="5" borderId="0" xfId="0" applyFill="1"/>
    <xf numFmtId="0" fontId="2" fillId="0" borderId="0" xfId="0" applyFont="1"/>
    <xf numFmtId="1" fontId="0" fillId="0" borderId="0" xfId="1" applyNumberFormat="1" applyFont="1" applyAlignment="1">
      <alignment horizontal="center"/>
    </xf>
    <xf numFmtId="4" fontId="0" fillId="0" borderId="0" xfId="0" applyNumberFormat="1"/>
    <xf numFmtId="1" fontId="0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37" fontId="0" fillId="0" borderId="0" xfId="0" applyNumberFormat="1"/>
    <xf numFmtId="165" fontId="0" fillId="0" borderId="0" xfId="2" applyNumberFormat="1" applyFont="1"/>
    <xf numFmtId="1" fontId="0" fillId="0" borderId="0" xfId="2" applyNumberFormat="1" applyFont="1" applyAlignment="1">
      <alignment horizontal="center"/>
    </xf>
    <xf numFmtId="165" fontId="0" fillId="0" borderId="0" xfId="2" applyNumberFormat="1" applyFont="1" applyFill="1"/>
    <xf numFmtId="0" fontId="7" fillId="0" borderId="0" xfId="0" applyFont="1"/>
    <xf numFmtId="0" fontId="8" fillId="0" borderId="0" xfId="0" applyFont="1"/>
    <xf numFmtId="37" fontId="0" fillId="0" borderId="3" xfId="1" applyNumberFormat="1" applyFont="1" applyFill="1" applyBorder="1" applyAlignment="1">
      <alignment horizontal="center" vertical="center" wrapText="1"/>
    </xf>
    <xf numFmtId="37" fontId="0" fillId="6" borderId="3" xfId="1" applyNumberFormat="1" applyFont="1" applyFill="1" applyBorder="1" applyAlignment="1">
      <alignment horizontal="center" vertical="center" wrapText="1"/>
    </xf>
    <xf numFmtId="37" fontId="6" fillId="0" borderId="3" xfId="1" applyNumberFormat="1" applyFont="1" applyFill="1" applyBorder="1" applyAlignment="1">
      <alignment horizontal="center" vertical="center" wrapText="1"/>
    </xf>
    <xf numFmtId="43" fontId="0" fillId="0" borderId="3" xfId="1" applyFont="1" applyFill="1" applyBorder="1" applyAlignment="1">
      <alignment horizontal="center" vertical="center" wrapText="1"/>
    </xf>
    <xf numFmtId="43" fontId="0" fillId="7" borderId="3" xfId="1" applyFont="1" applyFill="1" applyBorder="1" applyAlignment="1">
      <alignment horizontal="center" vertical="center" wrapText="1"/>
    </xf>
    <xf numFmtId="1" fontId="0" fillId="6" borderId="3" xfId="1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43" fontId="0" fillId="8" borderId="3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7" fontId="0" fillId="0" borderId="3" xfId="1" applyNumberFormat="1" applyFont="1" applyFill="1" applyBorder="1" applyAlignment="1">
      <alignment horizontal="center"/>
    </xf>
    <xf numFmtId="1" fontId="0" fillId="0" borderId="3" xfId="1" applyNumberFormat="1" applyFont="1" applyBorder="1" applyAlignment="1">
      <alignment horizontal="center"/>
    </xf>
    <xf numFmtId="1" fontId="0" fillId="0" borderId="3" xfId="1" applyNumberFormat="1" applyFont="1" applyFill="1" applyBorder="1" applyAlignment="1">
      <alignment horizontal="center"/>
    </xf>
    <xf numFmtId="0" fontId="0" fillId="0" borderId="3" xfId="1" applyNumberFormat="1" applyFont="1" applyFill="1" applyBorder="1" applyAlignment="1">
      <alignment horizontal="center"/>
    </xf>
    <xf numFmtId="1" fontId="0" fillId="5" borderId="3" xfId="1" applyNumberFormat="1" applyFont="1" applyFill="1" applyBorder="1" applyAlignment="1">
      <alignment horizontal="center"/>
    </xf>
    <xf numFmtId="0" fontId="2" fillId="5" borderId="0" xfId="0" applyFont="1" applyFill="1"/>
    <xf numFmtId="0" fontId="0" fillId="5" borderId="3" xfId="0" applyFill="1" applyBorder="1"/>
    <xf numFmtId="37" fontId="0" fillId="5" borderId="3" xfId="1" applyNumberFormat="1" applyFont="1" applyFill="1" applyBorder="1" applyAlignment="1">
      <alignment horizontal="center"/>
    </xf>
    <xf numFmtId="0" fontId="0" fillId="9" borderId="0" xfId="0" applyFill="1"/>
    <xf numFmtId="0" fontId="9" fillId="0" borderId="0" xfId="0" applyFont="1"/>
    <xf numFmtId="37" fontId="0" fillId="0" borderId="0" xfId="1" applyNumberFormat="1" applyFont="1" applyFill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43" fontId="0" fillId="0" borderId="0" xfId="1" applyFont="1" applyBorder="1"/>
    <xf numFmtId="164" fontId="0" fillId="0" borderId="0" xfId="1" applyNumberFormat="1" applyFont="1"/>
    <xf numFmtId="164" fontId="0" fillId="0" borderId="0" xfId="1" applyNumberFormat="1" applyFont="1" applyFill="1"/>
    <xf numFmtId="43" fontId="0" fillId="0" borderId="0" xfId="1" applyFont="1" applyFill="1"/>
    <xf numFmtId="43" fontId="2" fillId="0" borderId="0" xfId="1" applyFont="1"/>
    <xf numFmtId="43" fontId="14" fillId="0" borderId="0" xfId="1" applyFont="1"/>
    <xf numFmtId="2" fontId="0" fillId="0" borderId="3" xfId="0" applyNumberFormat="1" applyBorder="1" applyAlignment="1">
      <alignment horizontal="center" vertical="center" wrapText="1"/>
    </xf>
    <xf numFmtId="43" fontId="0" fillId="0" borderId="3" xfId="1" applyFont="1" applyBorder="1" applyAlignment="1">
      <alignment horizontal="center" vertical="center" wrapText="1"/>
    </xf>
    <xf numFmtId="166" fontId="0" fillId="0" borderId="3" xfId="3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66" fontId="0" fillId="0" borderId="3" xfId="3" applyNumberFormat="1" applyFont="1" applyBorder="1" applyAlignment="1">
      <alignment horizontal="center"/>
    </xf>
    <xf numFmtId="2" fontId="0" fillId="5" borderId="3" xfId="0" applyNumberFormat="1" applyFill="1" applyBorder="1" applyAlignment="1">
      <alignment horizontal="center" vertical="center"/>
    </xf>
    <xf numFmtId="2" fontId="0" fillId="0" borderId="3" xfId="0" applyNumberFormat="1" applyBorder="1"/>
    <xf numFmtId="9" fontId="0" fillId="0" borderId="3" xfId="3" applyFont="1" applyBorder="1" applyAlignment="1">
      <alignment horizontal="center"/>
    </xf>
    <xf numFmtId="2" fontId="0" fillId="0" borderId="0" xfId="0" applyNumberFormat="1"/>
    <xf numFmtId="0" fontId="15" fillId="0" borderId="0" xfId="4" applyFont="1" applyAlignment="1">
      <alignment horizontal="left" vertical="center"/>
    </xf>
    <xf numFmtId="0" fontId="15" fillId="0" borderId="0" xfId="4" applyFont="1" applyAlignment="1">
      <alignment horizontal="center" vertical="center" wrapText="1"/>
    </xf>
    <xf numFmtId="0" fontId="17" fillId="0" borderId="3" xfId="4" applyFont="1" applyBorder="1" applyAlignment="1">
      <alignment horizontal="center" vertical="center" wrapText="1"/>
    </xf>
    <xf numFmtId="14" fontId="15" fillId="0" borderId="3" xfId="4" applyNumberFormat="1" applyFont="1" applyBorder="1" applyAlignment="1">
      <alignment horizontal="center" vertical="center" wrapText="1"/>
    </xf>
    <xf numFmtId="14" fontId="18" fillId="0" borderId="3" xfId="4" applyNumberFormat="1" applyFont="1" applyBorder="1" applyAlignment="1">
      <alignment horizontal="center" vertical="center" wrapText="1"/>
    </xf>
    <xf numFmtId="39" fontId="15" fillId="0" borderId="3" xfId="1" applyNumberFormat="1" applyFont="1" applyBorder="1" applyAlignment="1">
      <alignment horizontal="center" vertical="center" wrapText="1"/>
    </xf>
    <xf numFmtId="0" fontId="18" fillId="0" borderId="3" xfId="4" applyFont="1" applyBorder="1" applyAlignment="1">
      <alignment horizontal="center" vertical="center" wrapText="1"/>
    </xf>
    <xf numFmtId="0" fontId="15" fillId="0" borderId="0" xfId="4" applyFont="1" applyAlignment="1">
      <alignment vertical="center" wrapText="1"/>
    </xf>
    <xf numFmtId="0" fontId="19" fillId="0" borderId="0" xfId="4" applyFont="1" applyAlignment="1">
      <alignment vertical="center"/>
    </xf>
    <xf numFmtId="17" fontId="15" fillId="0" borderId="3" xfId="4" applyNumberFormat="1" applyFont="1" applyBorder="1" applyAlignment="1">
      <alignment horizontal="center" vertical="center" wrapText="1"/>
    </xf>
    <xf numFmtId="43" fontId="18" fillId="0" borderId="8" xfId="1" applyFont="1" applyBorder="1" applyAlignment="1">
      <alignment horizontal="center" vertical="center" wrapText="1"/>
    </xf>
    <xf numFmtId="17" fontId="15" fillId="0" borderId="3" xfId="4" applyNumberFormat="1" applyFont="1" applyBorder="1" applyAlignment="1">
      <alignment horizontal="right" vertical="center" wrapText="1"/>
    </xf>
    <xf numFmtId="0" fontId="18" fillId="0" borderId="0" xfId="4" applyFont="1" applyAlignment="1">
      <alignment horizontal="center" vertical="center" wrapText="1"/>
    </xf>
    <xf numFmtId="43" fontId="18" fillId="0" borderId="3" xfId="1" applyFont="1" applyBorder="1" applyAlignment="1">
      <alignment horizontal="center" vertical="center" wrapText="1"/>
    </xf>
    <xf numFmtId="44" fontId="20" fillId="0" borderId="0" xfId="2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pivotButton="1"/>
    <xf numFmtId="43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pivotButton="1" applyFont="1" applyAlignment="1">
      <alignment horizontal="center" vertical="center" wrapText="1"/>
    </xf>
    <xf numFmtId="44" fontId="17" fillId="0" borderId="3" xfId="2" applyFont="1" applyBorder="1" applyAlignment="1">
      <alignment horizontal="center" vertical="center" wrapText="1"/>
    </xf>
    <xf numFmtId="43" fontId="18" fillId="0" borderId="0" xfId="1" applyFont="1" applyBorder="1" applyAlignment="1">
      <alignment horizontal="center" vertical="center" wrapText="1"/>
    </xf>
    <xf numFmtId="0" fontId="23" fillId="0" borderId="3" xfId="0" pivotButton="1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3" xfId="0" pivotButton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166" fontId="23" fillId="0" borderId="3" xfId="0" applyNumberFormat="1" applyFont="1" applyBorder="1" applyAlignment="1">
      <alignment horizontal="center"/>
    </xf>
    <xf numFmtId="43" fontId="23" fillId="0" borderId="3" xfId="0" applyNumberFormat="1" applyFont="1" applyBorder="1" applyAlignment="1">
      <alignment horizontal="center"/>
    </xf>
    <xf numFmtId="0" fontId="24" fillId="0" borderId="0" xfId="0" applyFont="1"/>
    <xf numFmtId="43" fontId="23" fillId="0" borderId="3" xfId="0" applyNumberFormat="1" applyFont="1" applyBorder="1" applyAlignment="1">
      <alignment horizontal="center" vertical="center" wrapText="1"/>
    </xf>
    <xf numFmtId="14" fontId="23" fillId="0" borderId="3" xfId="0" applyNumberFormat="1" applyFont="1" applyBorder="1" applyAlignment="1">
      <alignment horizontal="center"/>
    </xf>
    <xf numFmtId="0" fontId="25" fillId="0" borderId="0" xfId="4" applyFont="1" applyAlignment="1">
      <alignment horizontal="left" vertical="center"/>
    </xf>
    <xf numFmtId="0" fontId="28" fillId="0" borderId="0" xfId="0" applyFont="1"/>
    <xf numFmtId="0" fontId="26" fillId="0" borderId="0" xfId="4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8" fillId="0" borderId="0" xfId="4" applyFont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5" fillId="0" borderId="3" xfId="4" applyFont="1" applyBorder="1" applyAlignment="1">
      <alignment horizontal="left" vertical="center" wrapText="1"/>
    </xf>
    <xf numFmtId="43" fontId="15" fillId="0" borderId="3" xfId="1" applyFont="1" applyBorder="1" applyAlignment="1">
      <alignment horizontal="left" vertical="center" wrapText="1"/>
    </xf>
    <xf numFmtId="0" fontId="18" fillId="0" borderId="7" xfId="4" applyFont="1" applyBorder="1" applyAlignment="1">
      <alignment horizontal="center" vertical="center" wrapText="1"/>
    </xf>
    <xf numFmtId="0" fontId="18" fillId="0" borderId="8" xfId="4" applyFont="1" applyBorder="1" applyAlignment="1">
      <alignment horizontal="center" vertical="center" wrapText="1"/>
    </xf>
    <xf numFmtId="0" fontId="18" fillId="0" borderId="3" xfId="4" applyFont="1" applyBorder="1" applyAlignment="1">
      <alignment horizontal="center" vertical="center" wrapText="1"/>
    </xf>
    <xf numFmtId="0" fontId="26" fillId="0" borderId="0" xfId="4" applyFont="1" applyAlignment="1">
      <alignment horizontal="left" vertical="center"/>
    </xf>
  </cellXfs>
  <cellStyles count="6">
    <cellStyle name="Millares" xfId="1" builtinId="3"/>
    <cellStyle name="Moneda" xfId="2" builtinId="4"/>
    <cellStyle name="Moneda 4" xfId="5" xr:uid="{CCEE2694-EBB4-44CA-A4EC-3BE4313D1F49}"/>
    <cellStyle name="Normal" xfId="0" builtinId="0"/>
    <cellStyle name="Normal 5" xfId="4" xr:uid="{90D75B6D-462D-4B02-9C1B-D7FE66A8FA85}"/>
    <cellStyle name="Porcentaje" xfId="3" builtinId="5"/>
  </cellStyles>
  <dxfs count="35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sz val="18"/>
      </font>
    </dxf>
    <dxf>
      <font>
        <sz val="18"/>
      </font>
    </dxf>
    <dxf>
      <font>
        <sz val="18"/>
      </font>
    </dxf>
    <dxf>
      <alignment vertical="center"/>
    </dxf>
    <dxf>
      <alignment vertical="center"/>
    </dxf>
    <dxf>
      <alignment wrapText="1"/>
    </dxf>
    <dxf>
      <alignment wrapText="1"/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sz val="18"/>
      </font>
    </dxf>
    <dxf>
      <font>
        <sz val="18"/>
      </font>
    </dxf>
    <dxf>
      <font>
        <sz val="18"/>
      </font>
    </dxf>
    <dxf>
      <alignment vertical="center"/>
    </dxf>
    <dxf>
      <alignment vertical="center"/>
    </dxf>
    <dxf>
      <alignment wrapText="1"/>
    </dxf>
    <dxf>
      <alignment wrapText="1"/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alignment wrapText="1"/>
    </dxf>
    <dxf>
      <alignment wrapText="1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AM%20ACTIVOS\MIGUEL%20ANGEL\INFORMES%20EMA\2026%20ALGORITMO%20ADMIN.xlsx" TargetMode="External"/><Relationship Id="rId1" Type="http://schemas.openxmlformats.org/officeDocument/2006/relationships/externalLinkPath" Target="/Mi%20unidad/AM%20ACTIVOS/MIGUEL%20ANGEL/INFORMES%20EMA/2026%20ALGORITMO%20ADM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tablas"/>
      <sheetName val="centro-costo"/>
      <sheetName val="bancos"/>
      <sheetName val="agua"/>
      <sheetName val="cuota fija"/>
      <sheetName val="calculo_cuota"/>
      <sheetName val="egresos"/>
      <sheetName val="egresos_destino"/>
      <sheetName val="ingresosxmes"/>
      <sheetName val="inquilinos"/>
      <sheetName val="propietarios"/>
      <sheetName val="resumen_cuota"/>
      <sheetName val="resumen_banks"/>
      <sheetName val="resumen_nomina"/>
      <sheetName val="cuotas_emitidas"/>
      <sheetName val="ingresos_aplicacion"/>
      <sheetName val="saldos"/>
      <sheetName val="recibo_new26"/>
    </sheetNames>
    <sheetDataSet>
      <sheetData sheetId="0"/>
      <sheetData sheetId="1"/>
      <sheetData sheetId="2"/>
      <sheetData sheetId="3"/>
      <sheetData sheetId="4">
        <row r="10">
          <cell r="B10" t="str">
            <v>CODIGO PROPIEDAD</v>
          </cell>
          <cell r="C10" t="str">
            <v>LECTURA 5/12/2023</v>
          </cell>
          <cell r="D10" t="str">
            <v>LECTURA 5/01/2024</v>
          </cell>
          <cell r="E10" t="str">
            <v>CONSUMO M3</v>
          </cell>
          <cell r="F10" t="str">
            <v>CONSUMO PEN</v>
          </cell>
          <cell r="G10" t="str">
            <v>LECTURA 5/02/2024</v>
          </cell>
          <cell r="H10" t="str">
            <v>CONSUMO M3</v>
          </cell>
          <cell r="I10" t="str">
            <v>CONSUMO PEN</v>
          </cell>
          <cell r="J10" t="str">
            <v>LECTURA 5/03/2024</v>
          </cell>
          <cell r="K10" t="str">
            <v>CONSUMO M3</v>
          </cell>
          <cell r="L10" t="str">
            <v>CONSUMO PEN</v>
          </cell>
          <cell r="M10" t="str">
            <v>LECTURA 5/04/2023</v>
          </cell>
          <cell r="N10" t="str">
            <v>CONSUMO M3</v>
          </cell>
          <cell r="O10" t="str">
            <v>CONSUMO PEN</v>
          </cell>
          <cell r="P10" t="str">
            <v>LECTURA 5/05/2023</v>
          </cell>
          <cell r="Q10" t="str">
            <v>CONSUMO M3</v>
          </cell>
          <cell r="R10" t="str">
            <v>CONSUMO PEN</v>
          </cell>
          <cell r="S10" t="str">
            <v>LECTURA 5/06/2023</v>
          </cell>
          <cell r="T10" t="str">
            <v>CONSUMO M3</v>
          </cell>
          <cell r="U10" t="str">
            <v>CONSUMO PEN</v>
          </cell>
          <cell r="V10" t="str">
            <v>LECTURA 04/07/2023</v>
          </cell>
          <cell r="W10" t="str">
            <v>CONSUMO M3</v>
          </cell>
          <cell r="X10" t="str">
            <v>CONSUMO PEN</v>
          </cell>
          <cell r="Y10" t="str">
            <v>LECTURA 05/08/2023</v>
          </cell>
          <cell r="Z10" t="str">
            <v>CONSUMO M3</v>
          </cell>
          <cell r="AA10" t="str">
            <v>CONSUMO PEN</v>
          </cell>
          <cell r="AB10" t="str">
            <v>LECTURA 05/09/2024</v>
          </cell>
          <cell r="AC10" t="str">
            <v>CONSUMO M3</v>
          </cell>
          <cell r="AD10" t="str">
            <v>CONSUMO PEN</v>
          </cell>
          <cell r="AE10" t="str">
            <v>LECTURA 05/10/2024</v>
          </cell>
          <cell r="AF10" t="str">
            <v>CONSUMO M3</v>
          </cell>
          <cell r="AG10" t="str">
            <v>CONSUMO PEN</v>
          </cell>
          <cell r="AH10" t="str">
            <v>LECTURA 05/11/2024</v>
          </cell>
          <cell r="AI10" t="str">
            <v>CONSUMO M3</v>
          </cell>
          <cell r="AJ10" t="str">
            <v>CONSUMO PEN</v>
          </cell>
          <cell r="AK10" t="str">
            <v>LECTURA 04/12/2024</v>
          </cell>
          <cell r="AL10" t="str">
            <v>CONSUMO M3</v>
          </cell>
          <cell r="AM10" t="str">
            <v>CONSUMO PEN</v>
          </cell>
          <cell r="AN10">
            <v>45666</v>
          </cell>
          <cell r="AO10" t="str">
            <v>CONSUMO M3</v>
          </cell>
          <cell r="AP10" t="str">
            <v>CONSUMO PEN</v>
          </cell>
          <cell r="AQ10">
            <v>45693</v>
          </cell>
          <cell r="AR10" t="str">
            <v>CONSUMO M3</v>
          </cell>
          <cell r="AS10" t="str">
            <v>CONSUMO PEN</v>
          </cell>
          <cell r="AT10">
            <v>45721</v>
          </cell>
          <cell r="AU10" t="str">
            <v>CONSUMO M3</v>
          </cell>
          <cell r="AV10" t="str">
            <v>CONSUMO PEN</v>
          </cell>
          <cell r="AW10">
            <v>45752</v>
          </cell>
          <cell r="AX10" t="str">
            <v>CONSUMO M3</v>
          </cell>
          <cell r="AY10" t="str">
            <v>CONSUMO PEN</v>
          </cell>
          <cell r="AZ10">
            <v>45782</v>
          </cell>
          <cell r="BA10" t="str">
            <v>CONSUMO M3</v>
          </cell>
          <cell r="BB10" t="str">
            <v>CONSUMO PEN</v>
          </cell>
          <cell r="BC10">
            <v>45813</v>
          </cell>
          <cell r="BD10" t="str">
            <v>CONSUMO M3</v>
          </cell>
          <cell r="BE10" t="str">
            <v>CONSUMO PEN</v>
          </cell>
          <cell r="BF10">
            <v>45843</v>
          </cell>
          <cell r="BG10" t="str">
            <v>CONSUMO M3</v>
          </cell>
          <cell r="BH10" t="str">
            <v>CONSUMO PEN</v>
          </cell>
          <cell r="BI10">
            <v>45874</v>
          </cell>
          <cell r="BJ10" t="str">
            <v>CONSUMO M3</v>
          </cell>
          <cell r="BK10" t="str">
            <v>CONSUMO PEN</v>
          </cell>
          <cell r="BL10">
            <v>45905</v>
          </cell>
          <cell r="BM10" t="str">
            <v>CONSUMO M3</v>
          </cell>
          <cell r="BN10" t="str">
            <v>CONSUMO PEN</v>
          </cell>
          <cell r="BO10">
            <v>45931</v>
          </cell>
          <cell r="BP10" t="str">
            <v>CONSUMO M3</v>
          </cell>
          <cell r="BQ10" t="str">
            <v>CONSUMO PEN</v>
          </cell>
          <cell r="BR10">
            <v>45962</v>
          </cell>
          <cell r="BS10" t="str">
            <v>CONSUMO M3</v>
          </cell>
          <cell r="BT10" t="str">
            <v>CONSUMO PEN</v>
          </cell>
          <cell r="BU10">
            <v>45992</v>
          </cell>
          <cell r="BV10" t="str">
            <v>CONSUMO M3</v>
          </cell>
          <cell r="BW10" t="str">
            <v>CONSUMO PEN</v>
          </cell>
          <cell r="BX10">
            <v>46023</v>
          </cell>
          <cell r="BY10" t="str">
            <v>CONSUMO M3</v>
          </cell>
          <cell r="BZ10" t="str">
            <v>CONSUMO PEN</v>
          </cell>
        </row>
        <row r="11">
          <cell r="B11" t="str">
            <v>EMA1-101</v>
          </cell>
          <cell r="C11">
            <v>95.95</v>
          </cell>
          <cell r="D11">
            <v>100.17</v>
          </cell>
          <cell r="E11">
            <v>4.2199999999999989</v>
          </cell>
          <cell r="F11">
            <v>14.14</v>
          </cell>
          <cell r="G11">
            <v>103.99</v>
          </cell>
          <cell r="H11">
            <v>3.8199999999999932</v>
          </cell>
          <cell r="I11">
            <v>13.96</v>
          </cell>
          <cell r="J11">
            <v>107.2</v>
          </cell>
          <cell r="K11">
            <v>3.210000000000008</v>
          </cell>
          <cell r="L11">
            <v>12.25</v>
          </cell>
          <cell r="M11">
            <v>111.25</v>
          </cell>
          <cell r="N11">
            <v>4.0499999999999972</v>
          </cell>
          <cell r="O11">
            <v>17.739999999999998</v>
          </cell>
          <cell r="P11">
            <v>115.14</v>
          </cell>
          <cell r="Q11">
            <v>3.8900000000000006</v>
          </cell>
          <cell r="R11">
            <v>14.69</v>
          </cell>
          <cell r="S11">
            <v>119.13</v>
          </cell>
          <cell r="T11">
            <v>3.9899999999999949</v>
          </cell>
          <cell r="U11">
            <v>13.67</v>
          </cell>
          <cell r="V11">
            <v>122.45</v>
          </cell>
          <cell r="W11">
            <v>3.3200000000000074</v>
          </cell>
          <cell r="X11">
            <v>14.17</v>
          </cell>
          <cell r="Y11">
            <v>126.22</v>
          </cell>
          <cell r="Z11">
            <v>3.769999999999996</v>
          </cell>
          <cell r="AA11">
            <v>14.4</v>
          </cell>
          <cell r="AB11">
            <v>129.44999999999999</v>
          </cell>
          <cell r="AC11">
            <v>3.2299999999999898</v>
          </cell>
          <cell r="AD11">
            <v>12.97</v>
          </cell>
          <cell r="AE11">
            <v>133.44999999999999</v>
          </cell>
          <cell r="AF11">
            <v>4</v>
          </cell>
          <cell r="AG11">
            <v>15.56</v>
          </cell>
          <cell r="AH11">
            <v>137.22</v>
          </cell>
          <cell r="AI11">
            <v>3.7700000000000102</v>
          </cell>
          <cell r="AJ11">
            <v>15.04</v>
          </cell>
          <cell r="AK11">
            <v>140.68</v>
          </cell>
          <cell r="AL11">
            <v>3.460000000000008</v>
          </cell>
          <cell r="AM11">
            <v>15.81</v>
          </cell>
          <cell r="AN11">
            <v>145.97</v>
          </cell>
          <cell r="AO11">
            <v>5.289999999999992</v>
          </cell>
          <cell r="AP11">
            <v>17.43</v>
          </cell>
          <cell r="AQ11">
            <v>149.27000000000001</v>
          </cell>
          <cell r="AR11">
            <v>3.3000000000000114</v>
          </cell>
          <cell r="AS11">
            <v>14.91</v>
          </cell>
          <cell r="AT11">
            <v>154.71</v>
          </cell>
          <cell r="AU11">
            <v>5.4399999999999977</v>
          </cell>
          <cell r="AV11">
            <v>22.48</v>
          </cell>
          <cell r="AW11">
            <v>158.12</v>
          </cell>
          <cell r="AX11">
            <v>3.4099999999999966</v>
          </cell>
          <cell r="AY11">
            <v>14.1</v>
          </cell>
          <cell r="AZ11">
            <v>161.57</v>
          </cell>
          <cell r="BA11">
            <v>3.4499999999999886</v>
          </cell>
          <cell r="BB11">
            <v>14.5</v>
          </cell>
          <cell r="BC11">
            <v>164.81</v>
          </cell>
          <cell r="BD11">
            <v>3.2400000000000091</v>
          </cell>
          <cell r="BE11">
            <v>14.54</v>
          </cell>
          <cell r="BF11">
            <v>167.54</v>
          </cell>
          <cell r="BG11">
            <v>2.7299999999999898</v>
          </cell>
          <cell r="BH11">
            <v>11.16</v>
          </cell>
          <cell r="BI11">
            <v>170.67</v>
          </cell>
          <cell r="BJ11">
            <v>3.1299999999999955</v>
          </cell>
          <cell r="BK11">
            <v>14.55</v>
          </cell>
          <cell r="BL11">
            <v>174.4</v>
          </cell>
          <cell r="BM11">
            <v>3.7300000000000182</v>
          </cell>
          <cell r="BN11">
            <v>12.4</v>
          </cell>
          <cell r="BO11">
            <v>178.35</v>
          </cell>
          <cell r="BP11">
            <v>3.9499999999999886</v>
          </cell>
          <cell r="BQ11">
            <v>20.81</v>
          </cell>
          <cell r="BR11">
            <v>181.43</v>
          </cell>
          <cell r="BS11">
            <v>3.0800000000000125</v>
          </cell>
          <cell r="BT11">
            <v>13.95</v>
          </cell>
          <cell r="BU11">
            <v>185.07</v>
          </cell>
          <cell r="BV11">
            <v>3.6399999999999864</v>
          </cell>
          <cell r="BW11">
            <v>14.36</v>
          </cell>
          <cell r="BX11">
            <v>188.8</v>
          </cell>
          <cell r="BY11">
            <v>3.7300000000000182</v>
          </cell>
          <cell r="BZ11">
            <v>13.39</v>
          </cell>
        </row>
        <row r="12">
          <cell r="B12" t="str">
            <v>EMA1-102</v>
          </cell>
          <cell r="C12">
            <v>435.03</v>
          </cell>
          <cell r="D12">
            <v>453.55</v>
          </cell>
          <cell r="E12">
            <v>18.520000000000039</v>
          </cell>
          <cell r="F12">
            <v>62.05</v>
          </cell>
          <cell r="G12">
            <v>470.67</v>
          </cell>
          <cell r="H12">
            <v>17.120000000000005</v>
          </cell>
          <cell r="I12">
            <v>62.55</v>
          </cell>
          <cell r="J12">
            <v>486.13</v>
          </cell>
          <cell r="K12">
            <v>15.45999999999998</v>
          </cell>
          <cell r="L12">
            <v>58.98</v>
          </cell>
          <cell r="M12">
            <v>501.58</v>
          </cell>
          <cell r="N12">
            <v>15.449999999999989</v>
          </cell>
          <cell r="O12">
            <v>67.680000000000007</v>
          </cell>
          <cell r="P12">
            <v>517.58000000000004</v>
          </cell>
          <cell r="Q12">
            <v>16.000000000000057</v>
          </cell>
          <cell r="R12">
            <v>60.4</v>
          </cell>
          <cell r="S12">
            <v>534.25</v>
          </cell>
          <cell r="T12">
            <v>16.669999999999959</v>
          </cell>
          <cell r="U12">
            <v>57.11</v>
          </cell>
          <cell r="V12">
            <v>548.86</v>
          </cell>
          <cell r="W12">
            <v>14.610000000000014</v>
          </cell>
          <cell r="X12">
            <v>62.35</v>
          </cell>
          <cell r="Y12">
            <v>566.28</v>
          </cell>
          <cell r="Z12">
            <v>17.419999999999959</v>
          </cell>
          <cell r="AA12">
            <v>66.52</v>
          </cell>
          <cell r="AB12">
            <v>582.17999999999995</v>
          </cell>
          <cell r="AC12">
            <v>15.899999999999977</v>
          </cell>
          <cell r="AD12">
            <v>63.84</v>
          </cell>
          <cell r="AE12">
            <v>597.82000000000005</v>
          </cell>
          <cell r="AF12">
            <v>15.6400000000001</v>
          </cell>
          <cell r="AG12">
            <v>60.84</v>
          </cell>
          <cell r="AH12">
            <v>612.17999999999995</v>
          </cell>
          <cell r="AI12">
            <v>14.3599999999999</v>
          </cell>
          <cell r="AJ12">
            <v>57.31</v>
          </cell>
          <cell r="AK12">
            <v>627.27</v>
          </cell>
          <cell r="AL12">
            <v>15.090000000000032</v>
          </cell>
          <cell r="AM12">
            <v>68.930000000000007</v>
          </cell>
          <cell r="AN12">
            <v>644.71</v>
          </cell>
          <cell r="AO12">
            <v>17.440000000000055</v>
          </cell>
          <cell r="AP12">
            <v>57.45</v>
          </cell>
          <cell r="AQ12">
            <v>658.78</v>
          </cell>
          <cell r="AR12">
            <v>14.069999999999936</v>
          </cell>
          <cell r="AS12">
            <v>63.59</v>
          </cell>
          <cell r="AT12">
            <v>674.08</v>
          </cell>
          <cell r="AU12">
            <v>15.300000000000068</v>
          </cell>
          <cell r="AV12">
            <v>63.22</v>
          </cell>
          <cell r="AW12">
            <v>691.47</v>
          </cell>
          <cell r="AX12">
            <v>17.389999999999986</v>
          </cell>
          <cell r="AY12">
            <v>71.900000000000006</v>
          </cell>
          <cell r="AZ12">
            <v>707.17</v>
          </cell>
          <cell r="BA12">
            <v>15.699999999999932</v>
          </cell>
          <cell r="BB12">
            <v>65.989999999999995</v>
          </cell>
          <cell r="BC12">
            <v>722.6</v>
          </cell>
          <cell r="BD12">
            <v>15.430000000000064</v>
          </cell>
          <cell r="BE12">
            <v>69.23</v>
          </cell>
          <cell r="BF12">
            <v>739.92</v>
          </cell>
          <cell r="BG12">
            <v>17.319999999999936</v>
          </cell>
          <cell r="BH12">
            <v>70.83</v>
          </cell>
          <cell r="BI12">
            <v>755.51</v>
          </cell>
          <cell r="BJ12">
            <v>15.590000000000032</v>
          </cell>
          <cell r="BK12">
            <v>72.47</v>
          </cell>
          <cell r="BL12">
            <v>774.13</v>
          </cell>
          <cell r="BM12">
            <v>18.620000000000005</v>
          </cell>
          <cell r="BN12">
            <v>61.89</v>
          </cell>
          <cell r="BO12">
            <v>789.69</v>
          </cell>
          <cell r="BP12">
            <v>15.560000000000059</v>
          </cell>
          <cell r="BQ12">
            <v>81.97</v>
          </cell>
          <cell r="BR12">
            <v>806.73</v>
          </cell>
          <cell r="BS12">
            <v>17.039999999999964</v>
          </cell>
          <cell r="BT12">
            <v>77.2</v>
          </cell>
          <cell r="BU12">
            <v>827.03</v>
          </cell>
          <cell r="BV12">
            <v>20.299999999999955</v>
          </cell>
          <cell r="BW12">
            <v>80.09</v>
          </cell>
          <cell r="BX12">
            <v>842.33</v>
          </cell>
          <cell r="BY12">
            <v>15.300000000000068</v>
          </cell>
          <cell r="BZ12">
            <v>54.91</v>
          </cell>
        </row>
        <row r="13">
          <cell r="B13" t="str">
            <v>EMA1-201</v>
          </cell>
          <cell r="C13">
            <v>61.92</v>
          </cell>
          <cell r="D13">
            <v>64.17</v>
          </cell>
          <cell r="E13">
            <v>2.25</v>
          </cell>
          <cell r="F13">
            <v>7.54</v>
          </cell>
          <cell r="G13">
            <v>66.599999999999994</v>
          </cell>
          <cell r="H13">
            <v>2.4299999999999926</v>
          </cell>
          <cell r="I13">
            <v>8.8800000000000008</v>
          </cell>
          <cell r="J13">
            <v>68.86</v>
          </cell>
          <cell r="K13">
            <v>2.2600000000000051</v>
          </cell>
          <cell r="L13">
            <v>8.6199999999999992</v>
          </cell>
          <cell r="M13">
            <v>71.16</v>
          </cell>
          <cell r="N13">
            <v>2.2999999999999972</v>
          </cell>
          <cell r="O13">
            <v>10.08</v>
          </cell>
          <cell r="P13">
            <v>73.44</v>
          </cell>
          <cell r="Q13">
            <v>2.2800000000000011</v>
          </cell>
          <cell r="R13">
            <v>8.61</v>
          </cell>
          <cell r="S13">
            <v>75.83</v>
          </cell>
          <cell r="T13">
            <v>2.3900000000000006</v>
          </cell>
          <cell r="U13">
            <v>8.19</v>
          </cell>
          <cell r="V13">
            <v>78.349999999999994</v>
          </cell>
          <cell r="W13">
            <v>2.519999999999996</v>
          </cell>
          <cell r="X13">
            <v>10.75</v>
          </cell>
          <cell r="Y13">
            <v>80.81</v>
          </cell>
          <cell r="Z13">
            <v>2.460000000000008</v>
          </cell>
          <cell r="AA13">
            <v>9.39</v>
          </cell>
          <cell r="AB13">
            <v>83.2</v>
          </cell>
          <cell r="AC13">
            <v>2.3900000000000006</v>
          </cell>
          <cell r="AD13">
            <v>9.6</v>
          </cell>
          <cell r="AE13">
            <v>85.72</v>
          </cell>
          <cell r="AF13">
            <v>2.519999999999996</v>
          </cell>
          <cell r="AG13">
            <v>9.8000000000000007</v>
          </cell>
          <cell r="AH13">
            <v>88.01</v>
          </cell>
          <cell r="AI13">
            <v>2.2900000000000063</v>
          </cell>
          <cell r="AJ13">
            <v>9.14</v>
          </cell>
          <cell r="AK13">
            <v>90</v>
          </cell>
          <cell r="AL13">
            <v>1.9899999999999949</v>
          </cell>
          <cell r="AM13">
            <v>9.09</v>
          </cell>
          <cell r="AN13">
            <v>92.99</v>
          </cell>
          <cell r="AO13">
            <v>2.9899999999999949</v>
          </cell>
          <cell r="AP13">
            <v>9.85</v>
          </cell>
          <cell r="AQ13">
            <v>95.17</v>
          </cell>
          <cell r="AR13">
            <v>2.1800000000000068</v>
          </cell>
          <cell r="AS13">
            <v>9.85</v>
          </cell>
          <cell r="AT13">
            <v>97.27</v>
          </cell>
          <cell r="AU13">
            <v>2.0999999999999943</v>
          </cell>
          <cell r="AV13">
            <v>8.68</v>
          </cell>
          <cell r="AW13">
            <v>99.33</v>
          </cell>
          <cell r="AX13">
            <v>2.0600000000000023</v>
          </cell>
          <cell r="AY13">
            <v>8.52</v>
          </cell>
          <cell r="AZ13">
            <v>101.67</v>
          </cell>
          <cell r="BA13">
            <v>2.3400000000000034</v>
          </cell>
          <cell r="BB13">
            <v>9.84</v>
          </cell>
          <cell r="BC13">
            <v>104.08</v>
          </cell>
          <cell r="BD13">
            <v>2.4099999999999966</v>
          </cell>
          <cell r="BE13">
            <v>10.81</v>
          </cell>
          <cell r="BF13">
            <v>106.36</v>
          </cell>
          <cell r="BG13">
            <v>2.2800000000000011</v>
          </cell>
          <cell r="BH13">
            <v>9.32</v>
          </cell>
          <cell r="BI13">
            <v>108.44</v>
          </cell>
          <cell r="BJ13">
            <v>2.0799999999999983</v>
          </cell>
          <cell r="BK13">
            <v>9.67</v>
          </cell>
          <cell r="BL13">
            <v>110.98</v>
          </cell>
          <cell r="BM13">
            <v>2.5400000000000063</v>
          </cell>
          <cell r="BN13">
            <v>8.44</v>
          </cell>
          <cell r="BO13">
            <v>112.75</v>
          </cell>
          <cell r="BP13">
            <v>1.769999999999996</v>
          </cell>
          <cell r="BQ13">
            <v>9.32</v>
          </cell>
          <cell r="BR13">
            <v>115.07</v>
          </cell>
          <cell r="BS13">
            <v>2.3199999999999932</v>
          </cell>
          <cell r="BT13">
            <v>10.51</v>
          </cell>
          <cell r="BU13">
            <v>117.41</v>
          </cell>
          <cell r="BV13">
            <v>2.3400000000000034</v>
          </cell>
          <cell r="BW13">
            <v>9.23</v>
          </cell>
          <cell r="BX13">
            <v>119.77</v>
          </cell>
          <cell r="BY13">
            <v>2.3599999999999994</v>
          </cell>
          <cell r="BZ13">
            <v>8.4700000000000006</v>
          </cell>
        </row>
        <row r="14">
          <cell r="B14" t="str">
            <v>EMA1-202</v>
          </cell>
          <cell r="C14">
            <v>297.37</v>
          </cell>
          <cell r="D14">
            <v>306.08</v>
          </cell>
          <cell r="E14">
            <v>8.7099999999999795</v>
          </cell>
          <cell r="F14">
            <v>29.18</v>
          </cell>
          <cell r="G14">
            <v>312.12</v>
          </cell>
          <cell r="H14">
            <v>6.0400000000000205</v>
          </cell>
          <cell r="I14">
            <v>22.07</v>
          </cell>
          <cell r="J14">
            <v>323.01</v>
          </cell>
          <cell r="K14">
            <v>10.889999999999986</v>
          </cell>
          <cell r="L14">
            <v>41.55</v>
          </cell>
          <cell r="M14">
            <v>335.9</v>
          </cell>
          <cell r="N14">
            <v>12.889999999999986</v>
          </cell>
          <cell r="O14">
            <v>56.47</v>
          </cell>
          <cell r="P14">
            <v>348.04</v>
          </cell>
          <cell r="Q14">
            <v>12.140000000000043</v>
          </cell>
          <cell r="R14">
            <v>45.83</v>
          </cell>
          <cell r="S14">
            <v>358.93</v>
          </cell>
          <cell r="T14">
            <v>10.889999999999986</v>
          </cell>
          <cell r="U14">
            <v>37.31</v>
          </cell>
          <cell r="V14">
            <v>368.85</v>
          </cell>
          <cell r="W14">
            <v>9.9200000000000159</v>
          </cell>
          <cell r="X14">
            <v>42.34</v>
          </cell>
          <cell r="Y14">
            <v>379.8</v>
          </cell>
          <cell r="Z14">
            <v>10.949999999999989</v>
          </cell>
          <cell r="AA14">
            <v>41.82</v>
          </cell>
          <cell r="AB14">
            <v>389.94</v>
          </cell>
          <cell r="AC14">
            <v>10.139999999999986</v>
          </cell>
          <cell r="AD14">
            <v>40.71</v>
          </cell>
          <cell r="AE14">
            <v>403.06</v>
          </cell>
          <cell r="AF14">
            <v>13.120000000000005</v>
          </cell>
          <cell r="AG14">
            <v>51.04</v>
          </cell>
          <cell r="AH14">
            <v>412.04</v>
          </cell>
          <cell r="AI14">
            <v>8.9800000000000182</v>
          </cell>
          <cell r="AJ14">
            <v>35.840000000000003</v>
          </cell>
          <cell r="AK14">
            <v>421.53</v>
          </cell>
          <cell r="AL14">
            <v>9.4899999999999523</v>
          </cell>
          <cell r="AM14">
            <v>43.35</v>
          </cell>
          <cell r="AN14">
            <v>432.89</v>
          </cell>
          <cell r="AO14">
            <v>11.360000000000014</v>
          </cell>
          <cell r="AP14">
            <v>37.42</v>
          </cell>
          <cell r="AQ14">
            <v>443.15</v>
          </cell>
          <cell r="AR14">
            <v>10.259999999999991</v>
          </cell>
          <cell r="AS14">
            <v>46.37</v>
          </cell>
          <cell r="AT14">
            <v>456.34</v>
          </cell>
          <cell r="AU14">
            <v>13.189999999999998</v>
          </cell>
          <cell r="AV14">
            <v>54.5</v>
          </cell>
          <cell r="AW14">
            <v>467.52</v>
          </cell>
          <cell r="AX14">
            <v>11.180000000000007</v>
          </cell>
          <cell r="AY14">
            <v>46.22</v>
          </cell>
          <cell r="AZ14">
            <v>479.53</v>
          </cell>
          <cell r="BA14">
            <v>12.009999999999991</v>
          </cell>
          <cell r="BB14">
            <v>50.48</v>
          </cell>
          <cell r="BC14">
            <v>490.74</v>
          </cell>
          <cell r="BD14">
            <v>11.210000000000036</v>
          </cell>
          <cell r="BE14">
            <v>50.29</v>
          </cell>
          <cell r="BF14">
            <v>499.42</v>
          </cell>
          <cell r="BG14">
            <v>8.6800000000000068</v>
          </cell>
          <cell r="BH14">
            <v>35.5</v>
          </cell>
          <cell r="BI14">
            <v>509.08</v>
          </cell>
          <cell r="BJ14">
            <v>9.6599999999999682</v>
          </cell>
          <cell r="BK14">
            <v>44.9</v>
          </cell>
          <cell r="BL14">
            <v>519.49</v>
          </cell>
          <cell r="BM14">
            <v>10.410000000000025</v>
          </cell>
          <cell r="BN14">
            <v>34.6</v>
          </cell>
          <cell r="BO14">
            <v>528.38</v>
          </cell>
          <cell r="BP14">
            <v>8.8899999999999864</v>
          </cell>
          <cell r="BQ14">
            <v>46.83</v>
          </cell>
          <cell r="BR14">
            <v>537.29</v>
          </cell>
          <cell r="BS14">
            <v>8.9099999999999682</v>
          </cell>
          <cell r="BT14">
            <v>40.369999999999997</v>
          </cell>
          <cell r="BU14">
            <v>546.24</v>
          </cell>
          <cell r="BV14">
            <v>8.9500000000000455</v>
          </cell>
          <cell r="BW14">
            <v>35.31</v>
          </cell>
          <cell r="BX14">
            <v>556.33000000000004</v>
          </cell>
          <cell r="BY14">
            <v>10.090000000000032</v>
          </cell>
          <cell r="BZ14">
            <v>36.21</v>
          </cell>
        </row>
        <row r="15">
          <cell r="B15" t="str">
            <v>EMA1-301</v>
          </cell>
          <cell r="C15">
            <v>200.17</v>
          </cell>
          <cell r="D15">
            <v>204.21</v>
          </cell>
          <cell r="E15">
            <v>4.0400000000000205</v>
          </cell>
          <cell r="F15">
            <v>13.54</v>
          </cell>
          <cell r="G15">
            <v>204.42</v>
          </cell>
          <cell r="H15">
            <v>0.20999999999997954</v>
          </cell>
          <cell r="I15">
            <v>0.77</v>
          </cell>
          <cell r="J15">
            <v>205.22</v>
          </cell>
          <cell r="K15">
            <v>0.80000000000001137</v>
          </cell>
          <cell r="L15">
            <v>3.05</v>
          </cell>
          <cell r="M15">
            <v>207.43</v>
          </cell>
          <cell r="N15">
            <v>2.210000000000008</v>
          </cell>
          <cell r="O15">
            <v>9.68</v>
          </cell>
          <cell r="P15">
            <v>216.51</v>
          </cell>
          <cell r="Q15">
            <v>9.0799999999999841</v>
          </cell>
          <cell r="R15">
            <v>34.28</v>
          </cell>
          <cell r="S15">
            <v>224.3</v>
          </cell>
          <cell r="T15">
            <v>7.7900000000000205</v>
          </cell>
          <cell r="U15">
            <v>26.69</v>
          </cell>
          <cell r="V15">
            <v>233.09</v>
          </cell>
          <cell r="W15">
            <v>8.789999999999992</v>
          </cell>
          <cell r="X15">
            <v>37.51</v>
          </cell>
          <cell r="Y15">
            <v>242.92</v>
          </cell>
          <cell r="Z15">
            <v>9.8299999999999841</v>
          </cell>
          <cell r="AA15">
            <v>37.54</v>
          </cell>
          <cell r="AB15">
            <v>252.82</v>
          </cell>
          <cell r="AC15">
            <v>9.9000000000000057</v>
          </cell>
          <cell r="AD15">
            <v>39.75</v>
          </cell>
          <cell r="AE15">
            <v>263.31</v>
          </cell>
          <cell r="AF15">
            <v>10.490000000000009</v>
          </cell>
          <cell r="AG15">
            <v>40.81</v>
          </cell>
          <cell r="AH15">
            <v>274.29000000000002</v>
          </cell>
          <cell r="AI15">
            <v>10.980000000000018</v>
          </cell>
          <cell r="AJ15">
            <v>43.82</v>
          </cell>
          <cell r="AK15">
            <v>284.88</v>
          </cell>
          <cell r="AL15">
            <v>10.589999999999975</v>
          </cell>
          <cell r="AM15">
            <v>48.38</v>
          </cell>
          <cell r="AN15">
            <v>296.72000000000003</v>
          </cell>
          <cell r="AO15">
            <v>11.840000000000032</v>
          </cell>
          <cell r="AP15">
            <v>39</v>
          </cell>
          <cell r="AQ15">
            <v>304.45</v>
          </cell>
          <cell r="AR15">
            <v>7.7299999999999613</v>
          </cell>
          <cell r="AS15">
            <v>34.93</v>
          </cell>
          <cell r="AT15">
            <v>313.5</v>
          </cell>
          <cell r="AU15">
            <v>9.0500000000000114</v>
          </cell>
          <cell r="AV15">
            <v>37.4</v>
          </cell>
          <cell r="AW15">
            <v>324.56</v>
          </cell>
          <cell r="AX15">
            <v>11.060000000000002</v>
          </cell>
          <cell r="AY15">
            <v>45.73</v>
          </cell>
          <cell r="AZ15">
            <v>333.85</v>
          </cell>
          <cell r="BA15">
            <v>9.2900000000000205</v>
          </cell>
          <cell r="BB15">
            <v>39.049999999999997</v>
          </cell>
          <cell r="BC15">
            <v>342.65</v>
          </cell>
          <cell r="BD15">
            <v>8.7999999999999545</v>
          </cell>
          <cell r="BE15">
            <v>39.479999999999997</v>
          </cell>
          <cell r="BF15">
            <v>352</v>
          </cell>
          <cell r="BG15">
            <v>9.3500000000000227</v>
          </cell>
          <cell r="BH15">
            <v>38.229999999999997</v>
          </cell>
          <cell r="BI15">
            <v>360.67</v>
          </cell>
          <cell r="BJ15">
            <v>8.6700000000000159</v>
          </cell>
          <cell r="BK15">
            <v>40.299999999999997</v>
          </cell>
          <cell r="BL15">
            <v>378.73</v>
          </cell>
          <cell r="BM15">
            <v>18.060000000000002</v>
          </cell>
          <cell r="BN15">
            <v>60.03</v>
          </cell>
          <cell r="BO15">
            <v>393.79</v>
          </cell>
          <cell r="BP15">
            <v>15.060000000000002</v>
          </cell>
          <cell r="BQ15">
            <v>79.34</v>
          </cell>
          <cell r="BR15">
            <v>402.88</v>
          </cell>
          <cell r="BS15">
            <v>9.089999999999975</v>
          </cell>
          <cell r="BT15">
            <v>41.18</v>
          </cell>
          <cell r="BU15">
            <v>432.65</v>
          </cell>
          <cell r="BV15">
            <v>29.769999999999982</v>
          </cell>
          <cell r="BW15">
            <v>117.45</v>
          </cell>
          <cell r="BX15">
            <v>441.19</v>
          </cell>
          <cell r="BY15">
            <v>8.5400000000000205</v>
          </cell>
          <cell r="BZ15">
            <v>30.65</v>
          </cell>
        </row>
        <row r="16">
          <cell r="B16" t="str">
            <v>EMA1-302</v>
          </cell>
          <cell r="C16">
            <v>340.34</v>
          </cell>
          <cell r="D16">
            <v>350.88</v>
          </cell>
          <cell r="E16">
            <v>10.54000000000002</v>
          </cell>
          <cell r="F16">
            <v>35.31</v>
          </cell>
          <cell r="G16">
            <v>362</v>
          </cell>
          <cell r="H16">
            <v>11.120000000000005</v>
          </cell>
          <cell r="I16">
            <v>40.630000000000003</v>
          </cell>
          <cell r="J16">
            <v>372.66</v>
          </cell>
          <cell r="K16">
            <v>10.660000000000025</v>
          </cell>
          <cell r="L16">
            <v>40.67</v>
          </cell>
          <cell r="M16">
            <v>383.36</v>
          </cell>
          <cell r="N16">
            <v>10.699999999999989</v>
          </cell>
          <cell r="O16">
            <v>46.87</v>
          </cell>
          <cell r="P16">
            <v>394.01</v>
          </cell>
          <cell r="Q16">
            <v>10.649999999999977</v>
          </cell>
          <cell r="R16">
            <v>40.21</v>
          </cell>
          <cell r="S16">
            <v>404.72</v>
          </cell>
          <cell r="T16">
            <v>10.710000000000036</v>
          </cell>
          <cell r="U16">
            <v>36.69</v>
          </cell>
          <cell r="V16">
            <v>414.56</v>
          </cell>
          <cell r="W16">
            <v>9.839999999999975</v>
          </cell>
          <cell r="X16">
            <v>41.99</v>
          </cell>
          <cell r="Y16">
            <v>425.55</v>
          </cell>
          <cell r="Z16">
            <v>10.990000000000009</v>
          </cell>
          <cell r="AA16">
            <v>41.97</v>
          </cell>
          <cell r="AB16">
            <v>434.94</v>
          </cell>
          <cell r="AC16">
            <v>9.3899999999999864</v>
          </cell>
          <cell r="AD16">
            <v>37.700000000000003</v>
          </cell>
          <cell r="AE16">
            <v>445.64</v>
          </cell>
          <cell r="AF16">
            <v>10.699999999999989</v>
          </cell>
          <cell r="AG16">
            <v>41.62</v>
          </cell>
          <cell r="AH16">
            <v>455.67</v>
          </cell>
          <cell r="AI16">
            <v>10.03000000000003</v>
          </cell>
          <cell r="AJ16">
            <v>40.03</v>
          </cell>
          <cell r="AK16">
            <v>466.54</v>
          </cell>
          <cell r="AL16">
            <v>10.870000000000005</v>
          </cell>
          <cell r="AM16">
            <v>49.66</v>
          </cell>
          <cell r="AN16">
            <v>478.09</v>
          </cell>
          <cell r="AO16">
            <v>11.549999999999955</v>
          </cell>
          <cell r="AP16">
            <v>38.049999999999997</v>
          </cell>
          <cell r="AQ16">
            <v>487.83</v>
          </cell>
          <cell r="AR16">
            <v>9.7400000000000091</v>
          </cell>
          <cell r="AS16">
            <v>44.02</v>
          </cell>
          <cell r="AT16">
            <v>498.29</v>
          </cell>
          <cell r="AU16">
            <v>10.460000000000036</v>
          </cell>
          <cell r="AV16">
            <v>43.22</v>
          </cell>
          <cell r="AW16">
            <v>508.44</v>
          </cell>
          <cell r="AX16">
            <v>10.149999999999977</v>
          </cell>
          <cell r="AY16">
            <v>41.96</v>
          </cell>
          <cell r="AZ16">
            <v>518.53</v>
          </cell>
          <cell r="BA16">
            <v>10.089999999999975</v>
          </cell>
          <cell r="BB16">
            <v>42.41</v>
          </cell>
          <cell r="BC16">
            <v>528.4</v>
          </cell>
          <cell r="BD16">
            <v>9.8700000000000045</v>
          </cell>
          <cell r="BE16">
            <v>44.28</v>
          </cell>
          <cell r="BF16">
            <v>536.87</v>
          </cell>
          <cell r="BG16">
            <v>8.4700000000000273</v>
          </cell>
          <cell r="BH16">
            <v>34.64</v>
          </cell>
          <cell r="BI16">
            <v>545.86</v>
          </cell>
          <cell r="BJ16">
            <v>8.9900000000000091</v>
          </cell>
          <cell r="BK16">
            <v>41.79</v>
          </cell>
          <cell r="BL16">
            <v>556.20000000000005</v>
          </cell>
          <cell r="BM16">
            <v>10.340000000000032</v>
          </cell>
          <cell r="BN16">
            <v>34.369999999999997</v>
          </cell>
          <cell r="BO16">
            <v>563.64</v>
          </cell>
          <cell r="BP16">
            <v>7.4399999999999409</v>
          </cell>
          <cell r="BQ16">
            <v>39.200000000000003</v>
          </cell>
          <cell r="BR16">
            <v>572.75</v>
          </cell>
          <cell r="BS16">
            <v>9.1100000000000136</v>
          </cell>
          <cell r="BT16">
            <v>41.27</v>
          </cell>
          <cell r="BU16">
            <v>582.78</v>
          </cell>
          <cell r="BV16">
            <v>10.029999999999973</v>
          </cell>
          <cell r="BW16">
            <v>39.57</v>
          </cell>
          <cell r="BX16">
            <v>595.82000000000005</v>
          </cell>
          <cell r="BY16">
            <v>13.040000000000077</v>
          </cell>
          <cell r="BZ16">
            <v>46.8</v>
          </cell>
        </row>
        <row r="17">
          <cell r="B17" t="str">
            <v>EMA1-401</v>
          </cell>
          <cell r="C17">
            <v>320.55</v>
          </cell>
          <cell r="D17">
            <v>330.09</v>
          </cell>
          <cell r="E17">
            <v>9.5399999999999636</v>
          </cell>
          <cell r="F17">
            <v>31.96</v>
          </cell>
          <cell r="G17">
            <v>339.15</v>
          </cell>
          <cell r="H17">
            <v>9.0600000000000023</v>
          </cell>
          <cell r="I17">
            <v>33.1</v>
          </cell>
          <cell r="J17">
            <v>347.84</v>
          </cell>
          <cell r="K17">
            <v>8.6899999999999977</v>
          </cell>
          <cell r="L17">
            <v>33.15</v>
          </cell>
          <cell r="M17">
            <v>355.02</v>
          </cell>
          <cell r="N17">
            <v>7.1800000000000068</v>
          </cell>
          <cell r="O17">
            <v>31.45</v>
          </cell>
          <cell r="P17">
            <v>355.04</v>
          </cell>
          <cell r="Q17">
            <v>2.0000000000038654E-2</v>
          </cell>
          <cell r="R17">
            <v>0.08</v>
          </cell>
          <cell r="S17">
            <v>355.05</v>
          </cell>
          <cell r="T17">
            <v>9.9999999999909051E-3</v>
          </cell>
          <cell r="U17">
            <v>0.03</v>
          </cell>
          <cell r="V17">
            <v>355.62</v>
          </cell>
          <cell r="W17">
            <v>0.56999999999999318</v>
          </cell>
          <cell r="X17">
            <v>2.4300000000000002</v>
          </cell>
          <cell r="Y17">
            <v>358.5</v>
          </cell>
          <cell r="Z17">
            <v>2.8799999999999955</v>
          </cell>
          <cell r="AA17">
            <v>11</v>
          </cell>
          <cell r="AB17">
            <v>368.41</v>
          </cell>
          <cell r="AC17">
            <v>9.910000000000025</v>
          </cell>
          <cell r="AD17">
            <v>39.79</v>
          </cell>
          <cell r="AE17">
            <v>377.08</v>
          </cell>
          <cell r="AF17">
            <v>8.6699999999999591</v>
          </cell>
          <cell r="AG17">
            <v>33.729999999999997</v>
          </cell>
          <cell r="AH17">
            <v>384.45</v>
          </cell>
          <cell r="AI17">
            <v>7.3700000000000045</v>
          </cell>
          <cell r="AJ17">
            <v>29.41</v>
          </cell>
          <cell r="AK17">
            <v>393.05</v>
          </cell>
          <cell r="AL17">
            <v>8.6000000000000227</v>
          </cell>
          <cell r="AM17">
            <v>39.29</v>
          </cell>
          <cell r="AN17">
            <v>396.7</v>
          </cell>
          <cell r="AO17">
            <v>3.6499999999999773</v>
          </cell>
          <cell r="AP17">
            <v>12.02</v>
          </cell>
          <cell r="AQ17">
            <v>400.05</v>
          </cell>
          <cell r="AR17">
            <v>3.3500000000000227</v>
          </cell>
          <cell r="AS17">
            <v>15.14</v>
          </cell>
          <cell r="AT17">
            <v>402.86</v>
          </cell>
          <cell r="AU17">
            <v>2.8100000000000023</v>
          </cell>
          <cell r="AV17">
            <v>11.61</v>
          </cell>
          <cell r="AW17">
            <v>411.25</v>
          </cell>
          <cell r="AX17">
            <v>8.3899999999999864</v>
          </cell>
          <cell r="AY17">
            <v>34.69</v>
          </cell>
          <cell r="AZ17">
            <v>421.98</v>
          </cell>
          <cell r="BA17">
            <v>10.730000000000018</v>
          </cell>
          <cell r="BB17">
            <v>45.1</v>
          </cell>
          <cell r="BC17">
            <v>430.99</v>
          </cell>
          <cell r="BD17">
            <v>9.0099999999999909</v>
          </cell>
          <cell r="BE17">
            <v>40.42</v>
          </cell>
          <cell r="BF17">
            <v>439.24</v>
          </cell>
          <cell r="BG17">
            <v>8.25</v>
          </cell>
          <cell r="BH17">
            <v>33.74</v>
          </cell>
          <cell r="BI17">
            <v>448.75</v>
          </cell>
          <cell r="BJ17">
            <v>9.5099999999999909</v>
          </cell>
          <cell r="BK17">
            <v>44.21</v>
          </cell>
          <cell r="BL17">
            <v>458.16</v>
          </cell>
          <cell r="BM17">
            <v>9.410000000000025</v>
          </cell>
          <cell r="BN17">
            <v>31.28</v>
          </cell>
          <cell r="BO17">
            <v>466.17</v>
          </cell>
          <cell r="BP17">
            <v>8.0099999999999909</v>
          </cell>
          <cell r="BQ17">
            <v>42.2</v>
          </cell>
          <cell r="BR17">
            <v>474.95</v>
          </cell>
          <cell r="BS17">
            <v>8.7799999999999727</v>
          </cell>
          <cell r="BT17">
            <v>39.78</v>
          </cell>
          <cell r="BU17">
            <v>485.16</v>
          </cell>
          <cell r="BV17">
            <v>10.210000000000036</v>
          </cell>
          <cell r="BW17">
            <v>40.28</v>
          </cell>
          <cell r="BX17">
            <v>495.02</v>
          </cell>
          <cell r="BY17">
            <v>9.8599999999999568</v>
          </cell>
          <cell r="BZ17">
            <v>35.380000000000003</v>
          </cell>
        </row>
        <row r="18">
          <cell r="B18" t="str">
            <v>EMA1-402</v>
          </cell>
          <cell r="C18">
            <v>322.81</v>
          </cell>
          <cell r="D18">
            <v>334.79</v>
          </cell>
          <cell r="E18">
            <v>11.980000000000018</v>
          </cell>
          <cell r="F18">
            <v>40.14</v>
          </cell>
          <cell r="G18">
            <v>341.35</v>
          </cell>
          <cell r="H18">
            <v>6.5600000000000023</v>
          </cell>
          <cell r="I18">
            <v>23.97</v>
          </cell>
          <cell r="J18">
            <v>347.86</v>
          </cell>
          <cell r="K18">
            <v>6.5099999999999909</v>
          </cell>
          <cell r="L18">
            <v>24.84</v>
          </cell>
          <cell r="M18">
            <v>357.99</v>
          </cell>
          <cell r="N18">
            <v>10.129999999999995</v>
          </cell>
          <cell r="O18">
            <v>44.38</v>
          </cell>
          <cell r="P18">
            <v>366.99</v>
          </cell>
          <cell r="Q18">
            <v>9</v>
          </cell>
          <cell r="R18">
            <v>33.979999999999997</v>
          </cell>
          <cell r="S18">
            <v>378.15</v>
          </cell>
          <cell r="T18">
            <v>11.159999999999968</v>
          </cell>
          <cell r="U18">
            <v>38.229999999999997</v>
          </cell>
          <cell r="V18">
            <v>387.98</v>
          </cell>
          <cell r="W18">
            <v>9.8300000000000409</v>
          </cell>
          <cell r="X18">
            <v>41.95</v>
          </cell>
          <cell r="Y18">
            <v>397.72</v>
          </cell>
          <cell r="Z18">
            <v>9.7400000000000091</v>
          </cell>
          <cell r="AA18">
            <v>37.200000000000003</v>
          </cell>
          <cell r="AB18">
            <v>409.83</v>
          </cell>
          <cell r="AC18">
            <v>12.109999999999957</v>
          </cell>
          <cell r="AD18">
            <v>48.62</v>
          </cell>
          <cell r="AE18">
            <v>422.98</v>
          </cell>
          <cell r="AF18">
            <v>13.150000000000034</v>
          </cell>
          <cell r="AG18">
            <v>51.15</v>
          </cell>
          <cell r="AH18">
            <v>433.62</v>
          </cell>
          <cell r="AI18">
            <v>10.639999999999986</v>
          </cell>
          <cell r="AJ18">
            <v>42.46</v>
          </cell>
          <cell r="AK18">
            <v>444.59</v>
          </cell>
          <cell r="AL18">
            <v>10.96999999999997</v>
          </cell>
          <cell r="AM18">
            <v>50.11</v>
          </cell>
          <cell r="AN18">
            <v>456.81</v>
          </cell>
          <cell r="AO18">
            <v>12.220000000000027</v>
          </cell>
          <cell r="AP18">
            <v>40.25</v>
          </cell>
          <cell r="AQ18">
            <v>462.21</v>
          </cell>
          <cell r="AR18">
            <v>5.3999999999999773</v>
          </cell>
          <cell r="AS18">
            <v>24.4</v>
          </cell>
          <cell r="AT18">
            <v>468.21</v>
          </cell>
          <cell r="AU18">
            <v>6</v>
          </cell>
          <cell r="AV18">
            <v>24.79</v>
          </cell>
          <cell r="AW18">
            <v>478.84</v>
          </cell>
          <cell r="AX18">
            <v>10.629999999999995</v>
          </cell>
          <cell r="AY18">
            <v>43.95</v>
          </cell>
          <cell r="AZ18">
            <v>490.12</v>
          </cell>
          <cell r="BA18">
            <v>11.28000000000003</v>
          </cell>
          <cell r="BB18">
            <v>47.41</v>
          </cell>
          <cell r="BC18">
            <v>502.24</v>
          </cell>
          <cell r="BD18">
            <v>12.120000000000005</v>
          </cell>
          <cell r="BE18">
            <v>54.38</v>
          </cell>
          <cell r="BF18">
            <v>513.83000000000004</v>
          </cell>
          <cell r="BG18">
            <v>11.590000000000032</v>
          </cell>
          <cell r="BH18">
            <v>47.39</v>
          </cell>
          <cell r="BI18">
            <v>525.41999999999996</v>
          </cell>
          <cell r="BJ18">
            <v>11.589999999999918</v>
          </cell>
          <cell r="BK18">
            <v>53.87</v>
          </cell>
          <cell r="BL18">
            <v>535.97</v>
          </cell>
          <cell r="BM18">
            <v>10.550000000000068</v>
          </cell>
          <cell r="BN18">
            <v>35.07</v>
          </cell>
          <cell r="BO18">
            <v>546.51</v>
          </cell>
          <cell r="BP18">
            <v>10.539999999999964</v>
          </cell>
          <cell r="BQ18">
            <v>55.53</v>
          </cell>
          <cell r="BR18">
            <v>557.94000000000005</v>
          </cell>
          <cell r="BS18">
            <v>11.430000000000064</v>
          </cell>
          <cell r="BT18">
            <v>51.79</v>
          </cell>
          <cell r="BU18">
            <v>569.57000000000005</v>
          </cell>
          <cell r="BV18">
            <v>11.629999999999995</v>
          </cell>
          <cell r="BW18">
            <v>45.88</v>
          </cell>
          <cell r="BX18">
            <v>578.72</v>
          </cell>
          <cell r="BY18">
            <v>9.1499999999999773</v>
          </cell>
          <cell r="BZ18">
            <v>32.840000000000003</v>
          </cell>
        </row>
        <row r="19">
          <cell r="B19" t="str">
            <v>EMA1-501</v>
          </cell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0</v>
          </cell>
          <cell r="P19">
            <v>1.76</v>
          </cell>
          <cell r="Q19">
            <v>0.76</v>
          </cell>
          <cell r="R19">
            <v>2.87</v>
          </cell>
          <cell r="S19">
            <v>1.79</v>
          </cell>
          <cell r="T19">
            <v>3.0000000000000027E-2</v>
          </cell>
          <cell r="U19">
            <v>0.1</v>
          </cell>
          <cell r="V19">
            <v>1.81</v>
          </cell>
          <cell r="W19">
            <v>2.0000000000000018E-2</v>
          </cell>
          <cell r="X19">
            <v>0.09</v>
          </cell>
          <cell r="Y19">
            <v>1.84</v>
          </cell>
          <cell r="Z19">
            <v>3.0000000000000027E-2</v>
          </cell>
          <cell r="AA19">
            <v>0.11</v>
          </cell>
          <cell r="AB19">
            <v>1.84</v>
          </cell>
          <cell r="AC19">
            <v>0</v>
          </cell>
          <cell r="AD19">
            <v>0</v>
          </cell>
          <cell r="AE19">
            <v>1.84</v>
          </cell>
          <cell r="AF19">
            <v>0</v>
          </cell>
          <cell r="AG19">
            <v>0</v>
          </cell>
          <cell r="AH19">
            <v>1.84</v>
          </cell>
          <cell r="AI19">
            <v>0</v>
          </cell>
          <cell r="AJ19">
            <v>0</v>
          </cell>
          <cell r="AK19">
            <v>1.84</v>
          </cell>
          <cell r="AL19">
            <v>0</v>
          </cell>
          <cell r="AM19">
            <v>0</v>
          </cell>
          <cell r="AN19">
            <v>1.84</v>
          </cell>
          <cell r="AO19">
            <v>0</v>
          </cell>
          <cell r="AP19">
            <v>0</v>
          </cell>
          <cell r="AQ19">
            <v>1.84</v>
          </cell>
          <cell r="AR19">
            <v>0</v>
          </cell>
          <cell r="AS19">
            <v>0</v>
          </cell>
          <cell r="AT19">
            <v>1.94</v>
          </cell>
          <cell r="AU19">
            <v>9.9999999999999867E-2</v>
          </cell>
          <cell r="AV19">
            <v>0.41</v>
          </cell>
          <cell r="AW19">
            <v>1.95</v>
          </cell>
          <cell r="AX19">
            <v>1.0000000000000009E-2</v>
          </cell>
          <cell r="AY19">
            <v>0.04</v>
          </cell>
          <cell r="AZ19">
            <v>1.97</v>
          </cell>
          <cell r="BA19">
            <v>2.0000000000000018E-2</v>
          </cell>
          <cell r="BB19">
            <v>0.08</v>
          </cell>
          <cell r="BC19">
            <v>1.98</v>
          </cell>
          <cell r="BD19">
            <v>1.0000000000000009E-2</v>
          </cell>
          <cell r="BE19">
            <v>0.04</v>
          </cell>
          <cell r="BF19">
            <v>1.98</v>
          </cell>
          <cell r="BG19">
            <v>0</v>
          </cell>
          <cell r="BH19">
            <v>0</v>
          </cell>
          <cell r="BI19">
            <v>1.99</v>
          </cell>
          <cell r="BJ19">
            <v>1.0000000000000009E-2</v>
          </cell>
          <cell r="BK19">
            <v>0.05</v>
          </cell>
          <cell r="BL19">
            <v>1.99</v>
          </cell>
          <cell r="BM19">
            <v>0</v>
          </cell>
          <cell r="BN19">
            <v>0</v>
          </cell>
          <cell r="BO19">
            <v>1.99</v>
          </cell>
          <cell r="BP19">
            <v>0</v>
          </cell>
          <cell r="BQ19">
            <v>0</v>
          </cell>
          <cell r="BR19">
            <v>1.99</v>
          </cell>
          <cell r="BS19">
            <v>0</v>
          </cell>
          <cell r="BT19">
            <v>0</v>
          </cell>
          <cell r="BU19">
            <v>1.99</v>
          </cell>
          <cell r="BV19">
            <v>0</v>
          </cell>
          <cell r="BW19">
            <v>0</v>
          </cell>
          <cell r="BX19">
            <v>1.99</v>
          </cell>
          <cell r="BY19">
            <v>0</v>
          </cell>
          <cell r="BZ19">
            <v>0</v>
          </cell>
        </row>
        <row r="20">
          <cell r="B20" t="str">
            <v>EMA1-502</v>
          </cell>
          <cell r="C20">
            <v>449.59</v>
          </cell>
          <cell r="D20">
            <v>467.67</v>
          </cell>
          <cell r="E20">
            <v>18.080000000000041</v>
          </cell>
          <cell r="F20">
            <v>60.58</v>
          </cell>
          <cell r="G20">
            <v>483.42</v>
          </cell>
          <cell r="H20">
            <v>15.75</v>
          </cell>
          <cell r="I20">
            <v>57.54</v>
          </cell>
          <cell r="J20">
            <v>502.54</v>
          </cell>
          <cell r="K20">
            <v>19.120000000000005</v>
          </cell>
          <cell r="L20">
            <v>72.95</v>
          </cell>
          <cell r="M20">
            <v>516.12</v>
          </cell>
          <cell r="N20">
            <v>13.579999999999984</v>
          </cell>
          <cell r="O20">
            <v>59.49</v>
          </cell>
          <cell r="P20">
            <v>531.77</v>
          </cell>
          <cell r="Q20">
            <v>15.649999999999977</v>
          </cell>
          <cell r="R20">
            <v>59.08</v>
          </cell>
          <cell r="S20">
            <v>545.98</v>
          </cell>
          <cell r="T20">
            <v>14.210000000000036</v>
          </cell>
          <cell r="U20">
            <v>48.68</v>
          </cell>
          <cell r="V20">
            <v>557.66</v>
          </cell>
          <cell r="W20">
            <v>11.67999999999995</v>
          </cell>
          <cell r="X20">
            <v>49.85</v>
          </cell>
          <cell r="Y20">
            <v>567.87</v>
          </cell>
          <cell r="Z20">
            <v>10.210000000000036</v>
          </cell>
          <cell r="AA20">
            <v>38.99</v>
          </cell>
          <cell r="AB20">
            <v>578.82000000000005</v>
          </cell>
          <cell r="AC20">
            <v>10.950000000000045</v>
          </cell>
          <cell r="AD20">
            <v>43.96</v>
          </cell>
          <cell r="AE20">
            <v>589.66</v>
          </cell>
          <cell r="AF20">
            <v>10.839999999999918</v>
          </cell>
          <cell r="AG20">
            <v>42.17</v>
          </cell>
          <cell r="AH20">
            <v>594.61</v>
          </cell>
          <cell r="AI20">
            <v>4.9500000000000455</v>
          </cell>
          <cell r="AJ20">
            <v>19.75</v>
          </cell>
          <cell r="AK20">
            <v>611.5</v>
          </cell>
          <cell r="AL20">
            <v>16.889999999999986</v>
          </cell>
          <cell r="AM20">
            <v>77.16</v>
          </cell>
          <cell r="AN20">
            <v>627.02</v>
          </cell>
          <cell r="AO20">
            <v>15.519999999999982</v>
          </cell>
          <cell r="AP20">
            <v>51.12</v>
          </cell>
          <cell r="AQ20">
            <v>642.26</v>
          </cell>
          <cell r="AR20">
            <v>15.240000000000009</v>
          </cell>
          <cell r="AS20">
            <v>68.87</v>
          </cell>
          <cell r="AT20">
            <v>651.1</v>
          </cell>
          <cell r="AU20">
            <v>8.8400000000000318</v>
          </cell>
          <cell r="AV20">
            <v>36.53</v>
          </cell>
          <cell r="AW20">
            <v>664.52</v>
          </cell>
          <cell r="AX20">
            <v>13.419999999999959</v>
          </cell>
          <cell r="AY20">
            <v>55.48</v>
          </cell>
          <cell r="AZ20">
            <v>684.04</v>
          </cell>
          <cell r="BA20">
            <v>19.519999999999982</v>
          </cell>
          <cell r="BB20">
            <v>82.04</v>
          </cell>
          <cell r="BC20">
            <v>701.97</v>
          </cell>
          <cell r="BD20">
            <v>17.930000000000064</v>
          </cell>
          <cell r="BE20">
            <v>80.44</v>
          </cell>
          <cell r="BF20">
            <v>716.33</v>
          </cell>
          <cell r="BG20">
            <v>14.360000000000014</v>
          </cell>
          <cell r="BH20">
            <v>58.72</v>
          </cell>
          <cell r="BI20">
            <v>733.96</v>
          </cell>
          <cell r="BJ20">
            <v>17.629999999999995</v>
          </cell>
          <cell r="BK20">
            <v>81.95</v>
          </cell>
          <cell r="BL20">
            <v>754.47</v>
          </cell>
          <cell r="BM20">
            <v>20.509999999999991</v>
          </cell>
          <cell r="BN20">
            <v>68.17</v>
          </cell>
          <cell r="BO20">
            <v>771.16</v>
          </cell>
          <cell r="BP20">
            <v>16.689999999999941</v>
          </cell>
          <cell r="BQ20">
            <v>87.93</v>
          </cell>
          <cell r="BR20">
            <v>788.3</v>
          </cell>
          <cell r="BS20">
            <v>17.139999999999986</v>
          </cell>
          <cell r="BT20">
            <v>77.66</v>
          </cell>
          <cell r="BU20">
            <v>803.18</v>
          </cell>
          <cell r="BV20">
            <v>14.879999999999995</v>
          </cell>
          <cell r="BW20">
            <v>58.71</v>
          </cell>
          <cell r="BX20">
            <v>818.45</v>
          </cell>
          <cell r="BY20">
            <v>15.270000000000095</v>
          </cell>
          <cell r="BZ20">
            <v>54.8</v>
          </cell>
        </row>
        <row r="21">
          <cell r="B21" t="str">
            <v>EMA1-601</v>
          </cell>
          <cell r="C21">
            <v>75.31</v>
          </cell>
          <cell r="D21">
            <v>77.680000000000007</v>
          </cell>
          <cell r="E21">
            <v>2.3700000000000045</v>
          </cell>
          <cell r="F21">
            <v>7.94</v>
          </cell>
          <cell r="G21">
            <v>78.25</v>
          </cell>
          <cell r="H21">
            <v>0.56999999999999318</v>
          </cell>
          <cell r="I21">
            <v>2.08</v>
          </cell>
          <cell r="J21">
            <v>78.44</v>
          </cell>
          <cell r="K21">
            <v>0.18999999999999773</v>
          </cell>
          <cell r="L21">
            <v>0.72</v>
          </cell>
          <cell r="M21">
            <v>78.89</v>
          </cell>
          <cell r="N21">
            <v>0.45000000000000284</v>
          </cell>
          <cell r="O21">
            <v>1.97</v>
          </cell>
          <cell r="P21">
            <v>79.55</v>
          </cell>
          <cell r="Q21">
            <v>0.65999999999999659</v>
          </cell>
          <cell r="R21">
            <v>2.4900000000000002</v>
          </cell>
          <cell r="S21">
            <v>79.650000000000006</v>
          </cell>
          <cell r="T21">
            <v>0.10000000000000853</v>
          </cell>
          <cell r="U21">
            <v>0.34</v>
          </cell>
          <cell r="V21">
            <v>79.73</v>
          </cell>
          <cell r="W21">
            <v>7.9999999999998295E-2</v>
          </cell>
          <cell r="X21">
            <v>0.34</v>
          </cell>
          <cell r="Y21">
            <v>79.819999999999993</v>
          </cell>
          <cell r="Z21">
            <v>8.99999999999892E-2</v>
          </cell>
          <cell r="AA21">
            <v>0.34</v>
          </cell>
          <cell r="AB21">
            <v>79.930000000000007</v>
          </cell>
          <cell r="AC21">
            <v>0.11000000000001364</v>
          </cell>
          <cell r="AD21">
            <v>0.44</v>
          </cell>
          <cell r="AE21">
            <v>80.069999999999993</v>
          </cell>
          <cell r="AF21">
            <v>0.13999999999998636</v>
          </cell>
          <cell r="AG21">
            <v>0.54</v>
          </cell>
          <cell r="AH21">
            <v>80.11</v>
          </cell>
          <cell r="AI21">
            <v>4.0000000000006253E-2</v>
          </cell>
          <cell r="AJ21">
            <v>0.16</v>
          </cell>
          <cell r="AK21">
            <v>80.25</v>
          </cell>
          <cell r="AL21">
            <v>0.14000000000000057</v>
          </cell>
          <cell r="AM21">
            <v>0.64</v>
          </cell>
          <cell r="AN21">
            <v>81</v>
          </cell>
          <cell r="AO21">
            <v>0.75</v>
          </cell>
          <cell r="AP21">
            <v>2.4700000000000002</v>
          </cell>
          <cell r="AQ21">
            <v>81.05</v>
          </cell>
          <cell r="AR21">
            <v>4.9999999999997158E-2</v>
          </cell>
          <cell r="AS21">
            <v>0.23</v>
          </cell>
          <cell r="AT21">
            <v>81.16</v>
          </cell>
          <cell r="AU21">
            <v>0.10999999999999943</v>
          </cell>
          <cell r="AV21">
            <v>0.45</v>
          </cell>
          <cell r="AW21">
            <v>81.260000000000005</v>
          </cell>
          <cell r="AX21">
            <v>0.10000000000000853</v>
          </cell>
          <cell r="AY21">
            <v>0.41</v>
          </cell>
          <cell r="AZ21">
            <v>81.819999999999993</v>
          </cell>
          <cell r="BA21">
            <v>0.55999999999998806</v>
          </cell>
          <cell r="BB21">
            <v>2.35</v>
          </cell>
          <cell r="BC21">
            <v>81.93</v>
          </cell>
          <cell r="BD21">
            <v>0.11000000000001364</v>
          </cell>
          <cell r="BE21">
            <v>0.49</v>
          </cell>
          <cell r="BF21">
            <v>82.02</v>
          </cell>
          <cell r="BG21">
            <v>8.99999999999892E-2</v>
          </cell>
          <cell r="BH21">
            <v>0.37</v>
          </cell>
          <cell r="BI21">
            <v>82.12</v>
          </cell>
          <cell r="BJ21">
            <v>0.10000000000000853</v>
          </cell>
          <cell r="BK21">
            <v>0.46</v>
          </cell>
          <cell r="BL21">
            <v>82.19</v>
          </cell>
          <cell r="BM21">
            <v>6.9999999999993179E-2</v>
          </cell>
          <cell r="BN21">
            <v>0.23</v>
          </cell>
          <cell r="BO21">
            <v>82.25</v>
          </cell>
          <cell r="BP21">
            <v>6.0000000000002274E-2</v>
          </cell>
          <cell r="BQ21">
            <v>0.32</v>
          </cell>
          <cell r="BR21">
            <v>82.32</v>
          </cell>
          <cell r="BS21">
            <v>6.9999999999993179E-2</v>
          </cell>
          <cell r="BT21">
            <v>0.32</v>
          </cell>
          <cell r="BU21">
            <v>82.44</v>
          </cell>
          <cell r="BV21">
            <v>0.12000000000000455</v>
          </cell>
          <cell r="BW21">
            <v>0.47</v>
          </cell>
          <cell r="BX21">
            <v>83.69</v>
          </cell>
          <cell r="BY21">
            <v>1.25</v>
          </cell>
          <cell r="BZ21">
            <v>4.49</v>
          </cell>
        </row>
        <row r="22">
          <cell r="B22" t="str">
            <v>EMA1-602</v>
          </cell>
          <cell r="C22">
            <v>200.86</v>
          </cell>
          <cell r="D22">
            <v>206.75</v>
          </cell>
          <cell r="E22">
            <v>5.8899999999999864</v>
          </cell>
          <cell r="F22">
            <v>19.73</v>
          </cell>
          <cell r="G22">
            <v>212.74</v>
          </cell>
          <cell r="H22">
            <v>5.9900000000000091</v>
          </cell>
          <cell r="I22">
            <v>21.89</v>
          </cell>
          <cell r="J22">
            <v>218.08</v>
          </cell>
          <cell r="K22">
            <v>5.3400000000000034</v>
          </cell>
          <cell r="L22">
            <v>20.37</v>
          </cell>
          <cell r="M22">
            <v>224.43</v>
          </cell>
          <cell r="N22">
            <v>6.3499999999999943</v>
          </cell>
          <cell r="O22">
            <v>27.82</v>
          </cell>
          <cell r="P22">
            <v>230.46</v>
          </cell>
          <cell r="Q22">
            <v>6.0300000000000011</v>
          </cell>
          <cell r="R22">
            <v>22.76</v>
          </cell>
          <cell r="S22">
            <v>236.77</v>
          </cell>
          <cell r="T22">
            <v>6.3100000000000023</v>
          </cell>
          <cell r="U22">
            <v>21.62</v>
          </cell>
          <cell r="V22">
            <v>242.58</v>
          </cell>
          <cell r="W22">
            <v>5.8100000000000023</v>
          </cell>
          <cell r="X22">
            <v>24.8</v>
          </cell>
          <cell r="Y22">
            <v>256.11</v>
          </cell>
          <cell r="Z22">
            <v>13.530000000000001</v>
          </cell>
          <cell r="AA22">
            <v>51.67</v>
          </cell>
          <cell r="AB22">
            <v>264.29000000000002</v>
          </cell>
          <cell r="AC22">
            <v>8.1800000000000068</v>
          </cell>
          <cell r="AD22">
            <v>32.840000000000003</v>
          </cell>
          <cell r="AE22">
            <v>269.70999999999998</v>
          </cell>
          <cell r="AF22">
            <v>5.4199999999999591</v>
          </cell>
          <cell r="AG22">
            <v>21.08</v>
          </cell>
          <cell r="AH22">
            <v>274.41000000000003</v>
          </cell>
          <cell r="AI22">
            <v>4.7000000000000455</v>
          </cell>
          <cell r="AJ22">
            <v>18.760000000000002</v>
          </cell>
          <cell r="AK22">
            <v>280.55</v>
          </cell>
          <cell r="AL22">
            <v>6.1399999999999864</v>
          </cell>
          <cell r="AM22">
            <v>28.05</v>
          </cell>
          <cell r="AN22">
            <v>290.11</v>
          </cell>
          <cell r="AO22">
            <v>9.5600000000000023</v>
          </cell>
          <cell r="AP22">
            <v>31.49</v>
          </cell>
          <cell r="AQ22">
            <v>294.43</v>
          </cell>
          <cell r="AR22">
            <v>4.3199999999999932</v>
          </cell>
          <cell r="AS22">
            <v>19.52</v>
          </cell>
          <cell r="AT22">
            <v>298.52</v>
          </cell>
          <cell r="AU22">
            <v>4.089999999999975</v>
          </cell>
          <cell r="AV22">
            <v>16.899999999999999</v>
          </cell>
          <cell r="AW22">
            <v>304.91000000000003</v>
          </cell>
          <cell r="AX22">
            <v>6.3900000000000432</v>
          </cell>
          <cell r="AY22">
            <v>26.42</v>
          </cell>
          <cell r="AZ22">
            <v>310.94</v>
          </cell>
          <cell r="BA22">
            <v>6.0299999999999727</v>
          </cell>
          <cell r="BB22">
            <v>25.34</v>
          </cell>
          <cell r="BC22">
            <v>316.91000000000003</v>
          </cell>
          <cell r="BD22">
            <v>5.9700000000000273</v>
          </cell>
          <cell r="BE22">
            <v>26.78</v>
          </cell>
          <cell r="BF22">
            <v>322.55</v>
          </cell>
          <cell r="BG22">
            <v>5.6399999999999864</v>
          </cell>
          <cell r="BH22">
            <v>23.06</v>
          </cell>
          <cell r="BI22">
            <v>328.05</v>
          </cell>
          <cell r="BJ22">
            <v>5.5</v>
          </cell>
          <cell r="BK22">
            <v>25.57</v>
          </cell>
          <cell r="BL22">
            <v>334.66</v>
          </cell>
          <cell r="BM22">
            <v>6.6100000000000136</v>
          </cell>
          <cell r="BN22">
            <v>21.97</v>
          </cell>
          <cell r="BO22">
            <v>340.04</v>
          </cell>
          <cell r="BP22">
            <v>5.3799999999999955</v>
          </cell>
          <cell r="BQ22">
            <v>28.34</v>
          </cell>
          <cell r="BR22">
            <v>347.4</v>
          </cell>
          <cell r="BS22">
            <v>7.3599999999999568</v>
          </cell>
          <cell r="BT22">
            <v>33.35</v>
          </cell>
          <cell r="BU22">
            <v>353.87</v>
          </cell>
          <cell r="BV22">
            <v>6.4700000000000273</v>
          </cell>
          <cell r="BW22">
            <v>25.53</v>
          </cell>
          <cell r="BX22">
            <v>359.27</v>
          </cell>
          <cell r="BY22">
            <v>5.3999999999999773</v>
          </cell>
          <cell r="BZ22">
            <v>19.38</v>
          </cell>
        </row>
        <row r="23">
          <cell r="B23" t="str">
            <v>EMA1-701</v>
          </cell>
          <cell r="C23">
            <v>142.41999999999999</v>
          </cell>
          <cell r="D23">
            <v>150.76</v>
          </cell>
          <cell r="E23">
            <v>8.3400000000000034</v>
          </cell>
          <cell r="F23">
            <v>27.94</v>
          </cell>
          <cell r="G23">
            <v>159.47</v>
          </cell>
          <cell r="H23">
            <v>8.710000000000008</v>
          </cell>
          <cell r="I23">
            <v>31.82</v>
          </cell>
          <cell r="J23">
            <v>165.91</v>
          </cell>
          <cell r="K23">
            <v>6.4399999999999977</v>
          </cell>
          <cell r="L23">
            <v>24.57</v>
          </cell>
          <cell r="M23">
            <v>173.31</v>
          </cell>
          <cell r="N23">
            <v>7.4000000000000057</v>
          </cell>
          <cell r="O23">
            <v>32.42</v>
          </cell>
          <cell r="P23">
            <v>181.6</v>
          </cell>
          <cell r="Q23">
            <v>8.289999999999992</v>
          </cell>
          <cell r="R23">
            <v>31.3</v>
          </cell>
          <cell r="S23">
            <v>189.55</v>
          </cell>
          <cell r="T23">
            <v>7.9500000000000171</v>
          </cell>
          <cell r="U23">
            <v>27.24</v>
          </cell>
          <cell r="V23">
            <v>197.77</v>
          </cell>
          <cell r="W23">
            <v>8.2199999999999989</v>
          </cell>
          <cell r="X23">
            <v>35.08</v>
          </cell>
          <cell r="Y23">
            <v>204.17</v>
          </cell>
          <cell r="Z23">
            <v>6.3999999999999773</v>
          </cell>
          <cell r="AA23">
            <v>24.44</v>
          </cell>
          <cell r="AB23">
            <v>209.58</v>
          </cell>
          <cell r="AC23">
            <v>5.410000000000025</v>
          </cell>
          <cell r="AD23">
            <v>21.72</v>
          </cell>
          <cell r="AE23">
            <v>216.87</v>
          </cell>
          <cell r="AF23">
            <v>7.289999999999992</v>
          </cell>
          <cell r="AG23">
            <v>28.36</v>
          </cell>
          <cell r="AH23">
            <v>223.95</v>
          </cell>
          <cell r="AI23">
            <v>7.0799999999999841</v>
          </cell>
          <cell r="AJ23">
            <v>28.25</v>
          </cell>
          <cell r="AK23">
            <v>232.33</v>
          </cell>
          <cell r="AL23">
            <v>8.3800000000000239</v>
          </cell>
          <cell r="AM23">
            <v>38.28</v>
          </cell>
          <cell r="AN23">
            <v>243.52</v>
          </cell>
          <cell r="AO23">
            <v>11.189999999999998</v>
          </cell>
          <cell r="AP23">
            <v>36.86</v>
          </cell>
          <cell r="AQ23">
            <v>251.63</v>
          </cell>
          <cell r="AR23">
            <v>8.1099999999999852</v>
          </cell>
          <cell r="AS23">
            <v>36.65</v>
          </cell>
          <cell r="AT23">
            <v>260.27</v>
          </cell>
          <cell r="AU23">
            <v>8.6399999999999864</v>
          </cell>
          <cell r="AV23">
            <v>35.700000000000003</v>
          </cell>
          <cell r="AW23">
            <v>268.64999999999998</v>
          </cell>
          <cell r="AX23">
            <v>8.3799999999999955</v>
          </cell>
          <cell r="AY23">
            <v>34.65</v>
          </cell>
          <cell r="AZ23">
            <v>279.35000000000002</v>
          </cell>
          <cell r="BA23">
            <v>10.700000000000045</v>
          </cell>
          <cell r="BB23">
            <v>44.97</v>
          </cell>
          <cell r="BC23">
            <v>290.83</v>
          </cell>
          <cell r="BD23">
            <v>11.479999999999961</v>
          </cell>
          <cell r="BE23">
            <v>51.5</v>
          </cell>
          <cell r="BF23">
            <v>299.85000000000002</v>
          </cell>
          <cell r="BG23">
            <v>9.0200000000000387</v>
          </cell>
          <cell r="BH23">
            <v>36.89</v>
          </cell>
          <cell r="BI23">
            <v>304.60000000000002</v>
          </cell>
          <cell r="BJ23">
            <v>4.75</v>
          </cell>
          <cell r="BK23">
            <v>22.08</v>
          </cell>
          <cell r="BL23">
            <v>316.38</v>
          </cell>
          <cell r="BM23">
            <v>11.779999999999973</v>
          </cell>
          <cell r="BN23">
            <v>39.15</v>
          </cell>
          <cell r="BO23">
            <v>323.83999999999997</v>
          </cell>
          <cell r="BP23">
            <v>7.4599999999999795</v>
          </cell>
          <cell r="BQ23">
            <v>39.299999999999997</v>
          </cell>
          <cell r="BR23">
            <v>334.83</v>
          </cell>
          <cell r="BS23">
            <v>10.990000000000009</v>
          </cell>
          <cell r="BT23">
            <v>49.79</v>
          </cell>
          <cell r="BU23">
            <v>343.13</v>
          </cell>
          <cell r="BV23">
            <v>8.3000000000000114</v>
          </cell>
          <cell r="BW23">
            <v>32.75</v>
          </cell>
          <cell r="BX23">
            <v>351.23</v>
          </cell>
          <cell r="BY23">
            <v>8.1000000000000227</v>
          </cell>
          <cell r="BZ23">
            <v>29.07</v>
          </cell>
        </row>
        <row r="24">
          <cell r="B24" t="str">
            <v>EMA1-702</v>
          </cell>
          <cell r="C24">
            <v>398.17</v>
          </cell>
          <cell r="D24">
            <v>418.11</v>
          </cell>
          <cell r="E24">
            <v>19.939999999999998</v>
          </cell>
          <cell r="F24">
            <v>66.81</v>
          </cell>
          <cell r="G24">
            <v>432.42</v>
          </cell>
          <cell r="H24">
            <v>14.310000000000002</v>
          </cell>
          <cell r="I24">
            <v>52.28</v>
          </cell>
          <cell r="J24">
            <v>447.41</v>
          </cell>
          <cell r="K24">
            <v>14.990000000000009</v>
          </cell>
          <cell r="L24">
            <v>57.19</v>
          </cell>
          <cell r="M24">
            <v>469.34</v>
          </cell>
          <cell r="N24">
            <v>21.92999999999995</v>
          </cell>
          <cell r="O24">
            <v>96.07</v>
          </cell>
          <cell r="P24">
            <v>492.32</v>
          </cell>
          <cell r="Q24">
            <v>22.980000000000018</v>
          </cell>
          <cell r="R24">
            <v>86.75</v>
          </cell>
          <cell r="S24">
            <v>510.25</v>
          </cell>
          <cell r="T24">
            <v>17.930000000000007</v>
          </cell>
          <cell r="U24">
            <v>61.42</v>
          </cell>
          <cell r="V24">
            <v>529.57000000000005</v>
          </cell>
          <cell r="W24">
            <v>19.32000000000005</v>
          </cell>
          <cell r="X24">
            <v>82.45</v>
          </cell>
          <cell r="Y24">
            <v>554.66</v>
          </cell>
          <cell r="Z24">
            <v>25.089999999999918</v>
          </cell>
          <cell r="AA24">
            <v>95.81</v>
          </cell>
          <cell r="AB24">
            <v>581.16</v>
          </cell>
          <cell r="AC24">
            <v>26.5</v>
          </cell>
          <cell r="AD24">
            <v>106.4</v>
          </cell>
          <cell r="AE24">
            <v>593.38</v>
          </cell>
          <cell r="AF24">
            <v>12.220000000000027</v>
          </cell>
          <cell r="AG24">
            <v>47.54</v>
          </cell>
          <cell r="AH24">
            <v>603.91999999999996</v>
          </cell>
          <cell r="AI24">
            <v>10.539999999999964</v>
          </cell>
          <cell r="AJ24">
            <v>42.06</v>
          </cell>
          <cell r="AK24">
            <v>615.07000000000005</v>
          </cell>
          <cell r="AL24">
            <v>11.150000000000091</v>
          </cell>
          <cell r="AM24">
            <v>50.93</v>
          </cell>
          <cell r="AN24">
            <v>628.63</v>
          </cell>
          <cell r="AO24">
            <v>13.559999999999945</v>
          </cell>
          <cell r="AP24">
            <v>44.67</v>
          </cell>
          <cell r="AQ24">
            <v>639.66999999999996</v>
          </cell>
          <cell r="AR24">
            <v>11.039999999999964</v>
          </cell>
          <cell r="AS24">
            <v>49.89</v>
          </cell>
          <cell r="AT24">
            <v>649.27</v>
          </cell>
          <cell r="AU24">
            <v>9.6000000000000227</v>
          </cell>
          <cell r="AV24">
            <v>39.67</v>
          </cell>
          <cell r="AW24">
            <v>660.96</v>
          </cell>
          <cell r="AX24">
            <v>11.690000000000055</v>
          </cell>
          <cell r="AY24">
            <v>48.33</v>
          </cell>
          <cell r="AZ24">
            <v>673.55</v>
          </cell>
          <cell r="BA24">
            <v>12.589999999999918</v>
          </cell>
          <cell r="BB24">
            <v>52.92</v>
          </cell>
          <cell r="BC24">
            <v>688.97</v>
          </cell>
          <cell r="BD24">
            <v>15.420000000000073</v>
          </cell>
          <cell r="BE24">
            <v>69.180000000000007</v>
          </cell>
          <cell r="BF24">
            <v>699.83</v>
          </cell>
          <cell r="BG24">
            <v>10.860000000000014</v>
          </cell>
          <cell r="BH24">
            <v>44.41</v>
          </cell>
          <cell r="BI24">
            <v>710.03</v>
          </cell>
          <cell r="BJ24">
            <v>10.199999999999932</v>
          </cell>
          <cell r="BK24">
            <v>47.41</v>
          </cell>
          <cell r="BL24">
            <v>723.19</v>
          </cell>
          <cell r="BM24">
            <v>13.160000000000082</v>
          </cell>
          <cell r="BN24">
            <v>43.74</v>
          </cell>
          <cell r="BO24">
            <v>733.16</v>
          </cell>
          <cell r="BP24">
            <v>9.9699999999999136</v>
          </cell>
          <cell r="BQ24">
            <v>52.52</v>
          </cell>
          <cell r="BR24">
            <v>745.11</v>
          </cell>
          <cell r="BS24">
            <v>11.950000000000045</v>
          </cell>
          <cell r="BT24">
            <v>54.14</v>
          </cell>
          <cell r="BU24">
            <v>754.68</v>
          </cell>
          <cell r="BV24">
            <v>9.5699999999999363</v>
          </cell>
          <cell r="BW24">
            <v>37.76</v>
          </cell>
          <cell r="BX24">
            <v>764.14</v>
          </cell>
          <cell r="BY24">
            <v>9.4600000000000364</v>
          </cell>
          <cell r="BZ24">
            <v>33.950000000000003</v>
          </cell>
        </row>
        <row r="25">
          <cell r="B25" t="str">
            <v>EMA1-801</v>
          </cell>
          <cell r="C25">
            <v>70.430000000000007</v>
          </cell>
          <cell r="D25">
            <v>70.92</v>
          </cell>
          <cell r="E25">
            <v>0.48999999999999488</v>
          </cell>
          <cell r="F25">
            <v>1.64</v>
          </cell>
          <cell r="G25">
            <v>71.52</v>
          </cell>
          <cell r="H25">
            <v>0.59999999999999432</v>
          </cell>
          <cell r="I25">
            <v>2.19</v>
          </cell>
          <cell r="J25">
            <v>72.010000000000005</v>
          </cell>
          <cell r="K25">
            <v>0.49000000000000909</v>
          </cell>
          <cell r="L25">
            <v>1.87</v>
          </cell>
          <cell r="M25">
            <v>72.489999999999995</v>
          </cell>
          <cell r="N25">
            <v>0.47999999999998977</v>
          </cell>
          <cell r="O25">
            <v>2.1</v>
          </cell>
          <cell r="P25">
            <v>73.03</v>
          </cell>
          <cell r="Q25">
            <v>0.54000000000000625</v>
          </cell>
          <cell r="R25">
            <v>2.04</v>
          </cell>
          <cell r="S25">
            <v>73.53</v>
          </cell>
          <cell r="T25">
            <v>0.5</v>
          </cell>
          <cell r="U25">
            <v>1.71</v>
          </cell>
          <cell r="V25">
            <v>73.95</v>
          </cell>
          <cell r="W25">
            <v>0.42000000000000171</v>
          </cell>
          <cell r="X25">
            <v>1.79</v>
          </cell>
          <cell r="Y25">
            <v>74.31</v>
          </cell>
          <cell r="Z25">
            <v>0.35999999999999943</v>
          </cell>
          <cell r="AA25">
            <v>1.37</v>
          </cell>
          <cell r="AB25">
            <v>74.91</v>
          </cell>
          <cell r="AC25">
            <v>0.59999999999999432</v>
          </cell>
          <cell r="AD25">
            <v>2.41</v>
          </cell>
          <cell r="AE25">
            <v>75.36</v>
          </cell>
          <cell r="AF25">
            <v>0.45000000000000284</v>
          </cell>
          <cell r="AG25">
            <v>1.75</v>
          </cell>
          <cell r="AH25">
            <v>75.77</v>
          </cell>
          <cell r="AI25">
            <v>0.40999999999999659</v>
          </cell>
          <cell r="AJ25">
            <v>1.64</v>
          </cell>
          <cell r="AK25">
            <v>76.22</v>
          </cell>
          <cell r="AL25">
            <v>0.45000000000000284</v>
          </cell>
          <cell r="AM25">
            <v>2.06</v>
          </cell>
          <cell r="AN25">
            <v>76.930000000000007</v>
          </cell>
          <cell r="AO25">
            <v>0.71000000000000796</v>
          </cell>
          <cell r="AP25">
            <v>2.34</v>
          </cell>
          <cell r="AQ25">
            <v>82.94</v>
          </cell>
          <cell r="AR25">
            <v>6.0099999999999909</v>
          </cell>
          <cell r="AS25">
            <v>27.16</v>
          </cell>
          <cell r="AT25">
            <v>88.83</v>
          </cell>
          <cell r="AU25">
            <v>5.8900000000000006</v>
          </cell>
          <cell r="AV25">
            <v>24.34</v>
          </cell>
          <cell r="AW25">
            <v>92.42</v>
          </cell>
          <cell r="AX25">
            <v>3.5900000000000034</v>
          </cell>
          <cell r="AY25">
            <v>14.84</v>
          </cell>
          <cell r="AZ25">
            <v>92.99</v>
          </cell>
          <cell r="BA25">
            <v>0.56999999999999318</v>
          </cell>
          <cell r="BB25">
            <v>2.4</v>
          </cell>
          <cell r="BC25">
            <v>93.58</v>
          </cell>
          <cell r="BD25">
            <v>0.59000000000000341</v>
          </cell>
          <cell r="BE25">
            <v>2.65</v>
          </cell>
          <cell r="BF25">
            <v>94.17</v>
          </cell>
          <cell r="BG25">
            <v>0.59000000000000341</v>
          </cell>
          <cell r="BH25">
            <v>2.41</v>
          </cell>
          <cell r="BI25">
            <v>95.01</v>
          </cell>
          <cell r="BJ25">
            <v>0.84000000000000341</v>
          </cell>
          <cell r="BK25">
            <v>3.9</v>
          </cell>
          <cell r="BL25">
            <v>95.58</v>
          </cell>
          <cell r="BM25">
            <v>0.56999999999999318</v>
          </cell>
          <cell r="BN25">
            <v>1.89</v>
          </cell>
          <cell r="BO25">
            <v>96.04</v>
          </cell>
          <cell r="BP25">
            <v>0.46000000000000796</v>
          </cell>
          <cell r="BQ25">
            <v>2.42</v>
          </cell>
          <cell r="BR25">
            <v>96.71</v>
          </cell>
          <cell r="BS25">
            <v>0.66999999999998749</v>
          </cell>
          <cell r="BT25">
            <v>3.04</v>
          </cell>
          <cell r="BU25">
            <v>97.07</v>
          </cell>
          <cell r="BV25">
            <v>0.35999999999999943</v>
          </cell>
          <cell r="BW25">
            <v>1.42</v>
          </cell>
          <cell r="BX25">
            <v>98.16</v>
          </cell>
          <cell r="BY25">
            <v>1.0900000000000034</v>
          </cell>
          <cell r="BZ25">
            <v>3.91</v>
          </cell>
        </row>
        <row r="26">
          <cell r="B26" t="str">
            <v>EMA1-802</v>
          </cell>
          <cell r="C26">
            <v>268.73</v>
          </cell>
          <cell r="D26">
            <v>270.55</v>
          </cell>
          <cell r="E26">
            <v>1.8199999999999932</v>
          </cell>
          <cell r="F26">
            <v>6.1</v>
          </cell>
          <cell r="G26">
            <v>271.55</v>
          </cell>
          <cell r="H26">
            <v>1</v>
          </cell>
          <cell r="I26">
            <v>3.65</v>
          </cell>
          <cell r="J26">
            <v>279.45999999999998</v>
          </cell>
          <cell r="K26">
            <v>7.9099999999999682</v>
          </cell>
          <cell r="L26">
            <v>30.18</v>
          </cell>
          <cell r="M26">
            <v>294.89</v>
          </cell>
          <cell r="N26">
            <v>15.430000000000007</v>
          </cell>
          <cell r="O26">
            <v>67.599999999999994</v>
          </cell>
          <cell r="P26">
            <v>305.77</v>
          </cell>
          <cell r="Q26">
            <v>10.879999999999995</v>
          </cell>
          <cell r="R26">
            <v>41.07</v>
          </cell>
          <cell r="S26">
            <v>316.70999999999998</v>
          </cell>
          <cell r="T26">
            <v>10.939999999999998</v>
          </cell>
          <cell r="U26">
            <v>37.479999999999997</v>
          </cell>
          <cell r="V26">
            <v>323.94</v>
          </cell>
          <cell r="W26">
            <v>7.2300000000000182</v>
          </cell>
          <cell r="X26">
            <v>30.86</v>
          </cell>
          <cell r="Y26">
            <v>335.21</v>
          </cell>
          <cell r="Z26">
            <v>11.269999999999982</v>
          </cell>
          <cell r="AA26">
            <v>43.04</v>
          </cell>
          <cell r="AB26">
            <v>339.68</v>
          </cell>
          <cell r="AC26">
            <v>4.4700000000000273</v>
          </cell>
          <cell r="AD26">
            <v>17.95</v>
          </cell>
          <cell r="AE26">
            <v>346.6</v>
          </cell>
          <cell r="AF26">
            <v>6.9200000000000159</v>
          </cell>
          <cell r="AG26">
            <v>26.92</v>
          </cell>
          <cell r="AH26">
            <v>356.12</v>
          </cell>
          <cell r="AI26">
            <v>9.5199999999999818</v>
          </cell>
          <cell r="AJ26">
            <v>37.99</v>
          </cell>
          <cell r="AK26">
            <v>359.22</v>
          </cell>
          <cell r="AL26">
            <v>3.1000000000000227</v>
          </cell>
          <cell r="AM26">
            <v>14.16</v>
          </cell>
          <cell r="AN26">
            <v>362.69</v>
          </cell>
          <cell r="AO26">
            <v>3.4699999999999704</v>
          </cell>
          <cell r="AP26">
            <v>11.43</v>
          </cell>
          <cell r="AQ26">
            <v>364.78</v>
          </cell>
          <cell r="AR26">
            <v>2.089999999999975</v>
          </cell>
          <cell r="AS26">
            <v>9.4499999999999993</v>
          </cell>
          <cell r="AT26">
            <v>378.5</v>
          </cell>
          <cell r="AU26">
            <v>13.720000000000027</v>
          </cell>
          <cell r="AV26">
            <v>56.69</v>
          </cell>
          <cell r="AW26">
            <v>390.41</v>
          </cell>
          <cell r="AX26">
            <v>11.910000000000025</v>
          </cell>
          <cell r="AY26">
            <v>49.24</v>
          </cell>
          <cell r="AZ26">
            <v>390.51</v>
          </cell>
          <cell r="BA26">
            <v>9.9999999999965894E-2</v>
          </cell>
          <cell r="BB26">
            <v>0.42</v>
          </cell>
          <cell r="BC26">
            <v>392.82</v>
          </cell>
          <cell r="BD26">
            <v>2.3100000000000023</v>
          </cell>
          <cell r="BE26">
            <v>10.36</v>
          </cell>
          <cell r="BF26">
            <v>393.22</v>
          </cell>
          <cell r="BG26">
            <v>0.40000000000003411</v>
          </cell>
          <cell r="BH26">
            <v>1.64</v>
          </cell>
          <cell r="BI26">
            <v>393.36</v>
          </cell>
          <cell r="BJ26">
            <v>0.13999999999998636</v>
          </cell>
          <cell r="BK26">
            <v>0.65</v>
          </cell>
          <cell r="BL26">
            <v>393.54</v>
          </cell>
          <cell r="BM26">
            <v>0.18000000000000682</v>
          </cell>
          <cell r="BN26">
            <v>0.6</v>
          </cell>
          <cell r="BO26">
            <v>393.54</v>
          </cell>
          <cell r="BP26">
            <v>0</v>
          </cell>
          <cell r="BQ26">
            <v>0</v>
          </cell>
          <cell r="BR26">
            <v>394.57</v>
          </cell>
          <cell r="BS26">
            <v>1.0299999999999727</v>
          </cell>
          <cell r="BT26">
            <v>4.67</v>
          </cell>
          <cell r="BU26">
            <v>394.74</v>
          </cell>
          <cell r="BV26">
            <v>0.17000000000001592</v>
          </cell>
          <cell r="BW26">
            <v>0.67</v>
          </cell>
          <cell r="BX26">
            <v>397.09</v>
          </cell>
          <cell r="BY26">
            <v>2.3499999999999659</v>
          </cell>
          <cell r="BZ26">
            <v>8.43</v>
          </cell>
        </row>
        <row r="27">
          <cell r="B27" t="str">
            <v>EMA2-101</v>
          </cell>
          <cell r="C27">
            <v>218.64</v>
          </cell>
          <cell r="D27">
            <v>223.81</v>
          </cell>
          <cell r="E27">
            <v>5.1700000000000159</v>
          </cell>
          <cell r="F27">
            <v>17.32</v>
          </cell>
          <cell r="G27">
            <v>232.31</v>
          </cell>
          <cell r="H27">
            <v>8.5</v>
          </cell>
          <cell r="I27">
            <v>31.06</v>
          </cell>
          <cell r="J27">
            <v>240.69</v>
          </cell>
          <cell r="K27">
            <v>8.3799999999999955</v>
          </cell>
          <cell r="L27">
            <v>31.97</v>
          </cell>
          <cell r="M27">
            <v>251.97</v>
          </cell>
          <cell r="N27">
            <v>11.280000000000001</v>
          </cell>
          <cell r="O27">
            <v>49.42</v>
          </cell>
          <cell r="P27">
            <v>261.79000000000002</v>
          </cell>
          <cell r="Q27">
            <v>9.8200000000000216</v>
          </cell>
          <cell r="R27">
            <v>37.07</v>
          </cell>
          <cell r="S27">
            <v>268.27</v>
          </cell>
          <cell r="T27">
            <v>6.4799999999999613</v>
          </cell>
          <cell r="U27">
            <v>22.2</v>
          </cell>
          <cell r="V27">
            <v>273.93</v>
          </cell>
          <cell r="W27">
            <v>5.660000000000025</v>
          </cell>
          <cell r="X27">
            <v>24.16</v>
          </cell>
          <cell r="Y27">
            <v>279.27</v>
          </cell>
          <cell r="Z27">
            <v>5.339999999999975</v>
          </cell>
          <cell r="AA27">
            <v>20.39</v>
          </cell>
          <cell r="AB27">
            <v>285.68</v>
          </cell>
          <cell r="AC27">
            <v>6.410000000000025</v>
          </cell>
          <cell r="AD27">
            <v>25.74</v>
          </cell>
          <cell r="AE27">
            <v>293.35000000000002</v>
          </cell>
          <cell r="AF27">
            <v>7.6700000000000159</v>
          </cell>
          <cell r="AG27">
            <v>29.84</v>
          </cell>
          <cell r="AH27">
            <v>299.51</v>
          </cell>
          <cell r="AI27">
            <v>6.1599999999999682</v>
          </cell>
          <cell r="AJ27">
            <v>24.58</v>
          </cell>
          <cell r="AK27">
            <v>304.94</v>
          </cell>
          <cell r="AL27">
            <v>5.4300000000000068</v>
          </cell>
          <cell r="AM27">
            <v>24.8</v>
          </cell>
          <cell r="AN27">
            <v>313.89999999999998</v>
          </cell>
          <cell r="AO27">
            <v>8.9599999999999795</v>
          </cell>
          <cell r="AP27">
            <v>29.52</v>
          </cell>
          <cell r="AQ27">
            <v>322.42</v>
          </cell>
          <cell r="AR27">
            <v>8.5200000000000387</v>
          </cell>
          <cell r="AS27">
            <v>38.5</v>
          </cell>
          <cell r="AT27">
            <v>332.87</v>
          </cell>
          <cell r="AU27">
            <v>10.449999999999989</v>
          </cell>
          <cell r="AV27">
            <v>43.18</v>
          </cell>
          <cell r="AW27">
            <v>347.07</v>
          </cell>
          <cell r="AX27">
            <v>14.199999999999989</v>
          </cell>
          <cell r="AY27">
            <v>58.71</v>
          </cell>
          <cell r="AZ27">
            <v>361.78</v>
          </cell>
          <cell r="BA27">
            <v>14.70999999999998</v>
          </cell>
          <cell r="BB27">
            <v>61.83</v>
          </cell>
          <cell r="BC27">
            <v>371.99</v>
          </cell>
          <cell r="BD27">
            <v>10.210000000000036</v>
          </cell>
          <cell r="BE27">
            <v>45.81</v>
          </cell>
          <cell r="BF27">
            <v>380.27</v>
          </cell>
          <cell r="BG27">
            <v>8.2799999999999727</v>
          </cell>
          <cell r="BH27">
            <v>33.86</v>
          </cell>
          <cell r="BI27">
            <v>388.34</v>
          </cell>
          <cell r="BJ27">
            <v>8.0699999999999932</v>
          </cell>
          <cell r="BK27">
            <v>37.51</v>
          </cell>
          <cell r="BL27">
            <v>396.16</v>
          </cell>
          <cell r="BM27">
            <v>7.82000000000005</v>
          </cell>
          <cell r="BN27">
            <v>25.99</v>
          </cell>
          <cell r="BO27">
            <v>401.98</v>
          </cell>
          <cell r="BP27">
            <v>5.8199999999999932</v>
          </cell>
          <cell r="BQ27">
            <v>30.66</v>
          </cell>
          <cell r="BR27">
            <v>409.05</v>
          </cell>
          <cell r="BS27">
            <v>7.0699999999999932</v>
          </cell>
          <cell r="BT27">
            <v>32.03</v>
          </cell>
          <cell r="BU27">
            <v>415.96</v>
          </cell>
          <cell r="BV27">
            <v>6.9099999999999682</v>
          </cell>
          <cell r="BW27">
            <v>27.26</v>
          </cell>
          <cell r="BX27">
            <v>425.03</v>
          </cell>
          <cell r="BY27">
            <v>9.0699999999999932</v>
          </cell>
          <cell r="BZ27">
            <v>32.549999999999997</v>
          </cell>
        </row>
        <row r="28">
          <cell r="B28" t="str">
            <v>EMA2-102</v>
          </cell>
          <cell r="C28">
            <v>290.45999999999998</v>
          </cell>
          <cell r="D28">
            <v>294.43</v>
          </cell>
          <cell r="E28">
            <v>3.9700000000000273</v>
          </cell>
          <cell r="F28">
            <v>13.3</v>
          </cell>
          <cell r="G28">
            <v>299.60000000000002</v>
          </cell>
          <cell r="H28">
            <v>5.1700000000000159</v>
          </cell>
          <cell r="I28">
            <v>18.89</v>
          </cell>
          <cell r="J28">
            <v>311.20999999999998</v>
          </cell>
          <cell r="K28">
            <v>11.609999999999957</v>
          </cell>
          <cell r="L28">
            <v>44.3</v>
          </cell>
          <cell r="M28">
            <v>317.48</v>
          </cell>
          <cell r="N28">
            <v>6.2700000000000387</v>
          </cell>
          <cell r="O28">
            <v>27.47</v>
          </cell>
          <cell r="P28">
            <v>322.42</v>
          </cell>
          <cell r="Q28">
            <v>4.9399999999999977</v>
          </cell>
          <cell r="R28">
            <v>18.649999999999999</v>
          </cell>
          <cell r="S28">
            <v>329.71</v>
          </cell>
          <cell r="T28">
            <v>7.2899999999999636</v>
          </cell>
          <cell r="U28">
            <v>24.97</v>
          </cell>
          <cell r="V28">
            <v>335.78</v>
          </cell>
          <cell r="W28">
            <v>6.0699999999999932</v>
          </cell>
          <cell r="X28">
            <v>25.9</v>
          </cell>
          <cell r="Y28">
            <v>343.09</v>
          </cell>
          <cell r="Z28">
            <v>7.3100000000000023</v>
          </cell>
          <cell r="AA28">
            <v>27.92</v>
          </cell>
          <cell r="AB28">
            <v>347.83</v>
          </cell>
          <cell r="AC28">
            <v>4.7400000000000091</v>
          </cell>
          <cell r="AD28">
            <v>19.03</v>
          </cell>
          <cell r="AE28">
            <v>355.46</v>
          </cell>
          <cell r="AF28">
            <v>7.6299999999999955</v>
          </cell>
          <cell r="AG28">
            <v>29.68</v>
          </cell>
          <cell r="AH28">
            <v>360.39</v>
          </cell>
          <cell r="AI28">
            <v>4.9300000000000068</v>
          </cell>
          <cell r="AJ28">
            <v>19.670000000000002</v>
          </cell>
          <cell r="AK28">
            <v>367.34</v>
          </cell>
          <cell r="AL28">
            <v>6.9499999999999886</v>
          </cell>
          <cell r="AM28">
            <v>31.75</v>
          </cell>
          <cell r="AN28">
            <v>374.21</v>
          </cell>
          <cell r="AO28">
            <v>6.8700000000000045</v>
          </cell>
          <cell r="AP28">
            <v>22.63</v>
          </cell>
          <cell r="AQ28">
            <v>381.79</v>
          </cell>
          <cell r="AR28">
            <v>7.5800000000000409</v>
          </cell>
          <cell r="AS28">
            <v>34.26</v>
          </cell>
          <cell r="AT28">
            <v>389.07</v>
          </cell>
          <cell r="AU28">
            <v>7.2799999999999727</v>
          </cell>
          <cell r="AV28">
            <v>30.08</v>
          </cell>
          <cell r="AW28">
            <v>398</v>
          </cell>
          <cell r="AX28">
            <v>8.9300000000000068</v>
          </cell>
          <cell r="AY28">
            <v>36.92</v>
          </cell>
          <cell r="AZ28">
            <v>406.74</v>
          </cell>
          <cell r="BA28">
            <v>8.7400000000000091</v>
          </cell>
          <cell r="BB28">
            <v>36.729999999999997</v>
          </cell>
          <cell r="BC28">
            <v>414.97</v>
          </cell>
          <cell r="BD28">
            <v>8.2300000000000182</v>
          </cell>
          <cell r="BE28">
            <v>36.92</v>
          </cell>
          <cell r="BF28">
            <v>422</v>
          </cell>
          <cell r="BG28">
            <v>7.0299999999999727</v>
          </cell>
          <cell r="BH28">
            <v>28.75</v>
          </cell>
          <cell r="BI28">
            <v>429.98</v>
          </cell>
          <cell r="BJ28">
            <v>7.9800000000000182</v>
          </cell>
          <cell r="BK28">
            <v>37.090000000000003</v>
          </cell>
          <cell r="BL28">
            <v>438.71</v>
          </cell>
          <cell r="BM28">
            <v>8.7299999999999613</v>
          </cell>
          <cell r="BN28">
            <v>29.02</v>
          </cell>
          <cell r="BO28">
            <v>446.29</v>
          </cell>
          <cell r="BP28">
            <v>7.5800000000000409</v>
          </cell>
          <cell r="BQ28">
            <v>39.93</v>
          </cell>
          <cell r="BR28">
            <v>453.25</v>
          </cell>
          <cell r="BS28">
            <v>6.9599999999999795</v>
          </cell>
          <cell r="BT28">
            <v>31.53</v>
          </cell>
          <cell r="BU28">
            <v>461.53</v>
          </cell>
          <cell r="BV28">
            <v>8.2799999999999727</v>
          </cell>
          <cell r="BW28">
            <v>32.67</v>
          </cell>
          <cell r="BX28">
            <v>468.58</v>
          </cell>
          <cell r="BY28">
            <v>7.0500000000000114</v>
          </cell>
          <cell r="BZ28">
            <v>25.3</v>
          </cell>
        </row>
        <row r="29">
          <cell r="B29" t="str">
            <v>EMA2-201</v>
          </cell>
          <cell r="C29">
            <v>447.95</v>
          </cell>
          <cell r="D29">
            <v>462.34</v>
          </cell>
          <cell r="E29">
            <v>14.389999999999986</v>
          </cell>
          <cell r="F29">
            <v>48.21</v>
          </cell>
          <cell r="G29">
            <v>478.22</v>
          </cell>
          <cell r="H29">
            <v>15.880000000000052</v>
          </cell>
          <cell r="I29">
            <v>58.02</v>
          </cell>
          <cell r="J29">
            <v>501.06</v>
          </cell>
          <cell r="K29">
            <v>22.839999999999975</v>
          </cell>
          <cell r="L29">
            <v>87.14</v>
          </cell>
          <cell r="M29">
            <v>520.5</v>
          </cell>
          <cell r="N29">
            <v>19.439999999999998</v>
          </cell>
          <cell r="O29">
            <v>85.16</v>
          </cell>
          <cell r="P29">
            <v>540.09</v>
          </cell>
          <cell r="Q29">
            <v>19.590000000000032</v>
          </cell>
          <cell r="R29">
            <v>73.959999999999994</v>
          </cell>
          <cell r="S29">
            <v>558.04999999999995</v>
          </cell>
          <cell r="T29">
            <v>17.959999999999923</v>
          </cell>
          <cell r="U29">
            <v>61.53</v>
          </cell>
          <cell r="V29">
            <v>573.91999999999996</v>
          </cell>
          <cell r="W29">
            <v>15.870000000000005</v>
          </cell>
          <cell r="X29">
            <v>67.73</v>
          </cell>
          <cell r="Y29">
            <v>589.42999999999995</v>
          </cell>
          <cell r="Z29">
            <v>15.509999999999991</v>
          </cell>
          <cell r="AA29">
            <v>59.23</v>
          </cell>
          <cell r="AB29">
            <v>606.05999999999995</v>
          </cell>
          <cell r="AC29">
            <v>16.629999999999995</v>
          </cell>
          <cell r="AD29">
            <v>66.77</v>
          </cell>
          <cell r="AE29">
            <v>621.79</v>
          </cell>
          <cell r="AF29">
            <v>15.730000000000018</v>
          </cell>
          <cell r="AG29">
            <v>61.19</v>
          </cell>
          <cell r="AH29">
            <v>635.86</v>
          </cell>
          <cell r="AI29">
            <v>14.07000000000005</v>
          </cell>
          <cell r="AJ29">
            <v>56.15</v>
          </cell>
          <cell r="AK29">
            <v>649.44000000000005</v>
          </cell>
          <cell r="AL29">
            <v>13.580000000000041</v>
          </cell>
          <cell r="AM29">
            <v>62.03</v>
          </cell>
          <cell r="AN29">
            <v>674.05</v>
          </cell>
          <cell r="AO29">
            <v>24.6099999999999</v>
          </cell>
          <cell r="AP29">
            <v>81.069999999999993</v>
          </cell>
          <cell r="AQ29">
            <v>695.32</v>
          </cell>
          <cell r="AR29">
            <v>21.270000000000095</v>
          </cell>
          <cell r="AS29">
            <v>96.13</v>
          </cell>
          <cell r="AT29">
            <v>711.68</v>
          </cell>
          <cell r="AU29">
            <v>16.3599999999999</v>
          </cell>
          <cell r="AV29">
            <v>67.599999999999994</v>
          </cell>
          <cell r="AW29">
            <v>731.89</v>
          </cell>
          <cell r="AX29">
            <v>20.210000000000036</v>
          </cell>
          <cell r="AY29">
            <v>83.56</v>
          </cell>
          <cell r="AZ29">
            <v>747.79</v>
          </cell>
          <cell r="BA29">
            <v>15.899999999999977</v>
          </cell>
          <cell r="BB29">
            <v>66.83</v>
          </cell>
          <cell r="BC29">
            <v>760.49</v>
          </cell>
          <cell r="BD29">
            <v>12.700000000000045</v>
          </cell>
          <cell r="BE29">
            <v>56.98</v>
          </cell>
          <cell r="BF29">
            <v>773.99</v>
          </cell>
          <cell r="BG29">
            <v>13.5</v>
          </cell>
          <cell r="BH29">
            <v>55.21</v>
          </cell>
          <cell r="BI29">
            <v>788.22</v>
          </cell>
          <cell r="BJ29">
            <v>14.230000000000018</v>
          </cell>
          <cell r="BK29">
            <v>66.150000000000006</v>
          </cell>
          <cell r="BL29">
            <v>804.92</v>
          </cell>
          <cell r="BM29">
            <v>16.699999999999932</v>
          </cell>
          <cell r="BN29">
            <v>55.51</v>
          </cell>
          <cell r="BO29">
            <v>817.24</v>
          </cell>
          <cell r="BP29">
            <v>12.32000000000005</v>
          </cell>
          <cell r="BQ29">
            <v>64.900000000000006</v>
          </cell>
          <cell r="BR29">
            <v>835.72</v>
          </cell>
          <cell r="BS29">
            <v>18.480000000000018</v>
          </cell>
          <cell r="BT29">
            <v>83.73</v>
          </cell>
          <cell r="BU29">
            <v>848.59</v>
          </cell>
          <cell r="BV29">
            <v>12.870000000000005</v>
          </cell>
          <cell r="BW29">
            <v>50.78</v>
          </cell>
          <cell r="BX29">
            <v>863.25</v>
          </cell>
          <cell r="BY29">
            <v>14.659999999999968</v>
          </cell>
          <cell r="BZ29">
            <v>52.61</v>
          </cell>
        </row>
        <row r="30">
          <cell r="B30" t="str">
            <v>EMA2-202</v>
          </cell>
          <cell r="C30">
            <v>268.98</v>
          </cell>
          <cell r="D30">
            <v>279.64</v>
          </cell>
          <cell r="E30">
            <v>10.659999999999968</v>
          </cell>
          <cell r="F30">
            <v>35.72</v>
          </cell>
          <cell r="G30">
            <v>290.27</v>
          </cell>
          <cell r="H30">
            <v>10.629999999999995</v>
          </cell>
          <cell r="I30">
            <v>38.840000000000003</v>
          </cell>
          <cell r="J30">
            <v>299.94</v>
          </cell>
          <cell r="K30">
            <v>9.6700000000000159</v>
          </cell>
          <cell r="L30">
            <v>36.89</v>
          </cell>
          <cell r="M30">
            <v>311.38</v>
          </cell>
          <cell r="N30">
            <v>11.439999999999998</v>
          </cell>
          <cell r="O30">
            <v>50.12</v>
          </cell>
          <cell r="P30">
            <v>320.60000000000002</v>
          </cell>
          <cell r="Q30">
            <v>9.2200000000000273</v>
          </cell>
          <cell r="R30">
            <v>34.81</v>
          </cell>
          <cell r="S30">
            <v>333.04</v>
          </cell>
          <cell r="T30">
            <v>12.439999999999998</v>
          </cell>
          <cell r="U30">
            <v>42.62</v>
          </cell>
          <cell r="V30">
            <v>345.27</v>
          </cell>
          <cell r="W30">
            <v>12.229999999999961</v>
          </cell>
          <cell r="X30">
            <v>52.19</v>
          </cell>
          <cell r="Y30">
            <v>358.48</v>
          </cell>
          <cell r="Z30">
            <v>13.210000000000036</v>
          </cell>
          <cell r="AA30">
            <v>50.45</v>
          </cell>
          <cell r="AB30">
            <v>373.88</v>
          </cell>
          <cell r="AC30">
            <v>15.399999999999977</v>
          </cell>
          <cell r="AD30">
            <v>61.83</v>
          </cell>
          <cell r="AE30">
            <v>389.09</v>
          </cell>
          <cell r="AF30">
            <v>15.20999999999998</v>
          </cell>
          <cell r="AG30">
            <v>59.17</v>
          </cell>
          <cell r="AH30">
            <v>403.83</v>
          </cell>
          <cell r="AI30">
            <v>14.740000000000009</v>
          </cell>
          <cell r="AJ30">
            <v>58.82</v>
          </cell>
          <cell r="AK30">
            <v>420.32</v>
          </cell>
          <cell r="AL30">
            <v>16.490000000000009</v>
          </cell>
          <cell r="AM30">
            <v>75.33</v>
          </cell>
          <cell r="AN30">
            <v>437.78</v>
          </cell>
          <cell r="AO30">
            <v>17.45999999999998</v>
          </cell>
          <cell r="AP30">
            <v>57.51</v>
          </cell>
          <cell r="AQ30">
            <v>450.57</v>
          </cell>
          <cell r="AR30">
            <v>12.79000000000002</v>
          </cell>
          <cell r="AS30">
            <v>57.8</v>
          </cell>
          <cell r="AT30">
            <v>467.37</v>
          </cell>
          <cell r="AU30">
            <v>16.800000000000011</v>
          </cell>
          <cell r="AV30">
            <v>69.42</v>
          </cell>
          <cell r="AW30">
            <v>483.58</v>
          </cell>
          <cell r="AX30">
            <v>16.20999999999998</v>
          </cell>
          <cell r="AY30">
            <v>67.02</v>
          </cell>
          <cell r="AZ30">
            <v>497.72</v>
          </cell>
          <cell r="BA30">
            <v>14.140000000000043</v>
          </cell>
          <cell r="BB30">
            <v>59.43</v>
          </cell>
          <cell r="BC30">
            <v>512.59</v>
          </cell>
          <cell r="BD30">
            <v>14.870000000000005</v>
          </cell>
          <cell r="BE30">
            <v>66.709999999999994</v>
          </cell>
          <cell r="BF30">
            <v>526.75</v>
          </cell>
          <cell r="BG30">
            <v>14.159999999999968</v>
          </cell>
          <cell r="BH30">
            <v>57.9</v>
          </cell>
          <cell r="BI30">
            <v>542.62</v>
          </cell>
          <cell r="BJ30">
            <v>15.870000000000005</v>
          </cell>
          <cell r="BK30">
            <v>73.77</v>
          </cell>
          <cell r="BL30">
            <v>557.38</v>
          </cell>
          <cell r="BM30">
            <v>14.759999999999991</v>
          </cell>
          <cell r="BN30">
            <v>49.06</v>
          </cell>
          <cell r="BO30">
            <v>560.9</v>
          </cell>
          <cell r="BP30">
            <v>3.5199999999999818</v>
          </cell>
          <cell r="BQ30">
            <v>18.54</v>
          </cell>
          <cell r="BR30">
            <v>561.39</v>
          </cell>
          <cell r="BS30">
            <v>0.49000000000000909</v>
          </cell>
          <cell r="BT30">
            <v>2.2200000000000002</v>
          </cell>
          <cell r="BU30">
            <v>561.4</v>
          </cell>
          <cell r="BV30">
            <v>9.9999999999909051E-3</v>
          </cell>
          <cell r="BW30">
            <v>0.04</v>
          </cell>
          <cell r="BX30">
            <v>561.62</v>
          </cell>
          <cell r="BY30">
            <v>0.22000000000002728</v>
          </cell>
          <cell r="BZ30">
            <v>0.79</v>
          </cell>
        </row>
        <row r="31">
          <cell r="B31" t="str">
            <v>EMA2-301</v>
          </cell>
          <cell r="C31">
            <v>442.92</v>
          </cell>
          <cell r="D31">
            <v>451.02</v>
          </cell>
          <cell r="E31">
            <v>8.0999999999999659</v>
          </cell>
          <cell r="F31">
            <v>27.14</v>
          </cell>
          <cell r="G31">
            <v>467.41</v>
          </cell>
          <cell r="H31">
            <v>16.390000000000043</v>
          </cell>
          <cell r="I31">
            <v>59.88</v>
          </cell>
          <cell r="J31">
            <v>482.51</v>
          </cell>
          <cell r="K31">
            <v>15.099999999999966</v>
          </cell>
          <cell r="L31">
            <v>57.61</v>
          </cell>
          <cell r="M31">
            <v>496.18</v>
          </cell>
          <cell r="N31">
            <v>13.670000000000016</v>
          </cell>
          <cell r="O31">
            <v>59.89</v>
          </cell>
          <cell r="P31">
            <v>510.26</v>
          </cell>
          <cell r="Q31">
            <v>14.079999999999984</v>
          </cell>
          <cell r="R31">
            <v>53.15</v>
          </cell>
          <cell r="S31">
            <v>524.72</v>
          </cell>
          <cell r="T31">
            <v>14.460000000000036</v>
          </cell>
          <cell r="U31">
            <v>49.54</v>
          </cell>
          <cell r="V31">
            <v>537.25</v>
          </cell>
          <cell r="W31">
            <v>12.529999999999973</v>
          </cell>
          <cell r="X31">
            <v>53.47</v>
          </cell>
          <cell r="Y31">
            <v>550.04</v>
          </cell>
          <cell r="Z31">
            <v>12.789999999999964</v>
          </cell>
          <cell r="AA31">
            <v>48.84</v>
          </cell>
          <cell r="AB31">
            <v>564.35</v>
          </cell>
          <cell r="AC31">
            <v>14.310000000000059</v>
          </cell>
          <cell r="AD31">
            <v>57.45</v>
          </cell>
          <cell r="AE31">
            <v>578.15</v>
          </cell>
          <cell r="AF31">
            <v>13.799999999999955</v>
          </cell>
          <cell r="AG31">
            <v>53.68</v>
          </cell>
          <cell r="AH31">
            <v>589.04</v>
          </cell>
          <cell r="AI31">
            <v>10.889999999999986</v>
          </cell>
          <cell r="AJ31">
            <v>43.46</v>
          </cell>
          <cell r="AK31">
            <v>600.41999999999996</v>
          </cell>
          <cell r="AL31">
            <v>11.379999999999995</v>
          </cell>
          <cell r="AM31">
            <v>51.98</v>
          </cell>
          <cell r="AN31">
            <v>618.53</v>
          </cell>
          <cell r="AO31">
            <v>18.110000000000014</v>
          </cell>
          <cell r="AP31">
            <v>59.66</v>
          </cell>
          <cell r="AQ31">
            <v>631.19000000000005</v>
          </cell>
          <cell r="AR31">
            <v>12.660000000000082</v>
          </cell>
          <cell r="AS31">
            <v>57.21</v>
          </cell>
          <cell r="AT31">
            <v>651.57000000000005</v>
          </cell>
          <cell r="AU31">
            <v>20.379999999999995</v>
          </cell>
          <cell r="AV31">
            <v>84.21</v>
          </cell>
          <cell r="AW31">
            <v>661.74</v>
          </cell>
          <cell r="AX31">
            <v>10.169999999999959</v>
          </cell>
          <cell r="AY31">
            <v>42.05</v>
          </cell>
          <cell r="AZ31">
            <v>680.05</v>
          </cell>
          <cell r="BA31">
            <v>18.309999999999945</v>
          </cell>
          <cell r="BB31">
            <v>76.959999999999994</v>
          </cell>
          <cell r="BC31">
            <v>693.15</v>
          </cell>
          <cell r="BD31">
            <v>13.100000000000023</v>
          </cell>
          <cell r="BE31">
            <v>58.77</v>
          </cell>
          <cell r="BF31">
            <v>700.81</v>
          </cell>
          <cell r="BG31">
            <v>7.6599999999999682</v>
          </cell>
          <cell r="BH31">
            <v>31.32</v>
          </cell>
          <cell r="BI31">
            <v>704</v>
          </cell>
          <cell r="BJ31">
            <v>3.1900000000000546</v>
          </cell>
          <cell r="BK31">
            <v>14.83</v>
          </cell>
          <cell r="BL31">
            <v>708.65</v>
          </cell>
          <cell r="BM31">
            <v>4.6499999999999773</v>
          </cell>
          <cell r="BN31">
            <v>15.46</v>
          </cell>
          <cell r="BO31">
            <v>718.16</v>
          </cell>
          <cell r="BP31">
            <v>9.5099999999999909</v>
          </cell>
          <cell r="BQ31">
            <v>50.1</v>
          </cell>
          <cell r="BR31">
            <v>730.27</v>
          </cell>
          <cell r="BS31">
            <v>12.110000000000014</v>
          </cell>
          <cell r="BT31">
            <v>54.87</v>
          </cell>
          <cell r="BU31">
            <v>744.52</v>
          </cell>
          <cell r="BV31">
            <v>14.25</v>
          </cell>
          <cell r="BW31">
            <v>56.22</v>
          </cell>
          <cell r="BX31">
            <v>750.78</v>
          </cell>
          <cell r="BY31">
            <v>6.2599999999999909</v>
          </cell>
          <cell r="BZ31">
            <v>22.46</v>
          </cell>
        </row>
        <row r="32">
          <cell r="B32" t="str">
            <v>EMA2-302</v>
          </cell>
          <cell r="C32">
            <v>156.71</v>
          </cell>
          <cell r="D32">
            <v>156.71</v>
          </cell>
          <cell r="E32">
            <v>0</v>
          </cell>
          <cell r="F32">
            <v>0</v>
          </cell>
          <cell r="G32">
            <v>157.94</v>
          </cell>
          <cell r="H32">
            <v>1.2299999999999898</v>
          </cell>
          <cell r="I32">
            <v>4.49</v>
          </cell>
          <cell r="J32">
            <v>161.54</v>
          </cell>
          <cell r="K32">
            <v>3.5999999999999943</v>
          </cell>
          <cell r="L32">
            <v>13.74</v>
          </cell>
          <cell r="M32">
            <v>164.8</v>
          </cell>
          <cell r="N32">
            <v>3.2600000000000193</v>
          </cell>
          <cell r="O32">
            <v>14.28</v>
          </cell>
          <cell r="P32">
            <v>172.51</v>
          </cell>
          <cell r="Q32">
            <v>7.7099999999999795</v>
          </cell>
          <cell r="R32">
            <v>29.11</v>
          </cell>
          <cell r="S32">
            <v>177.09</v>
          </cell>
          <cell r="T32">
            <v>4.5800000000000125</v>
          </cell>
          <cell r="U32">
            <v>15.69</v>
          </cell>
          <cell r="V32">
            <v>182.19</v>
          </cell>
          <cell r="W32">
            <v>5.0999999999999943</v>
          </cell>
          <cell r="X32">
            <v>21.77</v>
          </cell>
          <cell r="Y32">
            <v>189.47</v>
          </cell>
          <cell r="Z32">
            <v>7.2800000000000011</v>
          </cell>
          <cell r="AA32">
            <v>27.8</v>
          </cell>
          <cell r="AB32">
            <v>196.12</v>
          </cell>
          <cell r="AC32">
            <v>6.6500000000000057</v>
          </cell>
          <cell r="AD32">
            <v>26.7</v>
          </cell>
          <cell r="AE32">
            <v>201.91</v>
          </cell>
          <cell r="AF32">
            <v>5.789999999999992</v>
          </cell>
          <cell r="AG32">
            <v>22.52</v>
          </cell>
          <cell r="AH32">
            <v>215.36</v>
          </cell>
          <cell r="AI32">
            <v>13.450000000000017</v>
          </cell>
          <cell r="AJ32">
            <v>53.67</v>
          </cell>
          <cell r="AK32">
            <v>218.21</v>
          </cell>
          <cell r="AL32">
            <v>2.8499999999999943</v>
          </cell>
          <cell r="AM32">
            <v>13.02</v>
          </cell>
          <cell r="AN32">
            <v>222.28</v>
          </cell>
          <cell r="AO32">
            <v>4.0699999999999932</v>
          </cell>
          <cell r="AP32">
            <v>13.41</v>
          </cell>
          <cell r="AQ32">
            <v>227.75</v>
          </cell>
          <cell r="AR32">
            <v>5.4699999999999989</v>
          </cell>
          <cell r="AS32">
            <v>24.72</v>
          </cell>
          <cell r="AT32">
            <v>232.86</v>
          </cell>
          <cell r="AU32">
            <v>5.1100000000000136</v>
          </cell>
          <cell r="AV32">
            <v>21.12</v>
          </cell>
          <cell r="AW32">
            <v>238.2</v>
          </cell>
          <cell r="AX32">
            <v>5.339999999999975</v>
          </cell>
          <cell r="AY32">
            <v>22.08</v>
          </cell>
          <cell r="AZ32">
            <v>244.3</v>
          </cell>
          <cell r="BA32">
            <v>6.1000000000000227</v>
          </cell>
          <cell r="BB32">
            <v>25.64</v>
          </cell>
          <cell r="BC32">
            <v>250.38</v>
          </cell>
          <cell r="BD32">
            <v>6.0799999999999841</v>
          </cell>
          <cell r="BE32">
            <v>27.28</v>
          </cell>
          <cell r="BF32">
            <v>255.16</v>
          </cell>
          <cell r="BG32">
            <v>4.7800000000000011</v>
          </cell>
          <cell r="BH32">
            <v>19.55</v>
          </cell>
          <cell r="BI32">
            <v>262.16000000000003</v>
          </cell>
          <cell r="BJ32">
            <v>7.0000000000000284</v>
          </cell>
          <cell r="BK32">
            <v>32.54</v>
          </cell>
          <cell r="BL32">
            <v>272.11</v>
          </cell>
          <cell r="BM32">
            <v>9.9499999999999886</v>
          </cell>
          <cell r="BN32">
            <v>33.07</v>
          </cell>
          <cell r="BO32">
            <v>280.06</v>
          </cell>
          <cell r="BP32">
            <v>7.9499999999999886</v>
          </cell>
          <cell r="BQ32">
            <v>41.88</v>
          </cell>
          <cell r="BR32">
            <v>287.76</v>
          </cell>
          <cell r="BS32">
            <v>7.6999999999999886</v>
          </cell>
          <cell r="BT32">
            <v>34.89</v>
          </cell>
          <cell r="BU32">
            <v>293.63</v>
          </cell>
          <cell r="BV32">
            <v>5.8700000000000045</v>
          </cell>
          <cell r="BW32">
            <v>23.16</v>
          </cell>
          <cell r="BX32">
            <v>307.77999999999997</v>
          </cell>
          <cell r="BY32">
            <v>14.149999999999977</v>
          </cell>
          <cell r="BZ32">
            <v>50.78</v>
          </cell>
        </row>
        <row r="33">
          <cell r="B33" t="str">
            <v>EMA2-401</v>
          </cell>
          <cell r="C33">
            <v>137.53</v>
          </cell>
          <cell r="D33">
            <v>140.03</v>
          </cell>
          <cell r="E33">
            <v>2.5</v>
          </cell>
          <cell r="F33">
            <v>8.3800000000000008</v>
          </cell>
          <cell r="G33">
            <v>140.19</v>
          </cell>
          <cell r="H33">
            <v>0.15999999999999659</v>
          </cell>
          <cell r="I33">
            <v>0.57999999999999996</v>
          </cell>
          <cell r="J33">
            <v>140.43</v>
          </cell>
          <cell r="K33">
            <v>0.24000000000000909</v>
          </cell>
          <cell r="L33">
            <v>0.92</v>
          </cell>
          <cell r="M33">
            <v>140.86000000000001</v>
          </cell>
          <cell r="N33">
            <v>0.43000000000000682</v>
          </cell>
          <cell r="O33">
            <v>1.88</v>
          </cell>
          <cell r="P33">
            <v>141.63</v>
          </cell>
          <cell r="Q33">
            <v>0.76999999999998181</v>
          </cell>
          <cell r="R33">
            <v>2.91</v>
          </cell>
          <cell r="S33">
            <v>149.44</v>
          </cell>
          <cell r="T33">
            <v>7.8100000000000023</v>
          </cell>
          <cell r="U33">
            <v>26.76</v>
          </cell>
          <cell r="V33">
            <v>156.81</v>
          </cell>
          <cell r="W33">
            <v>7.3700000000000045</v>
          </cell>
          <cell r="X33">
            <v>31.45</v>
          </cell>
          <cell r="Y33">
            <v>167.29</v>
          </cell>
          <cell r="Z33">
            <v>10.47999999999999</v>
          </cell>
          <cell r="AA33">
            <v>40.020000000000003</v>
          </cell>
          <cell r="AB33">
            <v>179.63</v>
          </cell>
          <cell r="AC33">
            <v>12.340000000000003</v>
          </cell>
          <cell r="AD33">
            <v>49.55</v>
          </cell>
          <cell r="AE33">
            <v>186.18</v>
          </cell>
          <cell r="AF33">
            <v>6.5500000000000114</v>
          </cell>
          <cell r="AG33">
            <v>25.48</v>
          </cell>
          <cell r="AH33">
            <v>196.74</v>
          </cell>
          <cell r="AI33">
            <v>10.560000000000002</v>
          </cell>
          <cell r="AJ33">
            <v>42.14</v>
          </cell>
          <cell r="AK33">
            <v>208.29</v>
          </cell>
          <cell r="AL33">
            <v>11.549999999999983</v>
          </cell>
          <cell r="AM33">
            <v>52.76</v>
          </cell>
          <cell r="AN33">
            <v>226.12</v>
          </cell>
          <cell r="AO33">
            <v>17.830000000000013</v>
          </cell>
          <cell r="AP33">
            <v>58.73</v>
          </cell>
          <cell r="AQ33">
            <v>234.51</v>
          </cell>
          <cell r="AR33">
            <v>8.3899999999999864</v>
          </cell>
          <cell r="AS33">
            <v>37.92</v>
          </cell>
          <cell r="AT33">
            <v>242.44</v>
          </cell>
          <cell r="AU33">
            <v>7.9300000000000068</v>
          </cell>
          <cell r="AV33">
            <v>32.770000000000003</v>
          </cell>
          <cell r="AW33">
            <v>251.51</v>
          </cell>
          <cell r="AX33">
            <v>9.0699999999999932</v>
          </cell>
          <cell r="AY33">
            <v>37.5</v>
          </cell>
          <cell r="AZ33">
            <v>253.74</v>
          </cell>
          <cell r="BA33">
            <v>2.2300000000000182</v>
          </cell>
          <cell r="BB33">
            <v>9.3699999999999992</v>
          </cell>
          <cell r="BC33">
            <v>253.8</v>
          </cell>
          <cell r="BD33">
            <v>6.0000000000002274E-2</v>
          </cell>
          <cell r="BE33">
            <v>0.27</v>
          </cell>
          <cell r="BF33">
            <v>253.82</v>
          </cell>
          <cell r="BG33">
            <v>1.999999999998181E-2</v>
          </cell>
          <cell r="BH33">
            <v>0.08</v>
          </cell>
          <cell r="BI33">
            <v>253.85</v>
          </cell>
          <cell r="BJ33">
            <v>3.0000000000001137E-2</v>
          </cell>
          <cell r="BK33">
            <v>0.14000000000000001</v>
          </cell>
          <cell r="BL33">
            <v>253.86</v>
          </cell>
          <cell r="BM33">
            <v>1.0000000000019327E-2</v>
          </cell>
          <cell r="BN33">
            <v>0.03</v>
          </cell>
          <cell r="BO33">
            <v>253.9</v>
          </cell>
          <cell r="BP33">
            <v>3.9999999999992042E-2</v>
          </cell>
          <cell r="BQ33">
            <v>0.21</v>
          </cell>
          <cell r="BR33">
            <v>254.12</v>
          </cell>
          <cell r="BS33">
            <v>0.21999999999999886</v>
          </cell>
          <cell r="BT33">
            <v>1</v>
          </cell>
          <cell r="BU33">
            <v>254.15</v>
          </cell>
          <cell r="BV33">
            <v>3.0000000000001137E-2</v>
          </cell>
          <cell r="BW33">
            <v>0.12</v>
          </cell>
          <cell r="BX33">
            <v>255.41</v>
          </cell>
          <cell r="BY33">
            <v>1.2599999999999909</v>
          </cell>
          <cell r="BZ33">
            <v>4.5199999999999996</v>
          </cell>
        </row>
        <row r="34">
          <cell r="B34" t="str">
            <v>EMA2-402</v>
          </cell>
          <cell r="C34">
            <v>278</v>
          </cell>
          <cell r="D34">
            <v>282.83</v>
          </cell>
          <cell r="E34">
            <v>4.8299999999999841</v>
          </cell>
          <cell r="F34">
            <v>16.18</v>
          </cell>
          <cell r="G34">
            <v>290.89</v>
          </cell>
          <cell r="H34">
            <v>8.0600000000000023</v>
          </cell>
          <cell r="I34">
            <v>29.45</v>
          </cell>
          <cell r="J34">
            <v>295.94</v>
          </cell>
          <cell r="K34">
            <v>5.0500000000000114</v>
          </cell>
          <cell r="L34">
            <v>19.27</v>
          </cell>
          <cell r="M34">
            <v>301.42</v>
          </cell>
          <cell r="N34">
            <v>5.4800000000000182</v>
          </cell>
          <cell r="O34">
            <v>24.01</v>
          </cell>
          <cell r="P34">
            <v>306.74</v>
          </cell>
          <cell r="Q34">
            <v>5.3199999999999932</v>
          </cell>
          <cell r="R34">
            <v>20.079999999999998</v>
          </cell>
          <cell r="S34">
            <v>314.33</v>
          </cell>
          <cell r="T34">
            <v>7.589999999999975</v>
          </cell>
          <cell r="U34">
            <v>26</v>
          </cell>
          <cell r="V34">
            <v>317.58</v>
          </cell>
          <cell r="W34">
            <v>3.25</v>
          </cell>
          <cell r="X34">
            <v>13.87</v>
          </cell>
          <cell r="Y34">
            <v>321.98</v>
          </cell>
          <cell r="Z34">
            <v>4.4000000000000341</v>
          </cell>
          <cell r="AA34">
            <v>16.8</v>
          </cell>
          <cell r="AB34">
            <v>322.85000000000002</v>
          </cell>
          <cell r="AC34">
            <v>0.87000000000000455</v>
          </cell>
          <cell r="AD34">
            <v>3.49</v>
          </cell>
          <cell r="AE34">
            <v>327.73</v>
          </cell>
          <cell r="AF34">
            <v>4.8799999999999955</v>
          </cell>
          <cell r="AG34">
            <v>18.98</v>
          </cell>
          <cell r="AH34">
            <v>337.73</v>
          </cell>
          <cell r="AI34">
            <v>10</v>
          </cell>
          <cell r="AJ34">
            <v>39.909999999999997</v>
          </cell>
          <cell r="AK34">
            <v>345.08</v>
          </cell>
          <cell r="AL34">
            <v>7.3499999999999659</v>
          </cell>
          <cell r="AM34">
            <v>33.58</v>
          </cell>
          <cell r="AN34">
            <v>354.97</v>
          </cell>
          <cell r="AO34">
            <v>9.8900000000000432</v>
          </cell>
          <cell r="AP34">
            <v>32.58</v>
          </cell>
          <cell r="AQ34">
            <v>362.36</v>
          </cell>
          <cell r="AR34">
            <v>7.3899999999999864</v>
          </cell>
          <cell r="AS34">
            <v>33.4</v>
          </cell>
          <cell r="AT34">
            <v>371.04</v>
          </cell>
          <cell r="AU34">
            <v>8.6800000000000068</v>
          </cell>
          <cell r="AV34">
            <v>35.869999999999997</v>
          </cell>
          <cell r="AW34">
            <v>381.8</v>
          </cell>
          <cell r="AX34">
            <v>10.759999999999991</v>
          </cell>
          <cell r="AY34">
            <v>44.49</v>
          </cell>
          <cell r="AZ34">
            <v>391.67</v>
          </cell>
          <cell r="BA34">
            <v>9.8700000000000045</v>
          </cell>
          <cell r="BB34">
            <v>41.48</v>
          </cell>
          <cell r="BC34">
            <v>401.48</v>
          </cell>
          <cell r="BD34">
            <v>9.8100000000000023</v>
          </cell>
          <cell r="BE34">
            <v>44.01</v>
          </cell>
          <cell r="BF34">
            <v>411.03</v>
          </cell>
          <cell r="BG34">
            <v>9.5499999999999545</v>
          </cell>
          <cell r="BH34">
            <v>39.049999999999997</v>
          </cell>
          <cell r="BI34">
            <v>417.94</v>
          </cell>
          <cell r="BJ34">
            <v>6.910000000000025</v>
          </cell>
          <cell r="BK34">
            <v>32.119999999999997</v>
          </cell>
          <cell r="BL34">
            <v>428.46</v>
          </cell>
          <cell r="BM34">
            <v>10.519999999999982</v>
          </cell>
          <cell r="BN34">
            <v>34.97</v>
          </cell>
          <cell r="BO34">
            <v>430.56</v>
          </cell>
          <cell r="BP34">
            <v>2.1000000000000227</v>
          </cell>
          <cell r="BQ34">
            <v>11.06</v>
          </cell>
          <cell r="BR34">
            <v>439.34</v>
          </cell>
          <cell r="BS34">
            <v>8.7799999999999727</v>
          </cell>
          <cell r="BT34">
            <v>39.78</v>
          </cell>
          <cell r="BU34">
            <v>449.55</v>
          </cell>
          <cell r="BV34">
            <v>10.210000000000036</v>
          </cell>
          <cell r="BW34">
            <v>40.28</v>
          </cell>
          <cell r="BX34">
            <v>458.8</v>
          </cell>
          <cell r="BY34">
            <v>9.25</v>
          </cell>
          <cell r="BZ34">
            <v>33.19</v>
          </cell>
        </row>
        <row r="35">
          <cell r="B35" t="str">
            <v>EMA2-501</v>
          </cell>
          <cell r="C35">
            <v>171.36</v>
          </cell>
          <cell r="D35">
            <v>176.61</v>
          </cell>
          <cell r="E35">
            <v>5.25</v>
          </cell>
          <cell r="F35">
            <v>17.59</v>
          </cell>
          <cell r="G35">
            <v>185.58</v>
          </cell>
          <cell r="H35">
            <v>8.9699999999999989</v>
          </cell>
          <cell r="I35">
            <v>32.770000000000003</v>
          </cell>
          <cell r="J35">
            <v>187.17</v>
          </cell>
          <cell r="K35">
            <v>1.589999999999975</v>
          </cell>
          <cell r="L35">
            <v>6.07</v>
          </cell>
          <cell r="M35">
            <v>190.33</v>
          </cell>
          <cell r="N35">
            <v>3.160000000000025</v>
          </cell>
          <cell r="O35">
            <v>13.84</v>
          </cell>
          <cell r="P35">
            <v>195.72</v>
          </cell>
          <cell r="Q35">
            <v>5.3899999999999864</v>
          </cell>
          <cell r="R35">
            <v>20.350000000000001</v>
          </cell>
          <cell r="S35">
            <v>201.12</v>
          </cell>
          <cell r="T35">
            <v>5.4000000000000057</v>
          </cell>
          <cell r="U35">
            <v>18.5</v>
          </cell>
          <cell r="V35">
            <v>205.06</v>
          </cell>
          <cell r="W35">
            <v>3.9399999999999977</v>
          </cell>
          <cell r="X35">
            <v>16.809999999999999</v>
          </cell>
          <cell r="Y35">
            <v>212.27</v>
          </cell>
          <cell r="Z35">
            <v>7.210000000000008</v>
          </cell>
          <cell r="AA35">
            <v>27.53</v>
          </cell>
          <cell r="AB35">
            <v>219</v>
          </cell>
          <cell r="AC35">
            <v>6.7299999999999898</v>
          </cell>
          <cell r="AD35">
            <v>27.02</v>
          </cell>
          <cell r="AE35">
            <v>224.12</v>
          </cell>
          <cell r="AF35">
            <v>5.1200000000000045</v>
          </cell>
          <cell r="AG35">
            <v>19.920000000000002</v>
          </cell>
          <cell r="AH35">
            <v>229.18</v>
          </cell>
          <cell r="AI35">
            <v>5.0600000000000023</v>
          </cell>
          <cell r="AJ35">
            <v>20.190000000000001</v>
          </cell>
          <cell r="AK35">
            <v>233.95</v>
          </cell>
          <cell r="AL35">
            <v>4.7699999999999818</v>
          </cell>
          <cell r="AM35">
            <v>21.79</v>
          </cell>
          <cell r="AN35">
            <v>237.78</v>
          </cell>
          <cell r="AO35">
            <v>3.8300000000000125</v>
          </cell>
          <cell r="AP35">
            <v>12.62</v>
          </cell>
          <cell r="AQ35">
            <v>242.85</v>
          </cell>
          <cell r="AR35">
            <v>5.0699999999999932</v>
          </cell>
          <cell r="AS35">
            <v>22.91</v>
          </cell>
          <cell r="AT35">
            <v>244.7</v>
          </cell>
          <cell r="AU35">
            <v>1.8499999999999943</v>
          </cell>
          <cell r="AV35">
            <v>7.64</v>
          </cell>
          <cell r="AW35">
            <v>247.77</v>
          </cell>
          <cell r="AX35">
            <v>3.0700000000000216</v>
          </cell>
          <cell r="AY35">
            <v>12.69</v>
          </cell>
          <cell r="AZ35">
            <v>251.87</v>
          </cell>
          <cell r="BA35">
            <v>4.0999999999999943</v>
          </cell>
          <cell r="BB35">
            <v>17.23</v>
          </cell>
          <cell r="BC35">
            <v>255.12</v>
          </cell>
          <cell r="BD35">
            <v>3.25</v>
          </cell>
          <cell r="BE35">
            <v>14.58</v>
          </cell>
          <cell r="BF35">
            <v>260.11</v>
          </cell>
          <cell r="BG35">
            <v>4.9900000000000091</v>
          </cell>
          <cell r="BH35">
            <v>20.41</v>
          </cell>
          <cell r="BI35">
            <v>262.33999999999997</v>
          </cell>
          <cell r="BJ35">
            <v>2.2299999999999613</v>
          </cell>
          <cell r="BK35">
            <v>10.37</v>
          </cell>
          <cell r="BL35">
            <v>264.93</v>
          </cell>
          <cell r="BM35">
            <v>2.5900000000000318</v>
          </cell>
          <cell r="BN35">
            <v>8.61</v>
          </cell>
          <cell r="BO35">
            <v>268.83999999999997</v>
          </cell>
          <cell r="BP35">
            <v>3.9099999999999682</v>
          </cell>
          <cell r="BQ35">
            <v>20.6</v>
          </cell>
          <cell r="BR35">
            <v>271.47000000000003</v>
          </cell>
          <cell r="BS35">
            <v>2.6300000000000523</v>
          </cell>
          <cell r="BT35">
            <v>11.92</v>
          </cell>
          <cell r="BU35">
            <v>275.44</v>
          </cell>
          <cell r="BV35">
            <v>3.9699999999999704</v>
          </cell>
          <cell r="BW35">
            <v>15.66</v>
          </cell>
          <cell r="BX35">
            <v>279.35000000000002</v>
          </cell>
          <cell r="BY35">
            <v>3.910000000000025</v>
          </cell>
          <cell r="BZ35">
            <v>14.03</v>
          </cell>
        </row>
        <row r="36">
          <cell r="B36" t="str">
            <v>EMA2-502</v>
          </cell>
          <cell r="C36">
            <v>465.94</v>
          </cell>
          <cell r="D36">
            <v>487.93</v>
          </cell>
          <cell r="E36">
            <v>21.990000000000009</v>
          </cell>
          <cell r="F36">
            <v>73.680000000000007</v>
          </cell>
          <cell r="G36">
            <v>512.96</v>
          </cell>
          <cell r="H36">
            <v>25.03000000000003</v>
          </cell>
          <cell r="I36">
            <v>91.45</v>
          </cell>
          <cell r="J36">
            <v>534.95000000000005</v>
          </cell>
          <cell r="K36">
            <v>21.990000000000009</v>
          </cell>
          <cell r="L36">
            <v>83.9</v>
          </cell>
          <cell r="M36">
            <v>559.05999999999995</v>
          </cell>
          <cell r="N36">
            <v>24.1099999999999</v>
          </cell>
          <cell r="O36">
            <v>105.62</v>
          </cell>
          <cell r="P36">
            <v>576.32000000000005</v>
          </cell>
          <cell r="Q36">
            <v>17.260000000000105</v>
          </cell>
          <cell r="R36">
            <v>65.16</v>
          </cell>
          <cell r="S36">
            <v>596.88</v>
          </cell>
          <cell r="T36">
            <v>20.559999999999945</v>
          </cell>
          <cell r="U36">
            <v>70.430000000000007</v>
          </cell>
          <cell r="V36">
            <v>615.42999999999995</v>
          </cell>
          <cell r="W36">
            <v>18.549999999999955</v>
          </cell>
          <cell r="X36">
            <v>79.17</v>
          </cell>
          <cell r="Y36">
            <v>635.92999999999995</v>
          </cell>
          <cell r="Z36">
            <v>20.5</v>
          </cell>
          <cell r="AA36">
            <v>78.290000000000006</v>
          </cell>
          <cell r="AB36">
            <v>654.32000000000005</v>
          </cell>
          <cell r="AC36">
            <v>18.3900000000001</v>
          </cell>
          <cell r="AD36">
            <v>73.84</v>
          </cell>
          <cell r="AE36">
            <v>675.89</v>
          </cell>
          <cell r="AF36">
            <v>21.569999999999936</v>
          </cell>
          <cell r="AG36">
            <v>83.91</v>
          </cell>
          <cell r="AH36">
            <v>697.38</v>
          </cell>
          <cell r="AI36">
            <v>21.490000000000009</v>
          </cell>
          <cell r="AJ36">
            <v>85.76</v>
          </cell>
          <cell r="AK36">
            <v>719.88</v>
          </cell>
          <cell r="AL36">
            <v>22.5</v>
          </cell>
          <cell r="AM36">
            <v>102.78</v>
          </cell>
          <cell r="AN36">
            <v>735.09</v>
          </cell>
          <cell r="AO36">
            <v>15.210000000000036</v>
          </cell>
          <cell r="AP36">
            <v>50.1</v>
          </cell>
          <cell r="AQ36">
            <v>758.15</v>
          </cell>
          <cell r="AR36">
            <v>23.059999999999945</v>
          </cell>
          <cell r="AS36">
            <v>104.22</v>
          </cell>
          <cell r="AT36">
            <v>781.52</v>
          </cell>
          <cell r="AU36">
            <v>23.370000000000005</v>
          </cell>
          <cell r="AV36">
            <v>96.57</v>
          </cell>
          <cell r="AW36">
            <v>801.18</v>
          </cell>
          <cell r="AX36">
            <v>19.659999999999968</v>
          </cell>
          <cell r="AY36">
            <v>81.28</v>
          </cell>
          <cell r="AZ36">
            <v>819.56</v>
          </cell>
          <cell r="BA36">
            <v>18.379999999999995</v>
          </cell>
          <cell r="BB36">
            <v>77.25</v>
          </cell>
          <cell r="BC36">
            <v>838.02</v>
          </cell>
          <cell r="BD36">
            <v>18.460000000000036</v>
          </cell>
          <cell r="BE36">
            <v>82.82</v>
          </cell>
          <cell r="BF36">
            <v>855.25</v>
          </cell>
          <cell r="BG36">
            <v>17.230000000000018</v>
          </cell>
          <cell r="BH36">
            <v>70.459999999999994</v>
          </cell>
          <cell r="BI36">
            <v>872.75</v>
          </cell>
          <cell r="BJ36">
            <v>17.5</v>
          </cell>
          <cell r="BK36">
            <v>81.349999999999994</v>
          </cell>
          <cell r="BL36">
            <v>890.21</v>
          </cell>
          <cell r="BM36">
            <v>17.460000000000036</v>
          </cell>
          <cell r="BN36">
            <v>58.03</v>
          </cell>
          <cell r="BO36">
            <v>907.75</v>
          </cell>
          <cell r="BP36">
            <v>17.539999999999964</v>
          </cell>
          <cell r="BQ36">
            <v>92.4</v>
          </cell>
          <cell r="BR36">
            <v>923.91</v>
          </cell>
          <cell r="BS36">
            <v>16.159999999999968</v>
          </cell>
          <cell r="BT36">
            <v>73.22</v>
          </cell>
          <cell r="BU36">
            <v>936.46</v>
          </cell>
          <cell r="BV36">
            <v>12.550000000000068</v>
          </cell>
          <cell r="BW36">
            <v>49.51</v>
          </cell>
          <cell r="BX36">
            <v>955.35</v>
          </cell>
          <cell r="BY36">
            <v>18.889999999999986</v>
          </cell>
          <cell r="BZ36">
            <v>67.790000000000006</v>
          </cell>
        </row>
        <row r="37">
          <cell r="B37" t="str">
            <v>EMA2-601</v>
          </cell>
          <cell r="C37">
            <v>233.07</v>
          </cell>
          <cell r="D37">
            <v>238.99</v>
          </cell>
          <cell r="E37">
            <v>5.9200000000000159</v>
          </cell>
          <cell r="F37">
            <v>19.829999999999998</v>
          </cell>
          <cell r="G37">
            <v>243.84</v>
          </cell>
          <cell r="H37">
            <v>4.8499999999999943</v>
          </cell>
          <cell r="I37">
            <v>17.72</v>
          </cell>
          <cell r="J37">
            <v>250.03</v>
          </cell>
          <cell r="K37">
            <v>6.1899999999999977</v>
          </cell>
          <cell r="L37">
            <v>23.62</v>
          </cell>
          <cell r="M37">
            <v>258.18</v>
          </cell>
          <cell r="N37">
            <v>8.1500000000000057</v>
          </cell>
          <cell r="O37">
            <v>35.700000000000003</v>
          </cell>
          <cell r="P37">
            <v>272.05</v>
          </cell>
          <cell r="Q37">
            <v>13.870000000000005</v>
          </cell>
          <cell r="R37">
            <v>52.36</v>
          </cell>
          <cell r="S37">
            <v>283.2</v>
          </cell>
          <cell r="T37">
            <v>11.149999999999977</v>
          </cell>
          <cell r="U37">
            <v>38.200000000000003</v>
          </cell>
          <cell r="V37">
            <v>291.08</v>
          </cell>
          <cell r="W37">
            <v>7.8799999999999955</v>
          </cell>
          <cell r="X37">
            <v>33.630000000000003</v>
          </cell>
          <cell r="Y37">
            <v>298.64999999999998</v>
          </cell>
          <cell r="Z37">
            <v>7.5699999999999932</v>
          </cell>
          <cell r="AA37">
            <v>28.91</v>
          </cell>
          <cell r="AB37">
            <v>305.67</v>
          </cell>
          <cell r="AC37">
            <v>7.0200000000000387</v>
          </cell>
          <cell r="AD37">
            <v>28.19</v>
          </cell>
          <cell r="AE37">
            <v>314.85000000000002</v>
          </cell>
          <cell r="AF37">
            <v>9.1800000000000068</v>
          </cell>
          <cell r="AG37">
            <v>35.71</v>
          </cell>
          <cell r="AH37">
            <v>322.72000000000003</v>
          </cell>
          <cell r="AI37">
            <v>7.8700000000000045</v>
          </cell>
          <cell r="AJ37">
            <v>31.41</v>
          </cell>
          <cell r="AK37">
            <v>331.29</v>
          </cell>
          <cell r="AL37">
            <v>8.5699999999999932</v>
          </cell>
          <cell r="AM37">
            <v>39.15</v>
          </cell>
          <cell r="AN37">
            <v>339.87</v>
          </cell>
          <cell r="AO37">
            <v>8.5799999999999841</v>
          </cell>
          <cell r="AP37">
            <v>28.26</v>
          </cell>
          <cell r="AQ37">
            <v>346.92</v>
          </cell>
          <cell r="AR37">
            <v>7.0500000000000114</v>
          </cell>
          <cell r="AS37">
            <v>31.86</v>
          </cell>
          <cell r="AT37">
            <v>355.66</v>
          </cell>
          <cell r="AU37">
            <v>8.7400000000000091</v>
          </cell>
          <cell r="AV37">
            <v>36.11</v>
          </cell>
          <cell r="AW37">
            <v>363.94</v>
          </cell>
          <cell r="AX37">
            <v>8.2799999999999727</v>
          </cell>
          <cell r="AY37">
            <v>34.229999999999997</v>
          </cell>
          <cell r="AZ37">
            <v>371.16</v>
          </cell>
          <cell r="BA37">
            <v>7.2200000000000273</v>
          </cell>
          <cell r="BB37">
            <v>30.35</v>
          </cell>
          <cell r="BC37">
            <v>380.05</v>
          </cell>
          <cell r="BD37">
            <v>8.8899999999999864</v>
          </cell>
          <cell r="BE37">
            <v>39.880000000000003</v>
          </cell>
          <cell r="BF37">
            <v>387.83</v>
          </cell>
          <cell r="BG37">
            <v>7.7799999999999727</v>
          </cell>
          <cell r="BH37">
            <v>31.81</v>
          </cell>
          <cell r="BI37">
            <v>394.25</v>
          </cell>
          <cell r="BJ37">
            <v>6.4200000000000159</v>
          </cell>
          <cell r="BK37">
            <v>29.84</v>
          </cell>
          <cell r="BL37">
            <v>401.7</v>
          </cell>
          <cell r="BM37">
            <v>7.4499999999999886</v>
          </cell>
          <cell r="BN37">
            <v>24.76</v>
          </cell>
          <cell r="BO37">
            <v>406.5</v>
          </cell>
          <cell r="BP37">
            <v>4.8000000000000114</v>
          </cell>
          <cell r="BQ37">
            <v>25.29</v>
          </cell>
          <cell r="BR37">
            <v>414.15</v>
          </cell>
          <cell r="BS37">
            <v>7.6499999999999773</v>
          </cell>
          <cell r="BT37">
            <v>34.659999999999997</v>
          </cell>
          <cell r="BU37">
            <v>421.87</v>
          </cell>
          <cell r="BV37">
            <v>7.7200000000000273</v>
          </cell>
          <cell r="BW37">
            <v>30.46</v>
          </cell>
          <cell r="BX37">
            <v>427.57</v>
          </cell>
          <cell r="BY37">
            <v>5.6999999999999886</v>
          </cell>
          <cell r="BZ37">
            <v>20.46</v>
          </cell>
        </row>
        <row r="38">
          <cell r="B38" t="str">
            <v>EMA2-602</v>
          </cell>
          <cell r="C38">
            <v>209.16</v>
          </cell>
          <cell r="D38">
            <v>226.37</v>
          </cell>
          <cell r="E38">
            <v>17.210000000000008</v>
          </cell>
          <cell r="F38">
            <v>57.66</v>
          </cell>
          <cell r="G38">
            <v>232.83</v>
          </cell>
          <cell r="H38">
            <v>6.460000000000008</v>
          </cell>
          <cell r="I38">
            <v>23.6</v>
          </cell>
          <cell r="J38">
            <v>239.99</v>
          </cell>
          <cell r="K38">
            <v>7.1599999999999966</v>
          </cell>
          <cell r="L38">
            <v>27.32</v>
          </cell>
          <cell r="M38">
            <v>244.15</v>
          </cell>
          <cell r="N38">
            <v>4.1599999999999966</v>
          </cell>
          <cell r="O38">
            <v>18.22</v>
          </cell>
          <cell r="P38">
            <v>256.86</v>
          </cell>
          <cell r="Q38">
            <v>12.710000000000008</v>
          </cell>
          <cell r="R38">
            <v>47.98</v>
          </cell>
          <cell r="S38">
            <v>263.87</v>
          </cell>
          <cell r="T38">
            <v>7.0099999999999909</v>
          </cell>
          <cell r="U38">
            <v>24.01</v>
          </cell>
          <cell r="V38">
            <v>267.25</v>
          </cell>
          <cell r="W38">
            <v>3.3799999999999955</v>
          </cell>
          <cell r="X38">
            <v>14.42</v>
          </cell>
          <cell r="Y38">
            <v>271.23</v>
          </cell>
          <cell r="Z38">
            <v>3.9800000000000182</v>
          </cell>
          <cell r="AA38">
            <v>15.2</v>
          </cell>
          <cell r="AB38">
            <v>284.99</v>
          </cell>
          <cell r="AC38">
            <v>13.759999999999991</v>
          </cell>
          <cell r="AD38">
            <v>55.25</v>
          </cell>
          <cell r="AE38">
            <v>296.99</v>
          </cell>
          <cell r="AF38">
            <v>12</v>
          </cell>
          <cell r="AG38">
            <v>46.68</v>
          </cell>
          <cell r="AH38">
            <v>301.06</v>
          </cell>
          <cell r="AI38">
            <v>4.0699999999999932</v>
          </cell>
          <cell r="AJ38">
            <v>16.239999999999998</v>
          </cell>
          <cell r="AK38">
            <v>302.95999999999998</v>
          </cell>
          <cell r="AL38">
            <v>1.8999999999999773</v>
          </cell>
          <cell r="AM38">
            <v>8.68</v>
          </cell>
          <cell r="AN38">
            <v>323.02999999999997</v>
          </cell>
          <cell r="AO38">
            <v>20.069999999999993</v>
          </cell>
          <cell r="AP38">
            <v>66.11</v>
          </cell>
          <cell r="AQ38">
            <v>332.56</v>
          </cell>
          <cell r="AR38">
            <v>9.5300000000000296</v>
          </cell>
          <cell r="AS38">
            <v>43.07</v>
          </cell>
          <cell r="AT38">
            <v>345.94</v>
          </cell>
          <cell r="AU38">
            <v>13.379999999999995</v>
          </cell>
          <cell r="AV38">
            <v>55.29</v>
          </cell>
          <cell r="AW38">
            <v>356.23</v>
          </cell>
          <cell r="AX38">
            <v>10.29000000000002</v>
          </cell>
          <cell r="AY38">
            <v>42.54</v>
          </cell>
          <cell r="AZ38">
            <v>359.11</v>
          </cell>
          <cell r="BA38">
            <v>2.8799999999999955</v>
          </cell>
          <cell r="BB38">
            <v>12.1</v>
          </cell>
          <cell r="BC38">
            <v>359.31</v>
          </cell>
          <cell r="BD38">
            <v>0.19999999999998863</v>
          </cell>
          <cell r="BE38">
            <v>0.9</v>
          </cell>
          <cell r="BF38">
            <v>361.14</v>
          </cell>
          <cell r="BG38">
            <v>1.8299999999999841</v>
          </cell>
          <cell r="BH38">
            <v>7.48</v>
          </cell>
          <cell r="BI38">
            <v>368.75</v>
          </cell>
          <cell r="BJ38">
            <v>7.6100000000000136</v>
          </cell>
          <cell r="BK38">
            <v>35.369999999999997</v>
          </cell>
          <cell r="BL38">
            <v>374.72</v>
          </cell>
          <cell r="BM38">
            <v>5.9700000000000273</v>
          </cell>
          <cell r="BN38">
            <v>19.84</v>
          </cell>
          <cell r="BO38">
            <v>378.46</v>
          </cell>
          <cell r="BP38">
            <v>3.7399999999999523</v>
          </cell>
          <cell r="BQ38">
            <v>19.7</v>
          </cell>
          <cell r="BR38">
            <v>382.07</v>
          </cell>
          <cell r="BS38">
            <v>3.6100000000000136</v>
          </cell>
          <cell r="BT38">
            <v>16.36</v>
          </cell>
          <cell r="BU38">
            <v>385.64</v>
          </cell>
          <cell r="BV38">
            <v>3.5699999999999932</v>
          </cell>
          <cell r="BW38">
            <v>14.08</v>
          </cell>
          <cell r="BX38">
            <v>392.02</v>
          </cell>
          <cell r="BY38">
            <v>6.3799999999999955</v>
          </cell>
          <cell r="BZ38">
            <v>22.9</v>
          </cell>
        </row>
        <row r="39">
          <cell r="B39" t="str">
            <v>EMA2-701</v>
          </cell>
          <cell r="C39">
            <v>144.16999999999999</v>
          </cell>
          <cell r="D39">
            <v>154.84</v>
          </cell>
          <cell r="E39">
            <v>10.670000000000016</v>
          </cell>
          <cell r="F39">
            <v>35.75</v>
          </cell>
          <cell r="G39">
            <v>155.21</v>
          </cell>
          <cell r="H39">
            <v>0.37000000000000455</v>
          </cell>
          <cell r="I39">
            <v>1.35</v>
          </cell>
          <cell r="J39">
            <v>155.21</v>
          </cell>
          <cell r="K39">
            <v>0</v>
          </cell>
          <cell r="L39">
            <v>0</v>
          </cell>
          <cell r="M39">
            <v>155.21</v>
          </cell>
          <cell r="N39">
            <v>0</v>
          </cell>
          <cell r="O39">
            <v>0</v>
          </cell>
          <cell r="P39">
            <v>156.97</v>
          </cell>
          <cell r="Q39">
            <v>1.7599999999999909</v>
          </cell>
          <cell r="R39">
            <v>6.64</v>
          </cell>
          <cell r="S39">
            <v>161.03</v>
          </cell>
          <cell r="T39">
            <v>4.0600000000000023</v>
          </cell>
          <cell r="U39">
            <v>13.91</v>
          </cell>
          <cell r="V39">
            <v>164.79</v>
          </cell>
          <cell r="W39">
            <v>3.7599999999999909</v>
          </cell>
          <cell r="X39">
            <v>16.05</v>
          </cell>
          <cell r="Y39">
            <v>168.45</v>
          </cell>
          <cell r="Z39">
            <v>3.6599999999999966</v>
          </cell>
          <cell r="AA39">
            <v>13.98</v>
          </cell>
          <cell r="AB39">
            <v>172.09</v>
          </cell>
          <cell r="AC39">
            <v>3.6400000000000148</v>
          </cell>
          <cell r="AD39">
            <v>14.61</v>
          </cell>
          <cell r="AE39">
            <v>175.92</v>
          </cell>
          <cell r="AF39">
            <v>3.8299999999999841</v>
          </cell>
          <cell r="AG39">
            <v>14.9</v>
          </cell>
          <cell r="AH39">
            <v>179.27</v>
          </cell>
          <cell r="AI39">
            <v>3.3500000000000227</v>
          </cell>
          <cell r="AJ39">
            <v>13.37</v>
          </cell>
          <cell r="AK39">
            <v>183</v>
          </cell>
          <cell r="AL39">
            <v>3.7299999999999898</v>
          </cell>
          <cell r="AM39">
            <v>17.04</v>
          </cell>
          <cell r="AN39">
            <v>187.24</v>
          </cell>
          <cell r="AO39">
            <v>4.2400000000000091</v>
          </cell>
          <cell r="AP39">
            <v>13.97</v>
          </cell>
          <cell r="AQ39">
            <v>190.73</v>
          </cell>
          <cell r="AR39">
            <v>3.4899999999999807</v>
          </cell>
          <cell r="AS39">
            <v>15.77</v>
          </cell>
          <cell r="AT39">
            <v>194.12</v>
          </cell>
          <cell r="AU39">
            <v>3.3900000000000148</v>
          </cell>
          <cell r="AV39">
            <v>14.01</v>
          </cell>
          <cell r="AW39">
            <v>197.92</v>
          </cell>
          <cell r="AX39">
            <v>3.7999999999999829</v>
          </cell>
          <cell r="AY39">
            <v>15.71</v>
          </cell>
          <cell r="AZ39">
            <v>201.11</v>
          </cell>
          <cell r="BA39">
            <v>3.1900000000000261</v>
          </cell>
          <cell r="BB39">
            <v>13.41</v>
          </cell>
          <cell r="BC39">
            <v>203.93</v>
          </cell>
          <cell r="BD39">
            <v>2.8199999999999932</v>
          </cell>
          <cell r="BE39">
            <v>12.65</v>
          </cell>
          <cell r="BF39">
            <v>207.23</v>
          </cell>
          <cell r="BG39">
            <v>3.2999999999999829</v>
          </cell>
          <cell r="BH39">
            <v>13.49</v>
          </cell>
          <cell r="BI39">
            <v>210.59</v>
          </cell>
          <cell r="BJ39">
            <v>3.3600000000000136</v>
          </cell>
          <cell r="BK39">
            <v>15.62</v>
          </cell>
          <cell r="BL39">
            <v>214.74</v>
          </cell>
          <cell r="BM39">
            <v>4.1500000000000057</v>
          </cell>
          <cell r="BN39">
            <v>13.79</v>
          </cell>
          <cell r="BO39">
            <v>217.45</v>
          </cell>
          <cell r="BP39">
            <v>2.7099999999999795</v>
          </cell>
          <cell r="BQ39">
            <v>14.28</v>
          </cell>
          <cell r="BR39">
            <v>220.51</v>
          </cell>
          <cell r="BS39">
            <v>3.0600000000000023</v>
          </cell>
          <cell r="BT39">
            <v>13.86</v>
          </cell>
          <cell r="BU39">
            <v>223.98</v>
          </cell>
          <cell r="BV39">
            <v>3.4699999999999989</v>
          </cell>
          <cell r="BW39">
            <v>13.69</v>
          </cell>
          <cell r="BX39">
            <v>227.35</v>
          </cell>
          <cell r="BY39">
            <v>3.3700000000000045</v>
          </cell>
          <cell r="BZ39">
            <v>12.09</v>
          </cell>
        </row>
        <row r="40">
          <cell r="B40" t="str">
            <v>EMA2-702</v>
          </cell>
          <cell r="C40">
            <v>142.46</v>
          </cell>
          <cell r="D40">
            <v>146.57</v>
          </cell>
          <cell r="E40">
            <v>4.1099999999999852</v>
          </cell>
          <cell r="F40">
            <v>13.77</v>
          </cell>
          <cell r="G40">
            <v>151.34</v>
          </cell>
          <cell r="H40">
            <v>4.7700000000000102</v>
          </cell>
          <cell r="I40">
            <v>17.43</v>
          </cell>
          <cell r="J40">
            <v>157.47999999999999</v>
          </cell>
          <cell r="K40">
            <v>6.1399999999999864</v>
          </cell>
          <cell r="L40">
            <v>23.43</v>
          </cell>
          <cell r="M40">
            <v>162.06</v>
          </cell>
          <cell r="N40">
            <v>4.5800000000000125</v>
          </cell>
          <cell r="O40">
            <v>20.059999999999999</v>
          </cell>
          <cell r="P40">
            <v>167.09</v>
          </cell>
          <cell r="Q40">
            <v>5.0300000000000011</v>
          </cell>
          <cell r="R40">
            <v>18.989999999999998</v>
          </cell>
          <cell r="S40">
            <v>173.37</v>
          </cell>
          <cell r="T40">
            <v>6.2800000000000011</v>
          </cell>
          <cell r="U40">
            <v>21.51</v>
          </cell>
          <cell r="V40">
            <v>178.36</v>
          </cell>
          <cell r="W40">
            <v>4.9900000000000091</v>
          </cell>
          <cell r="X40">
            <v>21.3</v>
          </cell>
          <cell r="Y40">
            <v>183.03</v>
          </cell>
          <cell r="Z40">
            <v>4.6699999999999875</v>
          </cell>
          <cell r="AA40">
            <v>17.829999999999998</v>
          </cell>
          <cell r="AB40">
            <v>185.65</v>
          </cell>
          <cell r="AC40">
            <v>2.6200000000000045</v>
          </cell>
          <cell r="AD40">
            <v>10.52</v>
          </cell>
          <cell r="AE40">
            <v>189.64</v>
          </cell>
          <cell r="AF40">
            <v>3.9899999999999807</v>
          </cell>
          <cell r="AG40">
            <v>15.52</v>
          </cell>
          <cell r="AH40">
            <v>194.38</v>
          </cell>
          <cell r="AI40">
            <v>4.7400000000000091</v>
          </cell>
          <cell r="AJ40">
            <v>18.920000000000002</v>
          </cell>
          <cell r="AK40">
            <v>202.65</v>
          </cell>
          <cell r="AL40">
            <v>8.2700000000000102</v>
          </cell>
          <cell r="AM40">
            <v>37.78</v>
          </cell>
          <cell r="AN40">
            <v>206.51</v>
          </cell>
          <cell r="AO40">
            <v>3.8599999999999852</v>
          </cell>
          <cell r="AP40">
            <v>12.72</v>
          </cell>
          <cell r="AQ40">
            <v>209.94</v>
          </cell>
          <cell r="AR40">
            <v>3.4300000000000068</v>
          </cell>
          <cell r="AS40">
            <v>15.5</v>
          </cell>
          <cell r="AT40">
            <v>214.59</v>
          </cell>
          <cell r="AU40">
            <v>4.6500000000000057</v>
          </cell>
          <cell r="AV40">
            <v>19.21</v>
          </cell>
          <cell r="AW40">
            <v>219.2</v>
          </cell>
          <cell r="AX40">
            <v>4.6099999999999852</v>
          </cell>
          <cell r="AY40">
            <v>19.059999999999999</v>
          </cell>
          <cell r="AZ40">
            <v>223.83</v>
          </cell>
          <cell r="BA40">
            <v>4.6300000000000239</v>
          </cell>
          <cell r="BB40">
            <v>19.46</v>
          </cell>
          <cell r="BC40">
            <v>227.31</v>
          </cell>
          <cell r="BD40">
            <v>3.4799999999999898</v>
          </cell>
          <cell r="BE40">
            <v>15.61</v>
          </cell>
          <cell r="BF40">
            <v>230.76</v>
          </cell>
          <cell r="BG40">
            <v>3.4499999999999886</v>
          </cell>
          <cell r="BH40">
            <v>14.11</v>
          </cell>
          <cell r="BI40">
            <v>235.31</v>
          </cell>
          <cell r="BJ40">
            <v>4.5500000000000114</v>
          </cell>
          <cell r="BK40">
            <v>21.15</v>
          </cell>
          <cell r="BL40">
            <v>242.23</v>
          </cell>
          <cell r="BM40">
            <v>6.9199999999999875</v>
          </cell>
          <cell r="BN40">
            <v>23</v>
          </cell>
          <cell r="BO40">
            <v>247.1</v>
          </cell>
          <cell r="BP40">
            <v>4.8700000000000045</v>
          </cell>
          <cell r="BQ40">
            <v>25.66</v>
          </cell>
          <cell r="BR40">
            <v>252.59</v>
          </cell>
          <cell r="BS40">
            <v>5.4900000000000091</v>
          </cell>
          <cell r="BT40">
            <v>24.87</v>
          </cell>
          <cell r="BU40">
            <v>258.62</v>
          </cell>
          <cell r="BV40">
            <v>6.0300000000000011</v>
          </cell>
          <cell r="BW40">
            <v>23.79</v>
          </cell>
          <cell r="BX40">
            <v>263.62</v>
          </cell>
          <cell r="BY40">
            <v>5</v>
          </cell>
          <cell r="BZ40">
            <v>17.940000000000001</v>
          </cell>
        </row>
        <row r="41">
          <cell r="B41" t="str">
            <v>EMA2-801</v>
          </cell>
          <cell r="C41">
            <v>26.72</v>
          </cell>
          <cell r="D41">
            <v>26.72</v>
          </cell>
          <cell r="E41">
            <v>0</v>
          </cell>
          <cell r="F41">
            <v>0</v>
          </cell>
          <cell r="G41">
            <v>26.72</v>
          </cell>
          <cell r="H41">
            <v>0</v>
          </cell>
          <cell r="I41">
            <v>0</v>
          </cell>
          <cell r="J41">
            <v>26.72</v>
          </cell>
          <cell r="K41">
            <v>0</v>
          </cell>
          <cell r="L41">
            <v>0</v>
          </cell>
          <cell r="M41">
            <v>30.49</v>
          </cell>
          <cell r="N41">
            <v>3.7699999999999996</v>
          </cell>
          <cell r="O41">
            <v>16.52</v>
          </cell>
          <cell r="P41">
            <v>40.79</v>
          </cell>
          <cell r="Q41">
            <v>10.3</v>
          </cell>
          <cell r="R41">
            <v>38.880000000000003</v>
          </cell>
          <cell r="S41">
            <v>50.92</v>
          </cell>
          <cell r="T41">
            <v>10.130000000000003</v>
          </cell>
          <cell r="U41">
            <v>34.700000000000003</v>
          </cell>
          <cell r="V41">
            <v>55.67</v>
          </cell>
          <cell r="W41">
            <v>4.75</v>
          </cell>
          <cell r="X41">
            <v>20.27</v>
          </cell>
          <cell r="Y41">
            <v>55.67</v>
          </cell>
          <cell r="Z41">
            <v>0</v>
          </cell>
          <cell r="AA41">
            <v>0</v>
          </cell>
          <cell r="AB41">
            <v>55.67</v>
          </cell>
          <cell r="AC41">
            <v>0</v>
          </cell>
          <cell r="AD41">
            <v>0</v>
          </cell>
          <cell r="AE41">
            <v>59.16</v>
          </cell>
          <cell r="AF41">
            <v>3.4899999999999949</v>
          </cell>
          <cell r="AG41">
            <v>13.58</v>
          </cell>
          <cell r="AH41">
            <v>68.86</v>
          </cell>
          <cell r="AI41">
            <v>9.7000000000000028</v>
          </cell>
          <cell r="AJ41">
            <v>38.71</v>
          </cell>
          <cell r="AK41">
            <v>74.69</v>
          </cell>
          <cell r="AL41">
            <v>5.8299999999999983</v>
          </cell>
          <cell r="AM41">
            <v>26.63</v>
          </cell>
          <cell r="AN41">
            <v>74.69</v>
          </cell>
          <cell r="AO41">
            <v>0</v>
          </cell>
          <cell r="AP41">
            <v>0</v>
          </cell>
          <cell r="AQ41">
            <v>74.69</v>
          </cell>
          <cell r="AR41">
            <v>0</v>
          </cell>
          <cell r="AS41">
            <v>0</v>
          </cell>
          <cell r="AT41">
            <v>74.69</v>
          </cell>
          <cell r="AU41">
            <v>0</v>
          </cell>
          <cell r="AV41">
            <v>0</v>
          </cell>
          <cell r="AW41">
            <v>74.69</v>
          </cell>
          <cell r="AX41">
            <v>0</v>
          </cell>
          <cell r="AY41">
            <v>0</v>
          </cell>
          <cell r="AZ41">
            <v>81.510000000000005</v>
          </cell>
          <cell r="BA41">
            <v>6.8200000000000074</v>
          </cell>
          <cell r="BB41">
            <v>28.66</v>
          </cell>
          <cell r="BC41">
            <v>91.75</v>
          </cell>
          <cell r="BD41">
            <v>10.239999999999995</v>
          </cell>
          <cell r="BE41">
            <v>45.94</v>
          </cell>
          <cell r="BF41">
            <v>93.03</v>
          </cell>
          <cell r="BG41">
            <v>1.2800000000000011</v>
          </cell>
          <cell r="BH41">
            <v>5.23</v>
          </cell>
          <cell r="BI41">
            <v>93.03</v>
          </cell>
          <cell r="BJ41">
            <v>0</v>
          </cell>
          <cell r="BK41">
            <v>0</v>
          </cell>
          <cell r="BL41">
            <v>93.03</v>
          </cell>
          <cell r="BM41">
            <v>0</v>
          </cell>
          <cell r="BN41">
            <v>0</v>
          </cell>
          <cell r="BO41">
            <v>93.03</v>
          </cell>
          <cell r="BP41">
            <v>0</v>
          </cell>
          <cell r="BQ41">
            <v>0</v>
          </cell>
          <cell r="BR41">
            <v>93.03</v>
          </cell>
          <cell r="BS41">
            <v>0</v>
          </cell>
          <cell r="BT41">
            <v>0</v>
          </cell>
          <cell r="BU41">
            <v>93.03</v>
          </cell>
          <cell r="BV41">
            <v>0</v>
          </cell>
          <cell r="BW41">
            <v>0</v>
          </cell>
          <cell r="BX41">
            <v>93.03</v>
          </cell>
          <cell r="BY41">
            <v>0</v>
          </cell>
          <cell r="BZ41">
            <v>0</v>
          </cell>
        </row>
        <row r="42">
          <cell r="B42" t="str">
            <v>EMA2-802</v>
          </cell>
          <cell r="C42">
            <v>239.15</v>
          </cell>
          <cell r="D42">
            <v>240.77</v>
          </cell>
          <cell r="E42">
            <v>1.6200000000000045</v>
          </cell>
          <cell r="F42">
            <v>5.43</v>
          </cell>
          <cell r="G42">
            <v>247.61</v>
          </cell>
          <cell r="H42">
            <v>6.8400000000000034</v>
          </cell>
          <cell r="I42">
            <v>24.99</v>
          </cell>
          <cell r="J42">
            <v>255.56</v>
          </cell>
          <cell r="K42">
            <v>7.9499999999999886</v>
          </cell>
          <cell r="L42">
            <v>30.33</v>
          </cell>
          <cell r="M42">
            <v>264.52</v>
          </cell>
          <cell r="N42">
            <v>8.9599999999999795</v>
          </cell>
          <cell r="O42">
            <v>39.25</v>
          </cell>
          <cell r="P42">
            <v>273.82</v>
          </cell>
          <cell r="Q42">
            <v>9.3000000000000114</v>
          </cell>
          <cell r="R42">
            <v>35.11</v>
          </cell>
          <cell r="S42">
            <v>284.82</v>
          </cell>
          <cell r="T42">
            <v>11</v>
          </cell>
          <cell r="U42">
            <v>37.68</v>
          </cell>
          <cell r="V42">
            <v>292.47000000000003</v>
          </cell>
          <cell r="W42">
            <v>7.6500000000000341</v>
          </cell>
          <cell r="X42">
            <v>32.65</v>
          </cell>
          <cell r="Y42">
            <v>297.51</v>
          </cell>
          <cell r="Z42">
            <v>5.0399999999999636</v>
          </cell>
          <cell r="AA42">
            <v>19.25</v>
          </cell>
          <cell r="AB42">
            <v>304.64999999999998</v>
          </cell>
          <cell r="AC42">
            <v>7.1399999999999864</v>
          </cell>
          <cell r="AD42">
            <v>28.67</v>
          </cell>
          <cell r="AE42">
            <v>312.13</v>
          </cell>
          <cell r="AF42">
            <v>7.4800000000000182</v>
          </cell>
          <cell r="AG42">
            <v>29.1</v>
          </cell>
          <cell r="AH42">
            <v>316.12</v>
          </cell>
          <cell r="AI42">
            <v>3.9900000000000091</v>
          </cell>
          <cell r="AJ42">
            <v>15.92</v>
          </cell>
          <cell r="AK42">
            <v>323.18</v>
          </cell>
          <cell r="AL42">
            <v>7.0600000000000023</v>
          </cell>
          <cell r="AM42">
            <v>32.25</v>
          </cell>
          <cell r="AN42">
            <v>333.78</v>
          </cell>
          <cell r="AO42">
            <v>10.599999999999966</v>
          </cell>
          <cell r="AP42">
            <v>34.92</v>
          </cell>
          <cell r="AQ42">
            <v>339.81</v>
          </cell>
          <cell r="AR42">
            <v>6.0300000000000296</v>
          </cell>
          <cell r="AS42">
            <v>27.25</v>
          </cell>
          <cell r="AT42">
            <v>346.1</v>
          </cell>
          <cell r="AU42">
            <v>6.2900000000000205</v>
          </cell>
          <cell r="AV42">
            <v>25.99</v>
          </cell>
          <cell r="AW42">
            <v>352.65</v>
          </cell>
          <cell r="AX42">
            <v>6.5499999999999545</v>
          </cell>
          <cell r="AY42">
            <v>27.08</v>
          </cell>
          <cell r="AZ42">
            <v>357.97</v>
          </cell>
          <cell r="BA42">
            <v>5.32000000000005</v>
          </cell>
          <cell r="BB42">
            <v>22.36</v>
          </cell>
          <cell r="BC42">
            <v>364.48</v>
          </cell>
          <cell r="BD42">
            <v>6.5099999999999909</v>
          </cell>
          <cell r="BE42">
            <v>29.21</v>
          </cell>
          <cell r="BF42">
            <v>370.22</v>
          </cell>
          <cell r="BG42">
            <v>5.7400000000000091</v>
          </cell>
          <cell r="BH42">
            <v>23.47</v>
          </cell>
          <cell r="BI42">
            <v>377.97</v>
          </cell>
          <cell r="BJ42">
            <v>7.75</v>
          </cell>
          <cell r="BK42">
            <v>36.020000000000003</v>
          </cell>
          <cell r="BL42">
            <v>384.97</v>
          </cell>
          <cell r="BM42">
            <v>7</v>
          </cell>
          <cell r="BN42">
            <v>23.27</v>
          </cell>
          <cell r="BO42">
            <v>391.22</v>
          </cell>
          <cell r="BP42">
            <v>6.25</v>
          </cell>
          <cell r="BQ42">
            <v>32.93</v>
          </cell>
          <cell r="BR42">
            <v>394.88</v>
          </cell>
          <cell r="BS42">
            <v>3.6599999999999682</v>
          </cell>
          <cell r="BT42">
            <v>16.579999999999998</v>
          </cell>
          <cell r="BU42">
            <v>402.81</v>
          </cell>
          <cell r="BV42">
            <v>7.9300000000000068</v>
          </cell>
          <cell r="BW42">
            <v>31.29</v>
          </cell>
          <cell r="BX42">
            <v>410.39</v>
          </cell>
          <cell r="BY42">
            <v>7.5799999999999841</v>
          </cell>
          <cell r="BZ42">
            <v>27.2</v>
          </cell>
        </row>
        <row r="43">
          <cell r="B43" t="str">
            <v>EMA3-101</v>
          </cell>
          <cell r="C43">
            <v>321.66000000000003</v>
          </cell>
          <cell r="D43">
            <v>357.69</v>
          </cell>
          <cell r="E43">
            <v>36.029999999999973</v>
          </cell>
          <cell r="F43">
            <v>120.72</v>
          </cell>
          <cell r="G43">
            <v>395.71</v>
          </cell>
          <cell r="H43">
            <v>38.019999999999982</v>
          </cell>
          <cell r="I43">
            <v>138.91</v>
          </cell>
          <cell r="J43">
            <v>431.79</v>
          </cell>
          <cell r="K43">
            <v>36.080000000000041</v>
          </cell>
          <cell r="L43">
            <v>137.66</v>
          </cell>
          <cell r="M43">
            <v>469.28</v>
          </cell>
          <cell r="N43">
            <v>37.489999999999952</v>
          </cell>
          <cell r="O43">
            <v>164.24</v>
          </cell>
          <cell r="P43">
            <v>505.11</v>
          </cell>
          <cell r="Q43">
            <v>35.830000000000041</v>
          </cell>
          <cell r="R43">
            <v>135.27000000000001</v>
          </cell>
          <cell r="S43">
            <v>540.54</v>
          </cell>
          <cell r="T43">
            <v>35.42999999999995</v>
          </cell>
          <cell r="U43">
            <v>121.38</v>
          </cell>
          <cell r="V43">
            <v>572.09</v>
          </cell>
          <cell r="W43">
            <v>31.550000000000068</v>
          </cell>
          <cell r="X43">
            <v>134.65</v>
          </cell>
          <cell r="Y43">
            <v>607.75</v>
          </cell>
          <cell r="Z43">
            <v>35.659999999999968</v>
          </cell>
          <cell r="AA43">
            <v>136.18</v>
          </cell>
          <cell r="AB43">
            <v>639.21</v>
          </cell>
          <cell r="AC43">
            <v>31.460000000000036</v>
          </cell>
          <cell r="AD43">
            <v>126.31</v>
          </cell>
          <cell r="AE43">
            <v>672.18</v>
          </cell>
          <cell r="AF43">
            <v>32.969999999999914</v>
          </cell>
          <cell r="AG43">
            <v>128.25</v>
          </cell>
          <cell r="AH43">
            <v>701.1</v>
          </cell>
          <cell r="AI43">
            <v>28.920000000000073</v>
          </cell>
          <cell r="AJ43">
            <v>115.41</v>
          </cell>
          <cell r="AK43">
            <v>732.23</v>
          </cell>
          <cell r="AL43">
            <v>31.129999999999995</v>
          </cell>
          <cell r="AM43">
            <v>142.19999999999999</v>
          </cell>
          <cell r="AN43">
            <v>777.34</v>
          </cell>
          <cell r="AO43">
            <v>45.110000000000014</v>
          </cell>
          <cell r="AP43">
            <v>148.6</v>
          </cell>
          <cell r="AQ43">
            <v>812.99</v>
          </cell>
          <cell r="AR43">
            <v>35.649999999999977</v>
          </cell>
          <cell r="AS43">
            <v>161.11000000000001</v>
          </cell>
          <cell r="AT43">
            <v>847.33</v>
          </cell>
          <cell r="AU43">
            <v>34.340000000000032</v>
          </cell>
          <cell r="AV43">
            <v>141.9</v>
          </cell>
          <cell r="AW43">
            <v>882.67</v>
          </cell>
          <cell r="AX43">
            <v>35.339999999999918</v>
          </cell>
          <cell r="AY43">
            <v>146.11000000000001</v>
          </cell>
          <cell r="AZ43">
            <v>919.87</v>
          </cell>
          <cell r="BA43">
            <v>37.200000000000045</v>
          </cell>
          <cell r="BB43">
            <v>156.35</v>
          </cell>
          <cell r="BC43">
            <v>956.43</v>
          </cell>
          <cell r="BD43">
            <v>36.559999999999945</v>
          </cell>
          <cell r="BE43">
            <v>164.02</v>
          </cell>
          <cell r="BF43">
            <v>993.52</v>
          </cell>
          <cell r="BG43">
            <v>37.090000000000032</v>
          </cell>
          <cell r="BH43">
            <v>151.66999999999999</v>
          </cell>
          <cell r="BI43">
            <v>1029.17</v>
          </cell>
          <cell r="BJ43">
            <v>35.650000000000091</v>
          </cell>
          <cell r="BK43">
            <v>165.71</v>
          </cell>
          <cell r="BL43">
            <v>1060.27</v>
          </cell>
          <cell r="BM43">
            <v>31.099999999999909</v>
          </cell>
          <cell r="BN43">
            <v>103.37</v>
          </cell>
          <cell r="BO43">
            <v>1069.77</v>
          </cell>
          <cell r="BP43">
            <v>9.5</v>
          </cell>
          <cell r="BQ43">
            <v>50.05</v>
          </cell>
          <cell r="BR43">
            <v>1077.2</v>
          </cell>
          <cell r="BS43">
            <v>7.4300000000000637</v>
          </cell>
          <cell r="BT43">
            <v>33.659999999999997</v>
          </cell>
          <cell r="BU43">
            <v>1080.72</v>
          </cell>
          <cell r="BV43">
            <v>3.5199999999999818</v>
          </cell>
          <cell r="BW43">
            <v>13.89</v>
          </cell>
          <cell r="BX43">
            <v>1097.1099999999999</v>
          </cell>
          <cell r="BY43">
            <v>16.389999999999873</v>
          </cell>
          <cell r="BZ43">
            <v>58.82</v>
          </cell>
        </row>
        <row r="44">
          <cell r="B44" t="str">
            <v>EMA3-103</v>
          </cell>
          <cell r="C44">
            <v>132.18</v>
          </cell>
          <cell r="D44">
            <v>136.69999999999999</v>
          </cell>
          <cell r="E44">
            <v>4.5199999999999818</v>
          </cell>
          <cell r="F44">
            <v>15.14</v>
          </cell>
          <cell r="G44">
            <v>142.78</v>
          </cell>
          <cell r="H44">
            <v>6.0800000000000125</v>
          </cell>
          <cell r="I44">
            <v>22.21</v>
          </cell>
          <cell r="J44">
            <v>148.22</v>
          </cell>
          <cell r="K44">
            <v>5.4399999999999977</v>
          </cell>
          <cell r="L44">
            <v>20.76</v>
          </cell>
          <cell r="M44">
            <v>153.16999999999999</v>
          </cell>
          <cell r="N44">
            <v>4.9499999999999886</v>
          </cell>
          <cell r="O44">
            <v>21.68</v>
          </cell>
          <cell r="P44">
            <v>157.56</v>
          </cell>
          <cell r="Q44">
            <v>4.3900000000000148</v>
          </cell>
          <cell r="R44">
            <v>16.57</v>
          </cell>
          <cell r="S44">
            <v>163.30000000000001</v>
          </cell>
          <cell r="T44">
            <v>5.7400000000000091</v>
          </cell>
          <cell r="U44">
            <v>19.66</v>
          </cell>
          <cell r="V44">
            <v>168.25</v>
          </cell>
          <cell r="W44">
            <v>4.9499999999999886</v>
          </cell>
          <cell r="X44">
            <v>21.13</v>
          </cell>
          <cell r="Y44">
            <v>175.71</v>
          </cell>
          <cell r="Z44">
            <v>7.460000000000008</v>
          </cell>
          <cell r="AA44">
            <v>28.49</v>
          </cell>
          <cell r="AB44">
            <v>181.23</v>
          </cell>
          <cell r="AC44">
            <v>5.5199999999999818</v>
          </cell>
          <cell r="AD44">
            <v>22.16</v>
          </cell>
          <cell r="AE44">
            <v>185.91</v>
          </cell>
          <cell r="AF44">
            <v>4.6800000000000068</v>
          </cell>
          <cell r="AG44">
            <v>18.21</v>
          </cell>
          <cell r="AH44">
            <v>190.04</v>
          </cell>
          <cell r="AI44">
            <v>4.1299999999999955</v>
          </cell>
          <cell r="AJ44">
            <v>16.48</v>
          </cell>
          <cell r="AK44">
            <v>193.95</v>
          </cell>
          <cell r="AL44">
            <v>3.9099999999999966</v>
          </cell>
          <cell r="AM44">
            <v>17.86</v>
          </cell>
          <cell r="AN44">
            <v>199.29</v>
          </cell>
          <cell r="AO44">
            <v>5.3400000000000034</v>
          </cell>
          <cell r="AP44">
            <v>17.59</v>
          </cell>
          <cell r="AQ44">
            <v>203.54</v>
          </cell>
          <cell r="AR44">
            <v>4.25</v>
          </cell>
          <cell r="AS44">
            <v>19.21</v>
          </cell>
          <cell r="AT44">
            <v>208.88</v>
          </cell>
          <cell r="AU44">
            <v>5.3400000000000034</v>
          </cell>
          <cell r="AV44">
            <v>22.07</v>
          </cell>
          <cell r="AW44">
            <v>213.06</v>
          </cell>
          <cell r="AX44">
            <v>4.1800000000000068</v>
          </cell>
          <cell r="AY44">
            <v>17.28</v>
          </cell>
          <cell r="AZ44">
            <v>216.73</v>
          </cell>
          <cell r="BA44">
            <v>3.6699999999999875</v>
          </cell>
          <cell r="BB44">
            <v>15.43</v>
          </cell>
          <cell r="BC44">
            <v>220.41</v>
          </cell>
          <cell r="BD44">
            <v>3.6800000000000068</v>
          </cell>
          <cell r="BE44">
            <v>16.510000000000002</v>
          </cell>
          <cell r="BF44">
            <v>223.82</v>
          </cell>
          <cell r="BG44">
            <v>3.4099999999999966</v>
          </cell>
          <cell r="BH44">
            <v>13.94</v>
          </cell>
          <cell r="BI44">
            <v>227.38</v>
          </cell>
          <cell r="BJ44">
            <v>3.5600000000000023</v>
          </cell>
          <cell r="BK44">
            <v>16.55</v>
          </cell>
          <cell r="BL44">
            <v>231.41</v>
          </cell>
          <cell r="BM44">
            <v>4.0300000000000011</v>
          </cell>
          <cell r="BN44">
            <v>13.39</v>
          </cell>
          <cell r="BO44">
            <v>234.6</v>
          </cell>
          <cell r="BP44">
            <v>3.1899999999999977</v>
          </cell>
          <cell r="BQ44">
            <v>16.809999999999999</v>
          </cell>
          <cell r="BR44">
            <v>238.29</v>
          </cell>
          <cell r="BS44">
            <v>3.6899999999999977</v>
          </cell>
          <cell r="BT44">
            <v>16.72</v>
          </cell>
          <cell r="BU44">
            <v>242.09</v>
          </cell>
          <cell r="BV44">
            <v>3.8000000000000114</v>
          </cell>
          <cell r="BW44">
            <v>14.99</v>
          </cell>
          <cell r="BX44">
            <v>250.26</v>
          </cell>
          <cell r="BY44">
            <v>8.1699999999999875</v>
          </cell>
          <cell r="BZ44">
            <v>29.32</v>
          </cell>
        </row>
        <row r="45">
          <cell r="B45" t="str">
            <v>EMA3-201</v>
          </cell>
          <cell r="C45">
            <v>104.02</v>
          </cell>
          <cell r="D45">
            <v>104.02</v>
          </cell>
          <cell r="E45">
            <v>0</v>
          </cell>
          <cell r="F45">
            <v>0</v>
          </cell>
          <cell r="G45">
            <v>104.02</v>
          </cell>
          <cell r="H45">
            <v>0</v>
          </cell>
          <cell r="I45">
            <v>0</v>
          </cell>
          <cell r="J45">
            <v>104.02</v>
          </cell>
          <cell r="K45">
            <v>0</v>
          </cell>
          <cell r="L45">
            <v>0</v>
          </cell>
          <cell r="M45">
            <v>104.02</v>
          </cell>
          <cell r="N45">
            <v>0</v>
          </cell>
          <cell r="O45">
            <v>0</v>
          </cell>
          <cell r="P45">
            <v>104.02</v>
          </cell>
          <cell r="Q45">
            <v>0</v>
          </cell>
          <cell r="R45">
            <v>0</v>
          </cell>
          <cell r="S45">
            <v>104.02</v>
          </cell>
          <cell r="T45">
            <v>0</v>
          </cell>
          <cell r="U45">
            <v>0</v>
          </cell>
          <cell r="V45">
            <v>104.02</v>
          </cell>
          <cell r="W45">
            <v>0</v>
          </cell>
          <cell r="X45">
            <v>0</v>
          </cell>
          <cell r="Y45">
            <v>104.02</v>
          </cell>
          <cell r="Z45">
            <v>0</v>
          </cell>
          <cell r="AA45">
            <v>0</v>
          </cell>
          <cell r="AB45">
            <v>104.02</v>
          </cell>
          <cell r="AC45">
            <v>0</v>
          </cell>
          <cell r="AD45">
            <v>0</v>
          </cell>
          <cell r="AE45">
            <v>104.02</v>
          </cell>
          <cell r="AF45">
            <v>0</v>
          </cell>
          <cell r="AG45">
            <v>0</v>
          </cell>
          <cell r="AH45">
            <v>104.02</v>
          </cell>
          <cell r="AI45">
            <v>0</v>
          </cell>
          <cell r="AJ45">
            <v>0</v>
          </cell>
          <cell r="AK45">
            <v>104.02</v>
          </cell>
          <cell r="AL45">
            <v>0</v>
          </cell>
          <cell r="AM45">
            <v>0</v>
          </cell>
          <cell r="AN45">
            <v>104.02</v>
          </cell>
          <cell r="AO45">
            <v>0</v>
          </cell>
          <cell r="AP45">
            <v>0</v>
          </cell>
          <cell r="AQ45">
            <v>104.02</v>
          </cell>
          <cell r="AR45">
            <v>0</v>
          </cell>
          <cell r="AS45">
            <v>0</v>
          </cell>
          <cell r="AT45">
            <v>104.02</v>
          </cell>
          <cell r="AU45">
            <v>0</v>
          </cell>
          <cell r="AV45">
            <v>0</v>
          </cell>
          <cell r="AW45">
            <v>104.02</v>
          </cell>
          <cell r="AX45">
            <v>0</v>
          </cell>
          <cell r="AY45">
            <v>0</v>
          </cell>
          <cell r="AZ45">
            <v>104.02</v>
          </cell>
          <cell r="BA45">
            <v>0</v>
          </cell>
          <cell r="BB45">
            <v>0</v>
          </cell>
          <cell r="BC45">
            <v>104.02</v>
          </cell>
          <cell r="BD45">
            <v>0</v>
          </cell>
          <cell r="BE45">
            <v>0</v>
          </cell>
          <cell r="BF45">
            <v>104.02</v>
          </cell>
          <cell r="BG45">
            <v>0</v>
          </cell>
          <cell r="BH45">
            <v>0</v>
          </cell>
          <cell r="BI45">
            <v>104.02</v>
          </cell>
          <cell r="BJ45">
            <v>0</v>
          </cell>
          <cell r="BK45">
            <v>0</v>
          </cell>
          <cell r="BL45">
            <v>104.02</v>
          </cell>
          <cell r="BM45">
            <v>0</v>
          </cell>
          <cell r="BN45">
            <v>0</v>
          </cell>
          <cell r="BO45">
            <v>104.61</v>
          </cell>
          <cell r="BP45">
            <v>0.59000000000000341</v>
          </cell>
          <cell r="BQ45">
            <v>3.11</v>
          </cell>
          <cell r="BR45">
            <v>104.61</v>
          </cell>
          <cell r="BS45">
            <v>0</v>
          </cell>
          <cell r="BT45">
            <v>0</v>
          </cell>
          <cell r="BU45">
            <v>104.61</v>
          </cell>
          <cell r="BV45">
            <v>0</v>
          </cell>
          <cell r="BW45">
            <v>0</v>
          </cell>
          <cell r="BX45">
            <v>104.61</v>
          </cell>
          <cell r="BY45">
            <v>0</v>
          </cell>
          <cell r="BZ45">
            <v>0</v>
          </cell>
        </row>
        <row r="46">
          <cell r="B46" t="str">
            <v>EMA3-202</v>
          </cell>
          <cell r="C46">
            <v>251.3</v>
          </cell>
          <cell r="D46">
            <v>255.93</v>
          </cell>
          <cell r="E46">
            <v>4.6299999999999955</v>
          </cell>
          <cell r="F46">
            <v>15.51</v>
          </cell>
          <cell r="G46">
            <v>261.39</v>
          </cell>
          <cell r="H46">
            <v>5.4599999999999795</v>
          </cell>
          <cell r="I46">
            <v>19.95</v>
          </cell>
          <cell r="J46">
            <v>268.64</v>
          </cell>
          <cell r="K46">
            <v>7.25</v>
          </cell>
          <cell r="L46">
            <v>27.66</v>
          </cell>
          <cell r="M46">
            <v>271.08</v>
          </cell>
          <cell r="N46">
            <v>2.4399999999999977</v>
          </cell>
          <cell r="O46">
            <v>10.69</v>
          </cell>
          <cell r="P46">
            <v>275.2</v>
          </cell>
          <cell r="Q46">
            <v>4.1200000000000045</v>
          </cell>
          <cell r="R46">
            <v>15.55</v>
          </cell>
          <cell r="S46">
            <v>282.55</v>
          </cell>
          <cell r="T46">
            <v>7.3500000000000227</v>
          </cell>
          <cell r="U46">
            <v>25.18</v>
          </cell>
          <cell r="V46">
            <v>290.47000000000003</v>
          </cell>
          <cell r="W46">
            <v>7.9200000000000159</v>
          </cell>
          <cell r="X46">
            <v>33.799999999999997</v>
          </cell>
          <cell r="Y46">
            <v>296.43</v>
          </cell>
          <cell r="Z46">
            <v>5.9599999999999795</v>
          </cell>
          <cell r="AA46">
            <v>22.76</v>
          </cell>
          <cell r="AB46">
            <v>306.02999999999997</v>
          </cell>
          <cell r="AC46">
            <v>9.5999999999999659</v>
          </cell>
          <cell r="AD46">
            <v>38.54</v>
          </cell>
          <cell r="AE46">
            <v>313.14</v>
          </cell>
          <cell r="AF46">
            <v>7.1100000000000136</v>
          </cell>
          <cell r="AG46">
            <v>27.66</v>
          </cell>
          <cell r="AH46">
            <v>318.93</v>
          </cell>
          <cell r="AI46">
            <v>5.7900000000000205</v>
          </cell>
          <cell r="AJ46">
            <v>23.11</v>
          </cell>
          <cell r="AK46">
            <v>324.81</v>
          </cell>
          <cell r="AL46">
            <v>0.81</v>
          </cell>
          <cell r="AM46">
            <v>3.7</v>
          </cell>
          <cell r="AN46">
            <v>326.57</v>
          </cell>
          <cell r="AO46">
            <v>1.7599999999999909</v>
          </cell>
          <cell r="AP46">
            <v>5.8</v>
          </cell>
          <cell r="AQ46">
            <v>328.71</v>
          </cell>
          <cell r="AR46">
            <v>2.1399999999999864</v>
          </cell>
          <cell r="AS46">
            <v>9.67</v>
          </cell>
          <cell r="AT46">
            <v>329.21</v>
          </cell>
          <cell r="AU46">
            <v>0.5</v>
          </cell>
          <cell r="AV46">
            <v>2.0699999999999998</v>
          </cell>
          <cell r="AW46">
            <v>330.93</v>
          </cell>
          <cell r="AX46">
            <v>1.7200000000000273</v>
          </cell>
          <cell r="AY46">
            <v>7.11</v>
          </cell>
          <cell r="AZ46">
            <v>331.81</v>
          </cell>
          <cell r="BA46">
            <v>0.87999999999999545</v>
          </cell>
          <cell r="BB46">
            <v>3.7</v>
          </cell>
          <cell r="BC46">
            <v>333.93</v>
          </cell>
          <cell r="BD46">
            <v>2.1200000000000045</v>
          </cell>
          <cell r="BE46">
            <v>9.51</v>
          </cell>
          <cell r="BF46">
            <v>334.81</v>
          </cell>
          <cell r="BG46">
            <v>0.87999999999999545</v>
          </cell>
          <cell r="BH46">
            <v>3.6</v>
          </cell>
          <cell r="BI46">
            <v>335.8</v>
          </cell>
          <cell r="BJ46">
            <v>0.99000000000000909</v>
          </cell>
          <cell r="BK46">
            <v>4.5999999999999996</v>
          </cell>
          <cell r="BL46">
            <v>338.57</v>
          </cell>
          <cell r="BM46">
            <v>2.7699999999999818</v>
          </cell>
          <cell r="BN46">
            <v>9.2100000000000009</v>
          </cell>
          <cell r="BO46">
            <v>341.82</v>
          </cell>
          <cell r="BP46">
            <v>3.25</v>
          </cell>
          <cell r="BQ46">
            <v>17.12</v>
          </cell>
          <cell r="BR46">
            <v>345.93</v>
          </cell>
          <cell r="BS46">
            <v>4.1100000000000136</v>
          </cell>
          <cell r="BT46">
            <v>18.62</v>
          </cell>
          <cell r="BU46">
            <v>347.5</v>
          </cell>
          <cell r="BV46">
            <v>1.5699999999999932</v>
          </cell>
          <cell r="BW46">
            <v>6.19</v>
          </cell>
          <cell r="BX46">
            <v>352.16</v>
          </cell>
          <cell r="BY46">
            <v>4.660000000000025</v>
          </cell>
          <cell r="BZ46">
            <v>16.72</v>
          </cell>
        </row>
        <row r="47">
          <cell r="B47" t="str">
            <v>EMA3-203</v>
          </cell>
          <cell r="C47">
            <v>97.88</v>
          </cell>
          <cell r="D47">
            <v>101.49</v>
          </cell>
          <cell r="E47">
            <v>3.6099999999999994</v>
          </cell>
          <cell r="F47">
            <v>12.1</v>
          </cell>
          <cell r="G47">
            <v>106.34</v>
          </cell>
          <cell r="H47">
            <v>4.8500000000000085</v>
          </cell>
          <cell r="I47">
            <v>17.72</v>
          </cell>
          <cell r="J47">
            <v>109.56</v>
          </cell>
          <cell r="K47">
            <v>3.2199999999999989</v>
          </cell>
          <cell r="L47">
            <v>12.29</v>
          </cell>
          <cell r="M47">
            <v>113.83</v>
          </cell>
          <cell r="N47">
            <v>4.269999999999996</v>
          </cell>
          <cell r="O47">
            <v>18.71</v>
          </cell>
          <cell r="P47">
            <v>116.76</v>
          </cell>
          <cell r="Q47">
            <v>2.9300000000000068</v>
          </cell>
          <cell r="R47">
            <v>11.06</v>
          </cell>
          <cell r="S47">
            <v>119.83</v>
          </cell>
          <cell r="T47">
            <v>3.0699999999999932</v>
          </cell>
          <cell r="U47">
            <v>10.52</v>
          </cell>
          <cell r="V47">
            <v>122.72</v>
          </cell>
          <cell r="W47">
            <v>2.8900000000000006</v>
          </cell>
          <cell r="X47">
            <v>12.33</v>
          </cell>
          <cell r="Y47">
            <v>126.69</v>
          </cell>
          <cell r="Z47">
            <v>3.9699999999999989</v>
          </cell>
          <cell r="AA47">
            <v>15.16</v>
          </cell>
          <cell r="AB47">
            <v>129.80000000000001</v>
          </cell>
          <cell r="AC47">
            <v>3.1100000000000136</v>
          </cell>
          <cell r="AD47">
            <v>12.49</v>
          </cell>
          <cell r="AE47">
            <v>134.07</v>
          </cell>
          <cell r="AF47">
            <v>4.2699999999999818</v>
          </cell>
          <cell r="AG47">
            <v>16.61</v>
          </cell>
          <cell r="AH47">
            <v>137.31</v>
          </cell>
          <cell r="AI47">
            <v>3.2400000000000091</v>
          </cell>
          <cell r="AJ47">
            <v>12.93</v>
          </cell>
          <cell r="AK47">
            <v>139.47</v>
          </cell>
          <cell r="AL47">
            <v>2.1599999999999966</v>
          </cell>
          <cell r="AM47">
            <v>9.8699999999999992</v>
          </cell>
          <cell r="AN47">
            <v>141.27000000000001</v>
          </cell>
          <cell r="AO47">
            <v>1.8000000000000114</v>
          </cell>
          <cell r="AP47">
            <v>5.93</v>
          </cell>
          <cell r="AQ47">
            <v>144.99</v>
          </cell>
          <cell r="AR47">
            <v>3.7199999999999989</v>
          </cell>
          <cell r="AS47">
            <v>16.809999999999999</v>
          </cell>
          <cell r="AT47">
            <v>148.81</v>
          </cell>
          <cell r="AU47">
            <v>3.8199999999999932</v>
          </cell>
          <cell r="AV47">
            <v>15.78</v>
          </cell>
          <cell r="AW47">
            <v>152.05000000000001</v>
          </cell>
          <cell r="AX47">
            <v>3.2400000000000091</v>
          </cell>
          <cell r="AY47">
            <v>13.4</v>
          </cell>
          <cell r="AZ47">
            <v>154.44</v>
          </cell>
          <cell r="BA47">
            <v>2.3899999999999864</v>
          </cell>
          <cell r="BB47">
            <v>10.050000000000001</v>
          </cell>
          <cell r="BC47">
            <v>157.85</v>
          </cell>
          <cell r="BD47">
            <v>3.4099999999999966</v>
          </cell>
          <cell r="BE47">
            <v>15.3</v>
          </cell>
          <cell r="BF47">
            <v>160.82</v>
          </cell>
          <cell r="BG47">
            <v>2.9699999999999989</v>
          </cell>
          <cell r="BH47">
            <v>12.15</v>
          </cell>
          <cell r="BI47">
            <v>164.3</v>
          </cell>
          <cell r="BJ47">
            <v>3.4800000000000182</v>
          </cell>
          <cell r="BK47">
            <v>16.18</v>
          </cell>
          <cell r="BL47">
            <v>167.45</v>
          </cell>
          <cell r="BM47">
            <v>3.1499999999999773</v>
          </cell>
          <cell r="BN47">
            <v>10.47</v>
          </cell>
          <cell r="BO47">
            <v>169.74</v>
          </cell>
          <cell r="BP47">
            <v>2.2900000000000205</v>
          </cell>
          <cell r="BQ47">
            <v>12.06</v>
          </cell>
          <cell r="BR47">
            <v>172.39</v>
          </cell>
          <cell r="BS47">
            <v>2.6499999999999773</v>
          </cell>
          <cell r="BT47">
            <v>12.01</v>
          </cell>
          <cell r="BU47">
            <v>176.49</v>
          </cell>
          <cell r="BV47">
            <v>4.1000000000000227</v>
          </cell>
          <cell r="BW47">
            <v>16.18</v>
          </cell>
          <cell r="BX47">
            <v>180.39</v>
          </cell>
          <cell r="BY47">
            <v>3.8999999999999773</v>
          </cell>
          <cell r="BZ47">
            <v>14</v>
          </cell>
        </row>
        <row r="48">
          <cell r="B48" t="str">
            <v>EMA3-301</v>
          </cell>
          <cell r="C48">
            <v>417.94</v>
          </cell>
          <cell r="D48">
            <v>423.5</v>
          </cell>
          <cell r="E48">
            <v>5.5600000000000023</v>
          </cell>
          <cell r="F48">
            <v>18.63</v>
          </cell>
          <cell r="G48">
            <v>429.67</v>
          </cell>
          <cell r="H48">
            <v>6.1700000000000159</v>
          </cell>
          <cell r="I48">
            <v>22.54</v>
          </cell>
          <cell r="J48">
            <v>435.05</v>
          </cell>
          <cell r="K48">
            <v>5.3799999999999955</v>
          </cell>
          <cell r="L48">
            <v>20.53</v>
          </cell>
          <cell r="M48">
            <v>447.32</v>
          </cell>
          <cell r="N48">
            <v>12.269999999999982</v>
          </cell>
          <cell r="O48">
            <v>53.75</v>
          </cell>
          <cell r="P48">
            <v>459.37</v>
          </cell>
          <cell r="Q48">
            <v>12.050000000000011</v>
          </cell>
          <cell r="R48">
            <v>45.49</v>
          </cell>
          <cell r="S48">
            <v>471.87</v>
          </cell>
          <cell r="T48">
            <v>12.5</v>
          </cell>
          <cell r="U48">
            <v>42.82</v>
          </cell>
          <cell r="V48">
            <v>478.7</v>
          </cell>
          <cell r="W48">
            <v>6.8299999999999841</v>
          </cell>
          <cell r="X48">
            <v>29.15</v>
          </cell>
          <cell r="Y48">
            <v>484.82</v>
          </cell>
          <cell r="Z48">
            <v>6.1200000000000045</v>
          </cell>
          <cell r="AA48">
            <v>23.37</v>
          </cell>
          <cell r="AB48">
            <v>491.36</v>
          </cell>
          <cell r="AC48">
            <v>6.5400000000000205</v>
          </cell>
          <cell r="AD48">
            <v>26.26</v>
          </cell>
          <cell r="AE48">
            <v>494.13</v>
          </cell>
          <cell r="AF48">
            <v>2.7699999999999818</v>
          </cell>
          <cell r="AG48">
            <v>10.78</v>
          </cell>
          <cell r="AH48">
            <v>500.41</v>
          </cell>
          <cell r="AI48">
            <v>6.2800000000000296</v>
          </cell>
          <cell r="AJ48">
            <v>25.06</v>
          </cell>
          <cell r="AK48">
            <v>506.02</v>
          </cell>
          <cell r="AL48">
            <v>5.6099999999999568</v>
          </cell>
          <cell r="AM48">
            <v>25.63</v>
          </cell>
          <cell r="AN48">
            <v>511.94</v>
          </cell>
          <cell r="AO48">
            <v>5.9200000000000159</v>
          </cell>
          <cell r="AP48">
            <v>19.5</v>
          </cell>
          <cell r="AQ48">
            <v>517.12</v>
          </cell>
          <cell r="AR48">
            <v>5.1800000000000068</v>
          </cell>
          <cell r="AS48">
            <v>23.41</v>
          </cell>
          <cell r="AT48">
            <v>522.78</v>
          </cell>
          <cell r="AU48">
            <v>5.6599999999999682</v>
          </cell>
          <cell r="AV48">
            <v>23.39</v>
          </cell>
          <cell r="AW48">
            <v>530.04</v>
          </cell>
          <cell r="AX48">
            <v>7.2599999999999909</v>
          </cell>
          <cell r="AY48">
            <v>30.02</v>
          </cell>
          <cell r="AZ48">
            <v>536.08000000000004</v>
          </cell>
          <cell r="BA48">
            <v>6.0400000000000773</v>
          </cell>
          <cell r="BB48">
            <v>25.39</v>
          </cell>
          <cell r="BC48">
            <v>536.08000000000004</v>
          </cell>
          <cell r="BD48">
            <v>0</v>
          </cell>
          <cell r="BE48">
            <v>0</v>
          </cell>
          <cell r="BF48">
            <v>536.14</v>
          </cell>
          <cell r="BG48">
            <v>5.999999999994543E-2</v>
          </cell>
          <cell r="BH48">
            <v>0.25</v>
          </cell>
          <cell r="BI48">
            <v>536.14</v>
          </cell>
          <cell r="BJ48">
            <v>0</v>
          </cell>
          <cell r="BK48">
            <v>0</v>
          </cell>
          <cell r="BL48">
            <v>536.14</v>
          </cell>
          <cell r="BM48">
            <v>0</v>
          </cell>
          <cell r="BN48">
            <v>0</v>
          </cell>
          <cell r="BO48">
            <v>536.14</v>
          </cell>
          <cell r="BP48">
            <v>0</v>
          </cell>
          <cell r="BQ48">
            <v>0</v>
          </cell>
          <cell r="BR48">
            <v>536.14</v>
          </cell>
          <cell r="BS48">
            <v>0</v>
          </cell>
          <cell r="BT48">
            <v>0</v>
          </cell>
          <cell r="BU48">
            <v>537.88</v>
          </cell>
          <cell r="BV48">
            <v>1.7400000000000091</v>
          </cell>
          <cell r="BW48">
            <v>6.86</v>
          </cell>
          <cell r="BX48">
            <v>542.33000000000004</v>
          </cell>
          <cell r="BY48">
            <v>4.4500000000000455</v>
          </cell>
          <cell r="BZ48">
            <v>15.97</v>
          </cell>
        </row>
        <row r="49">
          <cell r="B49" t="str">
            <v>EMA3-302</v>
          </cell>
          <cell r="C49">
            <v>178.5</v>
          </cell>
          <cell r="D49">
            <v>183.71</v>
          </cell>
          <cell r="E49">
            <v>5.210000000000008</v>
          </cell>
          <cell r="F49">
            <v>17.46</v>
          </cell>
          <cell r="G49">
            <v>193.9</v>
          </cell>
          <cell r="H49">
            <v>10.189999999999998</v>
          </cell>
          <cell r="I49">
            <v>37.229999999999997</v>
          </cell>
          <cell r="J49">
            <v>215.74</v>
          </cell>
          <cell r="K49">
            <v>21.840000000000003</v>
          </cell>
          <cell r="L49">
            <v>83.33</v>
          </cell>
          <cell r="M49">
            <v>219.16</v>
          </cell>
          <cell r="N49">
            <v>3.4199999999999875</v>
          </cell>
          <cell r="O49">
            <v>14.98</v>
          </cell>
          <cell r="P49">
            <v>221.72</v>
          </cell>
          <cell r="Q49">
            <v>2.5600000000000023</v>
          </cell>
          <cell r="R49">
            <v>9.66</v>
          </cell>
          <cell r="S49">
            <v>227.8</v>
          </cell>
          <cell r="T49">
            <v>6.0800000000000125</v>
          </cell>
          <cell r="U49">
            <v>20.83</v>
          </cell>
          <cell r="V49">
            <v>234.56</v>
          </cell>
          <cell r="W49">
            <v>6.7599999999999909</v>
          </cell>
          <cell r="X49">
            <v>28.85</v>
          </cell>
          <cell r="Y49">
            <v>241.17500000000001</v>
          </cell>
          <cell r="Z49">
            <v>6.6150000000000091</v>
          </cell>
          <cell r="AA49">
            <v>25.26</v>
          </cell>
          <cell r="AB49">
            <v>248.89</v>
          </cell>
          <cell r="AC49">
            <v>7.714999999999975</v>
          </cell>
          <cell r="AD49">
            <v>30.98</v>
          </cell>
          <cell r="AE49">
            <v>254.78</v>
          </cell>
          <cell r="AF49">
            <v>5.8900000000000148</v>
          </cell>
          <cell r="AG49">
            <v>22.91</v>
          </cell>
          <cell r="AH49">
            <v>261.48</v>
          </cell>
          <cell r="AI49">
            <v>6.7000000000000171</v>
          </cell>
          <cell r="AJ49">
            <v>26.74</v>
          </cell>
          <cell r="AK49">
            <v>266.62</v>
          </cell>
          <cell r="AL49">
            <v>5.1399999999999864</v>
          </cell>
          <cell r="AM49">
            <v>23.48</v>
          </cell>
          <cell r="AN49">
            <v>271.18</v>
          </cell>
          <cell r="AO49">
            <v>4.5600000000000023</v>
          </cell>
          <cell r="AP49">
            <v>15.02</v>
          </cell>
          <cell r="AQ49">
            <v>277.12</v>
          </cell>
          <cell r="AR49">
            <v>5.9399999999999977</v>
          </cell>
          <cell r="AS49">
            <v>26.84</v>
          </cell>
          <cell r="AT49">
            <v>284.70999999999998</v>
          </cell>
          <cell r="AU49">
            <v>7.589999999999975</v>
          </cell>
          <cell r="AV49">
            <v>31.36</v>
          </cell>
          <cell r="AW49">
            <v>293.48</v>
          </cell>
          <cell r="AX49">
            <v>8.7700000000000387</v>
          </cell>
          <cell r="AY49">
            <v>36.26</v>
          </cell>
          <cell r="AZ49">
            <v>298.99</v>
          </cell>
          <cell r="BA49">
            <v>5.5099999999999909</v>
          </cell>
          <cell r="BB49">
            <v>23.16</v>
          </cell>
          <cell r="BC49">
            <v>299.93</v>
          </cell>
          <cell r="BD49">
            <v>0.93999999999999773</v>
          </cell>
          <cell r="BE49">
            <v>4.22</v>
          </cell>
          <cell r="BF49">
            <v>300.87</v>
          </cell>
          <cell r="BG49">
            <v>0.93999999999999773</v>
          </cell>
          <cell r="BH49">
            <v>3.84</v>
          </cell>
          <cell r="BI49">
            <v>302.51</v>
          </cell>
          <cell r="BJ49">
            <v>1.6399999999999864</v>
          </cell>
          <cell r="BK49">
            <v>7.62</v>
          </cell>
          <cell r="BL49">
            <v>304.45</v>
          </cell>
          <cell r="BM49">
            <v>1.9399999999999977</v>
          </cell>
          <cell r="BN49">
            <v>6.45</v>
          </cell>
          <cell r="BO49">
            <v>306.04000000000002</v>
          </cell>
          <cell r="BP49">
            <v>1.5900000000000318</v>
          </cell>
          <cell r="BQ49">
            <v>8.3800000000000008</v>
          </cell>
          <cell r="BR49">
            <v>308.14999999999998</v>
          </cell>
          <cell r="BS49">
            <v>2.1099999999999568</v>
          </cell>
          <cell r="BT49">
            <v>9.56</v>
          </cell>
          <cell r="BU49">
            <v>309.51</v>
          </cell>
          <cell r="BV49">
            <v>1.3600000000000136</v>
          </cell>
          <cell r="BW49">
            <v>5.37</v>
          </cell>
          <cell r="BX49">
            <v>310.88</v>
          </cell>
          <cell r="BY49">
            <v>1.3700000000000045</v>
          </cell>
          <cell r="BZ49">
            <v>4.92</v>
          </cell>
        </row>
        <row r="50">
          <cell r="B50" t="str">
            <v>EMA3-303</v>
          </cell>
          <cell r="C50">
            <v>305.86</v>
          </cell>
          <cell r="D50">
            <v>314.64</v>
          </cell>
          <cell r="E50">
            <v>8.7799999999999727</v>
          </cell>
          <cell r="F50">
            <v>29.42</v>
          </cell>
          <cell r="G50">
            <v>326.61</v>
          </cell>
          <cell r="H50">
            <v>11.970000000000027</v>
          </cell>
          <cell r="I50">
            <v>43.73</v>
          </cell>
          <cell r="J50">
            <v>337.46</v>
          </cell>
          <cell r="K50">
            <v>10.849999999999966</v>
          </cell>
          <cell r="L50">
            <v>41.4</v>
          </cell>
          <cell r="M50">
            <v>349.91</v>
          </cell>
          <cell r="N50">
            <v>12.450000000000045</v>
          </cell>
          <cell r="O50">
            <v>54.54</v>
          </cell>
          <cell r="P50">
            <v>360.2</v>
          </cell>
          <cell r="Q50">
            <v>10.289999999999964</v>
          </cell>
          <cell r="R50">
            <v>38.85</v>
          </cell>
          <cell r="S50">
            <v>370.96</v>
          </cell>
          <cell r="T50">
            <v>10.759999999999991</v>
          </cell>
          <cell r="U50">
            <v>36.86</v>
          </cell>
          <cell r="V50">
            <v>380.78</v>
          </cell>
          <cell r="W50">
            <v>9.8199999999999932</v>
          </cell>
          <cell r="X50">
            <v>41.91</v>
          </cell>
          <cell r="Y50">
            <v>390.09</v>
          </cell>
          <cell r="Z50">
            <v>9.3100000000000023</v>
          </cell>
          <cell r="AA50">
            <v>35.549999999999997</v>
          </cell>
          <cell r="AB50">
            <v>399.46</v>
          </cell>
          <cell r="AC50">
            <v>9.3700000000000045</v>
          </cell>
          <cell r="AD50">
            <v>37.619999999999997</v>
          </cell>
          <cell r="AE50">
            <v>409.75</v>
          </cell>
          <cell r="AF50">
            <v>10.29000000000002</v>
          </cell>
          <cell r="AG50">
            <v>40.03</v>
          </cell>
          <cell r="AH50">
            <v>417.86</v>
          </cell>
          <cell r="AI50">
            <v>8.1100000000000136</v>
          </cell>
          <cell r="AJ50">
            <v>32.36</v>
          </cell>
          <cell r="AK50">
            <v>426.45</v>
          </cell>
          <cell r="AL50">
            <v>8.589999999999975</v>
          </cell>
          <cell r="AM50">
            <v>39.24</v>
          </cell>
          <cell r="AN50">
            <v>434.35</v>
          </cell>
          <cell r="AO50">
            <v>7.9000000000000341</v>
          </cell>
          <cell r="AP50">
            <v>26.02</v>
          </cell>
          <cell r="AQ50">
            <v>438.85</v>
          </cell>
          <cell r="AR50">
            <v>4.5</v>
          </cell>
          <cell r="AS50">
            <v>20.34</v>
          </cell>
          <cell r="AT50">
            <v>443.96</v>
          </cell>
          <cell r="AU50">
            <v>5.1099999999999568</v>
          </cell>
          <cell r="AV50">
            <v>21.12</v>
          </cell>
          <cell r="AW50">
            <v>451.75</v>
          </cell>
          <cell r="AX50">
            <v>7.7900000000000205</v>
          </cell>
          <cell r="AY50">
            <v>32.21</v>
          </cell>
          <cell r="AZ50">
            <v>458.65</v>
          </cell>
          <cell r="BA50">
            <v>6.8999999999999773</v>
          </cell>
          <cell r="BB50">
            <v>29</v>
          </cell>
          <cell r="BC50">
            <v>466.54</v>
          </cell>
          <cell r="BD50">
            <v>7.8900000000000432</v>
          </cell>
          <cell r="BE50">
            <v>35.4</v>
          </cell>
          <cell r="BF50">
            <v>474.78</v>
          </cell>
          <cell r="BG50">
            <v>8.2399999999999523</v>
          </cell>
          <cell r="BH50">
            <v>33.700000000000003</v>
          </cell>
          <cell r="BI50">
            <v>475.97</v>
          </cell>
          <cell r="BJ50">
            <v>1.1900000000000546</v>
          </cell>
          <cell r="BK50">
            <v>5.53</v>
          </cell>
          <cell r="BL50">
            <v>477.46</v>
          </cell>
          <cell r="BM50">
            <v>1.4899999999999523</v>
          </cell>
          <cell r="BN50">
            <v>4.95</v>
          </cell>
          <cell r="BO50">
            <v>478.78</v>
          </cell>
          <cell r="BP50">
            <v>1.3199999999999932</v>
          </cell>
          <cell r="BQ50">
            <v>6.95</v>
          </cell>
          <cell r="BR50">
            <v>478.81</v>
          </cell>
          <cell r="BS50">
            <v>3.0000000000029559E-2</v>
          </cell>
          <cell r="BT50">
            <v>0.14000000000000001</v>
          </cell>
          <cell r="BU50">
            <v>485.72</v>
          </cell>
          <cell r="BV50">
            <v>6.910000000000025</v>
          </cell>
          <cell r="BW50">
            <v>27.26</v>
          </cell>
          <cell r="BX50">
            <v>501.87</v>
          </cell>
          <cell r="BY50">
            <v>16.149999999999977</v>
          </cell>
          <cell r="BZ50">
            <v>57.96</v>
          </cell>
        </row>
        <row r="51">
          <cell r="B51" t="str">
            <v>EMA3-401</v>
          </cell>
          <cell r="C51">
            <v>307.52</v>
          </cell>
          <cell r="D51">
            <v>317.14999999999998</v>
          </cell>
          <cell r="E51">
            <v>9.6299999999999955</v>
          </cell>
          <cell r="F51">
            <v>32.270000000000003</v>
          </cell>
          <cell r="G51">
            <v>324.56</v>
          </cell>
          <cell r="H51">
            <v>7.410000000000025</v>
          </cell>
          <cell r="I51">
            <v>27.07</v>
          </cell>
          <cell r="J51">
            <v>337.74</v>
          </cell>
          <cell r="K51">
            <v>13.180000000000007</v>
          </cell>
          <cell r="L51">
            <v>50.29</v>
          </cell>
          <cell r="M51">
            <v>351.87</v>
          </cell>
          <cell r="N51">
            <v>14.129999999999995</v>
          </cell>
          <cell r="O51">
            <v>61.9</v>
          </cell>
          <cell r="P51">
            <v>361.55</v>
          </cell>
          <cell r="Q51">
            <v>9.6800000000000068</v>
          </cell>
          <cell r="R51">
            <v>36.54</v>
          </cell>
          <cell r="S51">
            <v>374</v>
          </cell>
          <cell r="T51">
            <v>12.449999999999989</v>
          </cell>
          <cell r="U51">
            <v>42.65</v>
          </cell>
          <cell r="V51">
            <v>383.99</v>
          </cell>
          <cell r="W51">
            <v>9.9900000000000091</v>
          </cell>
          <cell r="X51">
            <v>42.63</v>
          </cell>
          <cell r="Y51">
            <v>393.9</v>
          </cell>
          <cell r="Z51">
            <v>9.9099999999999682</v>
          </cell>
          <cell r="AA51">
            <v>37.840000000000003</v>
          </cell>
          <cell r="AB51">
            <v>403.29</v>
          </cell>
          <cell r="AC51">
            <v>9.3900000000000432</v>
          </cell>
          <cell r="AD51">
            <v>37.700000000000003</v>
          </cell>
          <cell r="AE51">
            <v>414.08</v>
          </cell>
          <cell r="AF51">
            <v>10.789999999999964</v>
          </cell>
          <cell r="AG51">
            <v>41.97</v>
          </cell>
          <cell r="AH51">
            <v>428.35</v>
          </cell>
          <cell r="AI51">
            <v>14.270000000000039</v>
          </cell>
          <cell r="AJ51">
            <v>56.95</v>
          </cell>
          <cell r="AK51">
            <v>438.56</v>
          </cell>
          <cell r="AL51">
            <v>10.20999999999998</v>
          </cell>
          <cell r="AM51">
            <v>46.64</v>
          </cell>
          <cell r="AN51">
            <v>451.32</v>
          </cell>
          <cell r="AO51">
            <v>12.759999999999991</v>
          </cell>
          <cell r="AP51">
            <v>42.03</v>
          </cell>
          <cell r="AQ51">
            <v>461.07</v>
          </cell>
          <cell r="AR51">
            <v>9.75</v>
          </cell>
          <cell r="AS51">
            <v>44.06</v>
          </cell>
          <cell r="AT51">
            <v>471.28</v>
          </cell>
          <cell r="AU51">
            <v>10.20999999999998</v>
          </cell>
          <cell r="AV51">
            <v>42.19</v>
          </cell>
          <cell r="AW51">
            <v>482.85</v>
          </cell>
          <cell r="AX51">
            <v>11.57000000000005</v>
          </cell>
          <cell r="AY51">
            <v>47.84</v>
          </cell>
          <cell r="AZ51">
            <v>495.31</v>
          </cell>
          <cell r="BA51">
            <v>12.45999999999998</v>
          </cell>
          <cell r="BB51">
            <v>52.37</v>
          </cell>
          <cell r="BC51">
            <v>508.05</v>
          </cell>
          <cell r="BD51">
            <v>12.740000000000009</v>
          </cell>
          <cell r="BE51">
            <v>57.16</v>
          </cell>
          <cell r="BF51">
            <v>520.58000000000004</v>
          </cell>
          <cell r="BG51">
            <v>12.53000000000003</v>
          </cell>
          <cell r="BH51">
            <v>51.24</v>
          </cell>
          <cell r="BI51">
            <v>531.33000000000004</v>
          </cell>
          <cell r="BJ51">
            <v>10.75</v>
          </cell>
          <cell r="BK51">
            <v>49.97</v>
          </cell>
          <cell r="BL51">
            <v>545.26</v>
          </cell>
          <cell r="BM51">
            <v>13.92999999999995</v>
          </cell>
          <cell r="BN51">
            <v>46.3</v>
          </cell>
          <cell r="BO51">
            <v>553.66999999999996</v>
          </cell>
          <cell r="BP51">
            <v>8.4099999999999682</v>
          </cell>
          <cell r="BQ51">
            <v>44.31</v>
          </cell>
          <cell r="BR51">
            <v>563.91</v>
          </cell>
          <cell r="BS51">
            <v>10.240000000000009</v>
          </cell>
          <cell r="BT51">
            <v>46.39</v>
          </cell>
          <cell r="BU51">
            <v>576.29</v>
          </cell>
          <cell r="BV51">
            <v>12.379999999999995</v>
          </cell>
          <cell r="BW51">
            <v>48.84</v>
          </cell>
          <cell r="BX51">
            <v>584.72</v>
          </cell>
          <cell r="BY51">
            <v>8.4300000000000637</v>
          </cell>
          <cell r="BZ51">
            <v>30.25</v>
          </cell>
        </row>
        <row r="52">
          <cell r="B52" t="str">
            <v>EMA3-402</v>
          </cell>
          <cell r="C52">
            <v>170.47</v>
          </cell>
          <cell r="D52">
            <v>181.11</v>
          </cell>
          <cell r="E52">
            <v>10.640000000000015</v>
          </cell>
          <cell r="F52">
            <v>35.65</v>
          </cell>
          <cell r="G52">
            <v>194.94</v>
          </cell>
          <cell r="H52">
            <v>13.829999999999984</v>
          </cell>
          <cell r="I52">
            <v>50.53</v>
          </cell>
          <cell r="J52">
            <v>205.65</v>
          </cell>
          <cell r="K52">
            <v>10.710000000000008</v>
          </cell>
          <cell r="L52">
            <v>40.86</v>
          </cell>
          <cell r="M52">
            <v>217.45</v>
          </cell>
          <cell r="N52">
            <v>11.799999999999983</v>
          </cell>
          <cell r="O52">
            <v>51.69</v>
          </cell>
          <cell r="P52">
            <v>223.1</v>
          </cell>
          <cell r="Q52">
            <v>5.6500000000000057</v>
          </cell>
          <cell r="R52">
            <v>21.33</v>
          </cell>
          <cell r="S52">
            <v>227.71</v>
          </cell>
          <cell r="T52">
            <v>4.6100000000000136</v>
          </cell>
          <cell r="U52">
            <v>15.79</v>
          </cell>
          <cell r="V52">
            <v>232.68</v>
          </cell>
          <cell r="W52">
            <v>4.9699999999999989</v>
          </cell>
          <cell r="X52">
            <v>21.21</v>
          </cell>
          <cell r="Y52">
            <v>235.14</v>
          </cell>
          <cell r="Z52">
            <v>2.4599999999999795</v>
          </cell>
          <cell r="AA52">
            <v>9.39</v>
          </cell>
          <cell r="AB52">
            <v>238.98</v>
          </cell>
          <cell r="AC52">
            <v>3.8400000000000034</v>
          </cell>
          <cell r="AD52">
            <v>15.42</v>
          </cell>
          <cell r="AE52">
            <v>241.57</v>
          </cell>
          <cell r="AF52">
            <v>2.5900000000000034</v>
          </cell>
          <cell r="AG52">
            <v>10.08</v>
          </cell>
          <cell r="AH52">
            <v>244.09</v>
          </cell>
          <cell r="AI52">
            <v>2.5200000000000102</v>
          </cell>
          <cell r="AJ52">
            <v>10.06</v>
          </cell>
          <cell r="AK52">
            <v>247.74</v>
          </cell>
          <cell r="AL52">
            <v>3.6500000000000057</v>
          </cell>
          <cell r="AM52">
            <v>16.670000000000002</v>
          </cell>
          <cell r="AN52">
            <v>255.61</v>
          </cell>
          <cell r="AO52">
            <v>7.8700000000000045</v>
          </cell>
          <cell r="AP52">
            <v>25.92</v>
          </cell>
          <cell r="AQ52">
            <v>260.2</v>
          </cell>
          <cell r="AR52">
            <v>4.589999999999975</v>
          </cell>
          <cell r="AS52">
            <v>20.74</v>
          </cell>
          <cell r="AT52">
            <v>264.95</v>
          </cell>
          <cell r="AU52">
            <v>4.75</v>
          </cell>
          <cell r="AV52">
            <v>19.63</v>
          </cell>
          <cell r="AW52">
            <v>268.99</v>
          </cell>
          <cell r="AX52">
            <v>4.0400000000000205</v>
          </cell>
          <cell r="AY52">
            <v>16.7</v>
          </cell>
          <cell r="AZ52">
            <v>272.43</v>
          </cell>
          <cell r="BA52">
            <v>3.4399999999999977</v>
          </cell>
          <cell r="BB52">
            <v>14.46</v>
          </cell>
          <cell r="BC52">
            <v>274.75</v>
          </cell>
          <cell r="BD52">
            <v>2.3199999999999932</v>
          </cell>
          <cell r="BE52">
            <v>10.41</v>
          </cell>
          <cell r="BF52">
            <v>276.87</v>
          </cell>
          <cell r="BG52">
            <v>2.1200000000000045</v>
          </cell>
          <cell r="BH52">
            <v>8.67</v>
          </cell>
          <cell r="BI52">
            <v>278.12</v>
          </cell>
          <cell r="BJ52">
            <v>1.25</v>
          </cell>
          <cell r="BK52">
            <v>5.81</v>
          </cell>
          <cell r="BL52">
            <v>282.22000000000003</v>
          </cell>
          <cell r="BM52">
            <v>4.1000000000000227</v>
          </cell>
          <cell r="BN52">
            <v>13.63</v>
          </cell>
          <cell r="BO52">
            <v>286.93</v>
          </cell>
          <cell r="BP52">
            <v>4.7099999999999795</v>
          </cell>
          <cell r="BQ52">
            <v>24.81</v>
          </cell>
          <cell r="BR52">
            <v>290.7</v>
          </cell>
          <cell r="BS52">
            <v>3.7699999999999818</v>
          </cell>
          <cell r="BT52">
            <v>17.079999999999998</v>
          </cell>
          <cell r="BU52">
            <v>294.42</v>
          </cell>
          <cell r="BV52">
            <v>3.7200000000000273</v>
          </cell>
          <cell r="BW52">
            <v>14.68</v>
          </cell>
          <cell r="BX52">
            <v>298.02</v>
          </cell>
          <cell r="BY52">
            <v>3.5999999999999659</v>
          </cell>
          <cell r="BZ52">
            <v>12.92</v>
          </cell>
        </row>
        <row r="53">
          <cell r="B53" t="str">
            <v>EMA3-403</v>
          </cell>
          <cell r="C53">
            <v>115.59</v>
          </cell>
          <cell r="D53">
            <v>115.59</v>
          </cell>
          <cell r="E53">
            <v>0</v>
          </cell>
          <cell r="F53">
            <v>0</v>
          </cell>
          <cell r="G53">
            <v>115.63</v>
          </cell>
          <cell r="H53">
            <v>3.9999999999992042E-2</v>
          </cell>
          <cell r="I53">
            <v>0.15</v>
          </cell>
          <cell r="J53">
            <v>115.65</v>
          </cell>
          <cell r="K53">
            <v>2.0000000000010232E-2</v>
          </cell>
          <cell r="L53">
            <v>0.08</v>
          </cell>
          <cell r="M53">
            <v>115.72</v>
          </cell>
          <cell r="N53">
            <v>6.9999999999993179E-2</v>
          </cell>
          <cell r="O53">
            <v>0.31</v>
          </cell>
          <cell r="P53">
            <v>121.71</v>
          </cell>
          <cell r="Q53">
            <v>5.9899999999999949</v>
          </cell>
          <cell r="R53">
            <v>22.61</v>
          </cell>
          <cell r="S53">
            <v>134.44999999999999</v>
          </cell>
          <cell r="T53">
            <v>12.739999999999995</v>
          </cell>
          <cell r="U53">
            <v>43.64</v>
          </cell>
          <cell r="V53">
            <v>147.68</v>
          </cell>
          <cell r="W53">
            <v>13.230000000000018</v>
          </cell>
          <cell r="X53">
            <v>56.46</v>
          </cell>
          <cell r="Y53">
            <v>157.59</v>
          </cell>
          <cell r="Z53">
            <v>9.9099999999999966</v>
          </cell>
          <cell r="AA53">
            <v>37.840000000000003</v>
          </cell>
          <cell r="AB53">
            <v>169.13</v>
          </cell>
          <cell r="AC53">
            <v>11.539999999999992</v>
          </cell>
          <cell r="AD53">
            <v>46.33</v>
          </cell>
          <cell r="AE53">
            <v>180.78</v>
          </cell>
          <cell r="AF53">
            <v>11.650000000000006</v>
          </cell>
          <cell r="AG53">
            <v>45.32</v>
          </cell>
          <cell r="AH53">
            <v>191.88</v>
          </cell>
          <cell r="AI53">
            <v>11.099999999999994</v>
          </cell>
          <cell r="AJ53">
            <v>44.3</v>
          </cell>
          <cell r="AK53">
            <v>207.3</v>
          </cell>
          <cell r="AL53">
            <v>15.420000000000016</v>
          </cell>
          <cell r="AM53">
            <v>70.44</v>
          </cell>
          <cell r="AN53">
            <v>222.03</v>
          </cell>
          <cell r="AO53">
            <v>14.72999999999999</v>
          </cell>
          <cell r="AP53">
            <v>48.52</v>
          </cell>
          <cell r="AQ53">
            <v>232.64</v>
          </cell>
          <cell r="AR53">
            <v>10.609999999999985</v>
          </cell>
          <cell r="AS53">
            <v>47.95</v>
          </cell>
          <cell r="AT53">
            <v>245.72</v>
          </cell>
          <cell r="AU53">
            <v>13.080000000000013</v>
          </cell>
          <cell r="AV53">
            <v>54.05</v>
          </cell>
          <cell r="AW53">
            <v>261.23</v>
          </cell>
          <cell r="AX53">
            <v>15.510000000000019</v>
          </cell>
          <cell r="AY53">
            <v>64.12</v>
          </cell>
          <cell r="AZ53">
            <v>276.47000000000003</v>
          </cell>
          <cell r="BA53">
            <v>15.240000000000009</v>
          </cell>
          <cell r="BB53">
            <v>64.05</v>
          </cell>
          <cell r="BC53">
            <v>281.01</v>
          </cell>
          <cell r="BD53">
            <v>4.5399999999999636</v>
          </cell>
          <cell r="BE53">
            <v>20.37</v>
          </cell>
          <cell r="BF53">
            <v>281.38</v>
          </cell>
          <cell r="BG53">
            <v>0.37000000000000455</v>
          </cell>
          <cell r="BH53">
            <v>1.51</v>
          </cell>
          <cell r="BI53">
            <v>281.39</v>
          </cell>
          <cell r="BJ53">
            <v>9.9999999999909051E-3</v>
          </cell>
          <cell r="BK53">
            <v>0.05</v>
          </cell>
          <cell r="BL53">
            <v>282.26</v>
          </cell>
          <cell r="BM53">
            <v>0.87000000000000455</v>
          </cell>
          <cell r="BN53">
            <v>2.89</v>
          </cell>
          <cell r="BO53">
            <v>286.33999999999997</v>
          </cell>
          <cell r="BP53">
            <v>4.0799999999999841</v>
          </cell>
          <cell r="BQ53">
            <v>21.49</v>
          </cell>
          <cell r="BR53">
            <v>290.58999999999997</v>
          </cell>
          <cell r="BS53">
            <v>4.25</v>
          </cell>
          <cell r="BT53">
            <v>19.260000000000002</v>
          </cell>
          <cell r="BU53">
            <v>294.39999999999998</v>
          </cell>
          <cell r="BV53">
            <v>3.8100000000000023</v>
          </cell>
          <cell r="BW53">
            <v>15.03</v>
          </cell>
          <cell r="BX53">
            <v>299.19</v>
          </cell>
          <cell r="BY53">
            <v>4.7900000000000205</v>
          </cell>
          <cell r="BZ53">
            <v>17.190000000000001</v>
          </cell>
        </row>
        <row r="54">
          <cell r="B54" t="str">
            <v>EMA3-501</v>
          </cell>
          <cell r="C54">
            <v>682.07</v>
          </cell>
          <cell r="D54">
            <v>702.22</v>
          </cell>
          <cell r="E54">
            <v>20.149999999999977</v>
          </cell>
          <cell r="F54">
            <v>67.510000000000005</v>
          </cell>
          <cell r="G54">
            <v>727.2</v>
          </cell>
          <cell r="H54">
            <v>24.980000000000018</v>
          </cell>
          <cell r="I54">
            <v>91.27</v>
          </cell>
          <cell r="J54">
            <v>748.11</v>
          </cell>
          <cell r="K54">
            <v>20.909999999999968</v>
          </cell>
          <cell r="L54">
            <v>79.78</v>
          </cell>
          <cell r="M54">
            <v>779.2</v>
          </cell>
          <cell r="N54">
            <v>31.090000000000032</v>
          </cell>
          <cell r="O54">
            <v>136.19999999999999</v>
          </cell>
          <cell r="P54">
            <v>799.59</v>
          </cell>
          <cell r="Q54">
            <v>20.389999999999986</v>
          </cell>
          <cell r="R54">
            <v>76.98</v>
          </cell>
          <cell r="S54">
            <v>826.4</v>
          </cell>
          <cell r="T54">
            <v>26.809999999999945</v>
          </cell>
          <cell r="U54">
            <v>91.85</v>
          </cell>
          <cell r="V54">
            <v>842.49</v>
          </cell>
          <cell r="W54">
            <v>16.090000000000032</v>
          </cell>
          <cell r="X54">
            <v>68.67</v>
          </cell>
          <cell r="Y54">
            <v>860.9</v>
          </cell>
          <cell r="Z54">
            <v>18.409999999999968</v>
          </cell>
          <cell r="AA54">
            <v>70.3</v>
          </cell>
          <cell r="AB54">
            <v>876.86</v>
          </cell>
          <cell r="AC54">
            <v>15.960000000000036</v>
          </cell>
          <cell r="AD54">
            <v>64.08</v>
          </cell>
          <cell r="AE54">
            <v>895.04</v>
          </cell>
          <cell r="AF54">
            <v>18.17999999999995</v>
          </cell>
          <cell r="AG54">
            <v>70.72</v>
          </cell>
          <cell r="AH54">
            <v>917.61</v>
          </cell>
          <cell r="AI54">
            <v>22.57000000000005</v>
          </cell>
          <cell r="AJ54">
            <v>90.07</v>
          </cell>
          <cell r="AK54">
            <v>935</v>
          </cell>
          <cell r="AL54">
            <v>17.389999999999986</v>
          </cell>
          <cell r="AM54">
            <v>79.44</v>
          </cell>
          <cell r="AN54">
            <v>953.55</v>
          </cell>
          <cell r="AO54">
            <v>18.549999999999955</v>
          </cell>
          <cell r="AP54">
            <v>61.11</v>
          </cell>
          <cell r="AQ54">
            <v>966.88</v>
          </cell>
          <cell r="AR54">
            <v>13.330000000000041</v>
          </cell>
          <cell r="AS54">
            <v>60.24</v>
          </cell>
          <cell r="AT54">
            <v>979.94</v>
          </cell>
          <cell r="AU54">
            <v>13.060000000000059</v>
          </cell>
          <cell r="AV54">
            <v>53.97</v>
          </cell>
          <cell r="AW54">
            <v>994.42</v>
          </cell>
          <cell r="AX54">
            <v>14.479999999999905</v>
          </cell>
          <cell r="AY54">
            <v>59.87</v>
          </cell>
          <cell r="AZ54">
            <v>1013.11</v>
          </cell>
          <cell r="BA54">
            <v>18.690000000000055</v>
          </cell>
          <cell r="BB54">
            <v>78.55</v>
          </cell>
          <cell r="BC54">
            <v>1028.1199999999999</v>
          </cell>
          <cell r="BD54">
            <v>15.009999999999877</v>
          </cell>
          <cell r="BE54">
            <v>67.34</v>
          </cell>
          <cell r="BF54">
            <v>1042.29</v>
          </cell>
          <cell r="BG54">
            <v>14.170000000000073</v>
          </cell>
          <cell r="BH54">
            <v>57.95</v>
          </cell>
          <cell r="BI54">
            <v>1055.3900000000001</v>
          </cell>
          <cell r="BJ54">
            <v>13.100000000000136</v>
          </cell>
          <cell r="BK54">
            <v>60.89</v>
          </cell>
          <cell r="BL54">
            <v>1067.06</v>
          </cell>
          <cell r="BM54">
            <v>11.669999999999845</v>
          </cell>
          <cell r="BN54">
            <v>38.79</v>
          </cell>
          <cell r="BO54">
            <v>1078.6400000000001</v>
          </cell>
          <cell r="BP54">
            <v>11.580000000000155</v>
          </cell>
          <cell r="BQ54">
            <v>61.01</v>
          </cell>
          <cell r="BR54">
            <v>1090.5</v>
          </cell>
          <cell r="BS54">
            <v>11.8599999999999</v>
          </cell>
          <cell r="BT54">
            <v>53.73</v>
          </cell>
          <cell r="BU54">
            <v>1102.1500000000001</v>
          </cell>
          <cell r="BV54">
            <v>11.650000000000091</v>
          </cell>
          <cell r="BW54">
            <v>45.96</v>
          </cell>
          <cell r="BX54">
            <v>1117.05</v>
          </cell>
          <cell r="BY54">
            <v>14.899999999999864</v>
          </cell>
          <cell r="BZ54">
            <v>53.47</v>
          </cell>
        </row>
        <row r="55">
          <cell r="B55" t="str">
            <v>EMA3-502</v>
          </cell>
          <cell r="C55">
            <v>326.29000000000002</v>
          </cell>
          <cell r="D55">
            <v>338.73</v>
          </cell>
          <cell r="E55">
            <v>12.439999999999998</v>
          </cell>
          <cell r="F55">
            <v>41.68</v>
          </cell>
          <cell r="G55">
            <v>349.46</v>
          </cell>
          <cell r="H55">
            <v>10.729999999999961</v>
          </cell>
          <cell r="I55">
            <v>39.200000000000003</v>
          </cell>
          <cell r="J55">
            <v>362.05</v>
          </cell>
          <cell r="K55">
            <v>12.590000000000032</v>
          </cell>
          <cell r="L55">
            <v>48.03</v>
          </cell>
          <cell r="M55">
            <v>374.54</v>
          </cell>
          <cell r="N55">
            <v>12.490000000000009</v>
          </cell>
          <cell r="O55">
            <v>54.72</v>
          </cell>
          <cell r="P55">
            <v>387.33</v>
          </cell>
          <cell r="Q55">
            <v>12.789999999999964</v>
          </cell>
          <cell r="R55">
            <v>48.28</v>
          </cell>
          <cell r="S55">
            <v>400.56</v>
          </cell>
          <cell r="T55">
            <v>13.230000000000018</v>
          </cell>
          <cell r="U55">
            <v>45.32</v>
          </cell>
          <cell r="V55">
            <v>412.42</v>
          </cell>
          <cell r="W55">
            <v>11.860000000000014</v>
          </cell>
          <cell r="X55">
            <v>50.61</v>
          </cell>
          <cell r="Y55">
            <v>423.21</v>
          </cell>
          <cell r="Z55">
            <v>10.789999999999964</v>
          </cell>
          <cell r="AA55">
            <v>41.2</v>
          </cell>
          <cell r="AB55">
            <v>437.65</v>
          </cell>
          <cell r="AC55">
            <v>14.439999999999998</v>
          </cell>
          <cell r="AD55">
            <v>57.98</v>
          </cell>
          <cell r="AE55">
            <v>453.71</v>
          </cell>
          <cell r="AF55">
            <v>16.060000000000002</v>
          </cell>
          <cell r="AG55">
            <v>62.47</v>
          </cell>
          <cell r="AH55">
            <v>467.36</v>
          </cell>
          <cell r="AI55">
            <v>13.650000000000034</v>
          </cell>
          <cell r="AJ55">
            <v>54.47</v>
          </cell>
          <cell r="AK55">
            <v>480.72</v>
          </cell>
          <cell r="AL55">
            <v>13.360000000000014</v>
          </cell>
          <cell r="AM55">
            <v>61.03</v>
          </cell>
          <cell r="AN55">
            <v>499.57</v>
          </cell>
          <cell r="AO55">
            <v>18.849999999999966</v>
          </cell>
          <cell r="AP55">
            <v>62.09</v>
          </cell>
          <cell r="AQ55">
            <v>515.37</v>
          </cell>
          <cell r="AR55">
            <v>15.800000000000011</v>
          </cell>
          <cell r="AS55">
            <v>71.400000000000006</v>
          </cell>
          <cell r="AT55">
            <v>532.04999999999995</v>
          </cell>
          <cell r="AU55">
            <v>16.67999999999995</v>
          </cell>
          <cell r="AV55">
            <v>68.92</v>
          </cell>
          <cell r="AW55">
            <v>545.75</v>
          </cell>
          <cell r="AX55">
            <v>13.700000000000045</v>
          </cell>
          <cell r="AY55">
            <v>56.64</v>
          </cell>
          <cell r="AZ55">
            <v>559.20000000000005</v>
          </cell>
          <cell r="BA55">
            <v>13.450000000000045</v>
          </cell>
          <cell r="BB55">
            <v>56.53</v>
          </cell>
          <cell r="BC55">
            <v>572.45000000000005</v>
          </cell>
          <cell r="BD55">
            <v>13.25</v>
          </cell>
          <cell r="BE55">
            <v>59.44</v>
          </cell>
          <cell r="BF55">
            <v>586.45000000000005</v>
          </cell>
          <cell r="BG55">
            <v>14</v>
          </cell>
          <cell r="BH55">
            <v>57.25</v>
          </cell>
          <cell r="BI55">
            <v>597.94000000000005</v>
          </cell>
          <cell r="BJ55">
            <v>11.490000000000009</v>
          </cell>
          <cell r="BK55">
            <v>53.41</v>
          </cell>
          <cell r="BL55">
            <v>613.39</v>
          </cell>
          <cell r="BM55">
            <v>15.449999999999932</v>
          </cell>
          <cell r="BN55">
            <v>51.35</v>
          </cell>
          <cell r="BO55">
            <v>623.45000000000005</v>
          </cell>
          <cell r="BP55">
            <v>10.060000000000059</v>
          </cell>
          <cell r="BQ55">
            <v>53</v>
          </cell>
          <cell r="BR55">
            <v>632.80999999999995</v>
          </cell>
          <cell r="BS55">
            <v>9.3599999999999</v>
          </cell>
          <cell r="BT55">
            <v>42.41</v>
          </cell>
          <cell r="BU55">
            <v>637.84</v>
          </cell>
          <cell r="BV55">
            <v>5.0300000000000864</v>
          </cell>
          <cell r="BW55">
            <v>19.84</v>
          </cell>
          <cell r="BX55">
            <v>649.04</v>
          </cell>
          <cell r="BY55">
            <v>11.199999999999932</v>
          </cell>
          <cell r="BZ55">
            <v>40.19</v>
          </cell>
        </row>
        <row r="56">
          <cell r="B56" t="str">
            <v>EMA3-503</v>
          </cell>
          <cell r="C56">
            <v>0.42</v>
          </cell>
          <cell r="D56">
            <v>0.42</v>
          </cell>
          <cell r="E56">
            <v>0</v>
          </cell>
          <cell r="F56">
            <v>0</v>
          </cell>
          <cell r="G56">
            <v>0.7</v>
          </cell>
          <cell r="H56">
            <v>0.27999999999999997</v>
          </cell>
          <cell r="I56">
            <v>1.02</v>
          </cell>
          <cell r="J56">
            <v>0.8</v>
          </cell>
          <cell r="K56">
            <v>0.10000000000000009</v>
          </cell>
          <cell r="L56">
            <v>0.38</v>
          </cell>
          <cell r="M56">
            <v>0.8</v>
          </cell>
          <cell r="N56">
            <v>0</v>
          </cell>
          <cell r="O56">
            <v>0</v>
          </cell>
          <cell r="P56">
            <v>0.8</v>
          </cell>
          <cell r="Q56">
            <v>0</v>
          </cell>
          <cell r="R56">
            <v>0</v>
          </cell>
          <cell r="S56">
            <v>0.8</v>
          </cell>
          <cell r="T56">
            <v>0</v>
          </cell>
          <cell r="U56">
            <v>0</v>
          </cell>
          <cell r="V56">
            <v>0.8</v>
          </cell>
          <cell r="W56">
            <v>0</v>
          </cell>
          <cell r="X56">
            <v>0</v>
          </cell>
          <cell r="Y56">
            <v>0.8</v>
          </cell>
          <cell r="Z56">
            <v>0</v>
          </cell>
          <cell r="AA56">
            <v>0</v>
          </cell>
          <cell r="AB56">
            <v>0.8</v>
          </cell>
          <cell r="AC56">
            <v>0</v>
          </cell>
          <cell r="AD56">
            <v>0</v>
          </cell>
          <cell r="AE56">
            <v>3.05</v>
          </cell>
          <cell r="AF56">
            <v>2.25</v>
          </cell>
          <cell r="AG56">
            <v>8.75</v>
          </cell>
          <cell r="AH56">
            <v>3.12</v>
          </cell>
          <cell r="AI56">
            <v>7.0000000000000284E-2</v>
          </cell>
          <cell r="AJ56">
            <v>0.28000000000000003</v>
          </cell>
          <cell r="AK56">
            <v>3.32</v>
          </cell>
          <cell r="AL56">
            <v>0.19999999999999973</v>
          </cell>
          <cell r="AM56">
            <v>0.91</v>
          </cell>
          <cell r="AN56">
            <v>9.14</v>
          </cell>
          <cell r="AO56">
            <v>5.82</v>
          </cell>
          <cell r="AP56">
            <v>19.170000000000002</v>
          </cell>
          <cell r="AQ56">
            <v>17.22</v>
          </cell>
          <cell r="AR56">
            <v>8.0799999999999983</v>
          </cell>
          <cell r="AS56">
            <v>36.520000000000003</v>
          </cell>
          <cell r="AT56">
            <v>26.93</v>
          </cell>
          <cell r="AU56">
            <v>9.7100000000000009</v>
          </cell>
          <cell r="AV56">
            <v>40.119999999999997</v>
          </cell>
          <cell r="AW56">
            <v>35.57</v>
          </cell>
          <cell r="AX56">
            <v>8.64</v>
          </cell>
          <cell r="AY56">
            <v>35.72</v>
          </cell>
          <cell r="AZ56">
            <v>45.12</v>
          </cell>
          <cell r="BA56">
            <v>9.5499999999999972</v>
          </cell>
          <cell r="BB56">
            <v>40.14</v>
          </cell>
          <cell r="BC56">
            <v>54.44</v>
          </cell>
          <cell r="BD56">
            <v>9.32</v>
          </cell>
          <cell r="BE56">
            <v>41.81</v>
          </cell>
          <cell r="BF56">
            <v>64.290000000000006</v>
          </cell>
          <cell r="BG56">
            <v>9.8500000000000085</v>
          </cell>
          <cell r="BH56">
            <v>40.28</v>
          </cell>
          <cell r="BI56">
            <v>74.849999999999994</v>
          </cell>
          <cell r="BJ56">
            <v>10.559999999999988</v>
          </cell>
          <cell r="BK56">
            <v>49.09</v>
          </cell>
          <cell r="BL56">
            <v>84.97</v>
          </cell>
          <cell r="BM56">
            <v>10.120000000000005</v>
          </cell>
          <cell r="BN56">
            <v>33.64</v>
          </cell>
          <cell r="BO56">
            <v>93.27</v>
          </cell>
          <cell r="BP56">
            <v>8.2999999999999972</v>
          </cell>
          <cell r="BQ56">
            <v>43.73</v>
          </cell>
          <cell r="BR56">
            <v>102.53</v>
          </cell>
          <cell r="BS56">
            <v>9.2600000000000051</v>
          </cell>
          <cell r="BT56">
            <v>41.95</v>
          </cell>
          <cell r="BU56">
            <v>111.82</v>
          </cell>
          <cell r="BV56">
            <v>9.289999999999992</v>
          </cell>
          <cell r="BW56">
            <v>36.65</v>
          </cell>
          <cell r="BX56">
            <v>122.38</v>
          </cell>
          <cell r="BY56">
            <v>10.560000000000002</v>
          </cell>
          <cell r="BZ56">
            <v>37.9</v>
          </cell>
        </row>
        <row r="57">
          <cell r="B57" t="str">
            <v>EMA3-601</v>
          </cell>
          <cell r="C57">
            <v>560.22</v>
          </cell>
          <cell r="D57">
            <v>568.20000000000005</v>
          </cell>
          <cell r="E57">
            <v>7.9800000000000182</v>
          </cell>
          <cell r="F57">
            <v>26.74</v>
          </cell>
          <cell r="G57">
            <v>582.46</v>
          </cell>
          <cell r="H57">
            <v>14.259999999999991</v>
          </cell>
          <cell r="I57">
            <v>52.1</v>
          </cell>
          <cell r="J57">
            <v>596.22</v>
          </cell>
          <cell r="K57">
            <v>13.759999999999991</v>
          </cell>
          <cell r="L57">
            <v>52.5</v>
          </cell>
          <cell r="M57">
            <v>610.20000000000005</v>
          </cell>
          <cell r="N57">
            <v>13.980000000000018</v>
          </cell>
          <cell r="O57">
            <v>61.24</v>
          </cell>
          <cell r="P57">
            <v>616.80999999999995</v>
          </cell>
          <cell r="Q57">
            <v>6.6099999999999</v>
          </cell>
          <cell r="R57">
            <v>24.95</v>
          </cell>
          <cell r="S57">
            <v>623.55999999999995</v>
          </cell>
          <cell r="T57">
            <v>6.75</v>
          </cell>
          <cell r="U57">
            <v>23.12</v>
          </cell>
          <cell r="V57">
            <v>629.47</v>
          </cell>
          <cell r="W57">
            <v>5.9100000000000819</v>
          </cell>
          <cell r="X57">
            <v>25.22</v>
          </cell>
          <cell r="Y57">
            <v>630.01</v>
          </cell>
          <cell r="Z57">
            <v>0.53999999999996362</v>
          </cell>
          <cell r="AA57">
            <v>2.06</v>
          </cell>
          <cell r="AB57">
            <v>635.66</v>
          </cell>
          <cell r="AC57">
            <v>5.6499999999999773</v>
          </cell>
          <cell r="AD57">
            <v>22.68</v>
          </cell>
          <cell r="AE57">
            <v>642.05999999999995</v>
          </cell>
          <cell r="AF57">
            <v>6.3999999999999773</v>
          </cell>
          <cell r="AG57">
            <v>24.9</v>
          </cell>
          <cell r="AH57">
            <v>647.16</v>
          </cell>
          <cell r="AI57">
            <v>5.1000000000000227</v>
          </cell>
          <cell r="AJ57">
            <v>20.350000000000001</v>
          </cell>
          <cell r="AK57">
            <v>654.67999999999995</v>
          </cell>
          <cell r="AL57">
            <v>7.5199999999999818</v>
          </cell>
          <cell r="AM57">
            <v>34.35</v>
          </cell>
          <cell r="AN57">
            <v>678.71</v>
          </cell>
          <cell r="AO57">
            <v>24.030000000000086</v>
          </cell>
          <cell r="AP57">
            <v>79.16</v>
          </cell>
          <cell r="AQ57">
            <v>691.8</v>
          </cell>
          <cell r="AR57">
            <v>13.089999999999918</v>
          </cell>
          <cell r="AS57">
            <v>59.16</v>
          </cell>
          <cell r="AT57">
            <v>700.05</v>
          </cell>
          <cell r="AU57">
            <v>8.25</v>
          </cell>
          <cell r="AV57">
            <v>34.090000000000003</v>
          </cell>
          <cell r="AW57">
            <v>704.7</v>
          </cell>
          <cell r="AX57">
            <v>4.6500000000000909</v>
          </cell>
          <cell r="AY57">
            <v>19.22</v>
          </cell>
          <cell r="AZ57">
            <v>710.3</v>
          </cell>
          <cell r="BA57">
            <v>5.5999999999999091</v>
          </cell>
          <cell r="BB57">
            <v>23.54</v>
          </cell>
          <cell r="BC57">
            <v>716.74</v>
          </cell>
          <cell r="BD57">
            <v>6.4400000000000546</v>
          </cell>
          <cell r="BE57">
            <v>28.89</v>
          </cell>
          <cell r="BF57">
            <v>722.97</v>
          </cell>
          <cell r="BG57">
            <v>6.2300000000000182</v>
          </cell>
          <cell r="BH57">
            <v>25.48</v>
          </cell>
          <cell r="BI57">
            <v>723.47</v>
          </cell>
          <cell r="BJ57">
            <v>0.5</v>
          </cell>
          <cell r="BK57">
            <v>2.3199999999999998</v>
          </cell>
          <cell r="BL57">
            <v>728.79</v>
          </cell>
          <cell r="BM57">
            <v>5.3199999999999363</v>
          </cell>
          <cell r="BN57">
            <v>17.68</v>
          </cell>
          <cell r="BO57">
            <v>734.01</v>
          </cell>
          <cell r="BP57">
            <v>5.2200000000000273</v>
          </cell>
          <cell r="BQ57">
            <v>27.5</v>
          </cell>
          <cell r="BR57">
            <v>737.26</v>
          </cell>
          <cell r="BS57">
            <v>3.25</v>
          </cell>
          <cell r="BT57">
            <v>14.72</v>
          </cell>
          <cell r="BU57">
            <v>744.44</v>
          </cell>
          <cell r="BV57">
            <v>7.1800000000000637</v>
          </cell>
          <cell r="BW57">
            <v>28.33</v>
          </cell>
          <cell r="BX57">
            <v>759.51</v>
          </cell>
          <cell r="BY57">
            <v>15.069999999999936</v>
          </cell>
          <cell r="BZ57">
            <v>54.08</v>
          </cell>
        </row>
        <row r="58">
          <cell r="B58" t="str">
            <v>EMA3-602</v>
          </cell>
          <cell r="C58">
            <v>283.88</v>
          </cell>
          <cell r="D58">
            <v>298.18</v>
          </cell>
          <cell r="E58">
            <v>14.300000000000011</v>
          </cell>
          <cell r="F58">
            <v>47.91</v>
          </cell>
          <cell r="G58">
            <v>311.83999999999997</v>
          </cell>
          <cell r="H58">
            <v>13.659999999999968</v>
          </cell>
          <cell r="I58">
            <v>49.91</v>
          </cell>
          <cell r="J58">
            <v>323.69</v>
          </cell>
          <cell r="K58">
            <v>11.850000000000023</v>
          </cell>
          <cell r="L58">
            <v>45.21</v>
          </cell>
          <cell r="M58">
            <v>337.21</v>
          </cell>
          <cell r="N58">
            <v>13.519999999999982</v>
          </cell>
          <cell r="O58">
            <v>59.23</v>
          </cell>
          <cell r="P58">
            <v>348.3</v>
          </cell>
          <cell r="Q58">
            <v>11.090000000000032</v>
          </cell>
          <cell r="R58">
            <v>41.87</v>
          </cell>
          <cell r="S58">
            <v>359.84</v>
          </cell>
          <cell r="T58">
            <v>11.539999999999964</v>
          </cell>
          <cell r="U58">
            <v>39.53</v>
          </cell>
          <cell r="V58">
            <v>369.88</v>
          </cell>
          <cell r="W58">
            <v>10.04000000000002</v>
          </cell>
          <cell r="X58">
            <v>42.85</v>
          </cell>
          <cell r="Y58">
            <v>380.81</v>
          </cell>
          <cell r="Z58">
            <v>10.930000000000007</v>
          </cell>
          <cell r="AA58">
            <v>41.74</v>
          </cell>
          <cell r="AB58">
            <v>392.61</v>
          </cell>
          <cell r="AC58">
            <v>11.800000000000011</v>
          </cell>
          <cell r="AD58">
            <v>47.38</v>
          </cell>
          <cell r="AE58">
            <v>405.39</v>
          </cell>
          <cell r="AF58">
            <v>12.779999999999973</v>
          </cell>
          <cell r="AG58">
            <v>49.71</v>
          </cell>
          <cell r="AH58">
            <v>417.14</v>
          </cell>
          <cell r="AI58">
            <v>11.75</v>
          </cell>
          <cell r="AJ58">
            <v>46.89</v>
          </cell>
          <cell r="AK58">
            <v>429.99</v>
          </cell>
          <cell r="AL58">
            <v>12.850000000000023</v>
          </cell>
          <cell r="AM58">
            <v>58.7</v>
          </cell>
          <cell r="AN58">
            <v>447.6</v>
          </cell>
          <cell r="AO58">
            <v>17.610000000000014</v>
          </cell>
          <cell r="AP58">
            <v>58.01</v>
          </cell>
          <cell r="AQ58">
            <v>459.84</v>
          </cell>
          <cell r="AR58">
            <v>12.239999999999952</v>
          </cell>
          <cell r="AS58">
            <v>55.32</v>
          </cell>
          <cell r="AT58">
            <v>472.7</v>
          </cell>
          <cell r="AU58">
            <v>12.860000000000014</v>
          </cell>
          <cell r="AV58">
            <v>53.14</v>
          </cell>
          <cell r="AW58">
            <v>488.13</v>
          </cell>
          <cell r="AX58">
            <v>15.430000000000007</v>
          </cell>
          <cell r="AY58">
            <v>63.79</v>
          </cell>
          <cell r="AZ58">
            <v>501.87</v>
          </cell>
          <cell r="BA58">
            <v>13.740000000000009</v>
          </cell>
          <cell r="BB58">
            <v>57.75</v>
          </cell>
          <cell r="BC58">
            <v>514.96</v>
          </cell>
          <cell r="BD58">
            <v>13.090000000000032</v>
          </cell>
          <cell r="BE58">
            <v>58.73</v>
          </cell>
          <cell r="BF58">
            <v>528.99</v>
          </cell>
          <cell r="BG58">
            <v>14.029999999999973</v>
          </cell>
          <cell r="BH58">
            <v>57.37</v>
          </cell>
          <cell r="BI58">
            <v>542.58000000000004</v>
          </cell>
          <cell r="BJ58">
            <v>13.590000000000032</v>
          </cell>
          <cell r="BK58">
            <v>63.17</v>
          </cell>
          <cell r="BL58">
            <v>557.03</v>
          </cell>
          <cell r="BM58">
            <v>14.449999999999932</v>
          </cell>
          <cell r="BN58">
            <v>48.03</v>
          </cell>
          <cell r="BO58">
            <v>569.27</v>
          </cell>
          <cell r="BP58">
            <v>12.240000000000009</v>
          </cell>
          <cell r="BQ58">
            <v>64.48</v>
          </cell>
          <cell r="BR58">
            <v>584</v>
          </cell>
          <cell r="BS58">
            <v>14.730000000000018</v>
          </cell>
          <cell r="BT58">
            <v>66.739999999999995</v>
          </cell>
          <cell r="BU58">
            <v>597.91999999999996</v>
          </cell>
          <cell r="BV58">
            <v>13.919999999999959</v>
          </cell>
          <cell r="BW58">
            <v>54.92</v>
          </cell>
          <cell r="BX58">
            <v>610.52</v>
          </cell>
          <cell r="BY58">
            <v>12.600000000000023</v>
          </cell>
          <cell r="BZ58">
            <v>45.22</v>
          </cell>
        </row>
        <row r="59">
          <cell r="B59" t="str">
            <v>EMA3-603</v>
          </cell>
          <cell r="C59">
            <v>343.07</v>
          </cell>
          <cell r="D59">
            <v>355.67</v>
          </cell>
          <cell r="E59">
            <v>12.600000000000023</v>
          </cell>
          <cell r="F59">
            <v>42.22</v>
          </cell>
          <cell r="G59">
            <v>369.41</v>
          </cell>
          <cell r="H59">
            <v>13.740000000000009</v>
          </cell>
          <cell r="I59">
            <v>50.2</v>
          </cell>
          <cell r="J59">
            <v>381.28</v>
          </cell>
          <cell r="K59">
            <v>11.869999999999948</v>
          </cell>
          <cell r="L59">
            <v>45.29</v>
          </cell>
          <cell r="M59">
            <v>394.02</v>
          </cell>
          <cell r="N59">
            <v>12.740000000000009</v>
          </cell>
          <cell r="O59">
            <v>55.81</v>
          </cell>
          <cell r="P59">
            <v>405.22</v>
          </cell>
          <cell r="Q59">
            <v>11.200000000000045</v>
          </cell>
          <cell r="R59">
            <v>42.28</v>
          </cell>
          <cell r="S59">
            <v>418.63</v>
          </cell>
          <cell r="T59">
            <v>13.409999999999968</v>
          </cell>
          <cell r="U59">
            <v>45.94</v>
          </cell>
          <cell r="V59">
            <v>431.17</v>
          </cell>
          <cell r="W59">
            <v>12.54000000000002</v>
          </cell>
          <cell r="X59">
            <v>53.52</v>
          </cell>
          <cell r="Y59">
            <v>443.58</v>
          </cell>
          <cell r="Z59">
            <v>12.409999999999968</v>
          </cell>
          <cell r="AA59">
            <v>47.39</v>
          </cell>
          <cell r="AB59">
            <v>450.7</v>
          </cell>
          <cell r="AC59">
            <v>7.1200000000000045</v>
          </cell>
          <cell r="AD59">
            <v>28.59</v>
          </cell>
          <cell r="AE59">
            <v>462.86</v>
          </cell>
          <cell r="AF59">
            <v>12.160000000000025</v>
          </cell>
          <cell r="AG59">
            <v>47.3</v>
          </cell>
          <cell r="AH59">
            <v>474.42</v>
          </cell>
          <cell r="AI59">
            <v>11.560000000000002</v>
          </cell>
          <cell r="AJ59">
            <v>46.13</v>
          </cell>
          <cell r="AK59">
            <v>487.27</v>
          </cell>
          <cell r="AL59">
            <v>12.849999999999966</v>
          </cell>
          <cell r="AM59">
            <v>58.7</v>
          </cell>
          <cell r="AN59">
            <v>503.17</v>
          </cell>
          <cell r="AO59">
            <v>15.900000000000034</v>
          </cell>
          <cell r="AP59">
            <v>52.38</v>
          </cell>
          <cell r="AQ59">
            <v>515.02</v>
          </cell>
          <cell r="AR59">
            <v>11.849999999999966</v>
          </cell>
          <cell r="AS59">
            <v>53.55</v>
          </cell>
          <cell r="AT59">
            <v>526.86</v>
          </cell>
          <cell r="AU59">
            <v>11.840000000000032</v>
          </cell>
          <cell r="AV59">
            <v>48.92</v>
          </cell>
          <cell r="AW59">
            <v>540.15</v>
          </cell>
          <cell r="AX59">
            <v>13.289999999999964</v>
          </cell>
          <cell r="AY59">
            <v>54.95</v>
          </cell>
          <cell r="AZ59">
            <v>551.9</v>
          </cell>
          <cell r="BA59">
            <v>11.75</v>
          </cell>
          <cell r="BB59">
            <v>49.39</v>
          </cell>
          <cell r="BC59">
            <v>563.98</v>
          </cell>
          <cell r="BD59">
            <v>12.080000000000041</v>
          </cell>
          <cell r="BE59">
            <v>54.2</v>
          </cell>
          <cell r="BF59">
            <v>575.38</v>
          </cell>
          <cell r="BG59">
            <v>11.399999999999977</v>
          </cell>
          <cell r="BH59">
            <v>46.62</v>
          </cell>
          <cell r="BI59">
            <v>587.24</v>
          </cell>
          <cell r="BJ59">
            <v>11.860000000000014</v>
          </cell>
          <cell r="BK59">
            <v>55.13</v>
          </cell>
          <cell r="BL59">
            <v>597.37</v>
          </cell>
          <cell r="BM59">
            <v>10.129999999999995</v>
          </cell>
          <cell r="BN59">
            <v>33.67</v>
          </cell>
          <cell r="BO59">
            <v>606.79</v>
          </cell>
          <cell r="BP59">
            <v>9.4199999999999591</v>
          </cell>
          <cell r="BQ59">
            <v>49.63</v>
          </cell>
          <cell r="BR59">
            <v>619.32000000000005</v>
          </cell>
          <cell r="BS59">
            <v>12.530000000000086</v>
          </cell>
          <cell r="BT59">
            <v>56.77</v>
          </cell>
          <cell r="BU59">
            <v>631.59</v>
          </cell>
          <cell r="BV59">
            <v>12.269999999999982</v>
          </cell>
          <cell r="BW59">
            <v>48.41</v>
          </cell>
          <cell r="BX59">
            <v>644.09</v>
          </cell>
          <cell r="BY59">
            <v>12.5</v>
          </cell>
          <cell r="BZ59">
            <v>44.86</v>
          </cell>
        </row>
        <row r="60">
          <cell r="B60" t="str">
            <v>EMA3-701</v>
          </cell>
          <cell r="C60">
            <v>197.28</v>
          </cell>
          <cell r="D60">
            <v>203.91</v>
          </cell>
          <cell r="E60">
            <v>6.6299999999999955</v>
          </cell>
          <cell r="F60">
            <v>22.21</v>
          </cell>
          <cell r="G60">
            <v>210.42</v>
          </cell>
          <cell r="H60">
            <v>6.5099999999999909</v>
          </cell>
          <cell r="I60">
            <v>23.78</v>
          </cell>
          <cell r="J60">
            <v>215.79</v>
          </cell>
          <cell r="K60">
            <v>5.3700000000000045</v>
          </cell>
          <cell r="L60">
            <v>20.49</v>
          </cell>
          <cell r="M60">
            <v>219.75</v>
          </cell>
          <cell r="N60">
            <v>3.960000000000008</v>
          </cell>
          <cell r="O60">
            <v>17.350000000000001</v>
          </cell>
          <cell r="P60">
            <v>224.77</v>
          </cell>
          <cell r="Q60">
            <v>5.0200000000000102</v>
          </cell>
          <cell r="R60">
            <v>18.95</v>
          </cell>
          <cell r="S60">
            <v>229.74</v>
          </cell>
          <cell r="T60">
            <v>4.9699999999999989</v>
          </cell>
          <cell r="U60">
            <v>17.03</v>
          </cell>
          <cell r="V60">
            <v>234.38</v>
          </cell>
          <cell r="W60">
            <v>4.6399999999999864</v>
          </cell>
          <cell r="X60">
            <v>19.8</v>
          </cell>
          <cell r="Y60">
            <v>239.93</v>
          </cell>
          <cell r="Z60">
            <v>5.5500000000000114</v>
          </cell>
          <cell r="AA60">
            <v>21.19</v>
          </cell>
          <cell r="AB60">
            <v>243.82</v>
          </cell>
          <cell r="AC60">
            <v>3.8899999999999864</v>
          </cell>
          <cell r="AD60">
            <v>15.62</v>
          </cell>
          <cell r="AE60">
            <v>249.67</v>
          </cell>
          <cell r="AF60">
            <v>5.8499999999999943</v>
          </cell>
          <cell r="AG60">
            <v>22.76</v>
          </cell>
          <cell r="AH60">
            <v>253.28</v>
          </cell>
          <cell r="AI60">
            <v>3.6100000000000136</v>
          </cell>
          <cell r="AJ60">
            <v>14.41</v>
          </cell>
          <cell r="AK60">
            <v>257.69</v>
          </cell>
          <cell r="AL60">
            <v>4.4099999999999966</v>
          </cell>
          <cell r="AM60">
            <v>20.149999999999999</v>
          </cell>
          <cell r="AN60">
            <v>264.27999999999997</v>
          </cell>
          <cell r="AO60">
            <v>6.589999999999975</v>
          </cell>
          <cell r="AP60">
            <v>21.71</v>
          </cell>
          <cell r="AQ60">
            <v>269.3</v>
          </cell>
          <cell r="AR60">
            <v>5.0200000000000387</v>
          </cell>
          <cell r="AS60">
            <v>22.69</v>
          </cell>
          <cell r="AT60">
            <v>275.45999999999998</v>
          </cell>
          <cell r="AU60">
            <v>6.1599999999999682</v>
          </cell>
          <cell r="AV60">
            <v>25.45</v>
          </cell>
          <cell r="AW60">
            <v>282.49</v>
          </cell>
          <cell r="AX60">
            <v>7.0300000000000296</v>
          </cell>
          <cell r="AY60">
            <v>29.06</v>
          </cell>
          <cell r="AZ60">
            <v>286.77999999999997</v>
          </cell>
          <cell r="BA60">
            <v>4.2899999999999636</v>
          </cell>
          <cell r="BB60">
            <v>18.03</v>
          </cell>
          <cell r="BC60">
            <v>290.52999999999997</v>
          </cell>
          <cell r="BD60">
            <v>3.75</v>
          </cell>
          <cell r="BE60">
            <v>16.82</v>
          </cell>
          <cell r="BF60">
            <v>294.32</v>
          </cell>
          <cell r="BG60">
            <v>3.7900000000000205</v>
          </cell>
          <cell r="BH60">
            <v>15.5</v>
          </cell>
          <cell r="BI60">
            <v>298.92</v>
          </cell>
          <cell r="BJ60">
            <v>4.6000000000000227</v>
          </cell>
          <cell r="BK60">
            <v>21.38</v>
          </cell>
          <cell r="BL60">
            <v>301.52</v>
          </cell>
          <cell r="BM60">
            <v>2.5999999999999659</v>
          </cell>
          <cell r="BN60">
            <v>8.64</v>
          </cell>
          <cell r="BO60">
            <v>305.76</v>
          </cell>
          <cell r="BP60">
            <v>4.2400000000000091</v>
          </cell>
          <cell r="BQ60">
            <v>22.34</v>
          </cell>
          <cell r="BR60">
            <v>311.77</v>
          </cell>
          <cell r="BS60">
            <v>6.0099999999999909</v>
          </cell>
          <cell r="BT60">
            <v>27.23</v>
          </cell>
          <cell r="BU60">
            <v>318.60000000000002</v>
          </cell>
          <cell r="BV60">
            <v>6.8300000000000409</v>
          </cell>
          <cell r="BW60">
            <v>26.95</v>
          </cell>
          <cell r="BX60">
            <v>322.62</v>
          </cell>
          <cell r="BY60">
            <v>4.0199999999999818</v>
          </cell>
          <cell r="BZ60">
            <v>14.43</v>
          </cell>
        </row>
        <row r="61">
          <cell r="B61" t="str">
            <v>EMA3-702</v>
          </cell>
          <cell r="C61">
            <v>221.93</v>
          </cell>
          <cell r="D61">
            <v>228.57</v>
          </cell>
          <cell r="E61">
            <v>6.6399999999999864</v>
          </cell>
          <cell r="F61">
            <v>22.25</v>
          </cell>
          <cell r="G61">
            <v>236.23</v>
          </cell>
          <cell r="H61">
            <v>7.6599999999999966</v>
          </cell>
          <cell r="I61">
            <v>27.99</v>
          </cell>
          <cell r="J61">
            <v>244.06</v>
          </cell>
          <cell r="K61">
            <v>7.8300000000000125</v>
          </cell>
          <cell r="L61">
            <v>29.87</v>
          </cell>
          <cell r="M61">
            <v>250.44</v>
          </cell>
          <cell r="N61">
            <v>6.3799999999999955</v>
          </cell>
          <cell r="O61">
            <v>27.95</v>
          </cell>
          <cell r="P61">
            <v>256.58999999999997</v>
          </cell>
          <cell r="Q61">
            <v>6.1499999999999773</v>
          </cell>
          <cell r="R61">
            <v>23.22</v>
          </cell>
          <cell r="S61">
            <v>261.05</v>
          </cell>
          <cell r="T61">
            <v>4.4600000000000364</v>
          </cell>
          <cell r="U61">
            <v>15.28</v>
          </cell>
          <cell r="V61">
            <v>266.43</v>
          </cell>
          <cell r="W61">
            <v>5.3799999999999955</v>
          </cell>
          <cell r="X61">
            <v>22.96</v>
          </cell>
          <cell r="Y61">
            <v>273.73</v>
          </cell>
          <cell r="Z61">
            <v>7.3000000000000114</v>
          </cell>
          <cell r="AA61">
            <v>27.88</v>
          </cell>
          <cell r="AB61">
            <v>279.97000000000003</v>
          </cell>
          <cell r="AC61">
            <v>6.2400000000000091</v>
          </cell>
          <cell r="AD61">
            <v>25.05</v>
          </cell>
          <cell r="AE61">
            <v>289.20999999999998</v>
          </cell>
          <cell r="AF61">
            <v>9.2399999999999523</v>
          </cell>
          <cell r="AG61">
            <v>35.94</v>
          </cell>
          <cell r="AH61">
            <v>291.57</v>
          </cell>
          <cell r="AI61">
            <v>2.3600000000000136</v>
          </cell>
          <cell r="AJ61">
            <v>9.42</v>
          </cell>
          <cell r="AK61">
            <v>297.27</v>
          </cell>
          <cell r="AL61">
            <v>5.6999999999999886</v>
          </cell>
          <cell r="AM61">
            <v>26.04</v>
          </cell>
          <cell r="AN61">
            <v>305.01</v>
          </cell>
          <cell r="AO61">
            <v>7.7400000000000091</v>
          </cell>
          <cell r="AP61">
            <v>25.5</v>
          </cell>
          <cell r="AQ61">
            <v>310.12</v>
          </cell>
          <cell r="AR61">
            <v>5.1100000000000136</v>
          </cell>
          <cell r="AS61">
            <v>23.09</v>
          </cell>
          <cell r="AT61">
            <v>314.39</v>
          </cell>
          <cell r="AU61">
            <v>4.2699999999999818</v>
          </cell>
          <cell r="AV61">
            <v>17.64</v>
          </cell>
          <cell r="AW61">
            <v>319.56</v>
          </cell>
          <cell r="AX61">
            <v>5.1700000000000159</v>
          </cell>
          <cell r="AY61">
            <v>21.37</v>
          </cell>
          <cell r="AZ61">
            <v>323.91000000000003</v>
          </cell>
          <cell r="BA61">
            <v>4.3500000000000227</v>
          </cell>
          <cell r="BB61">
            <v>18.28</v>
          </cell>
          <cell r="BC61">
            <v>326.05</v>
          </cell>
          <cell r="BD61">
            <v>2.1399999999999864</v>
          </cell>
          <cell r="BE61">
            <v>9.6</v>
          </cell>
          <cell r="BF61">
            <v>331.48</v>
          </cell>
          <cell r="BG61">
            <v>5.4300000000000068</v>
          </cell>
          <cell r="BH61">
            <v>22.2</v>
          </cell>
          <cell r="BI61">
            <v>337.76</v>
          </cell>
          <cell r="BJ61">
            <v>6.2799999999999727</v>
          </cell>
          <cell r="BK61">
            <v>29.19</v>
          </cell>
          <cell r="BL61">
            <v>344.76</v>
          </cell>
          <cell r="BM61">
            <v>7</v>
          </cell>
          <cell r="BN61">
            <v>23.27</v>
          </cell>
          <cell r="BO61">
            <v>350.46</v>
          </cell>
          <cell r="BP61">
            <v>5.6999999999999886</v>
          </cell>
          <cell r="BQ61">
            <v>30.03</v>
          </cell>
          <cell r="BR61">
            <v>357.33</v>
          </cell>
          <cell r="BS61">
            <v>6.8700000000000045</v>
          </cell>
          <cell r="BT61">
            <v>31.13</v>
          </cell>
          <cell r="BU61">
            <v>364.36</v>
          </cell>
          <cell r="BV61">
            <v>7.0300000000000296</v>
          </cell>
          <cell r="BW61">
            <v>27.74</v>
          </cell>
          <cell r="BX61">
            <v>373.68</v>
          </cell>
          <cell r="BY61">
            <v>9.3199999999999932</v>
          </cell>
          <cell r="BZ61">
            <v>33.450000000000003</v>
          </cell>
        </row>
        <row r="62">
          <cell r="B62" t="str">
            <v>EMA3-703</v>
          </cell>
          <cell r="C62">
            <v>5.38</v>
          </cell>
          <cell r="D62">
            <v>16.91</v>
          </cell>
          <cell r="E62">
            <v>11.530000000000001</v>
          </cell>
          <cell r="F62">
            <v>38.630000000000003</v>
          </cell>
          <cell r="G62">
            <v>16.91</v>
          </cell>
          <cell r="H62">
            <v>0</v>
          </cell>
          <cell r="I62">
            <v>0</v>
          </cell>
          <cell r="J62">
            <v>16.91</v>
          </cell>
          <cell r="K62">
            <v>0</v>
          </cell>
          <cell r="L62">
            <v>0</v>
          </cell>
          <cell r="M62">
            <v>16.91</v>
          </cell>
          <cell r="N62">
            <v>0</v>
          </cell>
          <cell r="O62">
            <v>0</v>
          </cell>
          <cell r="P62">
            <v>16.91</v>
          </cell>
          <cell r="Q62">
            <v>0</v>
          </cell>
          <cell r="R62">
            <v>0</v>
          </cell>
          <cell r="S62">
            <v>16.91</v>
          </cell>
          <cell r="T62">
            <v>0</v>
          </cell>
          <cell r="U62">
            <v>0</v>
          </cell>
          <cell r="V62">
            <v>16.91</v>
          </cell>
          <cell r="W62">
            <v>0</v>
          </cell>
          <cell r="X62">
            <v>0</v>
          </cell>
          <cell r="Y62">
            <v>16.91</v>
          </cell>
          <cell r="Z62">
            <v>0</v>
          </cell>
          <cell r="AA62">
            <v>0</v>
          </cell>
          <cell r="AB62">
            <v>16.91</v>
          </cell>
          <cell r="AC62">
            <v>0</v>
          </cell>
          <cell r="AD62">
            <v>0</v>
          </cell>
          <cell r="AE62">
            <v>16.91</v>
          </cell>
          <cell r="AF62">
            <v>0</v>
          </cell>
          <cell r="AG62">
            <v>0</v>
          </cell>
          <cell r="AH62">
            <v>16.91</v>
          </cell>
          <cell r="AI62">
            <v>0</v>
          </cell>
          <cell r="AJ62">
            <v>0</v>
          </cell>
          <cell r="AK62">
            <v>16.91</v>
          </cell>
          <cell r="AL62">
            <v>0</v>
          </cell>
          <cell r="AM62">
            <v>0</v>
          </cell>
          <cell r="AN62">
            <v>16.91</v>
          </cell>
          <cell r="AO62">
            <v>0</v>
          </cell>
          <cell r="AP62">
            <v>0</v>
          </cell>
          <cell r="AQ62">
            <v>16.91</v>
          </cell>
          <cell r="AR62">
            <v>0</v>
          </cell>
          <cell r="AS62">
            <v>0</v>
          </cell>
          <cell r="AT62">
            <v>18.82</v>
          </cell>
          <cell r="AU62">
            <v>1.9100000000000001</v>
          </cell>
          <cell r="AV62">
            <v>7.89</v>
          </cell>
          <cell r="AW62">
            <v>18.82</v>
          </cell>
          <cell r="AX62">
            <v>0</v>
          </cell>
          <cell r="AY62">
            <v>0</v>
          </cell>
          <cell r="AZ62">
            <v>18.82</v>
          </cell>
          <cell r="BA62">
            <v>0</v>
          </cell>
          <cell r="BB62">
            <v>0</v>
          </cell>
          <cell r="BC62">
            <v>18.82</v>
          </cell>
          <cell r="BD62">
            <v>0</v>
          </cell>
          <cell r="BE62">
            <v>0</v>
          </cell>
          <cell r="BF62">
            <v>18.82</v>
          </cell>
          <cell r="BG62">
            <v>0</v>
          </cell>
          <cell r="BH62">
            <v>0</v>
          </cell>
          <cell r="BI62">
            <v>18.82</v>
          </cell>
          <cell r="BJ62">
            <v>0</v>
          </cell>
          <cell r="BK62">
            <v>0</v>
          </cell>
          <cell r="BL62">
            <v>18.82</v>
          </cell>
          <cell r="BM62">
            <v>0</v>
          </cell>
          <cell r="BN62">
            <v>0</v>
          </cell>
          <cell r="BO62">
            <v>18.82</v>
          </cell>
          <cell r="BP62">
            <v>0</v>
          </cell>
          <cell r="BQ62">
            <v>0</v>
          </cell>
          <cell r="BR62">
            <v>18.82</v>
          </cell>
          <cell r="BS62">
            <v>0</v>
          </cell>
          <cell r="BT62">
            <v>0</v>
          </cell>
          <cell r="BU62">
            <v>18.82</v>
          </cell>
          <cell r="BV62">
            <v>0</v>
          </cell>
          <cell r="BW62">
            <v>0</v>
          </cell>
          <cell r="BX62">
            <v>18.82</v>
          </cell>
          <cell r="BY62">
            <v>0</v>
          </cell>
          <cell r="BZ62">
            <v>0</v>
          </cell>
        </row>
        <row r="63">
          <cell r="B63" t="str">
            <v>EMA3-801</v>
          </cell>
          <cell r="C63">
            <v>1.19</v>
          </cell>
          <cell r="D63">
            <v>2.62</v>
          </cell>
          <cell r="E63">
            <v>1.4300000000000002</v>
          </cell>
          <cell r="F63">
            <v>4.79</v>
          </cell>
          <cell r="G63">
            <v>2.62</v>
          </cell>
          <cell r="H63">
            <v>0</v>
          </cell>
          <cell r="I63">
            <v>0</v>
          </cell>
          <cell r="J63">
            <v>2.62</v>
          </cell>
          <cell r="K63">
            <v>0</v>
          </cell>
          <cell r="L63">
            <v>0</v>
          </cell>
          <cell r="M63">
            <v>2.62</v>
          </cell>
          <cell r="N63">
            <v>0</v>
          </cell>
          <cell r="O63">
            <v>0</v>
          </cell>
          <cell r="P63">
            <v>2.62</v>
          </cell>
          <cell r="Q63">
            <v>0</v>
          </cell>
          <cell r="R63">
            <v>0</v>
          </cell>
          <cell r="S63">
            <v>2.62</v>
          </cell>
          <cell r="T63">
            <v>0</v>
          </cell>
          <cell r="U63">
            <v>0</v>
          </cell>
          <cell r="V63">
            <v>2.62</v>
          </cell>
          <cell r="W63">
            <v>0</v>
          </cell>
          <cell r="X63">
            <v>0</v>
          </cell>
          <cell r="Y63">
            <v>2.62</v>
          </cell>
          <cell r="Z63">
            <v>0</v>
          </cell>
          <cell r="AA63">
            <v>0</v>
          </cell>
          <cell r="AB63">
            <v>2.63</v>
          </cell>
          <cell r="AC63">
            <v>9.9999999999997868E-3</v>
          </cell>
          <cell r="AD63">
            <v>0.04</v>
          </cell>
          <cell r="AE63">
            <v>2.63</v>
          </cell>
          <cell r="AF63">
            <v>0</v>
          </cell>
          <cell r="AG63">
            <v>0</v>
          </cell>
          <cell r="AH63">
            <v>2.63</v>
          </cell>
          <cell r="AI63">
            <v>0</v>
          </cell>
          <cell r="AJ63">
            <v>0</v>
          </cell>
          <cell r="AK63">
            <v>2.63</v>
          </cell>
          <cell r="AL63">
            <v>0</v>
          </cell>
          <cell r="AM63">
            <v>0</v>
          </cell>
          <cell r="AN63">
            <v>2.63</v>
          </cell>
          <cell r="AO63">
            <v>0</v>
          </cell>
          <cell r="AP63">
            <v>0</v>
          </cell>
          <cell r="AQ63">
            <v>2.65</v>
          </cell>
          <cell r="AR63">
            <v>2.0000000000000018E-2</v>
          </cell>
          <cell r="AS63">
            <v>0.09</v>
          </cell>
          <cell r="AT63">
            <v>2.65</v>
          </cell>
          <cell r="AU63">
            <v>0</v>
          </cell>
          <cell r="AV63">
            <v>0</v>
          </cell>
          <cell r="AW63">
            <v>2.65</v>
          </cell>
          <cell r="AX63">
            <v>0</v>
          </cell>
          <cell r="AY63">
            <v>0</v>
          </cell>
          <cell r="AZ63">
            <v>2.65</v>
          </cell>
          <cell r="BA63">
            <v>0</v>
          </cell>
          <cell r="BB63">
            <v>0</v>
          </cell>
          <cell r="BC63">
            <v>2.65</v>
          </cell>
          <cell r="BD63">
            <v>0</v>
          </cell>
          <cell r="BE63">
            <v>0</v>
          </cell>
          <cell r="BF63">
            <v>2.65</v>
          </cell>
          <cell r="BG63">
            <v>0</v>
          </cell>
          <cell r="BH63">
            <v>0</v>
          </cell>
          <cell r="BI63">
            <v>2.65</v>
          </cell>
          <cell r="BJ63">
            <v>0</v>
          </cell>
          <cell r="BK63">
            <v>0</v>
          </cell>
          <cell r="BL63">
            <v>2.65</v>
          </cell>
          <cell r="BM63">
            <v>0</v>
          </cell>
          <cell r="BN63">
            <v>0</v>
          </cell>
          <cell r="BO63">
            <v>2.65</v>
          </cell>
          <cell r="BP63">
            <v>0</v>
          </cell>
          <cell r="BQ63">
            <v>0</v>
          </cell>
          <cell r="BR63">
            <v>2.65</v>
          </cell>
          <cell r="BS63">
            <v>0</v>
          </cell>
          <cell r="BT63">
            <v>0</v>
          </cell>
          <cell r="BU63">
            <v>2.65</v>
          </cell>
          <cell r="BV63">
            <v>0</v>
          </cell>
          <cell r="BW63">
            <v>0</v>
          </cell>
          <cell r="BX63">
            <v>2.65</v>
          </cell>
          <cell r="BY63">
            <v>0</v>
          </cell>
          <cell r="BZ63">
            <v>0</v>
          </cell>
        </row>
        <row r="64">
          <cell r="B64" t="str">
            <v>EMA3-802</v>
          </cell>
          <cell r="C64">
            <v>476.69</v>
          </cell>
          <cell r="D64">
            <v>490.68</v>
          </cell>
          <cell r="E64">
            <v>13.990000000000009</v>
          </cell>
          <cell r="F64">
            <v>46.87</v>
          </cell>
          <cell r="G64">
            <v>499.64</v>
          </cell>
          <cell r="H64">
            <v>8.9599999999999795</v>
          </cell>
          <cell r="I64">
            <v>32.74</v>
          </cell>
          <cell r="J64">
            <v>509.53</v>
          </cell>
          <cell r="K64">
            <v>9.8899999999999864</v>
          </cell>
          <cell r="L64">
            <v>37.729999999999997</v>
          </cell>
          <cell r="M64">
            <v>517.39</v>
          </cell>
          <cell r="N64">
            <v>7.8600000000000136</v>
          </cell>
          <cell r="O64">
            <v>34.43</v>
          </cell>
          <cell r="P64">
            <v>530.22</v>
          </cell>
          <cell r="Q64">
            <v>12.830000000000041</v>
          </cell>
          <cell r="R64">
            <v>48.44</v>
          </cell>
          <cell r="S64">
            <v>542.28</v>
          </cell>
          <cell r="T64">
            <v>12.059999999999945</v>
          </cell>
          <cell r="U64">
            <v>41.32</v>
          </cell>
          <cell r="V64">
            <v>553.57000000000005</v>
          </cell>
          <cell r="W64">
            <v>11.290000000000077</v>
          </cell>
          <cell r="X64">
            <v>48.18</v>
          </cell>
          <cell r="Y64">
            <v>565.66</v>
          </cell>
          <cell r="Z64">
            <v>12.089999999999918</v>
          </cell>
          <cell r="AA64">
            <v>46.17</v>
          </cell>
          <cell r="AB64">
            <v>578.4</v>
          </cell>
          <cell r="AC64">
            <v>12.740000000000009</v>
          </cell>
          <cell r="AD64">
            <v>51.15</v>
          </cell>
          <cell r="AE64">
            <v>591.67999999999995</v>
          </cell>
          <cell r="AF64">
            <v>13.279999999999973</v>
          </cell>
          <cell r="AG64">
            <v>51.66</v>
          </cell>
          <cell r="AH64">
            <v>603.25</v>
          </cell>
          <cell r="AI64">
            <v>11.57000000000005</v>
          </cell>
          <cell r="AJ64">
            <v>46.17</v>
          </cell>
          <cell r="AK64">
            <v>613.84</v>
          </cell>
          <cell r="AL64">
            <v>10.590000000000032</v>
          </cell>
          <cell r="AM64">
            <v>48.38</v>
          </cell>
          <cell r="AN64">
            <v>629.32000000000005</v>
          </cell>
          <cell r="AO64">
            <v>15.480000000000018</v>
          </cell>
          <cell r="AP64">
            <v>50.99</v>
          </cell>
          <cell r="AQ64">
            <v>638.1</v>
          </cell>
          <cell r="AR64">
            <v>8.7799999999999727</v>
          </cell>
          <cell r="AS64">
            <v>39.68</v>
          </cell>
          <cell r="AT64">
            <v>649.58000000000004</v>
          </cell>
          <cell r="AU64">
            <v>11.480000000000018</v>
          </cell>
          <cell r="AV64">
            <v>47.44</v>
          </cell>
          <cell r="AW64">
            <v>660.38</v>
          </cell>
          <cell r="AX64">
            <v>10.799999999999955</v>
          </cell>
          <cell r="AY64">
            <v>44.65</v>
          </cell>
          <cell r="AZ64">
            <v>665.03</v>
          </cell>
          <cell r="BA64">
            <v>4.6499999999999773</v>
          </cell>
          <cell r="BB64">
            <v>19.54</v>
          </cell>
          <cell r="BC64">
            <v>674.97</v>
          </cell>
          <cell r="BD64">
            <v>9.9400000000000546</v>
          </cell>
          <cell r="BE64">
            <v>44.59</v>
          </cell>
          <cell r="BF64">
            <v>692.08</v>
          </cell>
          <cell r="BG64">
            <v>17.110000000000014</v>
          </cell>
          <cell r="BH64">
            <v>69.97</v>
          </cell>
          <cell r="BI64">
            <v>703.21</v>
          </cell>
          <cell r="BJ64">
            <v>11.129999999999995</v>
          </cell>
          <cell r="BK64">
            <v>51.74</v>
          </cell>
          <cell r="BL64">
            <v>713.62</v>
          </cell>
          <cell r="BM64">
            <v>10.409999999999968</v>
          </cell>
          <cell r="BN64">
            <v>34.6</v>
          </cell>
          <cell r="BO64">
            <v>723.33</v>
          </cell>
          <cell r="BP64">
            <v>9.7100000000000364</v>
          </cell>
          <cell r="BQ64">
            <v>51.15</v>
          </cell>
          <cell r="BR64">
            <v>735.19</v>
          </cell>
          <cell r="BS64">
            <v>11.860000000000014</v>
          </cell>
          <cell r="BT64">
            <v>53.73</v>
          </cell>
          <cell r="BU64">
            <v>747.55</v>
          </cell>
          <cell r="BV64">
            <v>12.3599999999999</v>
          </cell>
          <cell r="BW64">
            <v>48.76</v>
          </cell>
          <cell r="BX64">
            <v>759.72</v>
          </cell>
          <cell r="BY64">
            <v>12.170000000000073</v>
          </cell>
          <cell r="BZ64">
            <v>43.67</v>
          </cell>
        </row>
        <row r="65">
          <cell r="B65" t="str">
            <v>EMA3-803</v>
          </cell>
          <cell r="C65">
            <v>460.12</v>
          </cell>
          <cell r="D65">
            <v>478.1</v>
          </cell>
          <cell r="E65">
            <v>17.980000000000018</v>
          </cell>
          <cell r="F65">
            <v>60.24</v>
          </cell>
          <cell r="G65">
            <v>494.48</v>
          </cell>
          <cell r="H65">
            <v>16.379999999999995</v>
          </cell>
          <cell r="I65">
            <v>59.85</v>
          </cell>
          <cell r="J65">
            <v>509.69</v>
          </cell>
          <cell r="K65">
            <v>15.20999999999998</v>
          </cell>
          <cell r="L65">
            <v>58.03</v>
          </cell>
          <cell r="M65">
            <v>526.95000000000005</v>
          </cell>
          <cell r="N65">
            <v>17.260000000000048</v>
          </cell>
          <cell r="O65">
            <v>75.61</v>
          </cell>
          <cell r="P65">
            <v>539.59</v>
          </cell>
          <cell r="Q65">
            <v>12.639999999999986</v>
          </cell>
          <cell r="R65">
            <v>47.72</v>
          </cell>
          <cell r="S65">
            <v>547.29999999999995</v>
          </cell>
          <cell r="T65">
            <v>7.7099999999999227</v>
          </cell>
          <cell r="U65">
            <v>26.41</v>
          </cell>
          <cell r="V65">
            <v>553.25</v>
          </cell>
          <cell r="W65">
            <v>5.9500000000000455</v>
          </cell>
          <cell r="X65">
            <v>25.39</v>
          </cell>
          <cell r="Y65">
            <v>567.33000000000004</v>
          </cell>
          <cell r="Z65">
            <v>14.080000000000041</v>
          </cell>
          <cell r="AA65">
            <v>53.77</v>
          </cell>
          <cell r="AB65">
            <v>572.88</v>
          </cell>
          <cell r="AC65">
            <v>5.5499999999999545</v>
          </cell>
          <cell r="AD65">
            <v>22.28</v>
          </cell>
          <cell r="AE65">
            <v>580.30999999999995</v>
          </cell>
          <cell r="AF65">
            <v>7.42999999999995</v>
          </cell>
          <cell r="AG65">
            <v>28.9</v>
          </cell>
          <cell r="AH65">
            <v>590.76</v>
          </cell>
          <cell r="AI65">
            <v>10.450000000000045</v>
          </cell>
          <cell r="AJ65">
            <v>41.7</v>
          </cell>
          <cell r="AK65">
            <v>598.42999999999995</v>
          </cell>
          <cell r="AL65">
            <v>7.6699999999999591</v>
          </cell>
          <cell r="AM65">
            <v>35.04</v>
          </cell>
          <cell r="AN65">
            <v>613.54999999999995</v>
          </cell>
          <cell r="AO65">
            <v>15.120000000000005</v>
          </cell>
          <cell r="AP65">
            <v>49.81</v>
          </cell>
          <cell r="AQ65">
            <v>629.86</v>
          </cell>
          <cell r="AR65">
            <v>16.310000000000059</v>
          </cell>
          <cell r="AS65">
            <v>73.709999999999994</v>
          </cell>
          <cell r="AT65">
            <v>646.9</v>
          </cell>
          <cell r="AU65">
            <v>17.039999999999964</v>
          </cell>
          <cell r="AV65">
            <v>70.41</v>
          </cell>
          <cell r="AW65">
            <v>663.39</v>
          </cell>
          <cell r="AX65">
            <v>16.490000000000009</v>
          </cell>
          <cell r="AY65">
            <v>68.180000000000007</v>
          </cell>
          <cell r="AZ65">
            <v>683.67</v>
          </cell>
          <cell r="BA65">
            <v>20.279999999999973</v>
          </cell>
          <cell r="BB65">
            <v>85.24</v>
          </cell>
          <cell r="BC65">
            <v>698.53</v>
          </cell>
          <cell r="BD65">
            <v>14.860000000000014</v>
          </cell>
          <cell r="BE65">
            <v>66.67</v>
          </cell>
          <cell r="BF65">
            <v>711.93</v>
          </cell>
          <cell r="BG65">
            <v>13.399999999999977</v>
          </cell>
          <cell r="BH65">
            <v>54.8</v>
          </cell>
          <cell r="BI65">
            <v>726.49</v>
          </cell>
          <cell r="BJ65">
            <v>14.560000000000059</v>
          </cell>
          <cell r="BK65">
            <v>67.680000000000007</v>
          </cell>
          <cell r="BL65">
            <v>743.49</v>
          </cell>
          <cell r="BM65">
            <v>17</v>
          </cell>
          <cell r="BN65">
            <v>56.5</v>
          </cell>
          <cell r="BO65">
            <v>757.17</v>
          </cell>
          <cell r="BP65">
            <v>13.67999999999995</v>
          </cell>
          <cell r="BQ65">
            <v>72.069999999999993</v>
          </cell>
          <cell r="BR65">
            <v>769.93</v>
          </cell>
          <cell r="BS65">
            <v>12.759999999999991</v>
          </cell>
          <cell r="BT65">
            <v>57.81</v>
          </cell>
          <cell r="BU65">
            <v>783.58</v>
          </cell>
          <cell r="BV65">
            <v>13.650000000000091</v>
          </cell>
          <cell r="BW65">
            <v>53.85</v>
          </cell>
          <cell r="BX65">
            <v>801.87</v>
          </cell>
          <cell r="BY65">
            <v>18.289999999999964</v>
          </cell>
          <cell r="BZ65">
            <v>65.64</v>
          </cell>
        </row>
      </sheetData>
      <sheetData sheetId="5"/>
      <sheetData sheetId="6"/>
      <sheetData sheetId="7"/>
      <sheetData sheetId="8"/>
      <sheetData sheetId="9"/>
      <sheetData sheetId="10">
        <row r="5">
          <cell r="A5" t="str">
            <v>CODIGO PROPIETARIO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 Magallanes" id="{C04D321A-27EA-4123-8568-704789D7371C}" userId="4eea5a5babdc009e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42.77288877315" createdVersion="8" refreshedVersion="8" minRefreshableVersion="3" recordCount="382" xr:uid="{BF66ED11-14FA-4290-BCA1-1BBE524ED197}">
  <cacheSource type="worksheet">
    <worksheetSource ref="A1:I383" sheet="calculo"/>
  </cacheSource>
  <cacheFields count="9">
    <cacheField name="CODIGO" numFmtId="2">
      <sharedItems count="204">
        <s v="PP-000"/>
        <s v="PP-001"/>
        <s v="PP-002"/>
        <s v="PP-003"/>
        <s v="PP-004"/>
        <s v="PP-005"/>
        <s v="PP-006"/>
        <s v="PP-007"/>
        <s v="PP-008"/>
        <s v="PP-009"/>
        <s v="PP-010"/>
        <s v="PP-011"/>
        <s v="PP-012"/>
        <s v="PP-013"/>
        <s v="PP-014"/>
        <s v="PP-015"/>
        <s v="PP-016"/>
        <s v="PP-017"/>
        <s v="PP-018"/>
        <s v="PP-019"/>
        <s v="PP-020"/>
        <s v="PP-021"/>
        <s v="PP-022"/>
        <s v="PP-023"/>
        <s v="PP-024"/>
        <s v="PP-025"/>
        <s v="PP-026"/>
        <s v="PP-027"/>
        <s v="PP-028"/>
        <s v="PP-029"/>
        <s v="PP-030"/>
        <s v="PP-031"/>
        <s v="PP-032"/>
        <s v="PP-033"/>
        <s v="PP-034"/>
        <s v="PP-035"/>
        <s v="PP-036"/>
        <s v="PP-037"/>
        <s v="PP-038"/>
        <s v="PP-039"/>
        <s v="PP-040"/>
        <s v="PP-041"/>
        <s v="PP-042"/>
        <s v="PP-043"/>
        <s v="PP-044"/>
        <s v="PP-045"/>
        <s v="PP-046"/>
        <s v="PP-047"/>
        <s v="PP-048"/>
        <s v="PP-049"/>
        <s v="PP-050"/>
        <s v="PP-051"/>
        <s v="PP-052"/>
        <s v="PP-053"/>
        <s v="PP-054"/>
        <s v="PP-055"/>
        <s v="PP-056"/>
        <s v="PP-057"/>
        <s v="PP-058"/>
        <s v="PP-059"/>
        <s v="PP-060"/>
        <s v="PP-061"/>
        <s v="PP-062"/>
        <s v="PP-063"/>
        <s v="PP-064"/>
        <s v="PP-065"/>
        <s v="PP-066"/>
        <s v="PP-067"/>
        <s v="PP-068"/>
        <s v="PP-069"/>
        <s v="PP-070"/>
        <s v="PP-071"/>
        <s v="PP-072"/>
        <s v="PP-073"/>
        <s v="PP-074"/>
        <s v="PP-075"/>
        <s v="PP-076"/>
        <s v="PP-077"/>
        <s v="PP-078"/>
        <s v="PP-079"/>
        <s v="PP-080"/>
        <s v="PP-081"/>
        <s v="PP-082"/>
        <s v="PP-083"/>
        <s v="PP-084"/>
        <s v="PP-085"/>
        <s v="PP-086"/>
        <s v="PP-087"/>
        <s v="PP-088"/>
        <s v="PP-089"/>
        <s v="PP-090"/>
        <s v="PP-091"/>
        <s v="PP-092"/>
        <s v="PP-093"/>
        <s v="PP-094"/>
        <s v="PP-095"/>
        <s v="PP-096"/>
        <s v="PP-097"/>
        <s v="PP-098"/>
        <s v="PP-099"/>
        <s v="PP-100"/>
        <s v="PP-101"/>
        <s v="PP-102"/>
        <s v="PP-103"/>
        <s v="PP-104"/>
        <s v="PP-105"/>
        <s v="PP-106"/>
        <s v="PP-107"/>
        <s v="PP-108"/>
        <s v="PP-109"/>
        <s v="PP-110"/>
        <s v="PP-111"/>
        <s v="PP-112"/>
        <s v="PP-113"/>
        <s v="PP-114"/>
        <s v="PP-115"/>
        <s v="PP-116"/>
        <s v="PP-117"/>
        <s v="PP-118"/>
        <s v="PP-119"/>
        <s v="PP-120"/>
        <s v="PP-121"/>
        <s v="PP-122"/>
        <s v="PP-123"/>
        <s v="PP-124"/>
        <s v="PP-125"/>
        <s v="PP-126"/>
        <s v="PP-127"/>
        <s v="PP-128"/>
        <s v="PP-129"/>
        <s v="PP-130"/>
        <s v="PP-131"/>
        <s v="PP-132"/>
        <s v="PP-133"/>
        <s v="PP-134"/>
        <s v="PP-135"/>
        <s v="PP-136"/>
        <s v="PP-137"/>
        <s v="PP-138"/>
        <s v="PP-139"/>
        <s v="PP-140"/>
        <s v="PP-141"/>
        <s v="PP-142"/>
        <s v="PP-143"/>
        <s v="PP-144"/>
        <s v="PP-145"/>
        <s v="PP-146"/>
        <s v="PP-147"/>
        <s v="PP-148"/>
        <s v="PP-149"/>
        <s v="PP-150"/>
        <s v="PP-151"/>
        <s v="PP-152"/>
        <s v="PP-153"/>
        <s v="PP-154"/>
        <s v="PP-155"/>
        <s v="PP-156"/>
        <s v="PP-157"/>
        <s v="PP-158"/>
        <s v="PP-159"/>
        <s v="PP-160"/>
        <s v="PP-161"/>
        <s v="PP-162"/>
        <s v="PP-163"/>
        <s v="PP-164"/>
        <s v="PP-165"/>
        <s v="PP-166"/>
        <s v="PP-167"/>
        <s v="PP-168"/>
        <s v="PP-169"/>
        <s v="PP-170"/>
        <s v="PP-171"/>
        <s v="PP-172"/>
        <s v="PP-173"/>
        <s v="PP-174"/>
        <s v="PP-175"/>
        <s v="PP-176"/>
        <s v="PP-177"/>
        <s v="PP-178"/>
        <s v="PP-179"/>
        <s v="PP-180"/>
        <s v="PP-181"/>
        <s v="PP-182"/>
        <s v="PP-183"/>
        <s v="PP-184"/>
        <s v="PP-185"/>
        <s v="PP-186"/>
        <s v="PP-187"/>
        <s v="PP-188"/>
        <s v="PP-189"/>
        <s v="PP-190"/>
        <s v="PP-191"/>
        <s v="PP-192"/>
        <s v="PP-193"/>
        <s v="PP-194"/>
        <s v="PP-195"/>
        <s v="PP-196"/>
        <s v="PP-197"/>
        <s v="PP-198"/>
        <s v="PP-199"/>
        <s v="PP-200"/>
        <s v="PP-201"/>
        <s v="PP-202"/>
        <s v="PP-LAV"/>
      </sharedItems>
    </cacheField>
    <cacheField name="PROPIETARIO(S)" numFmtId="0">
      <sharedItems count="205">
        <s v="SIN IDENTIFICAR"/>
        <s v="AJK ASOCIADOS SAC"/>
        <s v="ALBAN MALACHE CHABELI"/>
        <s v="RUIZ JAVIER ALEJANDRO"/>
        <s v="ALEXANDER STRAHLE JURGEN"/>
        <s v="ALVA CUELLAR DUGLAS CONCEPCION"/>
        <s v="ALVARADO BRINGAS MILUSKA CARLA"/>
        <s v="ANTON ENICE"/>
        <s v="APARCANA ROSADIO LUIS MIGUEL"/>
        <s v="ASTO VARGAS HANS PIERRE"/>
        <s v="AVENDAÑO SILVA MIRLEY JESUS"/>
        <s v="AVILA JOEL ANTONIO"/>
        <s v="AYAQUE LARICO ISAAC ALFREDO"/>
        <s v="BADA CARPIO OSCAR"/>
        <s v="HENDRICK OSCAR  / HENDRICKLUISA "/>
        <s v="BENITES CERNA CARLOS ENRIQUE"/>
        <s v="BERTOLOTTO INVESTMENTS S.A.C"/>
        <s v="BLAS OLIVER LIDIA ROSALVA"/>
        <s v="CALDERON MINCHOLA JUAN CARLOS"/>
        <s v="CANCINO APAZA MARYLIN MARYBEL"/>
        <s v="CANEDO TAPIA MANUEL HERNAN"/>
        <s v="CAO DACHAO"/>
        <s v="CARDENAS MORIANO HEVELYNE HILDA"/>
        <s v="CARDENAS MORIANO WOLFGAN ANGEL"/>
        <s v="CARMONA DIAZ MERY"/>
        <s v="CARRASCO BEAS ALFREDO EDILBERTO"/>
        <s v="CARRILLO GALLO EDSON"/>
        <s v="CARRILLO PINEDA FERNANDO"/>
        <s v="CASAS PEREA JOSE"/>
        <s v="CASTILLA PEREZ CARMELA FERMINA"/>
        <s v="CASTRO ALMEIDA RAUL ARMANDO"/>
        <s v="CASTRO BARRERA ANITA MARITZA"/>
        <s v="SOLARI ATOCHE MARIA CECILIA"/>
        <s v="CHAFLOQUE MORENO ALEXIS JHONNY"/>
        <s v="CHAVEZ JULCAHUANCA VANESSA"/>
        <s v="CHAVEZ TAGLE SISLEY"/>
        <s v="CHAVEZ MYLADY"/>
        <s v="CHIA ALEGRE JORGE WILLIAMS"/>
        <s v="CHIROQUE FLOR LOZANO"/>
        <s v="CISNEROS ISLA GLORIA LEONOR"/>
        <s v="CORDERO VILCA PEDRO LUIS"/>
        <s v="CORNEJO JORGE JOSE ADRIAN"/>
        <s v="CORRECHER DEL TORO GURMENSINDA"/>
        <s v="CURAHUA SANCHEZ FLOR DE MARIA"/>
        <s v="DE LA CRUZ DELGADO WALTER"/>
        <s v="RUIZ SANDOVAL FLOR DE MARIA"/>
        <s v="DE MATTEIS DANIELE"/>
        <s v="DIAZ QUINTANA DAVID ENRIQUE"/>
        <s v="DURANGO CHAVEZ OLGA KARINA"/>
        <s v="HARO CABALLERO CAROL ELIZABETH"/>
        <s v="ESPINOZA PACHECO ELBIA ELIZABETH"/>
        <s v="ESTRADA DIANA"/>
        <s v="FALCON RAMOS CAROLINA FRANCHESKA"/>
        <s v="FERRER MILAGROS"/>
        <s v="FUENTES ALARCON PERVIS"/>
        <s v="GAMERO OSCAR"/>
        <s v="GARCIA ARCE ANDRES DANIEL"/>
        <s v="GARCIA TEJADA NORMA YSABEL"/>
        <s v="GARCIA JOSE"/>
        <s v="GARFIAS HURTADO MARISOL"/>
        <s v="GAVIDIA DIAZ ROSA TANIA"/>
        <s v="GHERSI GIURFA DANIEL DAVID"/>
        <s v="GODOY ACOSTA NORA EULALIA"/>
        <s v="GOMEZ BARTRA JOHANNA GORGETE"/>
        <s v="GOMEZ VILLENA ROLANDO MARTIN"/>
        <s v="GONZALES VIDAL MIGUEL ANGEL"/>
        <s v="GONZALES LUIS"/>
        <s v="LOCK GOVEA JOSE"/>
        <s v="GUERRERO ABARCA MONICA JULIE"/>
        <s v="GUERRERO GUERRERO JEAN MARCO"/>
        <s v="GUERRERO GUERRERO KETY FAGNI"/>
        <s v="GUERRERO JIMENEZ SERGIO"/>
        <s v="GUERRERO JIMENEZ SERGIO adicional 1"/>
        <s v="GUIMARAY RICARDO"/>
        <s v="GUTIERREZ GUERRERO YEISON MARTIN"/>
        <s v="GUTIERREZ PECEROS ALBERTO"/>
        <s v="HAYA HIDALGO FERNANDO TEOBALDO"/>
        <s v="HENOSTROZA DIAZ JULIAN"/>
        <s v="HERNAN MORALES DIEGO"/>
        <s v="HERRERA MENDOZA JEAN PIERRE"/>
        <s v="HUANAY MARTINEZ FRANZ CESAR"/>
        <s v="HUANGAL KESSLER JOSEFINA"/>
        <s v="HUERTA HUERTA CARLA ALESSANDRA"/>
        <s v="INDUSTRIAS GENERALES SAC"/>
        <s v="INFANTES JHEYSON"/>
        <s v="PARI NUÑEZ LEONOR "/>
        <s v="IZQUIERDO ALATA LIAM JUAN PEDRO"/>
        <s v="JARA CISNEROS RICHARD"/>
        <s v="JIMENEZ CARMEN"/>
        <s v="JO RENZO"/>
        <s v="JURADO PAZ Y MIÑO VICTOR"/>
        <s v="JUSTO NIETO MILENA KATHERINE"/>
        <s v="LA MADRID JOSE"/>
        <s v="MENDOZA TERESA LAURA"/>
        <s v="LAURA MENDOZA YSELA ROCIO"/>
        <s v="LEON PRISCILLA"/>
        <s v="LIANG YANQIU"/>
        <s v="LIZARZABURU PETROZZI MIKEL ARITZ"/>
        <s v="LLANO QUISPE JOSE LUIS"/>
        <s v="LOPEZ CORNELIO DAVID"/>
        <s v="LOPEZ FORTUNATO"/>
        <s v="LOREDO RODRIGUEZ CESAR ANTONIO"/>
        <s v="DURAN ZANDRA LUZ"/>
        <s v="MADUEÑO MORALES LUCIENNE"/>
        <s v="MALDONADO DE LA CRUZ NORA TERESA"/>
        <s v="SANCHEZ ALLAN ANDY MARCELO"/>
        <s v="SPEICHER LUIS"/>
        <s v="MENDIOLA LOPEZ MARIA ELENA "/>
        <s v="MENDOZA BAZAN SILVIA VERONICA"/>
        <s v="MERINO BRIONES SUSY"/>
        <s v="MESONES DEL RIO MARIA ISABEL"/>
        <s v="MINIANO GARCIA PABLO ABEL"/>
        <s v="MONTESINOS JORGE LUIS"/>
        <s v="MORALES CORDOVA JUAN ALARICO"/>
        <s v="MORALES LANDAURO GERARDO ALBERTO"/>
        <s v="MORON JENNY"/>
        <s v="NAVARRO VILLAVICENCIO JOSE KARLO"/>
        <s v="NEGRINI WITHER JORGE ENRIQUE"/>
        <s v="NEIRA UN JAN MILAGROS ANDREA"/>
        <s v="NUÑEZ ESTRADA YULY CRISTINA"/>
        <s v="OCHOA CESAR"/>
        <s v="MOGOLLÓN ANGELES ANGEL GIOVANNI JOSÉ  - GUTIÉRREZ RREZ CÓRDOVA ANGELA PIERINA"/>
        <s v="OLIVARES SAAVEDRA JAIME ALBERTO"/>
        <s v="ORELLANA VARGAS CARMEN ROSA"/>
        <s v="ORTEGA DELGADILLO EMPERATRIZ"/>
        <s v="OSORIO MOQUILLAZA JESUS ALFONSO"/>
        <s v="PANIAGUA SANDRO"/>
        <s v="PAREDES SALAZAR SARITA DEL CARMEN"/>
        <s v="PARKER CHAVEZ DIANA MARIA"/>
        <s v="PASSION FRESH SAC"/>
        <s v="PASTOR NICOLAS ROSA MARIA"/>
        <s v="PAZ ALATA JUAN DIEGO"/>
        <s v="PERALTA PARI RUBEN"/>
        <s v="PONCE DE LEON MARIA"/>
        <s v="MONZON MILAGROS "/>
        <s v="QUISPE JOSE LUIS"/>
        <s v="RAMOS GUTTI DANIEL"/>
        <s v="RAMOS REQUEJO MABEL LICER"/>
        <s v="REJAS REYES TEOBALDO ALFREDO"/>
        <s v="RENTERIA CHIOK MARIA ISABEL"/>
        <s v="RIOS JULCA NILTON"/>
        <s v="RIVERA MADARIAGA FIORELLA VANESSA"/>
        <s v="ROBLEDANO VICTOR"/>
        <s v="ROBLES SOTELO ERICK EUGENIO"/>
        <s v="RODRIGUEZ CECILIA"/>
        <s v="ROJAS VICTOR"/>
        <s v="ROSAS JHENIFER"/>
        <s v="RUBIANO NELSON"/>
        <s v="RUIZ GUTIERREZ ROSA"/>
        <s v="SAAVEDRA MACHUCA DANY ELVIS"/>
        <s v="SALINAS SOUZA CARLOS ENRIQUE JOSE ALFREDO"/>
        <s v="SALVADOR NILS"/>
        <s v="SAMANAMUD LOZANO NADIA"/>
        <s v="SANCHEZ DIAZ RUBEN"/>
        <s v="SANCHEZ-SALAZAR OLCESE GLADYS MARIELA"/>
        <s v="SANDOVAL AMASIFUEN EDWARD"/>
        <s v="MONTES DE OCA BRAMOSIO MARIA GABY"/>
        <s v="BUSTAMANTE EDUARDO  - SARMIENTO INGRID"/>
        <s v="MEDINA SARMIENTO JAVIER"/>
        <s v="SAUÑE PACCO JOSE OSWALDO"/>
        <s v="SEMINARIO OMAR"/>
        <s v="SOTO CONDORI GIANFRANCO"/>
        <s v="SULLCAHUAMAN OTERO ORLANDO"/>
        <s v="HERZL THOMAS  - GONZALES MONICA "/>
        <s v="TIBURCIO GARCIA LIZETH ALEJANDRA"/>
        <s v="TINEDO LOPEZ PEDRO LUIS"/>
        <s v="TINEO CASTAÑEDA CLAUDIA"/>
        <s v="TORANZO RUBEN"/>
        <s v="TORRES HUANGAL RODRIGO GUILLERMO"/>
        <s v="TORRES TORRES GUILLERMO"/>
        <s v="TORRES VALLEJOS CLAUDIA MARINA"/>
        <s v="TORRES VILANTOY SUSAN"/>
        <s v="TORRES ANGELICA"/>
        <s v="TUPAYACHI VALLENAS DENIS ALFREDO"/>
        <s v="VALDEZ CADENILLAS AGUSTIN"/>
        <s v="VALDIVIA OBANDO OSCAR"/>
        <s v="VALDIVIA PASACHE GEORGE LOUIS ALEXANDER"/>
        <s v="VALERA ASPILLAGA FIORELLA VANESSA "/>
        <s v="VALLEBUONA MAYTA LUIS ALBERTO"/>
        <s v="VALVERDE ROJAS MARIA ANTONIETA"/>
        <s v="VEGA DAVID VICTOR"/>
        <s v="VEGA LUIS"/>
        <s v="VELASQUEZ MATOS KATHERINE SUSEI"/>
        <s v="VERASTEGUI BUSTAMANTE DAVID"/>
        <s v="VERASTEGUI JUSTO"/>
        <s v="VILLAVICENCIO CARLOS"/>
        <s v="VISO TOLEDO JAIME JUAN"/>
        <s v="WILSON BUENO FRANK ERICK"/>
        <s v="YAIPEN PANTOJA ALEXIS"/>
        <s v="LI XIAN YI "/>
        <s v="YOUNG GUERRERO MARIA GISELLA"/>
        <s v="ZAMBRANO JUAREZ VALERIA"/>
        <s v="ZAPATA ARANA MIRTHA BELINDA"/>
        <s v="ZAPATA VELASCO ANGELA"/>
        <s v="ALVARES PEÑA CARLOS EDUARDO"/>
        <s v="GUERRERO BENNER ROLAN"/>
        <s v="MADUEÑO CHUMPITAZ LOURDES DE LOS ANGELES"/>
        <s v="RAMÍREZ PACHECO GIAN PAUL"/>
        <s v="ROSAS JHENIFER adicional 1"/>
        <s v="ROSAS JHENIFER adicional 2"/>
        <s v="VILLAVICENCIO CARLOS adiciona1"/>
        <s v="AQUIJE MORON HERNAN"/>
        <s v="PALOMINO CRISTIAN"/>
        <s v="LAVANDERIA PRONTOMATIK"/>
        <s v="PALOMINO CRISTHIAN" u="1"/>
      </sharedItems>
    </cacheField>
    <cacheField name="PREDIO" numFmtId="2">
      <sharedItems count="380">
        <s v="E000"/>
        <s v="DEPA-1605"/>
        <s v="ESTA-020"/>
        <s v="DEPA-612"/>
        <s v="ESTA-067"/>
        <s v="DEPA-811"/>
        <s v="DEPA-902"/>
        <s v="ESTA-042"/>
        <s v="DEPA-1205"/>
        <s v="ESTA-077"/>
        <s v="DEPA-1001"/>
        <s v="ESTA-063"/>
        <s v="DEPA-610"/>
        <s v="DEPA-606"/>
        <s v="ESTA-065"/>
        <s v="DEPA-1311"/>
        <s v="ESTA-087"/>
        <s v="DEPA-804"/>
        <s v="ESTA-056"/>
        <s v="DEPA-1602"/>
        <s v="ESTA-104"/>
        <s v="DEPA-101"/>
        <s v="ESTA-036"/>
        <s v="ESTA-153"/>
        <s v="DEPA-1101"/>
        <s v="ESTA-143"/>
        <s v="DEPA-1006"/>
        <s v="DEPA-706"/>
        <s v="ESTA-103"/>
        <s v="DEPA-1703"/>
        <s v="ESTA-003"/>
        <s v="ESTA-008"/>
        <s v="ESTA-011"/>
        <s v="ESTA-019"/>
        <s v="ESTA-022"/>
        <s v="ESTA-046"/>
        <s v="ESTA-054"/>
        <s v="ESTA-062"/>
        <s v="ESTA-091"/>
        <s v="ESTA-097"/>
        <s v="DEPA-1609"/>
        <s v="DEPO-180"/>
        <s v="ESTA-035"/>
        <s v="DEPA-1401"/>
        <s v="ESTA-053"/>
        <s v="DEPA-1504"/>
        <s v="ESTA-092"/>
        <s v="DEPA-1710"/>
        <s v="ESTA-132"/>
        <s v="DEPA-1310"/>
        <s v="ESTA-060"/>
        <s v="DEPA-1607"/>
        <s v="DEPO-186"/>
        <s v="DEPA-1107"/>
        <s v="DEPO-173"/>
        <s v="DEPA-1201"/>
        <s v="DEPO-161"/>
        <s v="ESTA-015"/>
        <s v="ESTA-016"/>
        <s v="ESTA-017"/>
        <s v="DEPA-1306"/>
        <s v="ESTA-032"/>
        <s v="DEPA-611"/>
        <s v="ESTA-140"/>
        <s v="DEPA-1002"/>
        <s v="ESTA-150"/>
        <s v="DEPA-1204"/>
        <s v="ESTA-130"/>
        <s v="DEPA-1403"/>
        <s v="ESTA-148"/>
        <s v="DEPA-407"/>
        <s v="ESTA-121"/>
        <s v="DEPA-907"/>
        <s v="DEPA-1312"/>
        <s v="DEPA-1111"/>
        <s v="DEPA-609"/>
        <s v="DEPA-510"/>
        <s v="DEPA-202"/>
        <s v="DEPA-1011"/>
        <s v="DEPO-160"/>
        <s v="DEPA-1610"/>
        <s v="ESTA-078"/>
        <s v="DEPA-104"/>
        <s v="ESTA-013"/>
        <s v="DEPA-503"/>
        <s v="ESTA-058"/>
        <s v="DEPA-105"/>
        <s v="DEPA-305"/>
        <s v="ESTA-009"/>
        <s v="ESTA-073"/>
        <s v="DEPA-410"/>
        <s v="ESTA-115"/>
        <s v="DEPA-205"/>
        <s v="ESTA-006"/>
        <s v="DEPA-1509"/>
        <s v="ESTA-004"/>
        <s v="DEPA-304"/>
        <s v="ESTA-141"/>
        <s v="DEPA-1210"/>
        <s v="DEPA-904"/>
        <s v="DEPO-178"/>
        <s v="ESTA-139"/>
        <s v="DEPA-409"/>
        <s v="DEPA-1102"/>
        <s v="DEPA-707"/>
        <s v="DEPA-1004"/>
        <s v="ESTA-093"/>
        <s v="DEPA-604"/>
        <s v="ESTA-066"/>
        <s v="DEPA-1612"/>
        <s v="ESTA-086"/>
        <s v="DEPA-903"/>
        <s v="ESTA-081"/>
        <s v="DEPA-1502"/>
        <s v="DEPA-501"/>
        <s v="ESTA-031"/>
        <s v="DEPA-1402"/>
        <s v="ESTA-037"/>
        <s v="ESTA-055"/>
        <s v="ESTA-106"/>
        <s v="DEPA-712"/>
        <s v="ESTA-088"/>
        <s v="DEPA-1003"/>
        <s v="ESTA-027"/>
        <s v="DEPA-602"/>
        <s v="ESTA-039"/>
        <s v="DEPA-701"/>
        <s v="DEPO-175"/>
        <s v="ESTA-126"/>
        <s v="DEPA-404"/>
        <s v="ESTA-045"/>
        <s v="DEPA-312"/>
        <s v="ESTA-154"/>
        <s v="DEPA-406"/>
        <s v="ESTA-151"/>
        <s v="DEPA-307"/>
        <s v="DEPA-908"/>
        <s v="DEPA-909"/>
        <s v="DEPA-302"/>
        <s v="DEPA-403"/>
        <s v="ESTA-142"/>
        <s v="DEPA-209"/>
        <s v="DEPA-1603"/>
        <s v="ESTA-070"/>
        <s v="DEPA-1302"/>
        <s v="DEPO-159"/>
        <s v="DEPO-162"/>
        <s v="ESTA-034"/>
        <s v="ESTA-089"/>
        <s v="DEPA-901"/>
        <s v="ESTA-138"/>
        <s v="DEPA-910"/>
        <s v="ESTA-120"/>
        <s v="DEPA-810"/>
        <s v="ESTA-155"/>
        <s v="DEPA-1206"/>
        <s v="DEPO-172"/>
        <s v="ESTA-090"/>
        <s v="DEPA-310"/>
        <s v="ESTA-102"/>
        <s v="DEPA-1511"/>
        <s v="DEPA-1208"/>
        <s v="DEPA-1705"/>
        <s v="ESTA-083"/>
        <s v="DEPA-1303"/>
        <s v="ESTA-133"/>
        <s v="DEPA-512"/>
        <s v="ESTA-146"/>
        <s v="DEPA-710"/>
        <s v="ESTA-117"/>
        <s v="DEPA-1604"/>
        <s v="ESTA-129"/>
        <s v="DEPA-508"/>
        <s v="DEPO-171"/>
        <s v="DEPA-1212"/>
        <s v="ESTA-085"/>
        <s v="DEPA-703"/>
        <s v="DEPA-1309"/>
        <s v="ESTA-135"/>
        <s v="DEPA-1007"/>
        <s v="ESTA-068"/>
        <s v="DEPA-1406"/>
        <s v="ESTA-158"/>
        <s v="DEPA-1009"/>
        <s v="ESTA-107"/>
        <s v="DEPA-1104"/>
        <s v="DEPA-1505"/>
        <s v="ESTA-051"/>
        <s v="DEPA-1304"/>
        <s v="DEPA-506"/>
        <s v="DEPO-167"/>
        <s v="ESTA-059"/>
        <s v="ESTA-149"/>
        <s v="DEPA-1712"/>
        <s v="DEPA-1103"/>
        <s v="ESTA-108"/>
        <s v="DEPA-1301"/>
        <s v="ESTA-018"/>
        <s v="ESTA-026"/>
        <s v="DEPA-1501"/>
        <s v="ESTA-047"/>
        <s v="ESTA-048"/>
        <s v="DEPA-1711"/>
        <s v="DEPA-805"/>
        <s v="ESTA-069"/>
        <s v="DEPA-1108"/>
        <s v="DEPA-1709"/>
        <s v="ESTA-021"/>
        <s v="ESTA-110"/>
        <s v="DEPA-705"/>
        <s v="ESTA-061"/>
        <s v="ESTA-064"/>
        <s v="DEPA-102"/>
        <s v="DEPA-1209"/>
        <s v="ESTA-122"/>
        <s v="DEPA-411"/>
        <s v="ESTA-057"/>
        <s v="DEPA-601"/>
        <s v="ESTA-044"/>
        <s v="DEPA-1409"/>
        <s v="ESTA-096"/>
        <s v="DEPA-1405"/>
        <s v="ESTA-075"/>
        <s v="ESTA-137"/>
        <s v="DEPA-1010"/>
        <s v="DEPA-208"/>
        <s v="ESTA-084"/>
        <s v="ESTA-100"/>
        <s v="DEPA-905"/>
        <s v="DEPA-912"/>
        <s v="ESTA-119"/>
        <s v="DEPA-401"/>
        <s v="ESTA-145"/>
        <s v="DEPA-607"/>
        <s v="ESTA-094"/>
        <s v="DEPA-408"/>
        <s v="DEPA-1608"/>
        <s v="DEPA-709"/>
        <s v="ESTA-113"/>
        <s v="DEPA-812"/>
        <s v="DEPA-1008"/>
        <s v="DEPA-1512"/>
        <s v="DEPA-1005"/>
        <s v="ESTA-049"/>
        <s v="DEPA-210"/>
        <s v="ESTA-112"/>
        <s v="DEPA-1305"/>
        <s v="ESTA-038"/>
        <s v="DEPA-1211"/>
        <s v="DEPA-809"/>
        <s v="ESTA-134"/>
        <s v="DEPA-507"/>
        <s v="DEPA-306"/>
        <s v="ESTA-071"/>
        <s v="DEPA-509"/>
        <s v="DEPO-185"/>
        <s v="ESTA-127"/>
        <s v="DEPA-803"/>
        <s v="ESTA-005"/>
        <s v="DEPA-708"/>
        <s v="ESTA-124"/>
        <s v="DEPA-1601"/>
        <s v="DEPO-164"/>
        <s v="ESTA-024"/>
        <s v="DEPO-184"/>
        <s v="DEPA-511"/>
        <s v="ESTA-074"/>
        <s v="DEPA-806"/>
        <s v="DEPA-201"/>
        <s v="DEPA-412"/>
        <s v="DEPA-207"/>
        <s v="ESTA-144"/>
        <s v="DEPA-1110"/>
        <s v="ESTA-099"/>
        <s v="DEPA-204"/>
        <s v="DEPO-182"/>
        <s v="DEPA-1507"/>
        <s v="DEPO-170"/>
        <s v="DEPA-704"/>
        <s v="ESTA-033"/>
        <s v="DEPA-603"/>
        <s v="DEPA-1106"/>
        <s v="DEPO-169"/>
        <s v="ESTA-072"/>
        <s v="DEPA-1105"/>
        <s v="ESTA-123"/>
        <s v="DEPA-906"/>
        <s v="ESTA-109"/>
        <s v="DEPA-711"/>
        <s v="DEPA-206"/>
        <s v="DEPA-308"/>
        <s v="DEPA-1410"/>
        <s v="DEPO-179"/>
        <s v="ESTA-131"/>
        <s v="DEPA-1404"/>
        <s v="ESTA-156"/>
        <s v="DEPA-405"/>
        <s v="DEPO-177"/>
        <s v="ESTA-007"/>
        <s v="DEPA-311"/>
        <s v="DEPA-1707"/>
        <s v="ESTA-098"/>
        <s v="DEPA-911"/>
        <s v="DEPA-1109"/>
        <s v="DEPA-801"/>
        <s v="DEPA-402"/>
        <s v="ESTA-076"/>
        <s v="DEPA-1506"/>
        <s v="ESTA-029"/>
        <s v="DEPA-807"/>
        <s v="ESTA-095"/>
        <s v="DEPA-1207"/>
        <s v="ESTA-043"/>
        <s v="DEPA-1611"/>
        <s v="DEPO-174"/>
        <s v="DEPA-309"/>
        <s v="ESTA-116"/>
        <s v="DEPA-1408"/>
        <s v="DEPA-1508"/>
        <s v="DEPA-107"/>
        <s v="ESTA-111"/>
        <s v="DEPA-1012"/>
        <s v="ESTA-105"/>
        <s v="DEPA-802"/>
        <s v="ESTA-101"/>
        <s v="DEPA-808"/>
        <s v="ESTA-125"/>
        <s v="DEPA-1606"/>
        <s v="DEPO-181"/>
        <s v="ESTA-030"/>
        <s v="DEPA-608"/>
        <s v="DEPA-1503"/>
        <s v="DEPA-103"/>
        <s v="DEPO-176"/>
        <s v="DEPA-1112"/>
        <s v="ESTA-152"/>
        <s v="DEPA-1307"/>
        <s v="DEPA-502"/>
        <s v="ESTA-082"/>
        <s v="DEPA-505"/>
        <s v="ESTA-114"/>
        <s v="DEPA-203"/>
        <s v="ESTA-028"/>
        <s v="DEPA-1701"/>
        <s v="ESTA-040"/>
        <s v="ESTA-041"/>
        <s v="DEPA-1708"/>
        <s v="ESTA-023"/>
        <s v="DEPA-605"/>
        <s v="ESTA-079"/>
        <s v="DEPA-301"/>
        <s v="DEPO-168"/>
        <s v="ESTA-052"/>
        <s v="DEPA-1308"/>
        <s v="DEPA-1702"/>
        <s v="ESTA-118"/>
        <s v="ESTA-136"/>
        <s v="DEPA-1510"/>
        <s v="ESTA-050"/>
        <s v="DEPA-1407"/>
        <s v="ESTA-128"/>
        <s v="DEPA-1411"/>
        <s v="DEPA-303"/>
        <s v="DEPO-183"/>
        <s v="ESTA-147"/>
        <s v="DEPA-1412"/>
        <s v="ESTA-080"/>
        <s v="DEPA-1706"/>
        <s v="DEPA-504"/>
        <s v="ESTA-025"/>
        <s v="DEPA-1704"/>
        <s v="ESTA-014"/>
        <s v="DEPA-106"/>
        <s v="ESTA-012"/>
        <s v="ESTA-002"/>
        <s v="ESTA-157"/>
        <s v="DEPO-165"/>
        <s v="DEPO-166"/>
        <s v="ESTA-010"/>
        <s v="PP-LAV"/>
      </sharedItems>
    </cacheField>
    <cacheField name="ÁREA TECHADA" numFmtId="43">
      <sharedItems containsSemiMixedTypes="0" containsString="0" containsNumber="1" minValue="0" maxValue="248.79"/>
    </cacheField>
    <cacheField name="ÁREA OCUPADA" numFmtId="43">
      <sharedItems containsSemiMixedTypes="0" containsString="0" containsNumber="1" minValue="0" maxValue="248.79"/>
    </cacheField>
    <cacheField name="% PARTICIPACIÓN" numFmtId="166">
      <sharedItems containsSemiMixedTypes="0" containsString="0" containsNumber="1" minValue="0" maxValue="9.9965999999999996E-3"/>
    </cacheField>
    <cacheField name="VALOR CUOTA" numFmtId="43">
      <sharedItems containsSemiMixedTypes="0" containsString="0" containsNumber="1" minValue="0" maxValue="600.95560560000001"/>
    </cacheField>
    <cacheField name="AGUA CONSUMO" numFmtId="43">
      <sharedItems containsSemiMixedTypes="0" containsString="0" containsNumber="1" minValue="-0.26776800000000023" maxValue="151.73519999999999"/>
    </cacheField>
    <cacheField name="SUMA" numFmtId="43">
      <sharedItems containsSemiMixedTypes="0" containsString="0" containsNumber="1" minValue="22.09263" maxValue="663.43480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42.772889236112" createdVersion="8" refreshedVersion="8" minRefreshableVersion="3" recordCount="1003" xr:uid="{1AA6A0A5-AA91-49E6-9DFE-013E85329447}">
  <cacheSource type="worksheet">
    <worksheetSource ref="A1:H1004" sheet="ingresos"/>
  </cacheSource>
  <cacheFields count="10">
    <cacheField name="mes" numFmtId="0">
      <sharedItems containsSemiMixedTypes="0" containsString="0" containsNumber="1" containsInteger="1" minValue="8" maxValue="12"/>
    </cacheField>
    <cacheField name="fecha" numFmtId="14">
      <sharedItems containsSemiMixedTypes="0" containsNonDate="0" containsDate="1" containsString="0" minDate="2025-08-01T00:00:00" maxDate="2026-01-01T00:00:00" count="127">
        <d v="2025-08-01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9"/>
    </cacheField>
    <cacheField name="glosa" numFmtId="0">
      <sharedItems/>
    </cacheField>
    <cacheField name="valor soles" numFmtId="0">
      <sharedItems containsSemiMixedTypes="0" containsString="0" containsNumber="1" minValue="0" maxValue="127565.13"/>
    </cacheField>
    <cacheField name="operación nro." numFmtId="49">
      <sharedItems/>
    </cacheField>
    <cacheField name="codigo" numFmtId="0">
      <sharedItems containsBlank="1" count="190">
        <s v="PP-000"/>
        <s v="PP-017"/>
        <m/>
        <s v="PP-022"/>
        <s v="PP-128"/>
        <s v="PP-090"/>
        <s v="PP-082"/>
        <s v="PP-039"/>
        <s v="PP-190"/>
        <s v="PP-108"/>
        <s v="PP-119"/>
        <s v="PP-122"/>
        <s v="PP-129"/>
        <s v="PP-145"/>
        <s v="PACIFIK"/>
        <s v="PP-021"/>
        <s v="PP-050"/>
        <s v="PP-080"/>
        <s v="PP-003"/>
        <s v="PP-067"/>
        <s v="PP-094"/>
        <s v="PP-046"/>
        <s v="PP-137"/>
        <s v="PP-045"/>
        <s v="PP-081"/>
        <s v="PP-174"/>
        <s v="PP-175"/>
        <s v="PP-186"/>
        <s v="PP-058"/>
        <s v="PP-040"/>
        <s v="PP-009"/>
        <s v="PP-142"/>
        <s v="PP-184"/>
        <s v="PP-158"/>
        <s v="PP-068"/>
        <s v="PP-102"/>
        <s v="PP-118"/>
        <s v="PP-123"/>
        <s v="PP-016"/>
        <s v="PP-044"/>
        <s v="PP-031"/>
        <s v="PP-014"/>
        <s v="PP-130"/>
        <s v="PP-199"/>
        <s v="PP-091"/>
        <s v="PP-096"/>
        <s v="PP-024"/>
        <s v="PP-124"/>
        <s v="PP-111"/>
        <s v="PP-126"/>
        <s v="PP-136"/>
        <s v="PP-146"/>
        <s v="PP-150"/>
        <s v="PP-095"/>
        <s v="PP-035"/>
        <s v="PP-181"/>
        <s v="PP-121"/>
        <s v="PP-074"/>
        <s v="PP-092"/>
        <s v="PP-085"/>
        <s v="PP-042"/>
        <s v="PP-171"/>
        <s v="PP-193"/>
        <s v="PP-023"/>
        <s v="PP-062"/>
        <s v="PP-161"/>
        <s v="PP-072"/>
        <s v="PP-182"/>
        <s v="PP-185"/>
        <s v="PP-078"/>
        <s v="PP-105"/>
        <s v="PP-049"/>
        <s v="PP-086"/>
        <s v="PP-169"/>
        <s v="PP-004"/>
        <s v="PP-101"/>
        <s v="PP-134"/>
        <s v="PP-064"/>
        <s v="PP-159"/>
        <s v="PP-140"/>
        <s v="PP-180"/>
        <s v="PP-089"/>
        <s v="PP-191"/>
        <s v="PP-131"/>
        <s v="PP-189"/>
        <s v="PP-104"/>
        <s v="PP-120"/>
        <s v="PP-162"/>
        <s v="PP-098"/>
        <s v="PP-112"/>
        <s v="PP-005"/>
        <s v="PP-165"/>
        <s v="PP-002"/>
        <s v="PP-172"/>
        <s v="PP-019"/>
        <s v="PP-115"/>
        <s v="PP-127"/>
        <s v="PP-038"/>
        <s v="PP-088"/>
        <s v="PP-052"/>
        <s v="PP-013"/>
        <s v="PP-015"/>
        <s v="PP-153"/>
        <s v="PP-163"/>
        <s v="PP-157"/>
        <s v="PP-178"/>
        <s v="PP-188"/>
        <s v="PP-075"/>
        <s v="PP-077"/>
        <s v="PP-194"/>
        <s v="PP-173"/>
        <s v="PP-100"/>
        <s v="PP-026"/>
        <s v="PP-063"/>
        <s v="PP-109"/>
        <s v="PP-125"/>
        <s v="PP-041"/>
        <s v="PP-028"/>
        <s v="PP-179"/>
        <s v="PP-148"/>
        <s v="PP-020"/>
        <s v="PP-029"/>
        <s v="PP-093"/>
        <s v="PP-076"/>
        <s v="PP-116"/>
        <s v="PP-167"/>
        <s v="PP-106"/>
        <s v="PP-107"/>
        <s v="PP-166"/>
        <s v="PP-070"/>
        <s v="PP-018"/>
        <s v="PP-047"/>
        <s v="PP-151"/>
        <s v="PP-187"/>
        <s v="PP-012"/>
        <s v="PP-037"/>
        <s v="PP-141"/>
        <s v="PP-087"/>
        <s v="PP-176"/>
        <s v="PP-196"/>
        <s v="PP-048"/>
        <s v="PP-097"/>
        <s v="PP-144"/>
        <s v="PP-197"/>
        <s v="PP-170"/>
        <s v="PP-053"/>
        <s v="PP-198"/>
        <s v="PP-160"/>
        <s v="PP-156"/>
        <s v="PP-164"/>
        <s v="PP-011"/>
        <s v="PP-110"/>
        <s v="PP-132"/>
        <s v="PP-066"/>
        <s v="PP-055"/>
        <s v="PP-168"/>
        <s v="PP-071"/>
        <s v="PP-057"/>
        <s v="PP-154"/>
        <s v="PP-033"/>
        <s v="PP-135"/>
        <s v="PP-113"/>
        <s v="PP-183"/>
        <s v="PP-084"/>
        <s v="PP-054"/>
        <s v="PP-177"/>
        <s v="PP-061"/>
        <s v="PP-117"/>
        <s v="PP-099"/>
        <s v="PP-006"/>
        <s v="PP-010"/>
        <s v="PP-008"/>
        <s v="PP-036"/>
        <s v="PP-138"/>
        <s v="PP-056"/>
        <s v="PP-147"/>
        <s v="PP-069"/>
        <s v="PP-025"/>
        <s v="PP-034"/>
        <s v="PP-192"/>
        <s v="PP-032"/>
        <s v="PP-065"/>
        <s v="PP-103"/>
        <s v="PP-079"/>
        <s v="PP-LAV"/>
        <s v="PP-001"/>
        <s v="PP-030"/>
        <s v="PP-043"/>
        <s v="PP-155"/>
        <s v="PP-139"/>
      </sharedItems>
    </cacheField>
    <cacheField name="anexo" numFmtId="49">
      <sharedItems containsBlank="1"/>
    </cacheField>
    <cacheField name="detalle-referencia" numFmtId="0">
      <sharedItems containsBlank="1"/>
    </cacheField>
    <cacheField name="Días (fecha)" numFmtId="0" databaseField="0">
      <fieldGroup base="1">
        <rangePr groupBy="days" startDate="2025-08-01T00:00:00" endDate="2026-01-01T00:00:00"/>
        <groupItems count="368">
          <s v="&lt;01/08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1/2026"/>
        </groupItems>
      </fieldGroup>
    </cacheField>
    <cacheField name="Meses (fecha)" numFmtId="0" databaseField="0">
      <fieldGroup base="1">
        <rangePr groupBy="months" startDate="2025-08-01T00:00:00" endDate="2026-01-01T00:00:00"/>
        <groupItems count="14">
          <s v="&lt;01/08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x v="0"/>
    <x v="0"/>
    <x v="0"/>
    <n v="0"/>
    <n v="0"/>
    <n v="2.8500000000000001E-3"/>
    <n v="171.3306"/>
    <n v="0"/>
    <n v="171.3306"/>
  </r>
  <r>
    <x v="1"/>
    <x v="1"/>
    <x v="1"/>
    <n v="78.95"/>
    <n v="78.95"/>
    <n v="4.4973999999999995E-3"/>
    <n v="270.36569839999999"/>
    <n v="6.7269271999999871"/>
    <n v="277.09262559999996"/>
  </r>
  <r>
    <x v="1"/>
    <x v="1"/>
    <x v="2"/>
    <n v="0"/>
    <n v="0"/>
    <n v="1.2690000000000002E-3"/>
    <n v="76.287204000000003"/>
    <n v="0"/>
    <n v="76.287204000000003"/>
  </r>
  <r>
    <x v="2"/>
    <x v="2"/>
    <x v="3"/>
    <n v="74.599999999999994"/>
    <n v="74.599999999999994"/>
    <n v="4.4973999999999995E-3"/>
    <n v="270.36569839999999"/>
    <n v="27.011840800000023"/>
    <n v="297.3775392"/>
  </r>
  <r>
    <x v="2"/>
    <x v="2"/>
    <x v="4"/>
    <n v="0"/>
    <n v="0"/>
    <n v="1.2690000000000002E-3"/>
    <n v="76.287204000000003"/>
    <n v="0"/>
    <n v="76.287204000000003"/>
  </r>
  <r>
    <x v="3"/>
    <x v="3"/>
    <x v="5"/>
    <n v="33"/>
    <n v="33"/>
    <n v="2.6939000000000004E-3"/>
    <n v="161.94649240000001"/>
    <n v="6.1854408000000021"/>
    <n v="168.13193320000002"/>
  </r>
  <r>
    <x v="4"/>
    <x v="4"/>
    <x v="6"/>
    <n v="77.05"/>
    <n v="77.05"/>
    <n v="4.4973999999999995E-3"/>
    <n v="270.36569839999999"/>
    <n v="17.851199999999999"/>
    <n v="288.21689839999999"/>
  </r>
  <r>
    <x v="4"/>
    <x v="4"/>
    <x v="7"/>
    <n v="0"/>
    <n v="0"/>
    <n v="1.2690000000000002E-3"/>
    <n v="76.287204000000003"/>
    <n v="0"/>
    <n v="76.287204000000003"/>
  </r>
  <r>
    <x v="5"/>
    <x v="5"/>
    <x v="8"/>
    <n v="78.95"/>
    <n v="78.95"/>
    <n v="4.4973999999999995E-3"/>
    <n v="270.36569839999999"/>
    <n v="50.578400000000002"/>
    <n v="320.94409839999997"/>
  </r>
  <r>
    <x v="5"/>
    <x v="5"/>
    <x v="9"/>
    <n v="0"/>
    <n v="0"/>
    <n v="1.2690000000000002E-3"/>
    <n v="76.287204000000003"/>
    <n v="0"/>
    <n v="76.287204000000003"/>
  </r>
  <r>
    <x v="6"/>
    <x v="6"/>
    <x v="10"/>
    <n v="92.5"/>
    <n v="92.5"/>
    <n v="5.6772999999999997E-3"/>
    <n v="341.29656679999999"/>
    <n v="2.9752000000000001"/>
    <n v="344.27176679999997"/>
  </r>
  <r>
    <x v="6"/>
    <x v="6"/>
    <x v="11"/>
    <n v="0"/>
    <n v="0"/>
    <n v="2.6939000000000004E-3"/>
    <n v="161.94649240000001"/>
    <n v="0"/>
    <n v="161.94649240000001"/>
  </r>
  <r>
    <x v="7"/>
    <x v="7"/>
    <x v="12"/>
    <n v="81"/>
    <n v="81"/>
    <n v="4.4973999999999995E-3"/>
    <n v="270.36569839999999"/>
    <n v="26.345396000000054"/>
    <n v="296.71109440000004"/>
  </r>
  <r>
    <x v="8"/>
    <x v="8"/>
    <x v="13"/>
    <n v="43.35"/>
    <n v="43.35"/>
    <n v="2.6939000000000004E-3"/>
    <n v="161.94649240000001"/>
    <n v="5.9504000000000001"/>
    <n v="167.89689240000001"/>
  </r>
  <r>
    <x v="8"/>
    <x v="8"/>
    <x v="14"/>
    <n v="0"/>
    <n v="0"/>
    <n v="1.2690000000000002E-3"/>
    <n v="76.287204000000003"/>
    <n v="0"/>
    <n v="76.287204000000003"/>
  </r>
  <r>
    <x v="9"/>
    <x v="9"/>
    <x v="15"/>
    <n v="33"/>
    <n v="33"/>
    <n v="2.6939000000000004E-3"/>
    <n v="161.94649240000001"/>
    <n v="3.6862728000000131"/>
    <n v="165.63276520000002"/>
  </r>
  <r>
    <x v="10"/>
    <x v="10"/>
    <x v="16"/>
    <n v="0"/>
    <n v="0"/>
    <n v="1.2690000000000002E-3"/>
    <n v="76.287204000000003"/>
    <n v="0"/>
    <n v="76.287204000000003"/>
  </r>
  <r>
    <x v="11"/>
    <x v="11"/>
    <x v="17"/>
    <n v="76.150000000000006"/>
    <n v="76.150000000000006"/>
    <n v="4.4973999999999995E-3"/>
    <n v="270.36569839999999"/>
    <n v="5.9504000000000001"/>
    <n v="276.31609839999999"/>
  </r>
  <r>
    <x v="11"/>
    <x v="11"/>
    <x v="18"/>
    <n v="0"/>
    <n v="0"/>
    <n v="1.2690000000000002E-3"/>
    <n v="76.287204000000003"/>
    <n v="0"/>
    <n v="76.287204000000003"/>
  </r>
  <r>
    <x v="12"/>
    <x v="12"/>
    <x v="19"/>
    <n v="77.05"/>
    <n v="77.05"/>
    <n v="4.4973999999999995E-3"/>
    <n v="270.36569839999999"/>
    <n v="8.9255999999999993"/>
    <n v="279.29129839999996"/>
  </r>
  <r>
    <x v="12"/>
    <x v="12"/>
    <x v="20"/>
    <n v="0"/>
    <n v="0"/>
    <n v="1.2690000000000002E-3"/>
    <n v="76.287204000000003"/>
    <n v="0"/>
    <n v="76.287204000000003"/>
  </r>
  <r>
    <x v="13"/>
    <x v="13"/>
    <x v="21"/>
    <n v="138.55000000000001"/>
    <n v="158.86000000000001"/>
    <n v="6.2785000000000002E-3"/>
    <n v="377.43830600000001"/>
    <n v="71.404799999999994"/>
    <n v="448.84310600000003"/>
  </r>
  <r>
    <x v="13"/>
    <x v="13"/>
    <x v="22"/>
    <n v="0"/>
    <n v="0"/>
    <n v="1.2690000000000002E-3"/>
    <n v="76.287204000000003"/>
    <n v="0"/>
    <n v="76.287204000000003"/>
  </r>
  <r>
    <x v="13"/>
    <x v="13"/>
    <x v="23"/>
    <n v="0"/>
    <n v="0"/>
    <n v="1.2690000000000002E-3"/>
    <n v="76.287204000000003"/>
    <n v="0"/>
    <n v="76.287204000000003"/>
  </r>
  <r>
    <x v="14"/>
    <x v="14"/>
    <x v="24"/>
    <n v="92.5"/>
    <n v="92.5"/>
    <n v="5.6772999999999997E-3"/>
    <n v="341.29656679999999"/>
    <n v="0"/>
    <n v="341.29656679999999"/>
  </r>
  <r>
    <x v="14"/>
    <x v="14"/>
    <x v="25"/>
    <n v="0"/>
    <n v="0"/>
    <n v="1.2690000000000002E-3"/>
    <n v="76.287204000000003"/>
    <n v="0"/>
    <n v="76.287204000000003"/>
  </r>
  <r>
    <x v="15"/>
    <x v="15"/>
    <x v="26"/>
    <n v="43.35"/>
    <n v="43.35"/>
    <n v="2.6939000000000004E-3"/>
    <n v="161.94649240000001"/>
    <n v="8.9255999999999993"/>
    <n v="170.87209240000001"/>
  </r>
  <r>
    <x v="15"/>
    <x v="15"/>
    <x v="27"/>
    <n v="43.35"/>
    <n v="43.35"/>
    <n v="2.6939000000000004E-3"/>
    <n v="161.94649240000001"/>
    <n v="11.9008"/>
    <n v="173.84729240000001"/>
  </r>
  <r>
    <x v="15"/>
    <x v="15"/>
    <x v="28"/>
    <n v="0"/>
    <n v="0"/>
    <n v="1.2690000000000002E-3"/>
    <n v="76.287204000000003"/>
    <n v="0"/>
    <n v="76.287204000000003"/>
  </r>
  <r>
    <x v="16"/>
    <x v="16"/>
    <x v="29"/>
    <n v="68"/>
    <n v="68"/>
    <n v="4.4973999999999995E-3"/>
    <n v="270.36569839999999"/>
    <n v="14.876000000000001"/>
    <n v="285.24169839999996"/>
  </r>
  <r>
    <x v="16"/>
    <x v="16"/>
    <x v="30"/>
    <n v="0"/>
    <n v="0"/>
    <n v="1.2690000000000002E-3"/>
    <n v="76.287204000000003"/>
    <n v="0"/>
    <n v="76.287204000000003"/>
  </r>
  <r>
    <x v="16"/>
    <x v="16"/>
    <x v="31"/>
    <n v="0"/>
    <n v="0"/>
    <n v="1.2690000000000002E-3"/>
    <n v="76.287204000000003"/>
    <n v="0"/>
    <n v="76.287204000000003"/>
  </r>
  <r>
    <x v="16"/>
    <x v="16"/>
    <x v="32"/>
    <n v="0"/>
    <n v="0"/>
    <n v="1.2690000000000002E-3"/>
    <n v="76.287204000000003"/>
    <n v="0"/>
    <n v="76.287204000000003"/>
  </r>
  <r>
    <x v="16"/>
    <x v="16"/>
    <x v="33"/>
    <n v="0"/>
    <n v="0"/>
    <n v="1.2690000000000002E-3"/>
    <n v="76.287204000000003"/>
    <n v="0"/>
    <n v="76.287204000000003"/>
  </r>
  <r>
    <x v="16"/>
    <x v="16"/>
    <x v="34"/>
    <n v="0"/>
    <n v="0"/>
    <n v="1.2690000000000002E-3"/>
    <n v="76.287204000000003"/>
    <n v="0"/>
    <n v="76.287204000000003"/>
  </r>
  <r>
    <x v="16"/>
    <x v="16"/>
    <x v="35"/>
    <n v="0"/>
    <n v="0"/>
    <n v="1.2690000000000002E-3"/>
    <n v="76.287204000000003"/>
    <n v="0"/>
    <n v="76.287204000000003"/>
  </r>
  <r>
    <x v="16"/>
    <x v="16"/>
    <x v="36"/>
    <n v="0"/>
    <n v="0"/>
    <n v="1.2690000000000002E-3"/>
    <n v="76.287204000000003"/>
    <n v="0"/>
    <n v="76.287204000000003"/>
  </r>
  <r>
    <x v="16"/>
    <x v="16"/>
    <x v="37"/>
    <n v="0"/>
    <n v="0"/>
    <n v="1.2690000000000002E-3"/>
    <n v="76.287204000000003"/>
    <n v="0"/>
    <n v="76.287204000000003"/>
  </r>
  <r>
    <x v="16"/>
    <x v="16"/>
    <x v="38"/>
    <n v="0"/>
    <n v="0"/>
    <n v="1.2690000000000002E-3"/>
    <n v="76.287204000000003"/>
    <n v="0"/>
    <n v="76.287204000000003"/>
  </r>
  <r>
    <x v="16"/>
    <x v="16"/>
    <x v="39"/>
    <n v="0"/>
    <n v="0"/>
    <n v="1.2690000000000002E-3"/>
    <n v="76.287204000000003"/>
    <n v="0"/>
    <n v="76.287204000000003"/>
  </r>
  <r>
    <x v="17"/>
    <x v="17"/>
    <x v="40"/>
    <n v="44.45"/>
    <n v="44.45"/>
    <n v="2.6939000000000004E-3"/>
    <n v="161.94649240000001"/>
    <n v="38.677599999999998"/>
    <n v="200.62409239999999"/>
  </r>
  <r>
    <x v="17"/>
    <x v="17"/>
    <x v="41"/>
    <n v="0"/>
    <n v="0"/>
    <n v="3.6749999999999999E-4"/>
    <n v="22.09263"/>
    <n v="0"/>
    <n v="22.09263"/>
  </r>
  <r>
    <x v="17"/>
    <x v="17"/>
    <x v="42"/>
    <n v="0"/>
    <n v="0"/>
    <n v="1.2690000000000002E-3"/>
    <n v="76.287204000000003"/>
    <n v="0"/>
    <n v="76.287204000000003"/>
  </r>
  <r>
    <x v="18"/>
    <x v="18"/>
    <x v="43"/>
    <n v="92.5"/>
    <n v="92.5"/>
    <n v="5.6772999999999997E-3"/>
    <n v="341.29656679999999"/>
    <n v="5.9504000000000001"/>
    <n v="347.2469668"/>
  </r>
  <r>
    <x v="18"/>
    <x v="18"/>
    <x v="44"/>
    <n v="0"/>
    <n v="0"/>
    <n v="1.2690000000000002E-3"/>
    <n v="76.287204000000003"/>
    <n v="0"/>
    <n v="76.287204000000003"/>
  </r>
  <r>
    <x v="19"/>
    <x v="19"/>
    <x v="45"/>
    <n v="76.150000000000006"/>
    <n v="76.150000000000006"/>
    <n v="4.4973999999999995E-3"/>
    <n v="270.36569839999999"/>
    <n v="8.9255999999999993"/>
    <n v="279.29129839999996"/>
  </r>
  <r>
    <x v="19"/>
    <x v="19"/>
    <x v="46"/>
    <n v="0"/>
    <n v="0"/>
    <n v="1.2690000000000002E-3"/>
    <n v="76.287204000000003"/>
    <n v="0"/>
    <n v="76.287204000000003"/>
  </r>
  <r>
    <x v="20"/>
    <x v="20"/>
    <x v="47"/>
    <n v="81"/>
    <n v="81"/>
    <n v="4.4973999999999995E-3"/>
    <n v="270.36569839999999"/>
    <n v="57.72483040000013"/>
    <n v="328.09052880000013"/>
  </r>
  <r>
    <x v="20"/>
    <x v="20"/>
    <x v="48"/>
    <n v="0"/>
    <n v="0"/>
    <n v="1.2690000000000002E-3"/>
    <n v="76.287204000000003"/>
    <n v="0"/>
    <n v="76.287204000000003"/>
  </r>
  <r>
    <x v="21"/>
    <x v="21"/>
    <x v="49"/>
    <n v="81"/>
    <n v="81"/>
    <n v="4.4973999999999995E-3"/>
    <n v="270.36569839999999"/>
    <n v="12.689227999999959"/>
    <n v="283.05492639999994"/>
  </r>
  <r>
    <x v="21"/>
    <x v="21"/>
    <x v="50"/>
    <n v="0"/>
    <n v="0"/>
    <n v="1.2690000000000002E-3"/>
    <n v="76.287204000000003"/>
    <n v="0"/>
    <n v="76.287204000000003"/>
  </r>
  <r>
    <x v="22"/>
    <x v="22"/>
    <x v="51"/>
    <n v="66.45"/>
    <n v="66.45"/>
    <n v="4.4973999999999995E-3"/>
    <n v="270.36569839999999"/>
    <n v="26.776800000000001"/>
    <n v="297.14249839999997"/>
  </r>
  <r>
    <x v="22"/>
    <x v="22"/>
    <x v="52"/>
    <n v="0"/>
    <n v="0"/>
    <n v="3.6749999999999999E-4"/>
    <n v="22.09263"/>
    <n v="0"/>
    <n v="22.09263"/>
  </r>
  <r>
    <x v="23"/>
    <x v="23"/>
    <x v="53"/>
    <n v="66.45"/>
    <n v="66.45"/>
    <n v="4.4973999999999995E-3"/>
    <n v="270.36569839999999"/>
    <n v="23.801600000000001"/>
    <n v="294.16729839999999"/>
  </r>
  <r>
    <x v="23"/>
    <x v="23"/>
    <x v="54"/>
    <n v="0"/>
    <n v="0"/>
    <n v="3.6749999999999999E-4"/>
    <n v="22.09263"/>
    <n v="0"/>
    <n v="22.09263"/>
  </r>
  <r>
    <x v="24"/>
    <x v="24"/>
    <x v="55"/>
    <n v="248.79"/>
    <n v="248.79"/>
    <n v="9.9965999999999996E-3"/>
    <n v="600.95560560000001"/>
    <n v="62.479199999999999"/>
    <n v="663.4348056"/>
  </r>
  <r>
    <x v="24"/>
    <x v="24"/>
    <x v="56"/>
    <n v="0"/>
    <n v="0"/>
    <n v="3.6749999999999999E-4"/>
    <n v="22.09263"/>
    <n v="0"/>
    <n v="22.09263"/>
  </r>
  <r>
    <x v="24"/>
    <x v="24"/>
    <x v="57"/>
    <n v="0"/>
    <n v="0"/>
    <n v="1.2690000000000002E-3"/>
    <n v="76.287204000000003"/>
    <n v="0"/>
    <n v="76.287204000000003"/>
  </r>
  <r>
    <x v="24"/>
    <x v="24"/>
    <x v="58"/>
    <n v="0"/>
    <n v="0"/>
    <n v="1.2690000000000002E-3"/>
    <n v="76.287204000000003"/>
    <n v="0"/>
    <n v="76.287204000000003"/>
  </r>
  <r>
    <x v="24"/>
    <x v="24"/>
    <x v="59"/>
    <n v="0"/>
    <n v="0"/>
    <n v="1.2690000000000002E-3"/>
    <n v="76.287204000000003"/>
    <n v="0"/>
    <n v="76.287204000000003"/>
  </r>
  <r>
    <x v="25"/>
    <x v="25"/>
    <x v="60"/>
    <n v="43.35"/>
    <n v="43.35"/>
    <n v="2.6939000000000004E-3"/>
    <n v="161.94649240000001"/>
    <n v="2.9752000000000001"/>
    <n v="164.92169240000001"/>
  </r>
  <r>
    <x v="25"/>
    <x v="25"/>
    <x v="61"/>
    <n v="0"/>
    <n v="0"/>
    <n v="1.2690000000000002E-3"/>
    <n v="76.287204000000003"/>
    <n v="0"/>
    <n v="76.287204000000003"/>
  </r>
  <r>
    <x v="26"/>
    <x v="26"/>
    <x v="62"/>
    <n v="33"/>
    <n v="33"/>
    <n v="2.6939000000000004E-3"/>
    <n v="161.94649240000001"/>
    <n v="18.416487999999994"/>
    <n v="180.3629804"/>
  </r>
  <r>
    <x v="27"/>
    <x v="27"/>
    <x v="63"/>
    <n v="0"/>
    <n v="0"/>
    <n v="1.2690000000000002E-3"/>
    <n v="76.287204000000003"/>
    <n v="0"/>
    <n v="76.287204000000003"/>
  </r>
  <r>
    <x v="28"/>
    <x v="28"/>
    <x v="64"/>
    <n v="77.05"/>
    <n v="77.05"/>
    <n v="4.4973999999999995E-3"/>
    <n v="270.36569839999999"/>
    <n v="41.652799999999999"/>
    <n v="312.0184984"/>
  </r>
  <r>
    <x v="28"/>
    <x v="28"/>
    <x v="65"/>
    <n v="0"/>
    <n v="0"/>
    <n v="1.2690000000000002E-3"/>
    <n v="76.287204000000003"/>
    <n v="0"/>
    <n v="76.287204000000003"/>
  </r>
  <r>
    <x v="29"/>
    <x v="29"/>
    <x v="66"/>
    <n v="76.150000000000006"/>
    <n v="76.150000000000006"/>
    <n v="4.4973999999999995E-3"/>
    <n v="270.36569839999999"/>
    <n v="23.801600000000001"/>
    <n v="294.16729839999999"/>
  </r>
  <r>
    <x v="29"/>
    <x v="29"/>
    <x v="67"/>
    <n v="0"/>
    <n v="0"/>
    <n v="1.2690000000000002E-3"/>
    <n v="76.287204000000003"/>
    <n v="0"/>
    <n v="76.287204000000003"/>
  </r>
  <r>
    <x v="30"/>
    <x v="30"/>
    <x v="68"/>
    <n v="68"/>
    <n v="68"/>
    <n v="4.4973999999999995E-3"/>
    <n v="270.36569839999999"/>
    <n v="29.752000000000002"/>
    <n v="300.11769839999999"/>
  </r>
  <r>
    <x v="30"/>
    <x v="30"/>
    <x v="69"/>
    <n v="0"/>
    <n v="0"/>
    <n v="1.2690000000000002E-3"/>
    <n v="76.287204000000003"/>
    <n v="0"/>
    <n v="76.287204000000003"/>
  </r>
  <r>
    <x v="31"/>
    <x v="31"/>
    <x v="70"/>
    <n v="66.45"/>
    <n v="66.45"/>
    <n v="4.4973999999999995E-3"/>
    <n v="270.36569839999999"/>
    <n v="32.727200000000003"/>
    <n v="303.09289839999997"/>
  </r>
  <r>
    <x v="31"/>
    <x v="31"/>
    <x v="71"/>
    <n v="0"/>
    <n v="0"/>
    <n v="1.2690000000000002E-3"/>
    <n v="76.287204000000003"/>
    <n v="0"/>
    <n v="76.287204000000003"/>
  </r>
  <r>
    <x v="32"/>
    <x v="32"/>
    <x v="72"/>
    <n v="66.45"/>
    <n v="66.45"/>
    <n v="4.4973999999999995E-3"/>
    <n v="270.36569839999999"/>
    <n v="26.776800000000001"/>
    <n v="297.14249839999997"/>
  </r>
  <r>
    <x v="33"/>
    <x v="33"/>
    <x v="73"/>
    <n v="74.599999999999994"/>
    <n v="74.599999999999994"/>
    <n v="4.4973999999999995E-3"/>
    <n v="270.36569839999999"/>
    <n v="35.702399999999997"/>
    <n v="306.0680984"/>
  </r>
  <r>
    <x v="34"/>
    <x v="34"/>
    <x v="74"/>
    <n v="33"/>
    <n v="33"/>
    <n v="2.6939000000000004E-3"/>
    <n v="161.94649240000001"/>
    <n v="19.07698240000002"/>
    <n v="181.02347480000003"/>
  </r>
  <r>
    <x v="35"/>
    <x v="35"/>
    <x v="75"/>
    <n v="44.45"/>
    <n v="44.45"/>
    <n v="2.6939000000000004E-3"/>
    <n v="161.94649240000001"/>
    <n v="20.8264"/>
    <n v="182.77289240000002"/>
  </r>
  <r>
    <x v="36"/>
    <x v="36"/>
    <x v="76"/>
    <n v="81"/>
    <n v="81"/>
    <n v="4.4973999999999995E-3"/>
    <n v="270.36569839999999"/>
    <n v="8.8601456000000258"/>
    <n v="279.225844"/>
  </r>
  <r>
    <x v="37"/>
    <x v="37"/>
    <x v="77"/>
    <n v="68"/>
    <n v="68"/>
    <n v="4.4973999999999995E-3"/>
    <n v="270.36569839999999"/>
    <n v="17.851199999999999"/>
    <n v="288.21689839999999"/>
  </r>
  <r>
    <x v="38"/>
    <x v="38"/>
    <x v="78"/>
    <n v="33"/>
    <n v="33"/>
    <n v="2.6939000000000004E-3"/>
    <n v="161.94649240000001"/>
    <n v="9.2736984000000131"/>
    <n v="171.22019080000001"/>
  </r>
  <r>
    <x v="39"/>
    <x v="39"/>
    <x v="79"/>
    <n v="0"/>
    <n v="0"/>
    <n v="3.6749999999999999E-4"/>
    <n v="22.09263"/>
    <n v="0"/>
    <n v="22.09263"/>
  </r>
  <r>
    <x v="40"/>
    <x v="40"/>
    <x v="80"/>
    <n v="81"/>
    <n v="81"/>
    <n v="4.4973999999999995E-3"/>
    <n v="270.36569839999999"/>
    <n v="20.180781600000046"/>
    <n v="290.54648000000003"/>
  </r>
  <r>
    <x v="40"/>
    <x v="40"/>
    <x v="81"/>
    <n v="0"/>
    <n v="0"/>
    <n v="1.2690000000000002E-3"/>
    <n v="76.287204000000003"/>
    <n v="0"/>
    <n v="76.287204000000003"/>
  </r>
  <r>
    <x v="41"/>
    <x v="41"/>
    <x v="82"/>
    <n v="85.5"/>
    <n v="85.5"/>
    <n v="4.4973999999999995E-3"/>
    <n v="270.36569839999999"/>
    <n v="35.702399999999997"/>
    <n v="306.0680984"/>
  </r>
  <r>
    <x v="41"/>
    <x v="41"/>
    <x v="83"/>
    <n v="0"/>
    <n v="0"/>
    <n v="1.2690000000000002E-3"/>
    <n v="76.287204000000003"/>
    <n v="0"/>
    <n v="76.287204000000003"/>
  </r>
  <r>
    <x v="42"/>
    <x v="42"/>
    <x v="84"/>
    <n v="68"/>
    <n v="68"/>
    <n v="4.4973999999999995E-3"/>
    <n v="270.36569839999999"/>
    <n v="20.8264"/>
    <n v="291.19209839999996"/>
  </r>
  <r>
    <x v="42"/>
    <x v="42"/>
    <x v="85"/>
    <n v="0"/>
    <n v="0"/>
    <n v="1.2690000000000002E-3"/>
    <n v="76.287204000000003"/>
    <n v="0"/>
    <n v="76.287204000000003"/>
  </r>
  <r>
    <x v="43"/>
    <x v="43"/>
    <x v="86"/>
    <n v="127.96"/>
    <n v="185.73"/>
    <n v="6.2785000000000002E-3"/>
    <n v="377.43830600000001"/>
    <n v="65.454400000000007"/>
    <n v="442.89270600000003"/>
  </r>
  <r>
    <x v="43"/>
    <x v="43"/>
    <x v="87"/>
    <n v="78.95"/>
    <n v="78.95"/>
    <n v="4.4973999999999995E-3"/>
    <n v="270.36569839999999"/>
    <n v="17.708390399999995"/>
    <n v="288.07408879999997"/>
  </r>
  <r>
    <x v="43"/>
    <x v="43"/>
    <x v="88"/>
    <n v="0"/>
    <n v="0"/>
    <n v="1.2690000000000002E-3"/>
    <n v="76.287204000000003"/>
    <n v="0"/>
    <n v="76.287204000000003"/>
  </r>
  <r>
    <x v="43"/>
    <x v="43"/>
    <x v="89"/>
    <n v="0"/>
    <n v="0"/>
    <n v="1.2690000000000002E-3"/>
    <n v="76.287204000000003"/>
    <n v="0"/>
    <n v="76.287204000000003"/>
  </r>
  <r>
    <x v="44"/>
    <x v="44"/>
    <x v="90"/>
    <n v="81"/>
    <n v="81"/>
    <n v="4.4973999999999995E-3"/>
    <n v="270.36569839999999"/>
    <n v="16.330872799999927"/>
    <n v="286.69657119999994"/>
  </r>
  <r>
    <x v="44"/>
    <x v="44"/>
    <x v="91"/>
    <n v="0"/>
    <n v="0"/>
    <n v="1.2690000000000002E-3"/>
    <n v="76.287204000000003"/>
    <n v="0"/>
    <n v="76.287204000000003"/>
  </r>
  <r>
    <x v="45"/>
    <x v="45"/>
    <x v="92"/>
    <n v="66.45"/>
    <n v="66.45"/>
    <n v="4.4973999999999995E-3"/>
    <n v="270.36569839999999"/>
    <n v="26.776800000000001"/>
    <n v="297.14249839999997"/>
  </r>
  <r>
    <x v="45"/>
    <x v="45"/>
    <x v="93"/>
    <n v="0"/>
    <n v="0"/>
    <n v="1.2690000000000002E-3"/>
    <n v="76.287204000000003"/>
    <n v="0"/>
    <n v="76.287204000000003"/>
  </r>
  <r>
    <x v="46"/>
    <x v="46"/>
    <x v="94"/>
    <n v="44.45"/>
    <n v="44.45"/>
    <n v="2.6939000000000004E-3"/>
    <n v="161.94649240000001"/>
    <n v="2.9752000000000001"/>
    <n v="164.92169240000001"/>
  </r>
  <r>
    <x v="46"/>
    <x v="46"/>
    <x v="95"/>
    <n v="0"/>
    <n v="0"/>
    <n v="1.2690000000000002E-3"/>
    <n v="76.287204000000003"/>
    <n v="0"/>
    <n v="76.287204000000003"/>
  </r>
  <r>
    <x v="47"/>
    <x v="47"/>
    <x v="96"/>
    <n v="76.150000000000006"/>
    <n v="76.150000000000006"/>
    <n v="4.4973999999999995E-3"/>
    <n v="270.36569839999999"/>
    <n v="11.9008"/>
    <n v="282.26649839999999"/>
  </r>
  <r>
    <x v="47"/>
    <x v="47"/>
    <x v="97"/>
    <n v="0"/>
    <n v="0"/>
    <n v="1.2690000000000002E-3"/>
    <n v="76.287204000000003"/>
    <n v="0"/>
    <n v="76.287204000000003"/>
  </r>
  <r>
    <x v="48"/>
    <x v="48"/>
    <x v="98"/>
    <n v="81"/>
    <n v="81"/>
    <n v="4.4973999999999995E-3"/>
    <n v="270.36569839999999"/>
    <n v="26.428701599999947"/>
    <n v="296.79439999999994"/>
  </r>
  <r>
    <x v="49"/>
    <x v="49"/>
    <x v="99"/>
    <n v="76.150000000000006"/>
    <n v="76.150000000000006"/>
    <n v="4.4973999999999995E-3"/>
    <n v="270.36569839999999"/>
    <n v="20.8264"/>
    <n v="291.19209839999996"/>
  </r>
  <r>
    <x v="49"/>
    <x v="49"/>
    <x v="100"/>
    <n v="0"/>
    <n v="0"/>
    <n v="3.6749999999999999E-4"/>
    <n v="22.09263"/>
    <n v="0"/>
    <n v="22.09263"/>
  </r>
  <r>
    <x v="49"/>
    <x v="49"/>
    <x v="101"/>
    <n v="0"/>
    <n v="0"/>
    <n v="1.2690000000000002E-3"/>
    <n v="76.287204000000003"/>
    <n v="0"/>
    <n v="76.287204000000003"/>
  </r>
  <r>
    <x v="50"/>
    <x v="50"/>
    <x v="102"/>
    <n v="44.45"/>
    <n v="44.45"/>
    <n v="2.6939000000000004E-3"/>
    <n v="161.94649240000001"/>
    <n v="2.9752000000000001"/>
    <n v="164.92169240000001"/>
  </r>
  <r>
    <x v="51"/>
    <x v="51"/>
    <x v="103"/>
    <n v="77.05"/>
    <n v="77.05"/>
    <n v="4.4973999999999995E-3"/>
    <n v="270.36569839999999"/>
    <n v="17.851199999999999"/>
    <n v="288.21689839999999"/>
  </r>
  <r>
    <x v="52"/>
    <x v="52"/>
    <x v="104"/>
    <n v="66.45"/>
    <n v="66.45"/>
    <n v="4.4973999999999995E-3"/>
    <n v="270.36569839999999"/>
    <n v="29.752000000000002"/>
    <n v="300.11769839999999"/>
  </r>
  <r>
    <x v="53"/>
    <x v="53"/>
    <x v="105"/>
    <n v="76.150000000000006"/>
    <n v="76.150000000000006"/>
    <n v="4.4973999999999995E-3"/>
    <n v="270.36569839999999"/>
    <n v="26.776800000000001"/>
    <n v="297.14249839999997"/>
  </r>
  <r>
    <x v="53"/>
    <x v="53"/>
    <x v="106"/>
    <n v="0"/>
    <n v="0"/>
    <n v="1.2690000000000002E-3"/>
    <n v="76.287204000000003"/>
    <n v="0"/>
    <n v="76.287204000000003"/>
  </r>
  <r>
    <x v="54"/>
    <x v="54"/>
    <x v="107"/>
    <n v="76.150000000000006"/>
    <n v="76.150000000000006"/>
    <n v="4.4973999999999995E-3"/>
    <n v="270.36569839999999"/>
    <n v="23.801600000000001"/>
    <n v="294.16729839999999"/>
  </r>
  <r>
    <x v="54"/>
    <x v="54"/>
    <x v="108"/>
    <n v="0"/>
    <n v="0"/>
    <n v="1.2690000000000002E-3"/>
    <n v="76.287204000000003"/>
    <n v="0"/>
    <n v="76.287204000000003"/>
  </r>
  <r>
    <x v="55"/>
    <x v="55"/>
    <x v="109"/>
    <n v="74.599999999999994"/>
    <n v="74.599999999999994"/>
    <n v="4.4973999999999995E-3"/>
    <n v="270.36569839999999"/>
    <n v="26.776800000000001"/>
    <n v="297.14249839999997"/>
  </r>
  <r>
    <x v="55"/>
    <x v="55"/>
    <x v="110"/>
    <n v="0"/>
    <n v="0"/>
    <n v="1.2690000000000002E-3"/>
    <n v="76.287204000000003"/>
    <n v="0"/>
    <n v="76.287204000000003"/>
  </r>
  <r>
    <x v="56"/>
    <x v="56"/>
    <x v="111"/>
    <n v="68"/>
    <n v="68"/>
    <n v="4.4973999999999995E-3"/>
    <n v="270.36569839999999"/>
    <n v="14.876000000000001"/>
    <n v="285.24169839999996"/>
  </r>
  <r>
    <x v="56"/>
    <x v="56"/>
    <x v="112"/>
    <n v="0"/>
    <n v="0"/>
    <n v="1.2690000000000002E-3"/>
    <n v="76.287204000000003"/>
    <n v="0"/>
    <n v="76.287204000000003"/>
  </r>
  <r>
    <x v="57"/>
    <x v="57"/>
    <x v="113"/>
    <n v="77.05"/>
    <n v="77.05"/>
    <n v="4.4973999999999995E-3"/>
    <n v="270.36569839999999"/>
    <n v="20.8264"/>
    <n v="291.19209839999996"/>
  </r>
  <r>
    <x v="58"/>
    <x v="58"/>
    <x v="114"/>
    <n v="92.5"/>
    <n v="92.5"/>
    <n v="5.6772999999999997E-3"/>
    <n v="341.29656679999999"/>
    <n v="11.9008"/>
    <n v="353.1973668"/>
  </r>
  <r>
    <x v="58"/>
    <x v="58"/>
    <x v="115"/>
    <n v="0"/>
    <n v="0"/>
    <n v="1.2690000000000002E-3"/>
    <n v="76.287204000000003"/>
    <n v="0"/>
    <n v="76.287204000000003"/>
  </r>
  <r>
    <x v="59"/>
    <x v="59"/>
    <x v="116"/>
    <n v="77.05"/>
    <n v="77.05"/>
    <n v="4.4973999999999995E-3"/>
    <n v="270.36569839999999"/>
    <n v="26.776800000000001"/>
    <n v="297.14249839999997"/>
  </r>
  <r>
    <x v="59"/>
    <x v="59"/>
    <x v="117"/>
    <n v="0"/>
    <n v="0"/>
    <n v="1.2690000000000002E-3"/>
    <n v="76.287204000000003"/>
    <n v="0"/>
    <n v="76.287204000000003"/>
  </r>
  <r>
    <x v="59"/>
    <x v="59"/>
    <x v="118"/>
    <n v="0"/>
    <n v="0"/>
    <n v="1.2690000000000002E-3"/>
    <n v="76.287204000000003"/>
    <n v="0"/>
    <n v="76.287204000000003"/>
  </r>
  <r>
    <x v="60"/>
    <x v="60"/>
    <x v="119"/>
    <n v="0"/>
    <n v="0"/>
    <n v="1.2690000000000002E-3"/>
    <n v="76.287204000000003"/>
    <n v="0"/>
    <n v="76.287204000000003"/>
  </r>
  <r>
    <x v="61"/>
    <x v="61"/>
    <x v="120"/>
    <n v="74.599999999999994"/>
    <n v="74.599999999999994"/>
    <n v="4.4973999999999995E-3"/>
    <n v="270.36569839999999"/>
    <n v="27.211179200000046"/>
    <n v="297.57687760000005"/>
  </r>
  <r>
    <x v="61"/>
    <x v="61"/>
    <x v="121"/>
    <n v="0"/>
    <n v="0"/>
    <n v="1.2690000000000002E-3"/>
    <n v="76.287204000000003"/>
    <n v="0"/>
    <n v="76.287204000000003"/>
  </r>
  <r>
    <x v="62"/>
    <x v="62"/>
    <x v="122"/>
    <n v="68"/>
    <n v="68"/>
    <n v="4.4973999999999995E-3"/>
    <n v="270.36569839999999"/>
    <n v="17.851199999999999"/>
    <n v="288.21689839999999"/>
  </r>
  <r>
    <x v="62"/>
    <x v="62"/>
    <x v="123"/>
    <n v="0"/>
    <n v="0"/>
    <n v="1.2690000000000002E-3"/>
    <n v="76.287204000000003"/>
    <n v="0"/>
    <n v="76.287204000000003"/>
  </r>
  <r>
    <x v="63"/>
    <x v="63"/>
    <x v="124"/>
    <n v="77.05"/>
    <n v="77.05"/>
    <n v="4.4973999999999995E-3"/>
    <n v="270.36569839999999"/>
    <n v="8.9255999999999993"/>
    <n v="279.29129839999996"/>
  </r>
  <r>
    <x v="63"/>
    <x v="63"/>
    <x v="125"/>
    <n v="0"/>
    <n v="0"/>
    <n v="1.2690000000000002E-3"/>
    <n v="76.287204000000003"/>
    <n v="0"/>
    <n v="76.287204000000003"/>
  </r>
  <r>
    <x v="64"/>
    <x v="64"/>
    <x v="126"/>
    <n v="178.72"/>
    <n v="178.72"/>
    <n v="9.9965000000000002E-3"/>
    <n v="600.94959400000005"/>
    <n v="29.752000000000002"/>
    <n v="630.701594"/>
  </r>
  <r>
    <x v="64"/>
    <x v="64"/>
    <x v="127"/>
    <n v="0"/>
    <n v="0"/>
    <n v="3.6749999999999999E-4"/>
    <n v="22.09263"/>
    <n v="0"/>
    <n v="22.09263"/>
  </r>
  <r>
    <x v="64"/>
    <x v="64"/>
    <x v="128"/>
    <n v="0"/>
    <n v="0"/>
    <n v="1.2690000000000002E-3"/>
    <n v="76.287204000000003"/>
    <n v="0"/>
    <n v="76.287204000000003"/>
  </r>
  <r>
    <x v="65"/>
    <x v="65"/>
    <x v="129"/>
    <n v="76.150000000000006"/>
    <n v="76.150000000000006"/>
    <n v="4.4973999999999995E-3"/>
    <n v="270.36569839999999"/>
    <n v="14.876000000000001"/>
    <n v="285.24169839999996"/>
  </r>
  <r>
    <x v="65"/>
    <x v="65"/>
    <x v="130"/>
    <n v="0"/>
    <n v="0"/>
    <n v="1.2690000000000002E-3"/>
    <n v="76.287204000000003"/>
    <n v="0"/>
    <n v="76.287204000000003"/>
  </r>
  <r>
    <x v="66"/>
    <x v="66"/>
    <x v="131"/>
    <n v="74.599999999999994"/>
    <n v="74.599999999999994"/>
    <n v="4.4973999999999995E-3"/>
    <n v="270.36569839999999"/>
    <n v="39.757597599999997"/>
    <n v="310.12329599999998"/>
  </r>
  <r>
    <x v="66"/>
    <x v="66"/>
    <x v="132"/>
    <n v="0"/>
    <n v="0"/>
    <n v="1.2690000000000002E-3"/>
    <n v="76.287204000000003"/>
    <n v="0"/>
    <n v="76.287204000000003"/>
  </r>
  <r>
    <x v="67"/>
    <x v="67"/>
    <x v="133"/>
    <n v="43.35"/>
    <n v="43.35"/>
    <n v="2.6939000000000004E-3"/>
    <n v="161.94649240000001"/>
    <n v="5.9504000000000001"/>
    <n v="167.89689240000001"/>
  </r>
  <r>
    <x v="67"/>
    <x v="67"/>
    <x v="134"/>
    <n v="0"/>
    <n v="0"/>
    <n v="1.2690000000000002E-3"/>
    <n v="76.287204000000003"/>
    <n v="0"/>
    <n v="76.287204000000003"/>
  </r>
  <r>
    <x v="68"/>
    <x v="68"/>
    <x v="135"/>
    <n v="66.45"/>
    <n v="66.45"/>
    <n v="4.4973999999999995E-3"/>
    <n v="270.36569839999999"/>
    <n v="29.752000000000002"/>
    <n v="300.11769839999999"/>
  </r>
  <r>
    <x v="69"/>
    <x v="69"/>
    <x v="136"/>
    <n v="33.200000000000003"/>
    <n v="33.200000000000003"/>
    <n v="2.6939000000000004E-3"/>
    <n v="161.94649240000001"/>
    <n v="8.9255999999999993"/>
    <n v="170.87209240000001"/>
  </r>
  <r>
    <x v="70"/>
    <x v="70"/>
    <x v="137"/>
    <n v="44.45"/>
    <n v="44.45"/>
    <n v="2.6939000000000004E-3"/>
    <n v="161.94649240000001"/>
    <n v="8.9255999999999993"/>
    <n v="170.87209240000001"/>
  </r>
  <r>
    <x v="71"/>
    <x v="71"/>
    <x v="138"/>
    <n v="77.05"/>
    <n v="77.05"/>
    <n v="4.4973999999999995E-3"/>
    <n v="270.36569839999999"/>
    <n v="32.727200000000003"/>
    <n v="303.09289839999997"/>
  </r>
  <r>
    <x v="72"/>
    <x v="72"/>
    <x v="139"/>
    <n v="68"/>
    <n v="68"/>
    <n v="4.4973999999999995E-3"/>
    <n v="270.36569839999999"/>
    <n v="20.8264"/>
    <n v="291.19209839999996"/>
  </r>
  <r>
    <x v="72"/>
    <x v="72"/>
    <x v="140"/>
    <n v="0"/>
    <n v="0"/>
    <n v="1.2690000000000002E-3"/>
    <n v="76.287204000000003"/>
    <n v="0"/>
    <n v="76.287204000000003"/>
  </r>
  <r>
    <x v="73"/>
    <x v="73"/>
    <x v="141"/>
    <n v="33"/>
    <n v="33"/>
    <n v="2.6939000000000004E-3"/>
    <n v="161.94649240000001"/>
    <n v="0"/>
    <n v="161.94649240000001"/>
  </r>
  <r>
    <x v="74"/>
    <x v="74"/>
    <x v="142"/>
    <n v="68"/>
    <n v="68"/>
    <n v="4.4973999999999995E-3"/>
    <n v="270.36569839999999"/>
    <n v="8.9255999999999993"/>
    <n v="279.29129839999996"/>
  </r>
  <r>
    <x v="74"/>
    <x v="74"/>
    <x v="143"/>
    <n v="0"/>
    <n v="0"/>
    <n v="1.2690000000000002E-3"/>
    <n v="76.287204000000003"/>
    <n v="0"/>
    <n v="76.287204000000003"/>
  </r>
  <r>
    <x v="75"/>
    <x v="75"/>
    <x v="144"/>
    <n v="77.05"/>
    <n v="77.05"/>
    <n v="4.4973999999999995E-3"/>
    <n v="270.36569839999999"/>
    <n v="23.801600000000001"/>
    <n v="294.16729839999999"/>
  </r>
  <r>
    <x v="75"/>
    <x v="75"/>
    <x v="145"/>
    <n v="0"/>
    <n v="0"/>
    <n v="3.6749999999999999E-4"/>
    <n v="22.09263"/>
    <n v="0"/>
    <n v="22.09263"/>
  </r>
  <r>
    <x v="75"/>
    <x v="75"/>
    <x v="146"/>
    <n v="0"/>
    <n v="0"/>
    <n v="3.6749999999999999E-4"/>
    <n v="22.09263"/>
    <n v="0"/>
    <n v="22.09263"/>
  </r>
  <r>
    <x v="75"/>
    <x v="75"/>
    <x v="147"/>
    <n v="0"/>
    <n v="0"/>
    <n v="1.2690000000000002E-3"/>
    <n v="76.287204000000003"/>
    <n v="0"/>
    <n v="76.287204000000003"/>
  </r>
  <r>
    <x v="75"/>
    <x v="75"/>
    <x v="148"/>
    <n v="0"/>
    <n v="0"/>
    <n v="1.2690000000000002E-3"/>
    <n v="76.287204000000003"/>
    <n v="0"/>
    <n v="76.287204000000003"/>
  </r>
  <r>
    <x v="76"/>
    <x v="76"/>
    <x v="149"/>
    <n v="92.5"/>
    <n v="92.5"/>
    <n v="5.6772999999999997E-3"/>
    <n v="341.29656679999999"/>
    <n v="41.652799999999999"/>
    <n v="382.94936680000001"/>
  </r>
  <r>
    <x v="76"/>
    <x v="76"/>
    <x v="150"/>
    <n v="0"/>
    <n v="0"/>
    <n v="1.2690000000000002E-3"/>
    <n v="76.287204000000003"/>
    <n v="0"/>
    <n v="76.287204000000003"/>
  </r>
  <r>
    <x v="77"/>
    <x v="77"/>
    <x v="151"/>
    <n v="81"/>
    <n v="81"/>
    <n v="4.4973999999999995E-3"/>
    <n v="270.36569839999999"/>
    <n v="45.237915999999956"/>
    <n v="315.60361439999997"/>
  </r>
  <r>
    <x v="77"/>
    <x v="77"/>
    <x v="152"/>
    <n v="0"/>
    <n v="0"/>
    <n v="1.2690000000000002E-3"/>
    <n v="76.287204000000003"/>
    <n v="0"/>
    <n v="76.287204000000003"/>
  </r>
  <r>
    <x v="78"/>
    <x v="78"/>
    <x v="153"/>
    <n v="81"/>
    <n v="81"/>
    <n v="4.4973999999999995E-3"/>
    <n v="270.36569839999999"/>
    <n v="41.652799999999999"/>
    <n v="312.0184984"/>
  </r>
  <r>
    <x v="78"/>
    <x v="78"/>
    <x v="154"/>
    <n v="0"/>
    <n v="0"/>
    <n v="1.2690000000000002E-3"/>
    <n v="76.287204000000003"/>
    <n v="0"/>
    <n v="76.287204000000003"/>
  </r>
  <r>
    <x v="79"/>
    <x v="79"/>
    <x v="155"/>
    <n v="43.35"/>
    <n v="43.35"/>
    <n v="2.6939000000000004E-3"/>
    <n v="161.94649240000001"/>
    <n v="5.9504000000000001"/>
    <n v="167.89689240000001"/>
  </r>
  <r>
    <x v="79"/>
    <x v="79"/>
    <x v="156"/>
    <n v="0"/>
    <n v="0"/>
    <n v="3.6749999999999999E-4"/>
    <n v="22.09263"/>
    <n v="0"/>
    <n v="22.09263"/>
  </r>
  <r>
    <x v="79"/>
    <x v="79"/>
    <x v="157"/>
    <n v="0"/>
    <n v="0"/>
    <n v="1.2690000000000002E-3"/>
    <n v="76.287204000000003"/>
    <n v="0"/>
    <n v="76.287204000000003"/>
  </r>
  <r>
    <x v="80"/>
    <x v="80"/>
    <x v="158"/>
    <n v="81"/>
    <n v="81"/>
    <n v="4.4973999999999995E-3"/>
    <n v="270.36569839999999"/>
    <n v="9.4522103999999771"/>
    <n v="279.81790879999994"/>
  </r>
  <r>
    <x v="80"/>
    <x v="80"/>
    <x v="159"/>
    <n v="0"/>
    <n v="0"/>
    <n v="1.2690000000000002E-3"/>
    <n v="76.287204000000003"/>
    <n v="0"/>
    <n v="76.287204000000003"/>
  </r>
  <r>
    <x v="81"/>
    <x v="81"/>
    <x v="160"/>
    <n v="33"/>
    <n v="33"/>
    <n v="2.6939000000000004E-3"/>
    <n v="161.94649240000001"/>
    <n v="3.2072656000000088"/>
    <n v="165.15375800000001"/>
  </r>
  <r>
    <x v="82"/>
    <x v="82"/>
    <x v="161"/>
    <n v="33.200000000000003"/>
    <n v="33.200000000000003"/>
    <n v="2.6939000000000004E-3"/>
    <n v="161.94649240000001"/>
    <n v="5.9504000000000001"/>
    <n v="167.89689240000001"/>
  </r>
  <r>
    <x v="83"/>
    <x v="83"/>
    <x v="162"/>
    <n v="78.95"/>
    <n v="78.95"/>
    <n v="4.4973999999999995E-3"/>
    <n v="270.36569839999999"/>
    <n v="32.352324799999984"/>
    <n v="302.71802319999995"/>
  </r>
  <r>
    <x v="83"/>
    <x v="83"/>
    <x v="163"/>
    <n v="0"/>
    <n v="0"/>
    <n v="1.2690000000000002E-3"/>
    <n v="76.287204000000003"/>
    <n v="0"/>
    <n v="76.287204000000003"/>
  </r>
  <r>
    <x v="84"/>
    <x v="84"/>
    <x v="164"/>
    <n v="68"/>
    <n v="68"/>
    <n v="4.4973999999999995E-3"/>
    <n v="270.36569839999999"/>
    <n v="2.9752000000000001"/>
    <n v="273.34089839999996"/>
  </r>
  <r>
    <x v="84"/>
    <x v="84"/>
    <x v="165"/>
    <n v="0"/>
    <n v="0"/>
    <n v="1.2690000000000002E-3"/>
    <n v="76.287204000000003"/>
    <n v="0"/>
    <n v="76.287204000000003"/>
  </r>
  <r>
    <x v="85"/>
    <x v="85"/>
    <x v="166"/>
    <n v="74.599999999999994"/>
    <n v="74.599999999999994"/>
    <n v="4.4973999999999995E-3"/>
    <n v="270.36569839999999"/>
    <n v="39.204210400000065"/>
    <n v="309.56990880000006"/>
  </r>
  <r>
    <x v="85"/>
    <x v="85"/>
    <x v="167"/>
    <n v="0"/>
    <n v="0"/>
    <n v="1.2690000000000002E-3"/>
    <n v="76.287204000000003"/>
    <n v="0"/>
    <n v="76.287204000000003"/>
  </r>
  <r>
    <x v="86"/>
    <x v="86"/>
    <x v="168"/>
    <n v="81"/>
    <n v="81"/>
    <n v="4.4973999999999995E-3"/>
    <n v="270.36569839999999"/>
    <n v="19.847559199999978"/>
    <n v="290.21325759999996"/>
  </r>
  <r>
    <x v="86"/>
    <x v="86"/>
    <x v="169"/>
    <n v="0"/>
    <n v="0"/>
    <n v="1.2690000000000002E-3"/>
    <n v="76.287204000000003"/>
    <n v="0"/>
    <n v="76.287204000000003"/>
  </r>
  <r>
    <x v="87"/>
    <x v="87"/>
    <x v="170"/>
    <n v="76.150000000000006"/>
    <n v="76.150000000000006"/>
    <n v="4.4973999999999995E-3"/>
    <n v="270.36569839999999"/>
    <n v="5.9504000000000001"/>
    <n v="276.31609839999999"/>
  </r>
  <r>
    <x v="87"/>
    <x v="87"/>
    <x v="171"/>
    <n v="0"/>
    <n v="0"/>
    <n v="1.2690000000000002E-3"/>
    <n v="76.287204000000003"/>
    <n v="0"/>
    <n v="76.287204000000003"/>
  </r>
  <r>
    <x v="88"/>
    <x v="88"/>
    <x v="172"/>
    <n v="33.200000000000003"/>
    <n v="33.200000000000003"/>
    <n v="2.6939000000000004E-3"/>
    <n v="161.94649240000001"/>
    <n v="0"/>
    <n v="161.94649240000001"/>
  </r>
  <r>
    <x v="88"/>
    <x v="88"/>
    <x v="173"/>
    <n v="0"/>
    <n v="0"/>
    <n v="3.6749999999999999E-4"/>
    <n v="22.09263"/>
    <n v="0"/>
    <n v="22.09263"/>
  </r>
  <r>
    <x v="89"/>
    <x v="89"/>
    <x v="174"/>
    <n v="74.599999999999994"/>
    <n v="74.599999999999994"/>
    <n v="4.4973999999999995E-3"/>
    <n v="270.36569839999999"/>
    <n v="47.603200000000001"/>
    <n v="317.9688984"/>
  </r>
  <r>
    <x v="89"/>
    <x v="89"/>
    <x v="175"/>
    <n v="0"/>
    <n v="0"/>
    <n v="1.2690000000000002E-3"/>
    <n v="76.287204000000003"/>
    <n v="0"/>
    <n v="76.287204000000003"/>
  </r>
  <r>
    <x v="90"/>
    <x v="90"/>
    <x v="176"/>
    <n v="68"/>
    <n v="68"/>
    <n v="4.4973999999999995E-3"/>
    <n v="270.36569839999999"/>
    <n v="2.9752000000000001"/>
    <n v="273.34089839999996"/>
  </r>
  <r>
    <x v="91"/>
    <x v="91"/>
    <x v="177"/>
    <n v="44.45"/>
    <n v="44.45"/>
    <n v="2.6939000000000004E-3"/>
    <n v="161.94649240000001"/>
    <n v="5.9504000000000001"/>
    <n v="167.89689240000001"/>
  </r>
  <r>
    <x v="91"/>
    <x v="91"/>
    <x v="178"/>
    <n v="0"/>
    <n v="0"/>
    <n v="1.2690000000000002E-3"/>
    <n v="76.287204000000003"/>
    <n v="0"/>
    <n v="76.287204000000003"/>
  </r>
  <r>
    <x v="92"/>
    <x v="92"/>
    <x v="179"/>
    <n v="66.45"/>
    <n v="66.45"/>
    <n v="4.4973999999999995E-3"/>
    <n v="270.36569839999999"/>
    <n v="8.9255999999999993"/>
    <n v="279.29129839999996"/>
  </r>
  <r>
    <x v="92"/>
    <x v="92"/>
    <x v="180"/>
    <n v="0"/>
    <n v="0"/>
    <n v="1.2690000000000002E-3"/>
    <n v="76.287204000000003"/>
    <n v="0"/>
    <n v="76.287204000000003"/>
  </r>
  <r>
    <x v="93"/>
    <x v="93"/>
    <x v="181"/>
    <n v="43.35"/>
    <n v="43.35"/>
    <n v="2.6939000000000004E-3"/>
    <n v="161.94649240000001"/>
    <n v="0"/>
    <n v="161.94649240000001"/>
  </r>
  <r>
    <x v="93"/>
    <x v="93"/>
    <x v="182"/>
    <n v="0"/>
    <n v="0"/>
    <n v="1.2690000000000002E-3"/>
    <n v="76.287204000000003"/>
    <n v="0"/>
    <n v="76.287204000000003"/>
  </r>
  <r>
    <x v="94"/>
    <x v="94"/>
    <x v="183"/>
    <n v="44.45"/>
    <n v="44.45"/>
    <n v="2.6939000000000004E-3"/>
    <n v="161.94649240000001"/>
    <n v="5.9504000000000001"/>
    <n v="167.89689240000001"/>
  </r>
  <r>
    <x v="94"/>
    <x v="94"/>
    <x v="184"/>
    <n v="0"/>
    <n v="0"/>
    <n v="1.2690000000000002E-3"/>
    <n v="76.287204000000003"/>
    <n v="0"/>
    <n v="76.287204000000003"/>
  </r>
  <r>
    <x v="95"/>
    <x v="95"/>
    <x v="185"/>
    <n v="76.150000000000006"/>
    <n v="76.150000000000006"/>
    <n v="4.4973999999999995E-3"/>
    <n v="270.36569839999999"/>
    <n v="35.702399999999997"/>
    <n v="306.0680984"/>
  </r>
  <r>
    <x v="96"/>
    <x v="96"/>
    <x v="186"/>
    <n v="78.95"/>
    <n v="78.95"/>
    <n v="4.4973999999999995E-3"/>
    <n v="270.36569839999999"/>
    <n v="0.53256079999992156"/>
    <n v="270.89825919999993"/>
  </r>
  <r>
    <x v="96"/>
    <x v="96"/>
    <x v="187"/>
    <n v="0"/>
    <n v="0"/>
    <n v="1.2690000000000002E-3"/>
    <n v="76.287204000000003"/>
    <n v="0"/>
    <n v="76.287204000000003"/>
  </r>
  <r>
    <x v="97"/>
    <x v="97"/>
    <x v="188"/>
    <n v="76.150000000000006"/>
    <n v="76.150000000000006"/>
    <n v="4.4973999999999995E-3"/>
    <n v="270.36569839999999"/>
    <n v="14.876000000000001"/>
    <n v="285.24169839999996"/>
  </r>
  <r>
    <x v="97"/>
    <x v="97"/>
    <x v="189"/>
    <n v="43.35"/>
    <n v="43.35"/>
    <n v="2.6939000000000004E-3"/>
    <n v="161.94649240000001"/>
    <n v="11.9008"/>
    <n v="173.84729240000001"/>
  </r>
  <r>
    <x v="97"/>
    <x v="97"/>
    <x v="190"/>
    <n v="0"/>
    <n v="0"/>
    <n v="3.6749999999999999E-4"/>
    <n v="22.09263"/>
    <n v="0"/>
    <n v="22.09263"/>
  </r>
  <r>
    <x v="97"/>
    <x v="97"/>
    <x v="191"/>
    <n v="0"/>
    <n v="0"/>
    <n v="1.2690000000000002E-3"/>
    <n v="76.287204000000003"/>
    <n v="0"/>
    <n v="76.287204000000003"/>
  </r>
  <r>
    <x v="97"/>
    <x v="97"/>
    <x v="192"/>
    <n v="0"/>
    <n v="0"/>
    <n v="1.2690000000000002E-3"/>
    <n v="76.287204000000003"/>
    <n v="0"/>
    <n v="76.287204000000003"/>
  </r>
  <r>
    <x v="98"/>
    <x v="98"/>
    <x v="193"/>
    <n v="74.599999999999994"/>
    <n v="74.599999999999994"/>
    <n v="4.4973999999999995E-3"/>
    <n v="270.36569839999999"/>
    <n v="20.8264"/>
    <n v="291.19209839999996"/>
  </r>
  <r>
    <x v="99"/>
    <x v="99"/>
    <x v="194"/>
    <n v="68"/>
    <n v="68"/>
    <n v="4.4973999999999995E-3"/>
    <n v="270.36569839999999"/>
    <n v="29.752000000000002"/>
    <n v="300.11769839999999"/>
  </r>
  <r>
    <x v="99"/>
    <x v="99"/>
    <x v="195"/>
    <n v="0"/>
    <n v="0"/>
    <n v="1.2690000000000002E-3"/>
    <n v="76.287204000000003"/>
    <n v="0"/>
    <n v="76.287204000000003"/>
  </r>
  <r>
    <x v="100"/>
    <x v="100"/>
    <x v="196"/>
    <n v="92.5"/>
    <n v="92.5"/>
    <n v="5.6772999999999997E-3"/>
    <n v="341.29656679999999"/>
    <n v="8.9255999999999993"/>
    <n v="350.22216679999997"/>
  </r>
  <r>
    <x v="100"/>
    <x v="100"/>
    <x v="197"/>
    <n v="0"/>
    <n v="0"/>
    <n v="2.6939000000000004E-3"/>
    <n v="161.94649240000001"/>
    <n v="0"/>
    <n v="161.94649240000001"/>
  </r>
  <r>
    <x v="100"/>
    <x v="100"/>
    <x v="198"/>
    <n v="0"/>
    <n v="0"/>
    <n v="1.2690000000000002E-3"/>
    <n v="76.287204000000003"/>
    <n v="0"/>
    <n v="76.287204000000003"/>
  </r>
  <r>
    <x v="101"/>
    <x v="101"/>
    <x v="199"/>
    <n v="92.5"/>
    <n v="92.5"/>
    <n v="5.6772999999999997E-3"/>
    <n v="341.29656679999999"/>
    <n v="29.752000000000002"/>
    <n v="371.0485668"/>
  </r>
  <r>
    <x v="101"/>
    <x v="101"/>
    <x v="200"/>
    <n v="0"/>
    <n v="0"/>
    <n v="1.2690000000000002E-3"/>
    <n v="76.287204000000003"/>
    <n v="0"/>
    <n v="76.287204000000003"/>
  </r>
  <r>
    <x v="101"/>
    <x v="101"/>
    <x v="201"/>
    <n v="0"/>
    <n v="0"/>
    <n v="1.2690000000000002E-3"/>
    <n v="76.287204000000003"/>
    <n v="0"/>
    <n v="76.287204000000003"/>
  </r>
  <r>
    <x v="102"/>
    <x v="102"/>
    <x v="202"/>
    <n v="33"/>
    <n v="33"/>
    <n v="2.6939000000000004E-3"/>
    <n v="161.94649240000001"/>
    <n v="0.59503999999996615"/>
    <n v="162.54153239999997"/>
  </r>
  <r>
    <x v="103"/>
    <x v="103"/>
    <x v="203"/>
    <n v="78.95"/>
    <n v="78.95"/>
    <n v="4.4973999999999995E-3"/>
    <n v="270.36569839999999"/>
    <n v="16.723599199999942"/>
    <n v="287.08929759999995"/>
  </r>
  <r>
    <x v="103"/>
    <x v="103"/>
    <x v="204"/>
    <n v="0"/>
    <n v="0"/>
    <n v="1.2690000000000002E-3"/>
    <n v="76.287204000000003"/>
    <n v="0"/>
    <n v="76.287204000000003"/>
  </r>
  <r>
    <x v="104"/>
    <x v="104"/>
    <x v="205"/>
    <n v="33.200000000000003"/>
    <n v="33.200000000000003"/>
    <n v="2.6939000000000004E-3"/>
    <n v="161.94649240000001"/>
    <n v="8.9255999999999993"/>
    <n v="170.87209240000001"/>
  </r>
  <r>
    <x v="105"/>
    <x v="105"/>
    <x v="206"/>
    <n v="44.45"/>
    <n v="44.45"/>
    <n v="2.6939000000000004E-3"/>
    <n v="161.94649240000001"/>
    <n v="11.9008"/>
    <n v="173.84729240000001"/>
  </r>
  <r>
    <x v="105"/>
    <x v="105"/>
    <x v="207"/>
    <n v="0"/>
    <n v="0"/>
    <n v="1.2690000000000002E-3"/>
    <n v="76.287204000000003"/>
    <n v="0"/>
    <n v="76.287204000000003"/>
  </r>
  <r>
    <x v="105"/>
    <x v="105"/>
    <x v="208"/>
    <n v="0"/>
    <n v="0"/>
    <n v="1.2690000000000002E-3"/>
    <n v="76.287204000000003"/>
    <n v="0"/>
    <n v="76.287204000000003"/>
  </r>
  <r>
    <x v="106"/>
    <x v="106"/>
    <x v="209"/>
    <n v="78.95"/>
    <n v="78.95"/>
    <n v="4.4973999999999995E-3"/>
    <n v="270.36569839999999"/>
    <n v="37.657106400000117"/>
    <n v="308.02280480000013"/>
  </r>
  <r>
    <x v="106"/>
    <x v="106"/>
    <x v="210"/>
    <n v="0"/>
    <n v="0"/>
    <n v="1.2690000000000002E-3"/>
    <n v="76.287204000000003"/>
    <n v="0"/>
    <n v="76.287204000000003"/>
  </r>
  <r>
    <x v="107"/>
    <x v="107"/>
    <x v="211"/>
    <n v="0"/>
    <n v="0"/>
    <n v="1.2690000000000002E-3"/>
    <n v="76.287204000000003"/>
    <n v="0"/>
    <n v="76.287204000000003"/>
  </r>
  <r>
    <x v="108"/>
    <x v="108"/>
    <x v="212"/>
    <n v="64.900000000000006"/>
    <n v="64.900000000000006"/>
    <n v="4.4973999999999995E-3"/>
    <n v="270.36569839999999"/>
    <n v="5.9504000000000001"/>
    <n v="276.31609839999999"/>
  </r>
  <r>
    <x v="109"/>
    <x v="109"/>
    <x v="213"/>
    <n v="44.45"/>
    <n v="44.45"/>
    <n v="2.6939000000000004E-3"/>
    <n v="161.94649240000001"/>
    <n v="11.9008"/>
    <n v="173.84729240000001"/>
  </r>
  <r>
    <x v="109"/>
    <x v="109"/>
    <x v="214"/>
    <n v="0"/>
    <n v="0"/>
    <n v="1.2690000000000002E-3"/>
    <n v="76.287204000000003"/>
    <n v="0"/>
    <n v="76.287204000000003"/>
  </r>
  <r>
    <x v="110"/>
    <x v="110"/>
    <x v="215"/>
    <n v="33"/>
    <n v="33"/>
    <n v="2.6939000000000004E-3"/>
    <n v="161.94649240000001"/>
    <n v="14.876000000000001"/>
    <n v="176.82249240000002"/>
  </r>
  <r>
    <x v="110"/>
    <x v="110"/>
    <x v="216"/>
    <n v="0"/>
    <n v="0"/>
    <n v="1.2690000000000002E-3"/>
    <n v="76.287204000000003"/>
    <n v="0"/>
    <n v="76.287204000000003"/>
  </r>
  <r>
    <x v="111"/>
    <x v="111"/>
    <x v="217"/>
    <n v="92.5"/>
    <n v="92.5"/>
    <n v="5.6772999999999997E-3"/>
    <n v="341.29656679999999"/>
    <n v="53.553600000000003"/>
    <n v="394.85016680000001"/>
  </r>
  <r>
    <x v="111"/>
    <x v="111"/>
    <x v="218"/>
    <n v="0"/>
    <n v="0"/>
    <n v="1.2690000000000002E-3"/>
    <n v="76.287204000000003"/>
    <n v="0"/>
    <n v="76.287204000000003"/>
  </r>
  <r>
    <x v="112"/>
    <x v="112"/>
    <x v="219"/>
    <n v="44.45"/>
    <n v="44.45"/>
    <n v="2.6939000000000004E-3"/>
    <n v="161.94649240000001"/>
    <n v="8.9255999999999993"/>
    <n v="170.87209240000001"/>
  </r>
  <r>
    <x v="112"/>
    <x v="112"/>
    <x v="220"/>
    <n v="0"/>
    <n v="0"/>
    <n v="1.2690000000000002E-3"/>
    <n v="76.287204000000003"/>
    <n v="0"/>
    <n v="76.287204000000003"/>
  </r>
  <r>
    <x v="113"/>
    <x v="113"/>
    <x v="221"/>
    <n v="78.95"/>
    <n v="78.95"/>
    <n v="4.4973999999999995E-3"/>
    <n v="270.36569839999999"/>
    <n v="4.3051144000000079"/>
    <n v="274.67081280000002"/>
  </r>
  <r>
    <x v="113"/>
    <x v="113"/>
    <x v="222"/>
    <n v="0"/>
    <n v="0"/>
    <n v="1.2690000000000002E-3"/>
    <n v="76.287204000000003"/>
    <n v="0"/>
    <n v="76.287204000000003"/>
  </r>
  <r>
    <x v="113"/>
    <x v="113"/>
    <x v="223"/>
    <n v="0"/>
    <n v="0"/>
    <n v="1.2690000000000002E-3"/>
    <n v="76.287204000000003"/>
    <n v="0"/>
    <n v="76.287204000000003"/>
  </r>
  <r>
    <x v="114"/>
    <x v="114"/>
    <x v="224"/>
    <n v="81"/>
    <n v="81"/>
    <n v="4.4973999999999995E-3"/>
    <n v="270.36569839999999"/>
    <n v="26.776800000000001"/>
    <n v="297.14249839999997"/>
  </r>
  <r>
    <x v="115"/>
    <x v="115"/>
    <x v="225"/>
    <n v="81"/>
    <n v="81"/>
    <n v="4.4973999999999995E-3"/>
    <n v="270.36569839999999"/>
    <n v="26.776800000000001"/>
    <n v="297.14249839999997"/>
  </r>
  <r>
    <x v="115"/>
    <x v="115"/>
    <x v="226"/>
    <n v="0"/>
    <n v="0"/>
    <n v="1.2690000000000002E-3"/>
    <n v="76.287204000000003"/>
    <n v="0"/>
    <n v="76.287204000000003"/>
  </r>
  <r>
    <x v="116"/>
    <x v="116"/>
    <x v="227"/>
    <n v="0"/>
    <n v="0"/>
    <n v="1.2690000000000002E-3"/>
    <n v="76.287204000000003"/>
    <n v="0"/>
    <n v="76.287204000000003"/>
  </r>
  <r>
    <x v="117"/>
    <x v="117"/>
    <x v="228"/>
    <n v="78.95"/>
    <n v="78.95"/>
    <n v="4.4973999999999995E-3"/>
    <n v="270.36569839999999"/>
    <n v="12.338154400000144"/>
    <n v="282.70385280000011"/>
  </r>
  <r>
    <x v="118"/>
    <x v="118"/>
    <x v="229"/>
    <n v="74.599999999999994"/>
    <n v="74.599999999999994"/>
    <n v="4.4973999999999995E-3"/>
    <n v="270.36569839999999"/>
    <n v="14.876000000000001"/>
    <n v="285.24169839999996"/>
  </r>
  <r>
    <x v="118"/>
    <x v="118"/>
    <x v="230"/>
    <n v="0"/>
    <n v="0"/>
    <n v="1.2690000000000002E-3"/>
    <n v="76.287204000000003"/>
    <n v="0"/>
    <n v="76.287204000000003"/>
  </r>
  <r>
    <x v="119"/>
    <x v="119"/>
    <x v="231"/>
    <n v="92.5"/>
    <n v="92.5"/>
    <n v="5.6772999999999997E-3"/>
    <n v="341.29656679999999"/>
    <n v="47.603200000000001"/>
    <n v="388.89976680000001"/>
  </r>
  <r>
    <x v="119"/>
    <x v="119"/>
    <x v="232"/>
    <n v="0"/>
    <n v="0"/>
    <n v="1.2690000000000002E-3"/>
    <n v="76.287204000000003"/>
    <n v="0"/>
    <n v="76.287204000000003"/>
  </r>
  <r>
    <x v="120"/>
    <x v="120"/>
    <x v="233"/>
    <n v="66.45"/>
    <n v="66.45"/>
    <n v="4.4973999999999995E-3"/>
    <n v="270.36569839999999"/>
    <n v="26.776800000000001"/>
    <n v="297.14249839999997"/>
  </r>
  <r>
    <x v="120"/>
    <x v="120"/>
    <x v="234"/>
    <n v="0"/>
    <n v="0"/>
    <n v="1.2690000000000002E-3"/>
    <n v="76.287204000000003"/>
    <n v="0"/>
    <n v="76.287204000000003"/>
  </r>
  <r>
    <x v="121"/>
    <x v="121"/>
    <x v="235"/>
    <n v="33.200000000000003"/>
    <n v="33.200000000000003"/>
    <n v="2.6939000000000004E-3"/>
    <n v="161.94649240000001"/>
    <n v="8.9255999999999993"/>
    <n v="170.87209240000001"/>
  </r>
  <r>
    <x v="122"/>
    <x v="122"/>
    <x v="236"/>
    <n v="33.200000000000003"/>
    <n v="33.200000000000003"/>
    <n v="2.6939000000000004E-3"/>
    <n v="161.94649240000001"/>
    <n v="2.9752000000000001"/>
    <n v="164.92169240000001"/>
  </r>
  <r>
    <x v="123"/>
    <x v="123"/>
    <x v="237"/>
    <n v="44.45"/>
    <n v="44.45"/>
    <n v="2.6939000000000004E-3"/>
    <n v="161.94649240000001"/>
    <n v="11.9008"/>
    <n v="173.84729240000001"/>
  </r>
  <r>
    <x v="123"/>
    <x v="123"/>
    <x v="238"/>
    <n v="0"/>
    <n v="0"/>
    <n v="1.2690000000000002E-3"/>
    <n v="76.287204000000003"/>
    <n v="0"/>
    <n v="76.287204000000003"/>
  </r>
  <r>
    <x v="124"/>
    <x v="124"/>
    <x v="239"/>
    <n v="74.599999999999994"/>
    <n v="74.599999999999994"/>
    <n v="4.4973999999999995E-3"/>
    <n v="270.36569839999999"/>
    <n v="26.729196799999944"/>
    <n v="297.09489519999994"/>
  </r>
  <r>
    <x v="125"/>
    <x v="125"/>
    <x v="240"/>
    <n v="33.200000000000003"/>
    <n v="33.200000000000003"/>
    <n v="2.6939000000000004E-3"/>
    <n v="161.94649240000001"/>
    <n v="0"/>
    <n v="161.94649240000001"/>
  </r>
  <r>
    <x v="126"/>
    <x v="126"/>
    <x v="241"/>
    <n v="74.599999999999994"/>
    <n v="74.599999999999994"/>
    <n v="4.4973999999999995E-3"/>
    <n v="270.36569839999999"/>
    <n v="151.73519999999999"/>
    <n v="422.10089840000001"/>
  </r>
  <r>
    <x v="127"/>
    <x v="127"/>
    <x v="242"/>
    <n v="78.95"/>
    <n v="78.95"/>
    <n v="4.4973999999999995E-3"/>
    <n v="270.36569839999999"/>
    <n v="11.653858400000004"/>
    <n v="282.01955679999998"/>
  </r>
  <r>
    <x v="127"/>
    <x v="127"/>
    <x v="243"/>
    <n v="0"/>
    <n v="0"/>
    <n v="1.2690000000000002E-3"/>
    <n v="76.287204000000003"/>
    <n v="0"/>
    <n v="76.287204000000003"/>
  </r>
  <r>
    <x v="128"/>
    <x v="128"/>
    <x v="244"/>
    <n v="74.599999999999994"/>
    <n v="74.599999999999994"/>
    <n v="4.4973999999999995E-3"/>
    <n v="270.36569839999999"/>
    <n v="25.066060000000036"/>
    <n v="295.43175840000004"/>
  </r>
  <r>
    <x v="128"/>
    <x v="128"/>
    <x v="245"/>
    <n v="0"/>
    <n v="0"/>
    <n v="1.2690000000000002E-3"/>
    <n v="76.287204000000003"/>
    <n v="0"/>
    <n v="76.287204000000003"/>
  </r>
  <r>
    <x v="129"/>
    <x v="129"/>
    <x v="246"/>
    <n v="78.95"/>
    <n v="78.95"/>
    <n v="4.4973999999999995E-3"/>
    <n v="270.36569839999999"/>
    <n v="42.664367999999925"/>
    <n v="313.0300663999999"/>
  </r>
  <r>
    <x v="129"/>
    <x v="129"/>
    <x v="247"/>
    <n v="0"/>
    <n v="0"/>
    <n v="1.2690000000000002E-3"/>
    <n v="76.287204000000003"/>
    <n v="0"/>
    <n v="76.287204000000003"/>
  </r>
  <r>
    <x v="130"/>
    <x v="130"/>
    <x v="248"/>
    <n v="33"/>
    <n v="33"/>
    <n v="2.6939000000000004E-3"/>
    <n v="161.94649240000001"/>
    <n v="6.3103992000000275"/>
    <n v="168.25689160000005"/>
  </r>
  <r>
    <x v="131"/>
    <x v="131"/>
    <x v="249"/>
    <n v="44.45"/>
    <n v="44.45"/>
    <n v="2.6939000000000004E-3"/>
    <n v="161.94649240000001"/>
    <n v="5.9504000000000001"/>
    <n v="167.89689240000001"/>
  </r>
  <r>
    <x v="131"/>
    <x v="131"/>
    <x v="250"/>
    <n v="0"/>
    <n v="0"/>
    <n v="1.2690000000000002E-3"/>
    <n v="76.287204000000003"/>
    <n v="0"/>
    <n v="76.287204000000003"/>
  </r>
  <r>
    <x v="132"/>
    <x v="132"/>
    <x v="251"/>
    <n v="66.45"/>
    <n v="66.45"/>
    <n v="4.4973999999999995E-3"/>
    <n v="270.36569839999999"/>
    <n v="38.677599999999998"/>
    <n v="309.04329839999997"/>
  </r>
  <r>
    <x v="133"/>
    <x v="133"/>
    <x v="252"/>
    <n v="43.35"/>
    <n v="43.35"/>
    <n v="2.6939000000000004E-3"/>
    <n v="161.94649240000001"/>
    <n v="26.776800000000001"/>
    <n v="188.72329240000002"/>
  </r>
  <r>
    <x v="133"/>
    <x v="133"/>
    <x v="253"/>
    <n v="0"/>
    <n v="0"/>
    <n v="1.2690000000000002E-3"/>
    <n v="76.287204000000003"/>
    <n v="0"/>
    <n v="76.287204000000003"/>
  </r>
  <r>
    <x v="134"/>
    <x v="134"/>
    <x v="254"/>
    <n v="44.45"/>
    <n v="44.45"/>
    <n v="2.6939000000000004E-3"/>
    <n v="161.94649240000001"/>
    <n v="5.9504000000000001"/>
    <n v="167.89689240000001"/>
  </r>
  <r>
    <x v="134"/>
    <x v="134"/>
    <x v="255"/>
    <n v="0"/>
    <n v="0"/>
    <n v="3.6749999999999999E-4"/>
    <n v="22.09263"/>
    <n v="0"/>
    <n v="22.09263"/>
  </r>
  <r>
    <x v="134"/>
    <x v="134"/>
    <x v="256"/>
    <n v="0"/>
    <n v="0"/>
    <n v="1.2690000000000002E-3"/>
    <n v="76.287204000000003"/>
    <n v="0"/>
    <n v="76.287204000000003"/>
  </r>
  <r>
    <x v="135"/>
    <x v="135"/>
    <x v="257"/>
    <n v="68"/>
    <n v="68"/>
    <n v="4.4973999999999995E-3"/>
    <n v="270.36569839999999"/>
    <n v="14.876000000000001"/>
    <n v="285.24169839999996"/>
  </r>
  <r>
    <x v="135"/>
    <x v="135"/>
    <x v="258"/>
    <n v="0"/>
    <n v="0"/>
    <n v="1.2690000000000002E-3"/>
    <n v="76.287204000000003"/>
    <n v="0"/>
    <n v="76.287204000000003"/>
  </r>
  <r>
    <x v="136"/>
    <x v="136"/>
    <x v="259"/>
    <n v="33.200000000000003"/>
    <n v="33.200000000000003"/>
    <n v="2.6939000000000004E-3"/>
    <n v="161.94649240000001"/>
    <n v="0"/>
    <n v="161.94649240000001"/>
  </r>
  <r>
    <x v="136"/>
    <x v="136"/>
    <x v="260"/>
    <n v="0"/>
    <n v="0"/>
    <n v="1.2690000000000002E-3"/>
    <n v="76.287204000000003"/>
    <n v="0"/>
    <n v="76.287204000000003"/>
  </r>
  <r>
    <x v="137"/>
    <x v="137"/>
    <x v="261"/>
    <n v="92.5"/>
    <n v="92.5"/>
    <n v="5.6772999999999997E-3"/>
    <n v="341.29656679999999"/>
    <n v="44.628"/>
    <n v="385.92456679999998"/>
  </r>
  <r>
    <x v="137"/>
    <x v="137"/>
    <x v="262"/>
    <n v="0"/>
    <n v="0"/>
    <n v="3.6749999999999999E-4"/>
    <n v="22.09263"/>
    <n v="0"/>
    <n v="22.09263"/>
  </r>
  <r>
    <x v="137"/>
    <x v="137"/>
    <x v="263"/>
    <n v="0"/>
    <n v="0"/>
    <n v="1.2690000000000002E-3"/>
    <n v="76.287204000000003"/>
    <n v="0"/>
    <n v="76.287204000000003"/>
  </r>
  <r>
    <x v="138"/>
    <x v="138"/>
    <x v="264"/>
    <n v="0"/>
    <n v="0"/>
    <n v="3.6749999999999999E-4"/>
    <n v="22.09263"/>
    <n v="0"/>
    <n v="22.09263"/>
  </r>
  <r>
    <x v="139"/>
    <x v="139"/>
    <x v="265"/>
    <n v="33"/>
    <n v="33"/>
    <n v="2.6939000000000004E-3"/>
    <n v="161.94649240000001"/>
    <n v="-0.26776800000000023"/>
    <n v="161.67872440000002"/>
  </r>
  <r>
    <x v="140"/>
    <x v="140"/>
    <x v="266"/>
    <n v="0"/>
    <n v="0"/>
    <n v="1.2690000000000002E-3"/>
    <n v="76.287204000000003"/>
    <n v="0"/>
    <n v="76.287204000000003"/>
  </r>
  <r>
    <x v="141"/>
    <x v="141"/>
    <x v="267"/>
    <n v="43.35"/>
    <n v="43.35"/>
    <n v="2.6939000000000004E-3"/>
    <n v="161.94649240000001"/>
    <n v="17.851199999999999"/>
    <n v="179.79769240000002"/>
  </r>
  <r>
    <x v="142"/>
    <x v="142"/>
    <x v="268"/>
    <n v="67.400000000000006"/>
    <n v="67.400000000000006"/>
    <n v="4.4973999999999995E-3"/>
    <n v="270.36569839999999"/>
    <n v="32.727200000000003"/>
    <n v="303.09289839999997"/>
  </r>
  <r>
    <x v="143"/>
    <x v="143"/>
    <x v="269"/>
    <n v="74.599999999999994"/>
    <n v="74.599999999999994"/>
    <n v="4.4973999999999995E-3"/>
    <n v="270.36569839999999"/>
    <n v="3.0109024000000013"/>
    <n v="273.37660080000001"/>
  </r>
  <r>
    <x v="144"/>
    <x v="144"/>
    <x v="270"/>
    <n v="44.45"/>
    <n v="44.45"/>
    <n v="2.6939000000000004E-3"/>
    <n v="161.94649240000001"/>
    <n v="20.8264"/>
    <n v="182.77289240000002"/>
  </r>
  <r>
    <x v="144"/>
    <x v="144"/>
    <x v="271"/>
    <n v="0"/>
    <n v="0"/>
    <n v="1.2690000000000002E-3"/>
    <n v="76.287204000000003"/>
    <n v="0"/>
    <n v="76.287204000000003"/>
  </r>
  <r>
    <x v="145"/>
    <x v="145"/>
    <x v="272"/>
    <n v="81"/>
    <n v="81"/>
    <n v="4.4973999999999995E-3"/>
    <n v="270.36569839999999"/>
    <n v="13.959638400000022"/>
    <n v="284.3253368"/>
  </r>
  <r>
    <x v="145"/>
    <x v="145"/>
    <x v="273"/>
    <n v="0"/>
    <n v="0"/>
    <n v="1.2690000000000002E-3"/>
    <n v="76.287204000000003"/>
    <n v="0"/>
    <n v="76.287204000000003"/>
  </r>
  <r>
    <x v="146"/>
    <x v="146"/>
    <x v="274"/>
    <n v="43.35"/>
    <n v="43.35"/>
    <n v="2.6939000000000004E-3"/>
    <n v="161.94649240000001"/>
    <n v="14.876000000000001"/>
    <n v="176.82249240000002"/>
  </r>
  <r>
    <x v="146"/>
    <x v="146"/>
    <x v="275"/>
    <n v="0"/>
    <n v="0"/>
    <n v="3.6749999999999999E-4"/>
    <n v="22.09263"/>
    <n v="0"/>
    <n v="22.09263"/>
  </r>
  <r>
    <x v="147"/>
    <x v="147"/>
    <x v="276"/>
    <n v="66.45"/>
    <n v="66.45"/>
    <n v="4.4973999999999995E-3"/>
    <n v="270.36569839999999"/>
    <n v="41.652799999999999"/>
    <n v="312.0184984"/>
  </r>
  <r>
    <x v="147"/>
    <x v="147"/>
    <x v="277"/>
    <n v="0"/>
    <n v="0"/>
    <n v="3.6749999999999999E-4"/>
    <n v="22.09263"/>
    <n v="0"/>
    <n v="22.09263"/>
  </r>
  <r>
    <x v="148"/>
    <x v="148"/>
    <x v="278"/>
    <n v="76.150000000000006"/>
    <n v="76.150000000000006"/>
    <n v="4.4973999999999995E-3"/>
    <n v="270.36569839999999"/>
    <n v="14.876000000000001"/>
    <n v="285.24169839999996"/>
  </r>
  <r>
    <x v="148"/>
    <x v="148"/>
    <x v="279"/>
    <n v="0"/>
    <n v="0"/>
    <n v="1.2690000000000002E-3"/>
    <n v="76.287204000000003"/>
    <n v="0"/>
    <n v="76.287204000000003"/>
  </r>
  <r>
    <x v="149"/>
    <x v="149"/>
    <x v="280"/>
    <n v="68"/>
    <n v="68"/>
    <n v="4.4973999999999995E-3"/>
    <n v="270.36569839999999"/>
    <n v="2.9752000000000001"/>
    <n v="273.34089839999996"/>
  </r>
  <r>
    <x v="150"/>
    <x v="150"/>
    <x v="281"/>
    <n v="43.35"/>
    <n v="43.35"/>
    <n v="2.6939000000000004E-3"/>
    <n v="161.94649240000001"/>
    <n v="0"/>
    <n v="161.94649240000001"/>
  </r>
  <r>
    <x v="150"/>
    <x v="150"/>
    <x v="282"/>
    <n v="0"/>
    <n v="0"/>
    <n v="3.6749999999999999E-4"/>
    <n v="22.09263"/>
    <n v="0"/>
    <n v="22.09263"/>
  </r>
  <r>
    <x v="150"/>
    <x v="150"/>
    <x v="283"/>
    <n v="0"/>
    <n v="0"/>
    <n v="1.2690000000000002E-3"/>
    <n v="76.287204000000003"/>
    <n v="0"/>
    <n v="76.287204000000003"/>
  </r>
  <r>
    <x v="151"/>
    <x v="151"/>
    <x v="284"/>
    <n v="78.95"/>
    <n v="78.95"/>
    <n v="4.4973999999999995E-3"/>
    <n v="270.36569839999999"/>
    <n v="27.761591200000051"/>
    <n v="298.12728960000004"/>
  </r>
  <r>
    <x v="151"/>
    <x v="151"/>
    <x v="285"/>
    <n v="0"/>
    <n v="0"/>
    <n v="1.2690000000000002E-3"/>
    <n v="76.287204000000003"/>
    <n v="0"/>
    <n v="76.287204000000003"/>
  </r>
  <r>
    <x v="152"/>
    <x v="152"/>
    <x v="286"/>
    <n v="43.35"/>
    <n v="43.35"/>
    <n v="2.6939000000000004E-3"/>
    <n v="161.94649240000001"/>
    <n v="2.9752000000000001"/>
    <n v="164.92169240000001"/>
  </r>
  <r>
    <x v="152"/>
    <x v="152"/>
    <x v="287"/>
    <n v="0"/>
    <n v="0"/>
    <n v="1.2690000000000002E-3"/>
    <n v="76.287204000000003"/>
    <n v="0"/>
    <n v="76.287204000000003"/>
  </r>
  <r>
    <x v="153"/>
    <x v="153"/>
    <x v="288"/>
    <n v="33"/>
    <n v="33"/>
    <n v="2.6939000000000004E-3"/>
    <n v="161.94649240000001"/>
    <n v="11.9008"/>
    <n v="173.84729240000001"/>
  </r>
  <r>
    <x v="154"/>
    <x v="154"/>
    <x v="289"/>
    <n v="33.200000000000003"/>
    <n v="33.200000000000003"/>
    <n v="2.6939000000000004E-3"/>
    <n v="161.94649240000001"/>
    <n v="2.9752000000000001"/>
    <n v="164.92169240000001"/>
  </r>
  <r>
    <x v="154"/>
    <x v="154"/>
    <x v="290"/>
    <n v="33.200000000000003"/>
    <n v="33.200000000000003"/>
    <n v="2.6939000000000004E-3"/>
    <n v="161.94649240000001"/>
    <n v="11.9008"/>
    <n v="173.84729240000001"/>
  </r>
  <r>
    <x v="155"/>
    <x v="155"/>
    <x v="291"/>
    <n v="81"/>
    <n v="81"/>
    <n v="4.4973999999999995E-3"/>
    <n v="270.36569839999999"/>
    <n v="37.416115200000064"/>
    <n v="307.78181360000008"/>
  </r>
  <r>
    <x v="155"/>
    <x v="155"/>
    <x v="292"/>
    <n v="0"/>
    <n v="0"/>
    <n v="3.6749999999999999E-4"/>
    <n v="22.09263"/>
    <n v="0"/>
    <n v="22.09263"/>
  </r>
  <r>
    <x v="155"/>
    <x v="155"/>
    <x v="293"/>
    <n v="0"/>
    <n v="0"/>
    <n v="1.2690000000000002E-3"/>
    <n v="76.287204000000003"/>
    <n v="0"/>
    <n v="76.287204000000003"/>
  </r>
  <r>
    <x v="156"/>
    <x v="156"/>
    <x v="294"/>
    <n v="76.150000000000006"/>
    <n v="76.150000000000006"/>
    <n v="4.4973999999999995E-3"/>
    <n v="270.36569839999999"/>
    <n v="0"/>
    <n v="270.36569839999999"/>
  </r>
  <r>
    <x v="156"/>
    <x v="156"/>
    <x v="295"/>
    <n v="0"/>
    <n v="0"/>
    <n v="1.2690000000000002E-3"/>
    <n v="76.287204000000003"/>
    <n v="0"/>
    <n v="76.287204000000003"/>
  </r>
  <r>
    <x v="157"/>
    <x v="157"/>
    <x v="296"/>
    <n v="78.95"/>
    <n v="78.95"/>
    <n v="4.4973999999999995E-3"/>
    <n v="270.36569839999999"/>
    <n v="35.279921600000016"/>
    <n v="305.64562000000001"/>
  </r>
  <r>
    <x v="157"/>
    <x v="157"/>
    <x v="297"/>
    <n v="0"/>
    <n v="0"/>
    <n v="3.6749999999999999E-4"/>
    <n v="22.09263"/>
    <n v="0"/>
    <n v="22.09263"/>
  </r>
  <r>
    <x v="157"/>
    <x v="157"/>
    <x v="298"/>
    <n v="0"/>
    <n v="0"/>
    <n v="1.2690000000000002E-3"/>
    <n v="76.287204000000003"/>
    <n v="0"/>
    <n v="76.287204000000003"/>
  </r>
  <r>
    <x v="158"/>
    <x v="158"/>
    <x v="299"/>
    <n v="33"/>
    <n v="33"/>
    <n v="2.6939000000000004E-3"/>
    <n v="161.94649240000001"/>
    <n v="17.851199999999999"/>
    <n v="179.79769240000002"/>
  </r>
  <r>
    <x v="159"/>
    <x v="159"/>
    <x v="300"/>
    <n v="66.45"/>
    <n v="66.45"/>
    <n v="4.4973999999999995E-3"/>
    <n v="270.36569839999999"/>
    <n v="5.9504000000000001"/>
    <n v="276.31609839999999"/>
  </r>
  <r>
    <x v="159"/>
    <x v="159"/>
    <x v="301"/>
    <n v="0"/>
    <n v="0"/>
    <n v="1.2690000000000002E-3"/>
    <n v="76.287204000000003"/>
    <n v="0"/>
    <n v="76.287204000000003"/>
  </r>
  <r>
    <x v="160"/>
    <x v="160"/>
    <x v="302"/>
    <n v="33"/>
    <n v="33"/>
    <n v="2.6939000000000004E-3"/>
    <n v="161.94649240000001"/>
    <n v="1.3596663999999812"/>
    <n v="163.30615879999999"/>
  </r>
  <r>
    <x v="161"/>
    <x v="161"/>
    <x v="303"/>
    <n v="44.45"/>
    <n v="44.45"/>
    <n v="2.6939000000000004E-3"/>
    <n v="161.94649240000001"/>
    <n v="5.9504000000000001"/>
    <n v="167.89689240000001"/>
  </r>
  <r>
    <x v="161"/>
    <x v="161"/>
    <x v="304"/>
    <n v="92.5"/>
    <n v="92.5"/>
    <n v="5.6772999999999997E-3"/>
    <n v="341.29656679999999"/>
    <n v="23.801600000000001"/>
    <n v="365.0981668"/>
  </r>
  <r>
    <x v="162"/>
    <x v="162"/>
    <x v="305"/>
    <n v="77.05"/>
    <n v="77.05"/>
    <n v="4.4973999999999995E-3"/>
    <n v="270.36569839999999"/>
    <n v="11.9008"/>
    <n v="282.26649839999999"/>
  </r>
  <r>
    <x v="162"/>
    <x v="162"/>
    <x v="306"/>
    <n v="0"/>
    <n v="0"/>
    <n v="1.2690000000000002E-3"/>
    <n v="76.287204000000003"/>
    <n v="0"/>
    <n v="76.287204000000003"/>
  </r>
  <r>
    <x v="163"/>
    <x v="163"/>
    <x v="307"/>
    <n v="43.35"/>
    <n v="43.35"/>
    <n v="2.6939000000000004E-3"/>
    <n v="161.94649240000001"/>
    <n v="11.9008"/>
    <n v="173.84729240000001"/>
  </r>
  <r>
    <x v="163"/>
    <x v="163"/>
    <x v="308"/>
    <n v="0"/>
    <n v="0"/>
    <n v="1.2690000000000002E-3"/>
    <n v="76.287204000000003"/>
    <n v="0"/>
    <n v="76.287204000000003"/>
  </r>
  <r>
    <x v="164"/>
    <x v="164"/>
    <x v="309"/>
    <n v="66.45"/>
    <n v="66.45"/>
    <n v="4.4973999999999995E-3"/>
    <n v="270.36569839999999"/>
    <n v="0"/>
    <n v="270.36569839999999"/>
  </r>
  <r>
    <x v="164"/>
    <x v="164"/>
    <x v="310"/>
    <n v="0"/>
    <n v="0"/>
    <n v="1.2690000000000002E-3"/>
    <n v="76.287204000000003"/>
    <n v="0"/>
    <n v="76.287204000000003"/>
  </r>
  <r>
    <x v="165"/>
    <x v="165"/>
    <x v="311"/>
    <n v="66.45"/>
    <n v="66.45"/>
    <n v="4.4973999999999995E-3"/>
    <n v="270.36569839999999"/>
    <n v="8.9255999999999993"/>
    <n v="279.29129839999996"/>
  </r>
  <r>
    <x v="165"/>
    <x v="165"/>
    <x v="312"/>
    <n v="0"/>
    <n v="0"/>
    <n v="1.2690000000000002E-3"/>
    <n v="76.287204000000003"/>
    <n v="0"/>
    <n v="76.287204000000003"/>
  </r>
  <r>
    <x v="166"/>
    <x v="166"/>
    <x v="313"/>
    <n v="33"/>
    <n v="33"/>
    <n v="2.6939000000000004E-3"/>
    <n v="161.94649240000001"/>
    <n v="12.671376799999958"/>
    <n v="174.61786919999997"/>
  </r>
  <r>
    <x v="166"/>
    <x v="166"/>
    <x v="314"/>
    <n v="0"/>
    <n v="0"/>
    <n v="3.6749999999999999E-4"/>
    <n v="22.09263"/>
    <n v="0"/>
    <n v="22.09263"/>
  </r>
  <r>
    <x v="167"/>
    <x v="167"/>
    <x v="315"/>
    <n v="44.45"/>
    <n v="44.45"/>
    <n v="2.6939000000000004E-3"/>
    <n v="161.94649240000001"/>
    <n v="2.9752000000000001"/>
    <n v="164.92169240000001"/>
  </r>
  <r>
    <x v="167"/>
    <x v="167"/>
    <x v="316"/>
    <n v="0"/>
    <n v="0"/>
    <n v="1.2690000000000002E-3"/>
    <n v="76.287204000000003"/>
    <n v="0"/>
    <n v="76.287204000000003"/>
  </r>
  <r>
    <x v="168"/>
    <x v="168"/>
    <x v="317"/>
    <n v="33.200000000000003"/>
    <n v="33.200000000000003"/>
    <n v="2.6939000000000004E-3"/>
    <n v="161.94649240000001"/>
    <n v="11.9008"/>
    <n v="173.84729240000001"/>
  </r>
  <r>
    <x v="169"/>
    <x v="169"/>
    <x v="318"/>
    <n v="33.200000000000003"/>
    <n v="33.200000000000003"/>
    <n v="2.6939000000000004E-3"/>
    <n v="161.94649240000001"/>
    <n v="8.9255999999999993"/>
    <n v="170.87209240000001"/>
  </r>
  <r>
    <x v="170"/>
    <x v="170"/>
    <x v="319"/>
    <n v="40"/>
    <n v="40"/>
    <n v="2.6939000000000004E-3"/>
    <n v="161.94649240000001"/>
    <n v="2.9752000000000001"/>
    <n v="164.92169240000001"/>
  </r>
  <r>
    <x v="170"/>
    <x v="170"/>
    <x v="320"/>
    <n v="0"/>
    <n v="0"/>
    <n v="1.2690000000000002E-3"/>
    <n v="76.287204000000003"/>
    <n v="0"/>
    <n v="76.287204000000003"/>
  </r>
  <r>
    <x v="171"/>
    <x v="171"/>
    <x v="321"/>
    <n v="74.599999999999994"/>
    <n v="74.599999999999994"/>
    <n v="4.4973999999999995E-3"/>
    <n v="270.36569839999999"/>
    <n v="20.207558399999922"/>
    <n v="290.57325679999991"/>
  </r>
  <r>
    <x v="171"/>
    <x v="171"/>
    <x v="322"/>
    <n v="0"/>
    <n v="0"/>
    <n v="1.2690000000000002E-3"/>
    <n v="76.287204000000003"/>
    <n v="0"/>
    <n v="76.287204000000003"/>
  </r>
  <r>
    <x v="172"/>
    <x v="172"/>
    <x v="323"/>
    <n v="77.05"/>
    <n v="77.05"/>
    <n v="4.4973999999999995E-3"/>
    <n v="270.36569839999999"/>
    <n v="11.9008"/>
    <n v="282.26649839999999"/>
  </r>
  <r>
    <x v="172"/>
    <x v="172"/>
    <x v="324"/>
    <n v="0"/>
    <n v="0"/>
    <n v="1.2690000000000002E-3"/>
    <n v="76.287204000000003"/>
    <n v="0"/>
    <n v="76.287204000000003"/>
  </r>
  <r>
    <x v="173"/>
    <x v="173"/>
    <x v="325"/>
    <n v="33.200000000000003"/>
    <n v="33.200000000000003"/>
    <n v="2.6939000000000004E-3"/>
    <n v="161.94649240000001"/>
    <n v="14.876000000000001"/>
    <n v="176.82249240000002"/>
  </r>
  <r>
    <x v="173"/>
    <x v="173"/>
    <x v="326"/>
    <n v="0"/>
    <n v="0"/>
    <n v="1.2690000000000002E-3"/>
    <n v="76.287204000000003"/>
    <n v="0"/>
    <n v="76.287204000000003"/>
  </r>
  <r>
    <x v="174"/>
    <x v="174"/>
    <x v="327"/>
    <n v="43.35"/>
    <n v="43.35"/>
    <n v="2.6939000000000004E-3"/>
    <n v="161.94649240000001"/>
    <n v="8.9255999999999993"/>
    <n v="170.87209240000001"/>
  </r>
  <r>
    <x v="174"/>
    <x v="174"/>
    <x v="328"/>
    <n v="0"/>
    <n v="0"/>
    <n v="3.6749999999999999E-4"/>
    <n v="22.09263"/>
    <n v="0"/>
    <n v="22.09263"/>
  </r>
  <r>
    <x v="174"/>
    <x v="174"/>
    <x v="329"/>
    <n v="0"/>
    <n v="0"/>
    <n v="1.2690000000000002E-3"/>
    <n v="76.287204000000003"/>
    <n v="0"/>
    <n v="76.287204000000003"/>
  </r>
  <r>
    <x v="175"/>
    <x v="175"/>
    <x v="330"/>
    <n v="33.200000000000003"/>
    <n v="33.200000000000003"/>
    <n v="2.6939000000000004E-3"/>
    <n v="161.94649240000001"/>
    <n v="8.9255999999999993"/>
    <n v="170.87209240000001"/>
  </r>
  <r>
    <x v="176"/>
    <x v="176"/>
    <x v="331"/>
    <n v="68"/>
    <n v="68"/>
    <n v="4.4973999999999995E-3"/>
    <n v="270.36569839999999"/>
    <n v="26.776800000000001"/>
    <n v="297.14249839999997"/>
  </r>
  <r>
    <x v="177"/>
    <x v="177"/>
    <x v="332"/>
    <n v="43.35"/>
    <n v="43.35"/>
    <n v="2.6939000000000004E-3"/>
    <n v="161.94649240000001"/>
    <n v="0"/>
    <n v="161.94649240000001"/>
  </r>
  <r>
    <x v="177"/>
    <x v="177"/>
    <x v="333"/>
    <n v="0"/>
    <n v="0"/>
    <n v="3.6749999999999999E-4"/>
    <n v="22.09263"/>
    <n v="0"/>
    <n v="22.09263"/>
  </r>
  <r>
    <x v="178"/>
    <x v="178"/>
    <x v="334"/>
    <n v="74.599999999999994"/>
    <n v="74.599999999999994"/>
    <n v="4.4973999999999995E-3"/>
    <n v="270.36569839999999"/>
    <n v="23.801600000000001"/>
    <n v="294.16729839999999"/>
  </r>
  <r>
    <x v="178"/>
    <x v="178"/>
    <x v="335"/>
    <n v="0"/>
    <n v="0"/>
    <n v="1.2690000000000002E-3"/>
    <n v="76.287204000000003"/>
    <n v="0"/>
    <n v="76.287204000000003"/>
  </r>
  <r>
    <x v="179"/>
    <x v="179"/>
    <x v="336"/>
    <n v="66.45"/>
    <n v="66.45"/>
    <n v="4.4973999999999995E-3"/>
    <n v="270.36569839999999"/>
    <n v="8.9255999999999993"/>
    <n v="279.29129839999996"/>
  </r>
  <r>
    <x v="180"/>
    <x v="180"/>
    <x v="337"/>
    <n v="77.05"/>
    <n v="77.05"/>
    <n v="4.4973999999999995E-3"/>
    <n v="270.36569839999999"/>
    <n v="23.801600000000001"/>
    <n v="294.16729839999999"/>
  </r>
  <r>
    <x v="180"/>
    <x v="180"/>
    <x v="338"/>
    <n v="0"/>
    <n v="0"/>
    <n v="1.2690000000000002E-3"/>
    <n v="76.287204000000003"/>
    <n v="0"/>
    <n v="76.287204000000003"/>
  </r>
  <r>
    <x v="181"/>
    <x v="181"/>
    <x v="339"/>
    <n v="78.95"/>
    <n v="78.95"/>
    <n v="4.4973999999999995E-3"/>
    <n v="270.36569839999999"/>
    <n v="32.727200000000003"/>
    <n v="303.09289839999997"/>
  </r>
  <r>
    <x v="181"/>
    <x v="181"/>
    <x v="340"/>
    <n v="0"/>
    <n v="0"/>
    <n v="1.2690000000000002E-3"/>
    <n v="76.287204000000003"/>
    <n v="0"/>
    <n v="76.287204000000003"/>
  </r>
  <r>
    <x v="182"/>
    <x v="182"/>
    <x v="341"/>
    <n v="76.150000000000006"/>
    <n v="76.150000000000006"/>
    <n v="4.4973999999999995E-3"/>
    <n v="270.36569839999999"/>
    <n v="86.280799999999999"/>
    <n v="356.64649839999998"/>
  </r>
  <r>
    <x v="182"/>
    <x v="182"/>
    <x v="342"/>
    <n v="0"/>
    <n v="0"/>
    <n v="1.2690000000000002E-3"/>
    <n v="76.287204000000003"/>
    <n v="0"/>
    <n v="76.287204000000003"/>
  </r>
  <r>
    <x v="183"/>
    <x v="183"/>
    <x v="343"/>
    <n v="92.5"/>
    <n v="92.5"/>
    <n v="5.6772999999999997E-3"/>
    <n v="341.29656679999999"/>
    <n v="11.9008"/>
    <n v="353.1973668"/>
  </r>
  <r>
    <x v="183"/>
    <x v="183"/>
    <x v="344"/>
    <n v="0"/>
    <n v="0"/>
    <n v="1.2690000000000002E-3"/>
    <n v="76.287204000000003"/>
    <n v="0"/>
    <n v="76.287204000000003"/>
  </r>
  <r>
    <x v="183"/>
    <x v="183"/>
    <x v="345"/>
    <n v="0"/>
    <n v="0"/>
    <n v="1.2690000000000002E-3"/>
    <n v="76.287204000000003"/>
    <n v="0"/>
    <n v="76.287204000000003"/>
  </r>
  <r>
    <x v="184"/>
    <x v="184"/>
    <x v="346"/>
    <n v="33.200000000000003"/>
    <n v="33.200000000000003"/>
    <n v="2.6939000000000004E-3"/>
    <n v="161.94649240000001"/>
    <n v="0"/>
    <n v="161.94649240000001"/>
  </r>
  <r>
    <x v="184"/>
    <x v="184"/>
    <x v="347"/>
    <n v="0"/>
    <n v="0"/>
    <n v="1.2690000000000002E-3"/>
    <n v="76.287204000000003"/>
    <n v="0"/>
    <n v="76.287204000000003"/>
  </r>
  <r>
    <x v="185"/>
    <x v="185"/>
    <x v="348"/>
    <n v="78.95"/>
    <n v="78.95"/>
    <n v="4.4973999999999995E-3"/>
    <n v="270.36569839999999"/>
    <n v="53.553600000000003"/>
    <n v="323.9192984"/>
  </r>
  <r>
    <x v="185"/>
    <x v="185"/>
    <x v="349"/>
    <n v="0"/>
    <n v="0"/>
    <n v="1.2690000000000002E-3"/>
    <n v="76.287204000000003"/>
    <n v="0"/>
    <n v="76.287204000000003"/>
  </r>
  <r>
    <x v="186"/>
    <x v="186"/>
    <x v="350"/>
    <n v="92.5"/>
    <n v="92.5"/>
    <n v="5.6772999999999997E-3"/>
    <n v="341.29656679999999"/>
    <n v="0"/>
    <n v="341.29656679999999"/>
  </r>
  <r>
    <x v="186"/>
    <x v="186"/>
    <x v="351"/>
    <n v="0"/>
    <n v="0"/>
    <n v="3.6749999999999999E-4"/>
    <n v="22.09263"/>
    <n v="0"/>
    <n v="22.09263"/>
  </r>
  <r>
    <x v="186"/>
    <x v="186"/>
    <x v="352"/>
    <n v="0"/>
    <n v="0"/>
    <n v="1.2690000000000002E-3"/>
    <n v="76.287204000000003"/>
    <n v="0"/>
    <n v="76.287204000000003"/>
  </r>
  <r>
    <x v="187"/>
    <x v="187"/>
    <x v="353"/>
    <n v="33.200000000000003"/>
    <n v="33.200000000000003"/>
    <n v="2.6939000000000004E-3"/>
    <n v="161.94649240000001"/>
    <n v="0"/>
    <n v="161.94649240000001"/>
  </r>
  <r>
    <x v="188"/>
    <x v="188"/>
    <x v="354"/>
    <n v="77.05"/>
    <n v="77.05"/>
    <n v="4.4973999999999995E-3"/>
    <n v="270.36569839999999"/>
    <n v="0"/>
    <n v="270.36569839999999"/>
  </r>
  <r>
    <x v="188"/>
    <x v="188"/>
    <x v="355"/>
    <n v="0"/>
    <n v="0"/>
    <n v="1.2690000000000002E-3"/>
    <n v="76.287204000000003"/>
    <n v="0"/>
    <n v="76.287204000000003"/>
  </r>
  <r>
    <x v="188"/>
    <x v="188"/>
    <x v="356"/>
    <n v="0"/>
    <n v="0"/>
    <n v="1.2690000000000002E-3"/>
    <n v="76.287204000000003"/>
    <n v="0"/>
    <n v="76.287204000000003"/>
  </r>
  <r>
    <x v="189"/>
    <x v="189"/>
    <x v="357"/>
    <n v="81"/>
    <n v="81"/>
    <n v="4.4973999999999995E-3"/>
    <n v="270.36569839999999"/>
    <n v="49.17113039999996"/>
    <n v="319.53682879999997"/>
  </r>
  <r>
    <x v="189"/>
    <x v="189"/>
    <x v="358"/>
    <n v="0"/>
    <n v="0"/>
    <n v="1.2690000000000002E-3"/>
    <n v="76.287204000000003"/>
    <n v="0"/>
    <n v="76.287204000000003"/>
  </r>
  <r>
    <x v="190"/>
    <x v="190"/>
    <x v="359"/>
    <n v="66.45"/>
    <n v="66.45"/>
    <n v="4.4973999999999995E-3"/>
    <n v="270.36569839999999"/>
    <n v="14.876000000000001"/>
    <n v="285.24169839999996"/>
  </r>
  <r>
    <x v="190"/>
    <x v="190"/>
    <x v="360"/>
    <n v="0"/>
    <n v="0"/>
    <n v="1.2690000000000002E-3"/>
    <n v="76.287204000000003"/>
    <n v="0"/>
    <n v="76.287204000000003"/>
  </r>
  <r>
    <x v="191"/>
    <x v="191"/>
    <x v="361"/>
    <n v="33"/>
    <n v="33"/>
    <n v="2.6939000000000004E-3"/>
    <n v="161.94649240000001"/>
    <n v="5.2601536000000024"/>
    <n v="167.20664600000001"/>
  </r>
  <r>
    <x v="192"/>
    <x v="192"/>
    <x v="362"/>
    <n v="68"/>
    <n v="68"/>
    <n v="4.4973999999999995E-3"/>
    <n v="270.36569839999999"/>
    <n v="2.9752000000000001"/>
    <n v="273.34089839999996"/>
  </r>
  <r>
    <x v="192"/>
    <x v="192"/>
    <x v="363"/>
    <n v="0"/>
    <n v="0"/>
    <n v="3.6749999999999999E-4"/>
    <n v="22.09263"/>
    <n v="0"/>
    <n v="22.09263"/>
  </r>
  <r>
    <x v="192"/>
    <x v="192"/>
    <x v="364"/>
    <n v="0"/>
    <n v="0"/>
    <n v="1.2690000000000002E-3"/>
    <n v="76.287204000000003"/>
    <n v="0"/>
    <n v="76.287204000000003"/>
  </r>
  <r>
    <x v="193"/>
    <x v="193"/>
    <x v="365"/>
    <n v="74.599999999999994"/>
    <n v="74.599999999999994"/>
    <n v="4.4973999999999995E-3"/>
    <n v="270.36569839999999"/>
    <n v="5.9504000000000001"/>
    <n v="276.31609839999999"/>
  </r>
  <r>
    <x v="193"/>
    <x v="193"/>
    <x v="366"/>
    <n v="0"/>
    <n v="0"/>
    <n v="1.2689999999999999E-3"/>
    <n v="76.287204000000003"/>
    <n v="0"/>
    <n v="76.287204000000003"/>
  </r>
  <r>
    <x v="194"/>
    <x v="194"/>
    <x v="367"/>
    <n v="43.35"/>
    <n v="43.35"/>
    <n v="2.6939000000000004E-3"/>
    <n v="161.94649240000001"/>
    <n v="11.9008"/>
    <n v="173.84729240000001"/>
  </r>
  <r>
    <x v="195"/>
    <x v="195"/>
    <x v="368"/>
    <n v="76.150000000000006"/>
    <n v="76.150000000000006"/>
    <n v="4.4973999999999995E-3"/>
    <n v="270.36569839999999"/>
    <n v="68.429600000000008"/>
    <n v="338.79529839999998"/>
  </r>
  <r>
    <x v="195"/>
    <x v="195"/>
    <x v="369"/>
    <n v="0"/>
    <n v="0"/>
    <n v="1.2690000000000002E-3"/>
    <n v="76.287204000000003"/>
    <n v="0"/>
    <n v="76.287204000000003"/>
  </r>
  <r>
    <x v="196"/>
    <x v="196"/>
    <x v="370"/>
    <n v="76.150000000000006"/>
    <n v="76.150000000000006"/>
    <n v="4.4973999999999995E-3"/>
    <n v="270.36569839999999"/>
    <n v="26.776800000000001"/>
    <n v="297.14249839999997"/>
  </r>
  <r>
    <x v="196"/>
    <x v="196"/>
    <x v="371"/>
    <n v="0"/>
    <n v="0"/>
    <n v="1.2690000000000002E-3"/>
    <n v="76.287204000000003"/>
    <n v="0"/>
    <n v="76.287204000000003"/>
  </r>
  <r>
    <x v="197"/>
    <x v="197"/>
    <x v="372"/>
    <n v="128.6"/>
    <n v="171.1"/>
    <n v="6.2785000000000002E-3"/>
    <n v="377.43830600000001"/>
    <n v="23.801600000000001"/>
    <n v="401.23990600000002"/>
  </r>
  <r>
    <x v="197"/>
    <x v="197"/>
    <x v="373"/>
    <n v="0"/>
    <n v="0"/>
    <n v="1.2690000000000002E-3"/>
    <n v="76.287204000000003"/>
    <n v="0"/>
    <n v="76.287204000000003"/>
  </r>
  <r>
    <x v="198"/>
    <x v="198"/>
    <x v="374"/>
    <n v="0"/>
    <n v="0"/>
    <n v="1.2690000000000002E-3"/>
    <n v="76.287204000000003"/>
    <n v="0"/>
    <n v="76.287204000000003"/>
  </r>
  <r>
    <x v="199"/>
    <x v="199"/>
    <x v="375"/>
    <n v="0"/>
    <n v="0"/>
    <n v="1.2690000000000002E-3"/>
    <n v="76.287204000000003"/>
    <n v="0"/>
    <n v="76.287204000000003"/>
  </r>
  <r>
    <x v="200"/>
    <x v="200"/>
    <x v="376"/>
    <n v="0"/>
    <n v="0"/>
    <n v="3.6749999999999999E-4"/>
    <n v="22.09263"/>
    <n v="0"/>
    <n v="22.09263"/>
  </r>
  <r>
    <x v="200"/>
    <x v="200"/>
    <x v="377"/>
    <n v="0"/>
    <n v="0"/>
    <n v="3.6749999999999999E-4"/>
    <n v="22.09263"/>
    <n v="0"/>
    <n v="22.09263"/>
  </r>
  <r>
    <x v="201"/>
    <x v="201"/>
    <x v="378"/>
    <n v="0"/>
    <n v="0"/>
    <n v="1.2690000000000002E-3"/>
    <n v="76.287204000000003"/>
    <n v="0"/>
    <n v="76.287204000000003"/>
  </r>
  <r>
    <x v="202"/>
    <x v="202"/>
    <x v="164"/>
    <n v="68"/>
    <n v="68"/>
    <n v="4.4973999999999995E-3"/>
    <n v="270.36569839999999"/>
    <n v="2.9752000000000001"/>
    <n v="273.34089839999996"/>
  </r>
  <r>
    <x v="202"/>
    <x v="202"/>
    <x v="165"/>
    <n v="0"/>
    <n v="0"/>
    <n v="1.2690000000000002E-3"/>
    <n v="76.287204000000003"/>
    <n v="0"/>
    <n v="76.287204000000003"/>
  </r>
  <r>
    <x v="203"/>
    <x v="203"/>
    <x v="379"/>
    <n v="0"/>
    <n v="0"/>
    <n v="0"/>
    <n v="0"/>
    <n v="142.80959999999999"/>
    <n v="142.8095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n v="8"/>
    <x v="0"/>
    <s v="varios"/>
    <n v="0"/>
    <s v="9999999"/>
    <x v="0"/>
    <m/>
    <s v="GENERICO"/>
  </r>
  <r>
    <n v="8"/>
    <x v="1"/>
    <s v="TRANSF.BCO.INTERBANK"/>
    <n v="306.42"/>
    <s v="02130246"/>
    <x v="1"/>
    <s v="2025-08"/>
    <s v="BLAS-OLIVER-LIDIA"/>
  </r>
  <r>
    <n v="8"/>
    <x v="1"/>
    <s v="TRAN.CTAS.TERC.BM"/>
    <n v="580"/>
    <s v="01030013"/>
    <x v="2"/>
    <s v="lounge"/>
    <s v="BUSTAMANTE RUIZ EDUARDO CARLOS"/>
  </r>
  <r>
    <n v="8"/>
    <x v="1"/>
    <s v="TRAN.CTAS.TERC.BM"/>
    <n v="333.9"/>
    <s v="01528693"/>
    <x v="3"/>
    <s v="2025-07"/>
    <s v="CARDENAS MORIANO HEVELYNE HILDA"/>
  </r>
  <r>
    <n v="8"/>
    <x v="1"/>
    <s v="TRAN.CTAS.TERC.BM"/>
    <n v="411.38"/>
    <s v="04244321"/>
    <x v="4"/>
    <s v="2025-08"/>
    <s v="CELI GUTIERREZ DIANA KARINA"/>
  </r>
  <r>
    <n v="8"/>
    <x v="1"/>
    <s v="TRAN.CTAS.TERC.BM"/>
    <n v="275.58"/>
    <s v="04079146"/>
    <x v="5"/>
    <s v="2025-08"/>
    <s v="CUBA REYES ANGIE CONSUELO LESLIE"/>
  </r>
  <r>
    <n v="8"/>
    <x v="1"/>
    <s v="TRAN.CTAS.TERC.BM"/>
    <n v="168.8"/>
    <s v="01403678"/>
    <x v="6"/>
    <s v="2025-08"/>
    <s v="HUERTA HUERTA CARLA ALESSANDRA"/>
  </r>
  <r>
    <n v="8"/>
    <x v="1"/>
    <s v="TRANSF.BCO.BBVA"/>
    <n v="23.37"/>
    <s v="02276178"/>
    <x v="7"/>
    <s v="2025-08"/>
    <s v="JOSE AUGUSTO CANDELA ROJAS"/>
  </r>
  <r>
    <n v="8"/>
    <x v="1"/>
    <s v="TRANSF.BCO.BBVA"/>
    <n v="372.01"/>
    <s v="02271919"/>
    <x v="8"/>
    <s v="2025-08"/>
    <s v="MARIA GISELLA YOUNG GUERRERO"/>
  </r>
  <r>
    <n v="8"/>
    <x v="1"/>
    <s v="TRAN.CTAS.TERC.BM"/>
    <n v="301.72000000000003"/>
    <s v="01860628"/>
    <x v="9"/>
    <s v="2025-08"/>
    <s v="MENDOZA BAZAN SILVIA VERONICA"/>
  </r>
  <r>
    <n v="8"/>
    <x v="1"/>
    <s v="TRAN.CTAS.TERC.BM"/>
    <n v="455.51"/>
    <s v="03214653"/>
    <x v="10"/>
    <s v="2025-08"/>
    <s v="NUNEZ ESTRADA YULY CRISTINA"/>
  </r>
  <r>
    <n v="8"/>
    <x v="1"/>
    <s v="TRAN.CTAS.TERC.HK"/>
    <n v="168.8"/>
    <s v="06046753"/>
    <x v="11"/>
    <s v="2025-08"/>
    <s v="OLIVARES SAAVEDRA JAIME ALBERTO"/>
  </r>
  <r>
    <n v="8"/>
    <x v="1"/>
    <s v="TRANSF.BCO.INTERBANK"/>
    <n v="404.47"/>
    <s v="02185017"/>
    <x v="12"/>
    <s v="2025-08"/>
    <s v="ORE-ROSARIO-CRISTOPHER"/>
  </r>
  <r>
    <n v="8"/>
    <x v="1"/>
    <s v="TRAN.CTAS.TERC.BM"/>
    <n v="380.04"/>
    <s v="04046820"/>
    <x v="13"/>
    <s v="2025-08"/>
    <s v="REGALADO SANTANA MARIA CELINDA"/>
  </r>
  <r>
    <n v="8"/>
    <x v="1"/>
    <s v="ENTREGA C/CHEQUES FUE"/>
    <n v="127565.13"/>
    <s v="00788858"/>
    <x v="14"/>
    <s v="sin identificar"/>
    <s v="VENTANILLA"/>
  </r>
  <r>
    <n v="8"/>
    <x v="2"/>
    <s v="TRAN.CTAS.TERC.BM"/>
    <n v="365.78"/>
    <s v="05144617"/>
    <x v="15"/>
    <s v="2025-08"/>
    <s v="CAO NN DACHAO"/>
  </r>
  <r>
    <n v="8"/>
    <x v="2"/>
    <s v="TRANSF.BCO.BBVA"/>
    <n v="172.54"/>
    <s v="02949004"/>
    <x v="16"/>
    <s v="2025-08"/>
    <s v="FIORELLA TOLEDO MUENTE"/>
  </r>
  <r>
    <n v="8"/>
    <x v="2"/>
    <s v="TRAN.CTAS.TERC.BM"/>
    <n v="5"/>
    <s v="01542778"/>
    <x v="14"/>
    <s v="sin identificar"/>
    <s v="FLORES MORALES MELISSA"/>
  </r>
  <r>
    <n v="8"/>
    <x v="2"/>
    <s v="TRAN.CTAS.TERC.BM"/>
    <n v="365.8"/>
    <s v="00150906"/>
    <x v="17"/>
    <s v="2025-08"/>
    <s v="HUANAY MARTINEZ FRANZ CESAR"/>
  </r>
  <r>
    <n v="8"/>
    <x v="2"/>
    <s v="TRANSF.BCO.SCOTIABANK"/>
    <n v="173.01"/>
    <s v="02524685"/>
    <x v="18"/>
    <s v="2025-08"/>
    <s v="JOSE SALDARRIAGA CEDANO"/>
  </r>
  <r>
    <n v="8"/>
    <x v="2"/>
    <s v="TRAN.CTAS.TERC.BM"/>
    <n v="242.83"/>
    <s v="00848723"/>
    <x v="19"/>
    <s v="2025-08"/>
    <s v="LOCK GOVEA JOSE EDILBERTO"/>
  </r>
  <r>
    <n v="8"/>
    <x v="2"/>
    <s v="TRAN.CTAS.TERC.BM"/>
    <n v="261.5"/>
    <s v="00157192"/>
    <x v="20"/>
    <s v="2025-08"/>
    <s v="MEJIA TURRIATE DEBORA DICK"/>
  </r>
  <r>
    <n v="8"/>
    <x v="2"/>
    <s v="TRAN.CTAS.TERC.BM"/>
    <n v="580"/>
    <s v="00589497"/>
    <x v="2"/>
    <s v="lounge"/>
    <s v="MILUSKA CRIS TAPIA CASARETTO"/>
  </r>
  <r>
    <n v="8"/>
    <x v="2"/>
    <s v="TRAN.CTAS.TERC.BM"/>
    <n v="265.23"/>
    <s v="00669135"/>
    <x v="21"/>
    <s v="2025-08"/>
    <s v="MILUSKA CRIS TAPIA CASARETTO"/>
  </r>
  <r>
    <n v="8"/>
    <x v="2"/>
    <s v="TRANSF.BCO.INTERBANK"/>
    <n v="507.9"/>
    <s v="02556593"/>
    <x v="22"/>
    <s v="2025-08"/>
    <s v="RAMOS-REQUEJO-MABEL"/>
  </r>
  <r>
    <n v="8"/>
    <x v="2"/>
    <s v="TRAN.CTAS.TERC.BM"/>
    <n v="379.48"/>
    <s v="00603438"/>
    <x v="23"/>
    <s v="2025-08"/>
    <s v="RUIZ SANDOVAL FLOR DE MARIA"/>
  </r>
  <r>
    <n v="8"/>
    <x v="2"/>
    <s v="TRAN.CTAS.TERC.BM"/>
    <n v="175.82"/>
    <s v="05034305"/>
    <x v="24"/>
    <s v="2025-08"/>
    <s v="TIPON GALVIS MICHAEL"/>
  </r>
  <r>
    <n v="8"/>
    <x v="2"/>
    <s v="TRAN.CTAS.TERC.BM"/>
    <n v="195.06"/>
    <s v="03392234"/>
    <x v="25"/>
    <s v="2025-08"/>
    <s v="VALDEZ CADENILLAS AGUSTIN"/>
  </r>
  <r>
    <n v="8"/>
    <x v="2"/>
    <s v="TRAN.CTAS.TERC.BM"/>
    <n v="165.07"/>
    <s v="01737357"/>
    <x v="26"/>
    <s v="2025-08"/>
    <s v="VALDIVIA OBANDO OSCAR EDMUNDO FRANCISCO"/>
  </r>
  <r>
    <n v="8"/>
    <x v="2"/>
    <s v="DEPOSITO AG 971093"/>
    <n v="468"/>
    <s v="00048102"/>
    <x v="27"/>
    <s v="2025-08"/>
    <m/>
  </r>
  <r>
    <n v="8"/>
    <x v="3"/>
    <s v="DEPOSITO AG 981945"/>
    <n v="429.4"/>
    <s v="00090790"/>
    <x v="28"/>
    <s v="2025-08"/>
    <s v="CISNEROS CAHUANA JUANA CLENIA"/>
  </r>
  <r>
    <n v="8"/>
    <x v="3"/>
    <s v="TRAN.CTAS.TERC.BM"/>
    <n v="374.56"/>
    <s v="03212730"/>
    <x v="29"/>
    <s v="2025-08"/>
    <s v="CORDERO VILCA PEDRO LUIS"/>
  </r>
  <r>
    <n v="8"/>
    <x v="3"/>
    <s v="TRANSF.BCO.SCOTIABANK"/>
    <n v="181.74"/>
    <s v="02868748"/>
    <x v="30"/>
    <s v="2025-08"/>
    <s v="DIEGO SEGURA MENDEZ"/>
  </r>
  <r>
    <n v="8"/>
    <x v="3"/>
    <s v="TRANSF.BCO.INTERBANK"/>
    <n v="316.64999999999998"/>
    <s v="02132541"/>
    <x v="31"/>
    <s v="2025-08"/>
    <s v="GARCIA-SUAREZ-CARLOS"/>
  </r>
  <r>
    <n v="8"/>
    <x v="3"/>
    <s v="TRAN.CTAS.TERC.BM"/>
    <n v="243.49"/>
    <s v="01430615"/>
    <x v="32"/>
    <s v="2025-08"/>
    <s v="GUERRERO GUERRERO BENNER ROLAN"/>
  </r>
  <r>
    <n v="8"/>
    <x v="3"/>
    <s v="TRAN.CTAS.TERC.BM"/>
    <n v="202.41"/>
    <s v="04731144"/>
    <x v="33"/>
    <s v="2025-08"/>
    <s v="MEDINA SARMIENTO JAVIER"/>
  </r>
  <r>
    <n v="8"/>
    <x v="3"/>
    <s v="TRAN.CTAS.TERC.BM"/>
    <n v="312.92"/>
    <s v="00668414"/>
    <x v="34"/>
    <s v="2025-08"/>
    <s v="MONICA JULIE GUERRERO ABARCA"/>
  </r>
  <r>
    <n v="8"/>
    <x v="3"/>
    <s v="TRANSF.BCO.INTERBANK"/>
    <n v="175.66"/>
    <s v="02267630"/>
    <x v="35"/>
    <s v="2025-08"/>
    <s v="MORALES-DURAND-DE-DURAN-ZANDRA"/>
  </r>
  <r>
    <n v="8"/>
    <x v="3"/>
    <s v="TRAN.CTAS.TERC.BM"/>
    <n v="372.01"/>
    <s v="01569667"/>
    <x v="36"/>
    <s v="2025-08"/>
    <s v="NEIRA UN JAN MILAGROS ANDREA"/>
  </r>
  <r>
    <n v="8"/>
    <x v="3"/>
    <s v="TRAN.CTAS.TERC.HK"/>
    <n v="77.760000000000005"/>
    <s v="06017738"/>
    <x v="37"/>
    <s v="2025-07"/>
    <s v="ORELLANA VARGAS CARMEN ROSA"/>
  </r>
  <r>
    <n v="8"/>
    <x v="4"/>
    <s v="DE BERTOLOTTO INVESTME"/>
    <n v="2056.59"/>
    <s v="02050826"/>
    <x v="38"/>
    <s v="2025-08"/>
    <s v="BERTOLOTTO INVESTMENTS S.A.C."/>
  </r>
  <r>
    <n v="8"/>
    <x v="4"/>
    <s v="TRAN.CTAS.TERC.BM"/>
    <n v="389.76"/>
    <s v="04758347"/>
    <x v="39"/>
    <s v="2025-07"/>
    <s v="DE-LA-CRUZ DELGADO WALTER"/>
  </r>
  <r>
    <n v="8"/>
    <x v="4"/>
    <s v="TRAN.CTAS.TERC.BM"/>
    <n v="401.88"/>
    <s v="04507172"/>
    <x v="40"/>
    <s v="2025-08"/>
    <s v="FLORES GARCIA KATIUSKA TERESA"/>
  </r>
  <r>
    <n v="8"/>
    <x v="4"/>
    <s v="TRAN.CTAS.TERC.BM"/>
    <n v="425.63"/>
    <s v="05275043"/>
    <x v="41"/>
    <s v="2025-08"/>
    <s v="HENDRICK FONG OSCAR ALEJANDRO"/>
  </r>
  <r>
    <n v="8"/>
    <x v="4"/>
    <s v="TRANSF.BCO.INTERBANK"/>
    <n v="171.23"/>
    <s v="02544870"/>
    <x v="42"/>
    <s v="2025-08"/>
    <s v="HERRERA-CASTRO-VANESA"/>
  </r>
  <r>
    <n v="8"/>
    <x v="4"/>
    <s v="TRANSF.BCO.INTERBANK"/>
    <n v="77.760000000000005"/>
    <s v="02585059"/>
    <x v="43"/>
    <s v="2025-08"/>
    <s v="HERRERA-CASTRO-VANESA"/>
  </r>
  <r>
    <n v="8"/>
    <x v="4"/>
    <s v="TRANSF.BCO.INTERBANK"/>
    <n v="254.03"/>
    <s v="02597032"/>
    <x v="44"/>
    <s v="2025-08"/>
    <s v="JUSTO-NIETO-MILENA"/>
  </r>
  <r>
    <n v="8"/>
    <x v="4"/>
    <s v="TRAN.CTAS.TERC.BM"/>
    <n v="381.5"/>
    <s v="02625761"/>
    <x v="45"/>
    <s v="2025-08"/>
    <s v="LIANG NN YANQIU"/>
  </r>
  <r>
    <n v="8"/>
    <x v="4"/>
    <s v="TRAN.CTAS.TERC.BM"/>
    <n v="868.33"/>
    <s v="01175882"/>
    <x v="46"/>
    <s v="2025-08"/>
    <s v="MARULANDA HIDALGO BRIGIDO HORACIO"/>
  </r>
  <r>
    <n v="8"/>
    <x v="4"/>
    <s v="TRAN.CTAS.TERC.BM"/>
    <n v="319.19"/>
    <s v="01645935"/>
    <x v="47"/>
    <s v="2025-08"/>
    <s v="ORTEGA DELGADILLO EMPERATRIZ"/>
  </r>
  <r>
    <n v="8"/>
    <x v="4"/>
    <s v="TRANSF.BCO.BBVA"/>
    <n v="489.12"/>
    <s v="02628817"/>
    <x v="48"/>
    <s v="2025-08"/>
    <s v="PABLO ABEL MINIANO GARCIA"/>
  </r>
  <r>
    <n v="8"/>
    <x v="4"/>
    <s v="TRAN.CTAS.TERC.BM"/>
    <n v="488.43"/>
    <s v="02671269"/>
    <x v="49"/>
    <s v="2025-08"/>
    <s v="PANIAGUA HARTLEY SANDRO MIGUEL"/>
  </r>
  <r>
    <n v="8"/>
    <x v="4"/>
    <s v="TRAN.CTAS.TERC.BM"/>
    <n v="250.3"/>
    <s v="01847778"/>
    <x v="50"/>
    <s v="2025-08"/>
    <s v="RAMOS GUTTI DANIEL FRANCISCO"/>
  </r>
  <r>
    <n v="8"/>
    <x v="4"/>
    <s v="TRAN.CTAS.TERC.BM"/>
    <n v="191.21"/>
    <s v="02648966"/>
    <x v="51"/>
    <s v="2025-08"/>
    <s v="REZUKHIN NN DMITRII"/>
  </r>
  <r>
    <n v="8"/>
    <x v="4"/>
    <s v="TRAN.CTAS.TERC.BM"/>
    <n v="269.08"/>
    <s v="02039976"/>
    <x v="52"/>
    <s v="2025-08"/>
    <s v="SALINAS SOUZA CARLOS ENRIQUE JOSE ALFR"/>
  </r>
  <r>
    <n v="8"/>
    <x v="5"/>
    <s v="TRAN.CTAS.TERC.HK"/>
    <n v="294.25"/>
    <s v="06068949"/>
    <x v="53"/>
    <s v="2025-08"/>
    <s v="BASTERRECHEA NN JIMMY"/>
  </r>
  <r>
    <n v="8"/>
    <x v="5"/>
    <s v="TRANSF.BCO.INTERBANK"/>
    <n v="191.21"/>
    <s v="02477847"/>
    <x v="54"/>
    <s v="2025-08"/>
    <s v="CHAVEZ-TAGLE-SISLEY"/>
  </r>
  <r>
    <n v="8"/>
    <x v="5"/>
    <s v="TRANSF.BCO.SCOTIABANK"/>
    <n v="30"/>
    <s v="02575512"/>
    <x v="2"/>
    <s v="cine"/>
    <s v="EDWARD SANDOVAL AMASIFUEN"/>
  </r>
  <r>
    <n v="8"/>
    <x v="5"/>
    <s v="TRAN.CTAS.TERC.BM"/>
    <n v="394.41"/>
    <s v="02466805"/>
    <x v="55"/>
    <s v="2025-08"/>
    <s v="FIGUEROA MARQUEZ ELIZABETH JANETH"/>
  </r>
  <r>
    <n v="8"/>
    <x v="5"/>
    <s v="TRAN.CTAS.TERC.BM"/>
    <n v="189.6"/>
    <s v="05405035"/>
    <x v="56"/>
    <s v="2025-08"/>
    <s v="GUTIERREZ CORDOVA ANGELA PIERINA"/>
  </r>
  <r>
    <n v="8"/>
    <x v="5"/>
    <s v="TRAN.CTAS.TERC.BM"/>
    <n v="368.27"/>
    <s v="04379962"/>
    <x v="57"/>
    <s v="2025-08"/>
    <s v="GUTIERREZ GUERRERO YEISON MARTIN"/>
  </r>
  <r>
    <n v="8"/>
    <x v="5"/>
    <s v="TRANSF.BCO.SCOTIABANK"/>
    <n v="375.74"/>
    <s v="02641744"/>
    <x v="58"/>
    <s v="2025-08"/>
    <s v="JOSE LAMADRID MESONES"/>
  </r>
  <r>
    <n v="8"/>
    <x v="5"/>
    <s v="TRAN.CTAS.TERC.BM"/>
    <n v="407.07"/>
    <s v="02159673"/>
    <x v="59"/>
    <s v="2025-08"/>
    <s v="PARI NUNEZ LEONOR"/>
  </r>
  <r>
    <n v="8"/>
    <x v="5"/>
    <s v="TRANSF.BCO.INTERBANK"/>
    <n v="383.21"/>
    <s v="02969072"/>
    <x v="60"/>
    <s v="2025-08"/>
    <s v="PUJOL-CORRECHER-EDUARDO"/>
  </r>
  <r>
    <n v="8"/>
    <x v="5"/>
    <s v="TRANSF.BCO.INTERBANK"/>
    <n v="12.550000000000011"/>
    <s v="02969072"/>
    <x v="60"/>
    <s v="2025-09"/>
    <s v="PUJOL-CORRECHER-EDUARDO"/>
  </r>
  <r>
    <n v="8"/>
    <x v="5"/>
    <s v="TRAN.CTAS.TERC.BM"/>
    <n v="378.24"/>
    <s v="06316368"/>
    <x v="61"/>
    <s v="2025-08"/>
    <s v="TORRES VILLANTOY SUSAN VICTORIA"/>
  </r>
  <r>
    <n v="8"/>
    <x v="5"/>
    <s v="TRAN.CTAS.TERC.BM"/>
    <n v="405.61"/>
    <s v="04057037"/>
    <x v="62"/>
    <s v="2025-08"/>
    <s v="ZAPATA VELASCO ANGELA PATRICIA"/>
  </r>
  <r>
    <n v="8"/>
    <x v="6"/>
    <s v="TRAN.CTAS.TERC.BM"/>
    <n v="328.03"/>
    <s v="04243181"/>
    <x v="63"/>
    <s v="2025-07"/>
    <s v="CARDENAS MORIANO WOLFGAN ANGEL"/>
  </r>
  <r>
    <n v="8"/>
    <x v="6"/>
    <s v="TRAN.CTAS.TERC.BM"/>
    <n v="327.97"/>
    <s v="04243181"/>
    <x v="63"/>
    <s v="2025-08"/>
    <s v="CARDENAS MORIANO WOLFGAN ANGEL"/>
  </r>
  <r>
    <n v="8"/>
    <x v="6"/>
    <s v="TRAN.CTAS.TERC.BM"/>
    <n v="77.760000000000005"/>
    <s v="01147563"/>
    <x v="64"/>
    <s v="2025-08"/>
    <s v="GODOY ACOSTA NORA EULALIA"/>
  </r>
  <r>
    <n v="8"/>
    <x v="6"/>
    <s v="TRAN.CTAS.TERC.BM"/>
    <n v="639.25"/>
    <s v="03089984"/>
    <x v="65"/>
    <s v="2025-08"/>
    <s v="SOTO CONDORI GIANFRANCO"/>
  </r>
  <r>
    <n v="9"/>
    <x v="7"/>
    <s v="TRAN.CTAS.TERC.BM"/>
    <n v="395.76"/>
    <s v="04365232"/>
    <x v="66"/>
    <s v="2025-08"/>
    <s v="CAPILLO TELLO LICET"/>
  </r>
  <r>
    <n v="9"/>
    <x v="7"/>
    <s v="TRANSF.BCO.INTERBANK"/>
    <n v="383.21"/>
    <s v="02115925"/>
    <x v="67"/>
    <s v="2025-08"/>
    <s v="CHUMPITAZ-JORDAN-GIANFRANCO"/>
  </r>
  <r>
    <n v="9"/>
    <x v="7"/>
    <s v="TRANSF.BCO.SCOTIABANK"/>
    <n v="420.55"/>
    <s v="02651698"/>
    <x v="68"/>
    <s v="2025-08"/>
    <s v="CLAUDIA VILLAVICENCIO PONCE DE LEON"/>
  </r>
  <r>
    <n v="9"/>
    <x v="7"/>
    <s v="TRANSF.BCO.BBVA"/>
    <n v="398.15"/>
    <s v="02203830"/>
    <x v="69"/>
    <s v="2025-08"/>
    <s v="DIEGO HERNAN MORALES X"/>
  </r>
  <r>
    <n v="9"/>
    <x v="7"/>
    <s v="TRANSF.BCO.INTERBANK"/>
    <n v="339.26"/>
    <s v="02713616"/>
    <x v="70"/>
    <s v="2025-08"/>
    <s v="GUTIERREZ-ESQUICHA-OLIVER"/>
  </r>
  <r>
    <n v="9"/>
    <x v="7"/>
    <s v="TRANSF.BCO.SCOTIABANK"/>
    <n v="413.2"/>
    <s v="00008322"/>
    <x v="71"/>
    <s v="2025-08"/>
    <s v="HARO CABALLERO CAROL ELIZABETH"/>
  </r>
  <r>
    <n v="9"/>
    <x v="7"/>
    <s v="TRAN.CTAS.TERC.BM"/>
    <n v="389.14"/>
    <s v="00520699"/>
    <x v="72"/>
    <s v="2025-08"/>
    <s v="IZQUIERDO ALATA LIAM JUAN PEDRO"/>
  </r>
  <r>
    <n v="9"/>
    <x v="7"/>
    <s v="TRANSF.BCO.BBVA"/>
    <n v="176.27"/>
    <s v="02413793"/>
    <x v="73"/>
    <s v="2025-08"/>
    <s v="JERSON JULIANO CHUCO PAUCAR"/>
  </r>
  <r>
    <n v="9"/>
    <x v="7"/>
    <s v="TRAN.CTAS.TERC.BM"/>
    <n v="379.5"/>
    <s v="00026206"/>
    <x v="74"/>
    <s v="2025-08"/>
    <s v="LOPEZ ARCE JUDITH MELISSA"/>
  </r>
  <r>
    <n v="9"/>
    <x v="7"/>
    <s v="TRAN.CTAS.TERC.BM"/>
    <n v="507.13"/>
    <s v="02550065"/>
    <x v="75"/>
    <s v="2025-08"/>
    <s v="LOREDO RODRIGUEZ CESAR ANTONIO"/>
  </r>
  <r>
    <n v="9"/>
    <x v="7"/>
    <s v="TRAN.CTAS.TERC.BM"/>
    <n v="580"/>
    <s v="06469783"/>
    <x v="2"/>
    <s v="lounge"/>
    <s v="MILAGROS MERCEDES BARRIENTOS FLORES"/>
  </r>
  <r>
    <n v="9"/>
    <x v="7"/>
    <s v="TRAN.CTAS.TERC.BM"/>
    <n v="282.24"/>
    <s v="02699038"/>
    <x v="76"/>
    <s v="2025-08"/>
    <s v="MONZON JUAREZ MILAGROS DEL CARMEN"/>
  </r>
  <r>
    <n v="9"/>
    <x v="7"/>
    <s v="TRAN.CTAS.TERC.BM"/>
    <n v="463.74"/>
    <s v="02316241"/>
    <x v="59"/>
    <s v="2025-07"/>
    <s v="PARI NUNEZ LEONOR"/>
  </r>
  <r>
    <n v="9"/>
    <x v="7"/>
    <s v="TRANSF.BCO.SCOTIABANK"/>
    <n v="180.01"/>
    <s v="02128282"/>
    <x v="37"/>
    <s v="2025-08"/>
    <s v="ROSA TUME ZEGARRA"/>
  </r>
  <r>
    <n v="9"/>
    <x v="7"/>
    <s v="TRAN.CTAS.TERC.BM"/>
    <n v="712.81"/>
    <s v="02959876"/>
    <x v="77"/>
    <s v="2025-08"/>
    <s v="ROSARIO TORRES PATRICIA DEL CARMEN"/>
  </r>
  <r>
    <n v="9"/>
    <x v="7"/>
    <s v="TRAN.CTAS.TERC.BM"/>
    <n v="379.48"/>
    <s v="01044775"/>
    <x v="78"/>
    <s v="2025-08"/>
    <s v="SAUNE PACCO JOSE OSWALDO"/>
  </r>
  <r>
    <n v="9"/>
    <x v="7"/>
    <s v="TRAN.CTAS.TERC.BM"/>
    <n v="543.97"/>
    <s v="01502596"/>
    <x v="79"/>
    <s v="2025-08"/>
    <s v="VALDIVIESO LIDIA-O-RIOS NILTON"/>
  </r>
  <r>
    <n v="9"/>
    <x v="7"/>
    <s v="TRAN.CTAS.TERC.BM"/>
    <n v="383.21"/>
    <s v="05134217"/>
    <x v="80"/>
    <s v="2025-08"/>
    <s v="VEGA DIESTRA DAVID VICTOR"/>
  </r>
  <r>
    <n v="9"/>
    <x v="8"/>
    <s v="TRAN.CTAS.TERC.BM"/>
    <n v="360.8"/>
    <s v="00485389"/>
    <x v="81"/>
    <s v="2025-08"/>
    <s v="CASTILLO MERCEDES ANA ISABEL"/>
  </r>
  <r>
    <n v="9"/>
    <x v="8"/>
    <s v="TRAN.CTAS.TERC.BM"/>
    <n v="580"/>
    <s v="05044572"/>
    <x v="2"/>
    <s v="lounge"/>
    <s v="CASTRO BARRERA ANITA MARITZA"/>
  </r>
  <r>
    <n v="9"/>
    <x v="8"/>
    <s v="TRAN.CTAS.TERC.HK"/>
    <n v="172.54"/>
    <s v="06046144"/>
    <x v="82"/>
    <s v="2025-08"/>
    <s v="GESTORA DE INVERSIONES INMOBILIARIAS S.A.C."/>
  </r>
  <r>
    <n v="9"/>
    <x v="8"/>
    <s v="TRAN.CTAS.TERC.BM"/>
    <n v="261.5"/>
    <s v="01916544"/>
    <x v="83"/>
    <s v="2025-08"/>
    <s v="IZQUIERDO ALATA LIAM JUAN PEDRO"/>
  </r>
  <r>
    <n v="9"/>
    <x v="8"/>
    <s v="TRAN.CTAS.TERC.BM"/>
    <n v="372.79"/>
    <s v="06953028"/>
    <x v="84"/>
    <s v="2025-08"/>
    <s v="LIANG NN YANQIU"/>
  </r>
  <r>
    <n v="9"/>
    <x v="8"/>
    <s v="TRAN.CTAS.TERC.BM"/>
    <n v="178.67"/>
    <s v="03904694"/>
    <x v="85"/>
    <s v="2025-07"/>
    <s v="MALDONADO DE-LA-CRUZ NORA TERESA"/>
  </r>
  <r>
    <n v="9"/>
    <x v="8"/>
    <s v="TRANSF.BCO.INTERBANK"/>
    <n v="381.36"/>
    <s v="02236557"/>
    <x v="86"/>
    <s v="2025-07"/>
    <s v="OCHOA-ALEJOS-CESAR"/>
  </r>
  <r>
    <n v="9"/>
    <x v="8"/>
    <s v="TRANSF.BCO.BBVA"/>
    <n v="364.54"/>
    <s v="02838531"/>
    <x v="87"/>
    <s v="2025-08"/>
    <s v="ORLANDO SULLCAHUAMAN OTERO"/>
  </r>
  <r>
    <n v="9"/>
    <x v="8"/>
    <s v="TRAN.CTAS.TERC.BM"/>
    <n v="304.70999999999998"/>
    <s v="05551900"/>
    <x v="88"/>
    <s v="2025-07"/>
    <s v="SANALEA REANO-DE-LLANO YOLANDA"/>
  </r>
  <r>
    <n v="9"/>
    <x v="9"/>
    <s v="TRANSF.BCO.BBVA"/>
    <n v="265.23"/>
    <s v="02008577"/>
    <x v="89"/>
    <s v="2025-08"/>
    <s v="ALEXANDER ANDRES BAYONA QUISPE"/>
  </r>
  <r>
    <n v="9"/>
    <x v="9"/>
    <s v="TRAN.CTAS.TERC.BM"/>
    <n v="386.94"/>
    <s v="01063239"/>
    <x v="90"/>
    <s v="2025-08"/>
    <s v="ALVA CUELLAR DUGLAS CONCEPCION"/>
  </r>
  <r>
    <n v="9"/>
    <x v="9"/>
    <s v="TRAN.CTAS.TERC.BM"/>
    <n v="383.21"/>
    <s v="03703496"/>
    <x v="91"/>
    <s v="2025-08"/>
    <s v="TINEDO LOPEZ PEDRO LUIS"/>
  </r>
  <r>
    <n v="9"/>
    <x v="10"/>
    <s v="TRANSF.BCO.NACION"/>
    <n v="392.7"/>
    <s v="02603044"/>
    <x v="92"/>
    <s v="2025-08"/>
    <s v="CARMEN MALACHE"/>
  </r>
  <r>
    <n v="9"/>
    <x v="10"/>
    <s v="TRAN.CTAS.TERC.BM"/>
    <n v="368.27"/>
    <s v="04658131"/>
    <x v="93"/>
    <s v="2025-08"/>
    <s v="SALVATIERRA TORRES ROGGER DANNY"/>
  </r>
  <r>
    <n v="9"/>
    <x v="11"/>
    <s v="TRAN.CTAS.TERC.BM"/>
    <n v="369.75"/>
    <s v="01312201"/>
    <x v="94"/>
    <s v="2025-06"/>
    <s v="CANCINO APAZA MARYLIN MARYBEL"/>
  </r>
  <r>
    <n v="9"/>
    <x v="11"/>
    <s v="TRAN.CTAS.TERC.BM"/>
    <n v="377.49"/>
    <s v="01312201"/>
    <x v="94"/>
    <s v="2025-07"/>
    <s v="CANCINO APAZA MARYLIN MARYBEL"/>
  </r>
  <r>
    <n v="9"/>
    <x v="11"/>
    <s v="TRAN.CTAS.TERC.BM"/>
    <n v="365.88"/>
    <s v="01426799"/>
    <x v="81"/>
    <s v="2025-07"/>
    <s v="CASTILLO MERCEDES ANA ISABEL"/>
  </r>
  <r>
    <n v="9"/>
    <x v="11"/>
    <s v="TRAN.CTAS.TERC.BM"/>
    <n v="404.58"/>
    <s v="04937179"/>
    <x v="95"/>
    <s v="2025-06"/>
    <s v="DIAZ POMPA EZEQUIAS"/>
  </r>
  <r>
    <n v="9"/>
    <x v="11"/>
    <s v="TRAN.CTAS.TERC.BM"/>
    <n v="400.71"/>
    <s v="04937179"/>
    <x v="95"/>
    <s v="2025-07"/>
    <s v="DIAZ POMPA EZEQUIAS"/>
  </r>
  <r>
    <n v="9"/>
    <x v="11"/>
    <s v="TRAN.CTAS.TERC.BM"/>
    <n v="371.71"/>
    <s v="04937179"/>
    <x v="95"/>
    <s v="2025-08"/>
    <s v="DIAZ POMPA EZEQUIAS"/>
  </r>
  <r>
    <n v="9"/>
    <x v="11"/>
    <s v="TRAN.CTAS.TERC.BM"/>
    <n v="368.34"/>
    <s v="00822197"/>
    <x v="96"/>
    <s v="2025-08"/>
    <s v="JAVIER ALONSO BARRIENTOS CASTILLO"/>
  </r>
  <r>
    <n v="9"/>
    <x v="11"/>
    <s v="TRAN.CTAS.TERC.BM"/>
    <n v="172.12"/>
    <s v="05316678"/>
    <x v="97"/>
    <s v="2025-08"/>
    <s v="MENDOZA SALDANA FRANK ANDRE"/>
  </r>
  <r>
    <n v="9"/>
    <x v="11"/>
    <s v="TRAN.CTAS.TERC.BM"/>
    <n v="580"/>
    <s v="01712136"/>
    <x v="2"/>
    <s v="lounge"/>
    <s v="NEIRA UN-JAN MILAGROS ANDREA"/>
  </r>
  <r>
    <n v="9"/>
    <x v="11"/>
    <s v="DEPOSITO AG 986604"/>
    <n v="187.59"/>
    <s v="00273490"/>
    <x v="98"/>
    <s v="2025-08"/>
    <s v="PARDO NAVARRO KENNEDY"/>
  </r>
  <r>
    <n v="9"/>
    <x v="12"/>
    <s v="TRANSF.BCO.INTERBANK"/>
    <n v="327.86"/>
    <s v="02932196"/>
    <x v="99"/>
    <s v="2025-08"/>
    <s v="FALCON-RAMOS-CAROLINA"/>
  </r>
  <r>
    <n v="9"/>
    <x v="13"/>
    <s v="TRAN.CTAS.TERC.BM"/>
    <n v="641.04999999999995"/>
    <s v="02734607"/>
    <x v="100"/>
    <s v="2025-08"/>
    <s v="BOZA VILLAVICENCIO ROSA ISABEL"/>
  </r>
  <r>
    <n v="9"/>
    <x v="14"/>
    <s v="TRAN.CTAS.TERC.BM"/>
    <n v="445.24"/>
    <s v="02630529"/>
    <x v="101"/>
    <s v="2025-08"/>
    <s v="BENITES BALDOCEDA MARIA DE LOS ANGELES"/>
  </r>
  <r>
    <n v="9"/>
    <x v="14"/>
    <s v="TRAN.CTAS.TERC.BM"/>
    <n v="180.01"/>
    <s v="02630529"/>
    <x v="102"/>
    <s v="2025-08"/>
    <s v="BENITES BALDOCEDA MARIA DE LOS ANGELES"/>
  </r>
  <r>
    <n v="9"/>
    <x v="14"/>
    <s v="TRAN.CTAS.TERC.BM"/>
    <n v="261.5"/>
    <s v="02630529"/>
    <x v="103"/>
    <s v="2025-08"/>
    <s v="BENITES BALDOCEDA MARIA DE LOS ANGELES"/>
  </r>
  <r>
    <n v="9"/>
    <x v="14"/>
    <s v="TRAN.CTAS.TERC.BM"/>
    <n v="464.76"/>
    <s v="01125667"/>
    <x v="104"/>
    <s v="2025-08"/>
    <s v="BUSTAMANTE RUIZ EDUARDO CARLOS"/>
  </r>
  <r>
    <n v="9"/>
    <x v="14"/>
    <s v="TRANSF.BCO.BBVA"/>
    <n v="40"/>
    <s v="02777843"/>
    <x v="2"/>
    <s v="parrilla"/>
    <s v="LUIS FERNANDO DELGADO SILVA"/>
  </r>
  <r>
    <n v="9"/>
    <x v="14"/>
    <s v="TRAN.CTAS.TERC.BM"/>
    <n v="401.88"/>
    <s v="03234701"/>
    <x v="105"/>
    <s v="2025-08"/>
    <s v="VALLEBUONA MAYTA LUIS ALBERTO"/>
  </r>
  <r>
    <n v="9"/>
    <x v="14"/>
    <s v="TRAN.CTAS.TERC.BM"/>
    <n v="40"/>
    <s v="03239190"/>
    <x v="2"/>
    <s v="parrilla"/>
    <s v="VALLEBUONA MAYTA LUIS ALBERTO"/>
  </r>
  <r>
    <n v="9"/>
    <x v="14"/>
    <s v="TRAN.CTAS.TERC.BM"/>
    <n v="446.4"/>
    <s v="01061359"/>
    <x v="106"/>
    <s v="2025-08"/>
    <s v="YAIPEN PANTOJA ALEXIS"/>
  </r>
  <r>
    <n v="9"/>
    <x v="15"/>
    <s v="TRANSF.BCO.BBVA"/>
    <n v="580"/>
    <s v="02120334"/>
    <x v="2"/>
    <s v="lounge"/>
    <s v="LOURDES DE LOS ANGEL MADUE�O CHUMPITAZ"/>
  </r>
  <r>
    <n v="9"/>
    <x v="16"/>
    <s v="TRANSF.BCO.INTERBANK"/>
    <n v="502.27"/>
    <s v="02335804"/>
    <x v="107"/>
    <s v="2025-08"/>
    <s v="GUTIERREZ-PECEROS-ALBERTO"/>
  </r>
  <r>
    <n v="9"/>
    <x v="16"/>
    <s v="TRANSF.BCO.BBVA"/>
    <n v="394.36"/>
    <s v="02498486"/>
    <x v="108"/>
    <s v="2025-08"/>
    <s v="HELEN FRANCESCA HENOSTROZA CRUZ"/>
  </r>
  <r>
    <n v="9"/>
    <x v="17"/>
    <s v="ENTR.EFEC. 0567303"/>
    <n v="178.4"/>
    <s v="00567303"/>
    <x v="109"/>
    <s v="2025-08"/>
    <s v="ALVARES PEÑA CARLOS EDUARDO"/>
  </r>
  <r>
    <n v="9"/>
    <x v="17"/>
    <s v="TRAN.CTAS.TERC.BM"/>
    <n v="80"/>
    <s v="03369136"/>
    <x v="2"/>
    <s v="parrilla"/>
    <s v="ANDRADES ROMA JOSE MARCELO"/>
  </r>
  <r>
    <n v="9"/>
    <x v="17"/>
    <s v="TRAN.CTAS.TERC.BM"/>
    <n v="40"/>
    <s v="00309424"/>
    <x v="2"/>
    <s v="parrilla"/>
    <s v="MILUSKA CRIS TAPIA CASARETTO"/>
  </r>
  <r>
    <n v="9"/>
    <x v="17"/>
    <s v="TRAN.CTAS.TERC.BM"/>
    <n v="272.7"/>
    <s v="04116946"/>
    <x v="110"/>
    <s v="2025-08"/>
    <s v="TUPAYACHI VALLENAS DENIS ALFREDO"/>
  </r>
  <r>
    <n v="9"/>
    <x v="18"/>
    <s v="TRAN.CTAS.TERC.BM"/>
    <n v="40"/>
    <s v="04315211"/>
    <x v="2"/>
    <s v="parrilla"/>
    <s v="BUSTAMANTE RUIZ EDUARDO CARLOS"/>
  </r>
  <r>
    <n v="9"/>
    <x v="18"/>
    <s v="TRANSF.BCO.INTERBANK"/>
    <n v="580"/>
    <s v="02692875"/>
    <x v="2"/>
    <s v="lounge"/>
    <s v="CHAUCA-DE-LOS-SANTOS-PATRICIA"/>
  </r>
  <r>
    <n v="9"/>
    <x v="18"/>
    <s v="TRANSF.BCO.PICHINCHA"/>
    <n v="598.16999999999996"/>
    <s v="00052658"/>
    <x v="111"/>
    <s v="2025-08"/>
    <s v="LOPEZ FORTUNATO"/>
  </r>
  <r>
    <n v="9"/>
    <x v="18"/>
    <s v="TRAN.CTAS.TERC.BM"/>
    <n v="580"/>
    <s v="03004245"/>
    <x v="2"/>
    <s v="lounge"/>
    <s v="LU BEJARANO PAMELA MILAGROS"/>
  </r>
  <r>
    <n v="9"/>
    <x v="18"/>
    <s v="TRAN.CTAS.TERC.HK"/>
    <n v="77.760000000000005"/>
    <s v="06038055"/>
    <x v="37"/>
    <s v="2025-08"/>
    <s v="ORELLANA VARGAS CARMEN ROSA"/>
  </r>
  <r>
    <n v="9"/>
    <x v="18"/>
    <s v="TRANSF.BCO.INTERBANK"/>
    <n v="180.18"/>
    <s v="02607176"/>
    <x v="112"/>
    <s v="2025-07"/>
    <s v="TOLOSA-ALVARES-WILKENDRY"/>
  </r>
  <r>
    <n v="9"/>
    <x v="19"/>
    <s v="TRANSF.BCO.BBVA"/>
    <n v="373.62"/>
    <s v="02587102"/>
    <x v="113"/>
    <s v="2025-07"/>
    <s v="FRANCISCO MOISES BARTRA SAN MARTIN"/>
  </r>
  <r>
    <n v="9"/>
    <x v="19"/>
    <s v="TRANSF.BCO.BBVA"/>
    <n v="364.64"/>
    <s v="02587102"/>
    <x v="113"/>
    <s v="2025-08"/>
    <s v="FRANCISCO MOISES BARTRA SAN MARTIN"/>
  </r>
  <r>
    <n v="9"/>
    <x v="19"/>
    <s v="TRAN.CTAS.TERC.BM"/>
    <n v="580"/>
    <s v="02310950"/>
    <x v="2"/>
    <s v="lounge"/>
    <s v="GARCIA ARCE ANDRES DANIEL"/>
  </r>
  <r>
    <n v="9"/>
    <x v="19"/>
    <s v="TRAN.CTAS.TERC.BM"/>
    <n v="40"/>
    <s v="02302495"/>
    <x v="2"/>
    <s v="parrilla"/>
    <s v="GARCIA ARCE ANDRES DANIEL"/>
  </r>
  <r>
    <n v="9"/>
    <x v="19"/>
    <s v="TRAN.CTAS.TERC.BM"/>
    <n v="254.03"/>
    <s v="00554599"/>
    <x v="114"/>
    <s v="2025-08"/>
    <s v="MIMBELA LLONTOP PABLO AUGUSTO"/>
  </r>
  <r>
    <n v="9"/>
    <x v="19"/>
    <s v="TRAN.CTAS.TERC.BM"/>
    <n v="183.74"/>
    <s v="00979814"/>
    <x v="115"/>
    <s v="2025-08"/>
    <s v="OSORIO MOQUILLAZA JESUS ALFONSO"/>
  </r>
  <r>
    <n v="9"/>
    <x v="19"/>
    <s v="TRAN.CTAS.TERC.BM"/>
    <n v="385.23"/>
    <s v="01097187"/>
    <x v="116"/>
    <s v="2025-07"/>
    <s v="ROJAS CACERES VITHIA MARCELA"/>
  </r>
  <r>
    <n v="9"/>
    <x v="20"/>
    <s v="TRANSF.BCO.INTERBANK"/>
    <n v="401.88"/>
    <s v="02633723"/>
    <x v="117"/>
    <s v="2025-08"/>
    <s v="CASAS-PEREA-JOSE"/>
  </r>
  <r>
    <n v="9"/>
    <x v="20"/>
    <s v="TRAN.CTAS.TERC.BM"/>
    <n v="374.56"/>
    <s v="01940570"/>
    <x v="29"/>
    <s v="2025-09"/>
    <s v="CORDERO VILCA PEDRO LUIS"/>
  </r>
  <r>
    <n v="9"/>
    <x v="20"/>
    <s v="TRANSF.BCO.BBVA"/>
    <n v="294.25"/>
    <s v="02329476"/>
    <x v="118"/>
    <s v="2025-08"/>
    <s v="INVERSIONES MANTA SAC"/>
  </r>
  <r>
    <n v="9"/>
    <x v="20"/>
    <s v="TRAN.CTAS.TERC.BM"/>
    <n v="372.01"/>
    <s v="04665107"/>
    <x v="119"/>
    <s v="2025-08"/>
    <s v="RUIZ GUTIERREZ ROLANDO"/>
  </r>
  <r>
    <n v="9"/>
    <x v="21"/>
    <s v="TRAN.CTAS.TERC.BM"/>
    <n v="411.66"/>
    <s v="06364632"/>
    <x v="120"/>
    <s v="2025-08"/>
    <s v="CLAVIJO GONZALEZ LIZ TATIANA"/>
  </r>
  <r>
    <n v="9"/>
    <x v="22"/>
    <s v="TRAN.CTAS.TERC.BM"/>
    <n v="379.48"/>
    <s v="04769737"/>
    <x v="121"/>
    <s v="2025-08"/>
    <s v="CASTILLA PEREZ CARMELA FERMINA"/>
  </r>
  <r>
    <n v="9"/>
    <x v="22"/>
    <s v="TRANSF.BCO.SCOTIABANK"/>
    <n v="255.32"/>
    <s v="02421088"/>
    <x v="122"/>
    <s v="2025-07"/>
    <s v="MARIOLITH CARBI VALLE"/>
  </r>
  <r>
    <n v="9"/>
    <x v="22"/>
    <s v="TRANSF.BCO.SCOTIABANK"/>
    <n v="30"/>
    <s v="02936696"/>
    <x v="2"/>
    <s v="cine"/>
    <s v="SABRINA HENOSTROZA CRUZ"/>
  </r>
  <r>
    <n v="9"/>
    <x v="23"/>
    <s v="TRAN.CTAS.TERC.BM"/>
    <n v="459.24"/>
    <s v="02406892"/>
    <x v="123"/>
    <s v="2025-08"/>
    <s v="ALIAGA ALVAREZ ZARELLA DENISSE"/>
  </r>
  <r>
    <n v="9"/>
    <x v="23"/>
    <s v="TRAN.CTAS.TERC.BM"/>
    <n v="30"/>
    <s v="02532181"/>
    <x v="2"/>
    <s v="cine"/>
    <s v="HENOSTROZA CRUZ HELEN FRANCESCA"/>
  </r>
  <r>
    <n v="9"/>
    <x v="23"/>
    <s v="TRAN.CTAS.TERC.BM"/>
    <n v="77.760000000000005"/>
    <s v="02812104"/>
    <x v="124"/>
    <s v="2025-08"/>
    <s v="NAVARRO VILLAVICENCIO JOSE KARLO"/>
  </r>
  <r>
    <n v="9"/>
    <x v="23"/>
    <s v="TRANSF.BCO.BBVA"/>
    <n v="242.83"/>
    <s v="02624118"/>
    <x v="125"/>
    <s v="2025-08"/>
    <s v="RUBEN DARIO TORANZO SILVA"/>
  </r>
  <r>
    <n v="9"/>
    <x v="24"/>
    <s v="TRAN.CTAS.TERC.BM"/>
    <n v="391.13"/>
    <s v="04382980"/>
    <x v="126"/>
    <s v="2025-08"/>
    <s v="MENDIOLA LOPEZ MARIA ELENA MARTINA"/>
  </r>
  <r>
    <n v="9"/>
    <x v="24"/>
    <s v="TRAN.CTAS.TERC.BM"/>
    <n v="77.75"/>
    <s v="04525487"/>
    <x v="127"/>
    <s v="2025-08"/>
    <s v="MENDIOLA LOPEZ MARIA ELENA MARTINA"/>
  </r>
  <r>
    <n v="9"/>
    <x v="25"/>
    <s v="TRAN.CTAS.TERC.BM"/>
    <n v="40"/>
    <s v="01811309"/>
    <x v="2"/>
    <s v="parrilla"/>
    <s v="GARCIA ARCE ANDRES DANIEL"/>
  </r>
  <r>
    <n v="9"/>
    <x v="25"/>
    <s v="TRAN.CTAS.TERC.BM"/>
    <n v="190"/>
    <s v="02493865"/>
    <x v="128"/>
    <s v="2025-08"/>
    <s v="QUISPE TAPIA BERLINNE CLARET"/>
  </r>
  <r>
    <n v="9"/>
    <x v="26"/>
    <s v="TRAN.CTAS.TERC.BM"/>
    <n v="30"/>
    <s v="02887536"/>
    <x v="2"/>
    <s v="cine"/>
    <s v="ROJAS CACERES VITHIA MARCELA"/>
  </r>
  <r>
    <n v="9"/>
    <x v="27"/>
    <s v="TRANSF.BCO.INTERBANK"/>
    <n v="180.01"/>
    <s v="02518076"/>
    <x v="129"/>
    <s v="2025-08"/>
    <s v="PADILLA-CRUZ-LOURDES"/>
  </r>
  <r>
    <n v="9"/>
    <x v="27"/>
    <s v="ENTR.EFEC. 0631681"/>
    <n v="445"/>
    <s v="00631681"/>
    <x v="130"/>
    <s v="2025-08"/>
    <s v="VENTANILLA"/>
  </r>
  <r>
    <n v="9"/>
    <x v="28"/>
    <s v="TRAN.CTAS.TERC.BM"/>
    <n v="342.91"/>
    <s v="02206220"/>
    <x v="3"/>
    <s v="2025-08"/>
    <s v="CARDENAS MORIANO HEVELYNE HILDA"/>
  </r>
  <r>
    <n v="9"/>
    <x v="28"/>
    <s v="TRAN.CTAS.TERC.BM"/>
    <n v="416.19"/>
    <s v="02280238"/>
    <x v="131"/>
    <s v="2025-07"/>
    <s v="TRAN.CTAS.TERC.BM"/>
  </r>
  <r>
    <n v="9"/>
    <x v="29"/>
    <s v="TRANSF.BCO.INTERBANK"/>
    <n v="580"/>
    <s v="02115002"/>
    <x v="2"/>
    <s v="lounge"/>
    <s v="ENRIQUEZ-ILLESCAS-LAURA"/>
  </r>
  <r>
    <n v="9"/>
    <x v="29"/>
    <s v="TRANSF.BCO.INTERBANK"/>
    <n v="390.68"/>
    <s v="02893773"/>
    <x v="86"/>
    <s v="2025-08"/>
    <s v="OCHOA-ALEJOS-CESAR"/>
  </r>
  <r>
    <n v="9"/>
    <x v="29"/>
    <s v="TRAN.CTAS.TERC.BM"/>
    <n v="40"/>
    <s v="01184116"/>
    <x v="2"/>
    <s v="parrilla"/>
    <s v="OJEDA ORMACHEA BENJAMIN JHAROL"/>
  </r>
  <r>
    <n v="9"/>
    <x v="29"/>
    <s v="TRAN.CTAS.TERC.BM"/>
    <n v="397"/>
    <s v="04344637"/>
    <x v="132"/>
    <s v="2025-08"/>
    <s v="TRAN.CTAS.TERC.BM"/>
  </r>
  <r>
    <n v="9"/>
    <x v="29"/>
    <s v="ENTR.EFEC. 0815546"/>
    <n v="580"/>
    <s v="00815546"/>
    <x v="2"/>
    <s v="lounge"/>
    <s v="VENTANILLA"/>
  </r>
  <r>
    <n v="9"/>
    <x v="30"/>
    <s v="TRAN.CTAS.TERC.BM"/>
    <n v="165.07"/>
    <s v="00063063"/>
    <x v="133"/>
    <s v="2025-08"/>
    <s v="BUENO CHAVEZ SILVIA ISABEL"/>
  </r>
  <r>
    <n v="9"/>
    <x v="30"/>
    <s v="TRAN.CTAS.TERC.BM"/>
    <n v="580"/>
    <s v="01046457"/>
    <x v="2"/>
    <s v="lounge"/>
    <s v="QUISPE GINA-O-ZUNE BENILDA"/>
  </r>
  <r>
    <n v="9"/>
    <x v="30"/>
    <s v="TRAN.CTAS.TERC.HK"/>
    <n v="357.07"/>
    <s v="06083703"/>
    <x v="134"/>
    <s v="2025-08"/>
    <s v="TRAN.CTAS.TERC.HK"/>
  </r>
  <r>
    <n v="9"/>
    <x v="31"/>
    <s v="TRANSF.BCO.INTERBANK"/>
    <n v="580"/>
    <s v="02225372"/>
    <x v="2"/>
    <s v="lounge"/>
    <s v="CHAUCA-DE-LOS-SANTOS-PATRICIA"/>
  </r>
  <r>
    <n v="9"/>
    <x v="32"/>
    <s v="TRANSF.BCO.BBVA"/>
    <n v="297.98"/>
    <s v="02875769"/>
    <x v="135"/>
    <s v="2025-08"/>
    <s v="ANA CLAUDIA ARRESCURENAGA ORIHUELA"/>
  </r>
  <r>
    <n v="9"/>
    <x v="32"/>
    <s v="TRANSF.BCO.BBVA"/>
    <n v="297.83"/>
    <s v="02879993"/>
    <x v="135"/>
    <s v="2025-09"/>
    <s v="ANA CLAUDIA ARRESCURENAGA ORIHUELA"/>
  </r>
  <r>
    <n v="9"/>
    <x v="32"/>
    <s v="TRAN.CTAS.TERC.BM"/>
    <n v="191.21"/>
    <s v="04025358"/>
    <x v="136"/>
    <s v="2025-08"/>
    <s v="CANDELA GRANADOS ALVARO GONZALO"/>
  </r>
  <r>
    <n v="9"/>
    <x v="32"/>
    <s v="TRAN.CTAS.TERC.BM"/>
    <n v="187.55"/>
    <s v="04025358"/>
    <x v="136"/>
    <s v="2025-09"/>
    <s v="CANDELA GRANADOS ALVARO GONZALO"/>
  </r>
  <r>
    <n v="9"/>
    <x v="32"/>
    <s v="TRAN.CTAS.TERC.BM"/>
    <n v="385.43"/>
    <s v="04344503"/>
    <x v="15"/>
    <s v="2025-09"/>
    <s v="CAO NN DACHAO"/>
  </r>
  <r>
    <n v="9"/>
    <x v="32"/>
    <s v="TRANSF.BCO.INTERBANK"/>
    <n v="580"/>
    <s v="02102134"/>
    <x v="2"/>
    <s v="lounge"/>
    <s v="CASAS-PEREA-JOSE"/>
  </r>
  <r>
    <n v="9"/>
    <x v="32"/>
    <s v="TRANSF.BCO.INTERBANK"/>
    <n v="30"/>
    <s v="02102134"/>
    <x v="2"/>
    <s v="cine"/>
    <s v="CASAS-PEREA-JOSE"/>
  </r>
  <r>
    <n v="9"/>
    <x v="32"/>
    <s v="TRANSF.BCO.INTERBANK"/>
    <n v="191.7"/>
    <s v="02681879"/>
    <x v="54"/>
    <s v="2025-09"/>
    <s v="CHAVEZ-TAGLE-SISLEY"/>
  </r>
  <r>
    <n v="9"/>
    <x v="32"/>
    <s v="TRAN.CTAS.TERC.BM"/>
    <n v="404.78"/>
    <s v="02018703"/>
    <x v="137"/>
    <s v="2025-03"/>
    <s v="DAVILA SANTILLAN ERLINDA MERCEDES"/>
  </r>
  <r>
    <n v="9"/>
    <x v="32"/>
    <s v="TRAN.CTAS.TERC.BM"/>
    <n v="385.43"/>
    <s v="02014706"/>
    <x v="137"/>
    <s v="2025-02"/>
    <s v="DAVILA SANTILLAN ERLINDA MERCEDES"/>
  </r>
  <r>
    <n v="9"/>
    <x v="32"/>
    <s v="TRAN.CTAS.TERC.BM"/>
    <n v="381.36"/>
    <s v="02056469"/>
    <x v="137"/>
    <s v="2025-05"/>
    <s v="DAVILA SANTILLAN ERLINDA MERCEDES"/>
  </r>
  <r>
    <n v="9"/>
    <x v="32"/>
    <s v="TRAN.CTAS.TERC.BM"/>
    <n v="381.36"/>
    <s v="02045584"/>
    <x v="137"/>
    <s v="2025-06"/>
    <s v="DAVILA SANTILLAN ERLINDA MERCEDES"/>
  </r>
  <r>
    <n v="9"/>
    <x v="32"/>
    <s v="TRAN.CTAS.TERC.BM"/>
    <n v="373.62"/>
    <s v="02046015"/>
    <x v="137"/>
    <s v="2025-04"/>
    <s v="DAVILA SANTILLAN ERLINDA MERCEDES"/>
  </r>
  <r>
    <n v="9"/>
    <x v="32"/>
    <s v="TRAN.CTAS.TERC.BM"/>
    <n v="373.62"/>
    <s v="02095994"/>
    <x v="137"/>
    <s v="2025-07"/>
    <s v="DAVILA SANTILLAN ERLINDA MERCEDES"/>
  </r>
  <r>
    <n v="9"/>
    <x v="32"/>
    <s v="TRAN.CTAS.TERC.BM"/>
    <n v="368.25"/>
    <s v="02102219"/>
    <x v="137"/>
    <s v="2025-08"/>
    <s v="DAVILA SANTILLAN ERLINDA MERCEDES"/>
  </r>
  <r>
    <n v="9"/>
    <x v="32"/>
    <s v="TRAN.CTAS.TERC.BM"/>
    <n v="287.23"/>
    <s v="04650215"/>
    <x v="76"/>
    <s v="2025-09"/>
    <s v="MONZON JUAREZ MILAGROS DEL CARMEN"/>
  </r>
  <r>
    <n v="9"/>
    <x v="32"/>
    <s v="TRAN.CTAS.TERC.BM"/>
    <n v="9.42"/>
    <s v="04649520"/>
    <x v="76"/>
    <s v="2025-09"/>
    <s v="MONZON JUAREZ MILAGROS DEL CARMEN"/>
  </r>
  <r>
    <n v="9"/>
    <x v="32"/>
    <s v="TRAN.CTAS.TERC.BM"/>
    <n v="386.65"/>
    <s v="04267467"/>
    <x v="36"/>
    <s v="2025-09"/>
    <s v="NEIRA UN-JAN MILAGROS ANDREA"/>
  </r>
  <r>
    <n v="9"/>
    <x v="32"/>
    <s v="TRAN.CTAS.TERC.BM"/>
    <n v="40"/>
    <s v="04117560"/>
    <x v="2"/>
    <s v="parrilla"/>
    <s v="ROJAS ANGULO VICTOR HENRY"/>
  </r>
  <r>
    <n v="9"/>
    <x v="32"/>
    <s v="TRAN.CTAS.TERC.BM"/>
    <n v="309.19"/>
    <s v="02277709"/>
    <x v="138"/>
    <s v="2025-08"/>
    <s v="VALDIVIA PASACHE GEORGE LOUIS ALEXANDER"/>
  </r>
  <r>
    <n v="9"/>
    <x v="32"/>
    <s v="TRAN.CTAS.TERC.BM"/>
    <n v="40"/>
    <s v="01785642"/>
    <x v="2"/>
    <s v="parrilla"/>
    <s v="VALLEBUONA MAYTA LUIS ALBERTO"/>
  </r>
  <r>
    <n v="9"/>
    <x v="33"/>
    <s v="TRANSF.BCO.SCOTIABANK"/>
    <n v="175.08"/>
    <s v="02269401"/>
    <x v="16"/>
    <s v="2025-09"/>
    <s v="FIORELLA TOLEDO MUENTE"/>
  </r>
  <r>
    <n v="9"/>
    <x v="33"/>
    <s v="TRANSF.BCO.INTERBANK"/>
    <n v="175.66"/>
    <s v="02961072"/>
    <x v="35"/>
    <s v="2025-09"/>
    <s v="MORALES-DURAND-DE-DURAN-ZANDRA"/>
  </r>
  <r>
    <n v="9"/>
    <x v="33"/>
    <s v="TRANSF.BCO.SCOTIABANK"/>
    <n v="580"/>
    <s v="02381354"/>
    <x v="2"/>
    <s v="lounge"/>
    <s v="NILS SALVADOR ESQUIVEL"/>
  </r>
  <r>
    <n v="9"/>
    <x v="33"/>
    <s v="TRANSF.BCO.BBVA"/>
    <n v="40"/>
    <s v="02873310"/>
    <x v="2"/>
    <s v="parrilla"/>
    <s v="PATRICIA ANTONELLA CHAUCA DE LOS SANTOS"/>
  </r>
  <r>
    <n v="9"/>
    <x v="33"/>
    <s v="TRAN.CTAS.TERC.BM"/>
    <n v="202.56"/>
    <s v="00339606"/>
    <x v="25"/>
    <s v="2025-09"/>
    <s v="VALDEZ CADENILLAS AGUSTIN"/>
  </r>
  <r>
    <n v="9"/>
    <x v="34"/>
    <s v="TRAN.CTAS.TERC.BM"/>
    <n v="436.2"/>
    <s v="01312587"/>
    <x v="4"/>
    <s v="2025-09"/>
    <s v="CELI GUTIERREZ DIANA KARINA"/>
  </r>
  <r>
    <n v="9"/>
    <x v="34"/>
    <s v="DEPOSITO AG 988720"/>
    <n v="444.9"/>
    <s v="00085488"/>
    <x v="28"/>
    <s v="2025-09"/>
    <s v="CISNEROS CAHUANA JUANA CLENIA"/>
  </r>
  <r>
    <n v="9"/>
    <x v="34"/>
    <s v="TRAN.CTAS.TERC.BM"/>
    <n v="401.66"/>
    <s v="03333724"/>
    <x v="71"/>
    <s v="2025-09"/>
    <s v="HARO CABALLERO CAROL ELIZABETH"/>
  </r>
  <r>
    <n v="9"/>
    <x v="34"/>
    <s v="TRAN.CTAS.TERC.BM"/>
    <n v="175.08"/>
    <s v="01028093"/>
    <x v="6"/>
    <s v="2025-09"/>
    <s v="HUERTA HUERTA CARLA ALESSANDRA"/>
  </r>
  <r>
    <n v="9"/>
    <x v="34"/>
    <s v="TRANSF.BCO.BBVA"/>
    <n v="306.13"/>
    <s v="02901656"/>
    <x v="118"/>
    <s v="2025-09"/>
    <s v="INVERSIONES MANTA SAC"/>
  </r>
  <r>
    <n v="9"/>
    <x v="34"/>
    <s v="TRAN.CTAS.TERC.BM"/>
    <n v="251.45"/>
    <s v="01064784"/>
    <x v="19"/>
    <s v="2025-09"/>
    <s v="LOCK GOVEA JOSE EDILBERTO"/>
  </r>
  <r>
    <n v="9"/>
    <x v="34"/>
    <s v="TRAN.CTAS.TERC.BM"/>
    <n v="521.27"/>
    <s v="03032758"/>
    <x v="75"/>
    <s v="2025-09"/>
    <s v="LOREDO RODRIGUEZ CESAR ANTONIO"/>
  </r>
  <r>
    <n v="9"/>
    <x v="34"/>
    <s v="TRAN.CTAS.TERC.BM"/>
    <n v="378.34"/>
    <s v="05103837"/>
    <x v="139"/>
    <s v="2025-09"/>
    <s v="MADUENO CHUMPITAZ LOURDES DE LOS ANGELES"/>
  </r>
  <r>
    <n v="9"/>
    <x v="34"/>
    <s v="DEPOSITO AG 972970"/>
    <n v="394.96"/>
    <s v="00014284"/>
    <x v="23"/>
    <s v="2025-09"/>
    <s v="MAYOR OLAZABAL CESAR"/>
  </r>
  <r>
    <n v="9"/>
    <x v="34"/>
    <s v="TRAN.CTAS.TERC.BM"/>
    <n v="318.60000000000002"/>
    <s v="00784443"/>
    <x v="34"/>
    <s v="2025-09"/>
    <s v="MONICA JULIE GUERRERO ABARCA"/>
  </r>
  <r>
    <n v="9"/>
    <x v="34"/>
    <s v="TRANSF.BCO.INTERBANK"/>
    <n v="518.08000000000004"/>
    <s v="02873420"/>
    <x v="22"/>
    <s v="2025-09"/>
    <s v="RAMOS-REQUEJO-MABEL"/>
  </r>
  <r>
    <n v="9"/>
    <x v="34"/>
    <s v="TRAN.CTAS.TERC.BM"/>
    <n v="580"/>
    <s v="01287156"/>
    <x v="2"/>
    <s v="lounge"/>
    <s v="TINEO CASTANEDA CLAUDIA VILMA"/>
  </r>
  <r>
    <n v="9"/>
    <x v="34"/>
    <s v="TRAN.CTAS.TERC.BM"/>
    <n v="205.53"/>
    <s v="03944124"/>
    <x v="128"/>
    <s v="2025-09"/>
    <s v="TINEO CASTANEDA CLAUDIA VILMA"/>
  </r>
  <r>
    <n v="9"/>
    <x v="35"/>
    <s v="TRAN.CTAS.TERC.BM"/>
    <n v="365.88"/>
    <s v="03373949"/>
    <x v="12"/>
    <s v="2025-09"/>
    <s v="AGUIRRE GUTIERREZ KEILA CECILIA"/>
  </r>
  <r>
    <n v="9"/>
    <x v="35"/>
    <s v="TRAN.CTAS.TERC.BM"/>
    <n v="48.56"/>
    <s v="03398567"/>
    <x v="12"/>
    <s v="2025-09"/>
    <s v="AGUIRRE GUTIERREZ KEILA CECILIA"/>
  </r>
  <r>
    <n v="9"/>
    <x v="35"/>
    <s v="TRANSF.BCO.BBVA"/>
    <n v="272.22000000000003"/>
    <s v="02217822"/>
    <x v="89"/>
    <s v="2025-09"/>
    <s v="ALEXANDER ANDRES BAYONA QUISPE"/>
  </r>
  <r>
    <n v="9"/>
    <x v="35"/>
    <s v="TRANSF.BCO.INTERBANK"/>
    <n v="320.47000000000003"/>
    <s v="02307204"/>
    <x v="1"/>
    <s v="2025-09"/>
    <s v="BLAS-OLIVER-LIDIA"/>
  </r>
  <r>
    <n v="9"/>
    <x v="35"/>
    <s v="TRANSF.BCO.NACION"/>
    <n v="404.17"/>
    <s v="02914978"/>
    <x v="92"/>
    <s v="2025-09"/>
    <s v="CARMEN MALACHE"/>
  </r>
  <r>
    <n v="9"/>
    <x v="35"/>
    <s v="TRAN.CTAS.TERC.BM"/>
    <n v="285.36"/>
    <s v="03261083"/>
    <x v="5"/>
    <s v="2025-09"/>
    <s v="CUBA REYES ANGIE CONSUELO LESLIE"/>
  </r>
  <r>
    <n v="9"/>
    <x v="35"/>
    <s v="TRANSF.BCO.INTERBANK"/>
    <n v="318.60000000000002"/>
    <s v="02226271"/>
    <x v="31"/>
    <s v="2025-09"/>
    <s v="GARCIA-SUAREZ-CARLOS"/>
  </r>
  <r>
    <n v="9"/>
    <x v="35"/>
    <s v="TRAN.CTAS.TERC.BM"/>
    <n v="80.52"/>
    <s v="02444433"/>
    <x v="64"/>
    <s v="2025-09"/>
    <s v="GODOY ACOSTA NORA EULALIA"/>
  </r>
  <r>
    <n v="9"/>
    <x v="35"/>
    <s v="TRANSF.BCO.SCOTIABANK"/>
    <n v="386.65"/>
    <s v="02077874"/>
    <x v="78"/>
    <s v="2025-09"/>
    <s v="JOSE SAU E PACCO"/>
  </r>
  <r>
    <n v="9"/>
    <x v="35"/>
    <s v="TRAN.CTAS.TERC.HK"/>
    <n v="179.93"/>
    <s v="06015474"/>
    <x v="11"/>
    <s v="2025-09"/>
    <s v="OLIVARES SAAVEDRA JAIME ALBERTO"/>
  </r>
  <r>
    <n v="9"/>
    <x v="35"/>
    <s v="TRAN.CTAS.TERC.BM"/>
    <n v="455.7"/>
    <s v="03514114"/>
    <x v="49"/>
    <s v="2025-09"/>
    <s v="PANIAGUA HARTLEY SANDRO MIGUEL"/>
  </r>
  <r>
    <n v="9"/>
    <x v="35"/>
    <s v="TRAN.CTAS.TERC.BM"/>
    <n v="191.7"/>
    <s v="05210098"/>
    <x v="51"/>
    <s v="2025-09"/>
    <s v="REZUKHIN NN DMITRII"/>
  </r>
  <r>
    <n v="9"/>
    <x v="35"/>
    <s v="TRANSF.BCO.SCOTIABANK"/>
    <n v="424.02"/>
    <s v="02261205"/>
    <x v="69"/>
    <s v="2025-09"/>
    <s v="RICHARD SALCEDO JAUREGUI"/>
  </r>
  <r>
    <n v="9"/>
    <x v="35"/>
    <s v="TRAN.CTAS.TERC.BM"/>
    <n v="310.29000000000002"/>
    <s v="02929203"/>
    <x v="64"/>
    <s v="2025-09"/>
    <s v="ROCA ZEGARRA RAQUEL JENIFFER"/>
  </r>
  <r>
    <n v="9"/>
    <x v="35"/>
    <s v="TRAN.CTAS.TERC.BM"/>
    <n v="399.12"/>
    <s v="03001621"/>
    <x v="91"/>
    <s v="2025-09"/>
    <s v="TINEDO LOPEZ PEDRO LUIS"/>
  </r>
  <r>
    <n v="9"/>
    <x v="35"/>
    <s v="TRAN.CTAS.TERC.BM"/>
    <n v="411.58"/>
    <s v="06124269"/>
    <x v="62"/>
    <s v="2025-09"/>
    <s v="ZAPATA VELASCO ANGELA PATRICIA"/>
  </r>
  <r>
    <n v="10"/>
    <x v="36"/>
    <s v="TRAN.CTAS.TERC.HK"/>
    <n v="339.37"/>
    <s v="06155688"/>
    <x v="53"/>
    <s v="2025-09"/>
    <s v="BASTERRECHEA NN JIMMY"/>
  </r>
  <r>
    <n v="10"/>
    <x v="36"/>
    <s v="TRAN.CTAS.TERC.BM"/>
    <n v="311.33"/>
    <s v="04583572"/>
    <x v="140"/>
    <s v="2025-07"/>
    <s v="DURANGO CHAVEZ OLGA KARINA"/>
  </r>
  <r>
    <n v="10"/>
    <x v="36"/>
    <s v="TRAN.CTAS.TERC.BM"/>
    <n v="308.12"/>
    <s v="04583572"/>
    <x v="140"/>
    <s v="2025-08"/>
    <s v="DURANGO CHAVEZ OLGA KARINA"/>
  </r>
  <r>
    <n v="10"/>
    <x v="36"/>
    <s v="TRAN.CTAS.TERC.BM"/>
    <n v="324.64"/>
    <s v="04583572"/>
    <x v="140"/>
    <s v="2025-09"/>
    <s v="DURANGO CHAVEZ OLGA KARINA"/>
  </r>
  <r>
    <n v="10"/>
    <x v="36"/>
    <s v="TRAN.CTAS.TERC.BM"/>
    <n v="415.74"/>
    <s v="07410443"/>
    <x v="40"/>
    <s v="2025-09"/>
    <s v="FLORES GARCIA KATIUSKA TERESA"/>
  </r>
  <r>
    <n v="10"/>
    <x v="36"/>
    <s v="TRAN.CTAS.TERC.BM"/>
    <n v="374.19"/>
    <s v="01242561"/>
    <x v="57"/>
    <s v="2025-09"/>
    <s v="GUTIERREZ GUERRERO YEISON MARTIN"/>
  </r>
  <r>
    <n v="10"/>
    <x v="36"/>
    <s v="TRAN.CTAS.TERC.BM"/>
    <n v="180.86"/>
    <s v="07078061"/>
    <x v="42"/>
    <s v="2025-09"/>
    <s v="HERRERA CASTRO VANESA ZARELA"/>
  </r>
  <r>
    <n v="10"/>
    <x v="36"/>
    <s v="TRANSF.BCO.BBVA"/>
    <n v="23.37"/>
    <s v="02297088"/>
    <x v="7"/>
    <s v="2025-09"/>
    <s v="JOSE AUGUSTO CANDELA ROJAS"/>
  </r>
  <r>
    <n v="10"/>
    <x v="36"/>
    <s v="TRAN.CTAS.TERC.BM"/>
    <n v="653.11"/>
    <s v="06649549"/>
    <x v="141"/>
    <s v="2025-09"/>
    <s v="LIZARZABURU PETROZZI MIKEL ARITZ"/>
  </r>
  <r>
    <n v="10"/>
    <x v="36"/>
    <s v="TRAN.CTAS.TERC.BM"/>
    <n v="641.09"/>
    <s v="06574077"/>
    <x v="141"/>
    <s v="2025-08"/>
    <s v="LIZARZABURU PETROZZI MIKEL ARITZ"/>
  </r>
  <r>
    <n v="10"/>
    <x v="36"/>
    <s v="TRAN.CTAS.TERC.BM"/>
    <n v="266.93"/>
    <s v="07037860"/>
    <x v="142"/>
    <s v="2025-07"/>
    <s v="LOPEZ ZUNIGA ENRIQUE"/>
  </r>
  <r>
    <n v="10"/>
    <x v="36"/>
    <s v="TRAN.CTAS.TERC.BM"/>
    <n v="261.5"/>
    <s v="07037860"/>
    <x v="142"/>
    <s v="2025-08"/>
    <s v="LOPEZ ZUNIGA ENRIQUE"/>
  </r>
  <r>
    <n v="10"/>
    <x v="36"/>
    <s v="TRAN.CTAS.TERC.BM"/>
    <n v="268.07"/>
    <s v="07037860"/>
    <x v="142"/>
    <s v="2025-09"/>
    <s v="LOPEZ ZUNIGA ENRIQUE"/>
  </r>
  <r>
    <n v="10"/>
    <x v="36"/>
    <s v="TRAN.CTAS.TERC.BM"/>
    <n v="982.26"/>
    <s v="06543668"/>
    <x v="46"/>
    <s v="2025-09"/>
    <s v="MARULANDA HIDALGO BRIGIDO HORACIO"/>
  </r>
  <r>
    <n v="10"/>
    <x v="36"/>
    <s v="TRAN.CTAS.TERC.BM"/>
    <n v="259.76"/>
    <s v="03379087"/>
    <x v="114"/>
    <s v="2025-09"/>
    <s v="MERINO NEGRON PEDRO MANUEL"/>
  </r>
  <r>
    <n v="10"/>
    <x v="36"/>
    <s v="TRAN.CTAS.TERC.BM"/>
    <n v="272.22000000000003"/>
    <s v="07143203"/>
    <x v="21"/>
    <s v="2025-09"/>
    <s v="MILUSKA CRIS TAPIA CASARETTO"/>
  </r>
  <r>
    <n v="10"/>
    <x v="36"/>
    <s v="TRANSF.BCO.BBVA"/>
    <n v="507.23"/>
    <s v="02256230"/>
    <x v="48"/>
    <s v="2025-09"/>
    <s v="PABLO ABEL MINIANO GARCIA"/>
  </r>
  <r>
    <n v="10"/>
    <x v="36"/>
    <s v="TRAN.CTAS.TERC.BM"/>
    <n v="390.2"/>
    <s v="01514637"/>
    <x v="13"/>
    <s v="2025-09"/>
    <s v="REGALADO SANTANA MARIA CELINDA"/>
  </r>
  <r>
    <n v="10"/>
    <x v="36"/>
    <s v="TRAN.CTAS.TERC.BM"/>
    <n v="763.06"/>
    <s v="02362328"/>
    <x v="77"/>
    <s v="2025-09"/>
    <s v="ROSARIO TORRES PATRICIA DEL CARMEN"/>
  </r>
  <r>
    <n v="10"/>
    <x v="36"/>
    <s v="TRAN.CTAS.TERC.BM"/>
    <n v="394.96"/>
    <s v="00355240"/>
    <x v="23"/>
    <s v="2025-10"/>
    <s v="RUIZ SANDOVAL FLOR DE MARIA"/>
  </r>
  <r>
    <n v="10"/>
    <x v="36"/>
    <s v="TRAN.CTAS.TERC.BM"/>
    <n v="382.39"/>
    <s v="01704392"/>
    <x v="17"/>
    <s v="2025-09"/>
    <s v="TRAN.CTAS.TERC.BM"/>
  </r>
  <r>
    <n v="10"/>
    <x v="36"/>
    <s v="TRAN.CTAS.TERC.BM"/>
    <n v="394.96"/>
    <s v="04172885"/>
    <x v="80"/>
    <s v="2025-09"/>
    <s v="VEGA DIESTRA DAVID VICTOR"/>
  </r>
  <r>
    <n v="10"/>
    <x v="37"/>
    <s v="TRANSF.BCO.SCOTIABANK"/>
    <n v="440.66"/>
    <s v="02962936"/>
    <x v="68"/>
    <s v="2025-09"/>
    <s v="CLAUDIA VILLAVICENCIO PONCE DE LEON"/>
  </r>
  <r>
    <n v="10"/>
    <x v="37"/>
    <s v="TRANSF.BCO.INTERBANK"/>
    <n v="487.21"/>
    <s v="02390495"/>
    <x v="143"/>
    <s v="2025-09"/>
    <s v="GABANCHO-DAVILA-VALERIA"/>
  </r>
  <r>
    <n v="10"/>
    <x v="37"/>
    <s v="TRAN.CTAS.TERC.BM"/>
    <n v="440.75"/>
    <s v="05239747"/>
    <x v="41"/>
    <s v="2025-09"/>
    <s v="HENDRICK FONG OSCAR ALEJANDRO"/>
  </r>
  <r>
    <n v="10"/>
    <x v="37"/>
    <s v="TRAN.CTAS.TERC.BM"/>
    <n v="195.86"/>
    <s v="00537600"/>
    <x v="33"/>
    <s v="2025-09"/>
    <s v="MEDINA SARMIENTO JAVIER"/>
  </r>
  <r>
    <n v="10"/>
    <x v="37"/>
    <s v="TRAN.CTAS.TERC.BM"/>
    <n v="272.22000000000003"/>
    <s v="03370925"/>
    <x v="20"/>
    <s v="2025-09"/>
    <s v="MEJIA TURRIATE DEBORA DICK"/>
  </r>
  <r>
    <n v="10"/>
    <x v="37"/>
    <s v="TRAN.CTAS.TERC.BM"/>
    <n v="172.12"/>
    <s v="01935673"/>
    <x v="97"/>
    <s v="2025-09"/>
    <s v="MENDOZA SALDANA FRANK ANDRE"/>
  </r>
  <r>
    <n v="10"/>
    <x v="37"/>
    <s v="TRAN.CTAS.TERC.BM"/>
    <n v="242.83"/>
    <s v="04937016"/>
    <x v="144"/>
    <s v="2025-08"/>
    <s v="NAVARRO LEYVA EDGARDO MILCIADES"/>
  </r>
  <r>
    <n v="10"/>
    <x v="37"/>
    <s v="TRAN.CTAS.TERC.BM"/>
    <n v="259.76"/>
    <s v="03827341"/>
    <x v="50"/>
    <s v="2025-09"/>
    <s v="RAMOS GUTTI DANIEL FRANCISCO"/>
  </r>
  <r>
    <n v="10"/>
    <x v="37"/>
    <s v="TRAN.CTAS.TERC.BM"/>
    <n v="274.77"/>
    <s v="02724168"/>
    <x v="52"/>
    <s v="2025-09"/>
    <s v="SALINAS SOUZA CARLOS ENRIQUE JOSE ALFR"/>
  </r>
  <r>
    <n v="10"/>
    <x v="37"/>
    <s v="TRAN.CTAS.TERC.BM"/>
    <n v="382.5"/>
    <s v="06752338"/>
    <x v="93"/>
    <s v="2025-09"/>
    <s v="SALVATIERRA TORRES ROGGER DANNY"/>
  </r>
  <r>
    <n v="10"/>
    <x v="38"/>
    <s v="TRAN.CTAS.TERC.BM"/>
    <n v="447.3"/>
    <s v="01489798"/>
    <x v="101"/>
    <s v="2025-09"/>
    <s v="BENITES BALDOCEDA MARIA DE LOS ANGELES"/>
  </r>
  <r>
    <n v="10"/>
    <x v="38"/>
    <s v="TRAN.CTAS.TERC.BM"/>
    <n v="187.55"/>
    <s v="01518499"/>
    <x v="102"/>
    <s v="2025-09"/>
    <s v="BENITES BALDOCEDA MARIA DE LOS ANGELES"/>
  </r>
  <r>
    <n v="10"/>
    <x v="38"/>
    <s v="TRAN.CTAS.TERC.BM"/>
    <n v="100"/>
    <s v="04475460"/>
    <x v="2"/>
    <s v="arcade"/>
    <s v="BENITES BALDOCEDA MARIA DE LOS ANGELES"/>
  </r>
  <r>
    <n v="10"/>
    <x v="38"/>
    <s v="TRAN.CTAS.TERC.BM"/>
    <n v="263.91000000000003"/>
    <s v="01517277"/>
    <x v="103"/>
    <s v="2025-09"/>
    <s v="BENITES BALDOCEDA MARIA DE LOS ANGELES"/>
  </r>
  <r>
    <n v="10"/>
    <x v="38"/>
    <s v="TRANSF.BCO.INTERBANK"/>
    <n v="378.34"/>
    <s v="02320411"/>
    <x v="67"/>
    <s v="2025-09"/>
    <s v="CHUMPITAZ-JORDAN-GIANFRANCO"/>
  </r>
  <r>
    <n v="10"/>
    <x v="38"/>
    <s v="TRAN.CTAS.TERC.BM"/>
    <n v="411.58"/>
    <s v="05013029"/>
    <x v="145"/>
    <s v="2025-09"/>
    <s v="FERRER CODINA MILAGROS DE JESUS"/>
  </r>
  <r>
    <n v="10"/>
    <x v="38"/>
    <s v="TRAN.CTAS.TERC.BM"/>
    <n v="353.34"/>
    <s v="04946542"/>
    <x v="145"/>
    <s v="2025-08"/>
    <s v="FERRER CODINA MILAGROS DE JESUS"/>
  </r>
  <r>
    <n v="10"/>
    <x v="38"/>
    <s v="TRAN.CTAS.TERC.BM"/>
    <n v="181.69"/>
    <s v="05960842"/>
    <x v="56"/>
    <s v="2025-09"/>
    <s v="GUTIERREZ CORDOVA ANGELA PIERINA"/>
  </r>
  <r>
    <n v="10"/>
    <x v="38"/>
    <s v="TRAN.CTAS.TERC.BM"/>
    <n v="80.52"/>
    <s v="02433958"/>
    <x v="146"/>
    <s v="2025-07"/>
    <s v="HERRERA CASTRO VANESA ZARELA"/>
  </r>
  <r>
    <n v="10"/>
    <x v="38"/>
    <s v="DE INMOBILIARIA 23 SAC"/>
    <n v="165.56"/>
    <s v="02150230"/>
    <x v="147"/>
    <s v="2025-08"/>
    <s v="INMOBILIARIA 23 SAC"/>
  </r>
  <r>
    <n v="10"/>
    <x v="38"/>
    <s v="DE INMOBILIARIA 23 SAC"/>
    <n v="172.28"/>
    <s v="02150230"/>
    <x v="147"/>
    <s v="2025-09"/>
    <s v="INMOBILIARIA 23 SAC"/>
  </r>
  <r>
    <n v="10"/>
    <x v="38"/>
    <s v="TRANSF.BCO.SCOTIABANK"/>
    <n v="179.66"/>
    <s v="02714421"/>
    <x v="18"/>
    <s v="2025-09"/>
    <s v="JOSE SALDARRIAGA CEDANO"/>
  </r>
  <r>
    <n v="10"/>
    <x v="38"/>
    <s v="TRAN.CTAS.TERC.BM"/>
    <n v="396.48"/>
    <s v="06193819"/>
    <x v="84"/>
    <s v="2025-09"/>
    <s v="LI NN XIAN YI"/>
  </r>
  <r>
    <n v="10"/>
    <x v="38"/>
    <s v="TRAN.CTAS.TERC.BM"/>
    <n v="424.05"/>
    <s v="00106634"/>
    <x v="148"/>
    <s v="2025-09"/>
    <s v="MONTES DE OCA BRAMOSIO MARIA GABY"/>
  </r>
  <r>
    <n v="10"/>
    <x v="38"/>
    <s v="TRAN.CTAS.TERC.BM"/>
    <n v="386.95"/>
    <s v="00103502"/>
    <x v="148"/>
    <s v="2025-08"/>
    <s v="MONTES DE OCA BRAMOSIO MARIA GABY"/>
  </r>
  <r>
    <n v="10"/>
    <x v="38"/>
    <s v="TRAN.CTAS.TERC.BM"/>
    <n v="580"/>
    <s v="06338968"/>
    <x v="2"/>
    <s v="lounge"/>
    <s v="RUDY CRISTIAN DELGADO SORIANO"/>
  </r>
  <r>
    <n v="10"/>
    <x v="38"/>
    <s v="ENTR.EFEC. 0331488"/>
    <n v="411.6"/>
    <s v="00331488"/>
    <x v="66"/>
    <s v="2025-09"/>
    <s v="VENTANILLA"/>
  </r>
  <r>
    <n v="10"/>
    <x v="39"/>
    <s v="TRAN.CTAS.TERC.BM"/>
    <n v="469.83"/>
    <s v="01947836"/>
    <x v="123"/>
    <s v="2025-09"/>
    <s v="ALIAGA ALVAREZ ZARELLA DENISSE"/>
  </r>
  <r>
    <n v="10"/>
    <x v="39"/>
    <s v="TRAN.CTAS.TERC.BM"/>
    <n v="456.23"/>
    <s v="01935007"/>
    <x v="123"/>
    <s v="2025-07"/>
    <s v="ALIAGA ALVAREZ ZARELLA DENISSE"/>
  </r>
  <r>
    <n v="10"/>
    <x v="39"/>
    <s v="TRAN.CTAS.TERC.BM"/>
    <n v="170.93"/>
    <s v="01667380"/>
    <x v="32"/>
    <s v="2025-09"/>
    <s v="BALLENA CAPUNAY FELIX ADALBERTO"/>
  </r>
  <r>
    <n v="10"/>
    <x v="39"/>
    <s v="TRAN.CTAS.TERC.BM"/>
    <n v="394.96"/>
    <s v="06108814"/>
    <x v="81"/>
    <s v="2025-09"/>
    <s v="CASTILLO MERCEDES ANA ISABEL"/>
  </r>
  <r>
    <n v="10"/>
    <x v="39"/>
    <s v="TRAN.CTAS.TERC.BM"/>
    <n v="179.24"/>
    <s v="00756422"/>
    <x v="85"/>
    <s v="2025-09"/>
    <s v="MALDONADO DE-LA-CRUZ NORA TERESA"/>
  </r>
  <r>
    <n v="10"/>
    <x v="39"/>
    <s v="TRAN.CTAS.TERC.BM"/>
    <n v="40"/>
    <s v="04379081"/>
    <x v="2"/>
    <s v="parrilla"/>
    <s v="ROJAS CACERES VITHIA MARCELA"/>
  </r>
  <r>
    <n v="10"/>
    <x v="39"/>
    <s v="TRANSF.BCO.INTERBANK"/>
    <n v="364.54"/>
    <s v="02742761"/>
    <x v="149"/>
    <s v="2025-08"/>
    <s v="TIBURCIO-GARCIA-ANDERSON"/>
  </r>
  <r>
    <n v="10"/>
    <x v="40"/>
    <s v="TRAN.CTAS.TERC.HK"/>
    <n v="77.760000000000005"/>
    <s v="06006850"/>
    <x v="37"/>
    <s v="2025-09"/>
    <s v="ORELLANA VARGAS CARMEN ROSA"/>
  </r>
  <r>
    <n v="10"/>
    <x v="41"/>
    <s v="TRAN.CTAS.TERC.BM"/>
    <n v="386.65"/>
    <s v="04071624"/>
    <x v="74"/>
    <s v="2025-09"/>
    <s v="LOPEZ ARCE JUDITH MELISSA"/>
  </r>
  <r>
    <n v="10"/>
    <x v="41"/>
    <s v="TRANSF.BCO.BBVA"/>
    <n v="386.65"/>
    <s v="02973820"/>
    <x v="8"/>
    <s v="2025-09"/>
    <s v="MARIA GISELLA YOUNG GUERRERO"/>
  </r>
  <r>
    <n v="10"/>
    <x v="42"/>
    <s v="TRAN.CTAS.TERC.BM"/>
    <n v="409.51"/>
    <s v="04773145"/>
    <x v="72"/>
    <s v="2025-09"/>
    <s v="ALATA FLORES GABRIELA VANESA"/>
  </r>
  <r>
    <n v="10"/>
    <x v="42"/>
    <s v="TRAN.CTAS.TERC.BM"/>
    <n v="263.91000000000003"/>
    <s v="04762494"/>
    <x v="83"/>
    <s v="2025-09"/>
    <s v="ALATA FLORES GABRIELA VANESA"/>
  </r>
  <r>
    <n v="10"/>
    <x v="42"/>
    <s v="TRANSF.BCO.INTERBANK"/>
    <n v="170.93"/>
    <s v="02313966"/>
    <x v="109"/>
    <s v="2025-09"/>
    <s v="ALVAREZ-SALAS-CARLOS"/>
  </r>
  <r>
    <n v="10"/>
    <x v="42"/>
    <s v="TRANSF.BCO.INTERBANK"/>
    <n v="344.43"/>
    <s v="02831730"/>
    <x v="70"/>
    <s v="2025-09"/>
    <s v="GUTIERREZ-ESQUICHA-OLIVER"/>
  </r>
  <r>
    <n v="10"/>
    <x v="42"/>
    <s v="TRAN.CTAS.TERC.BM"/>
    <n v="654.98"/>
    <s v="02499880"/>
    <x v="100"/>
    <s v="2025-09"/>
    <s v="IKRO &amp; DR COMPANY EIRL"/>
  </r>
  <r>
    <n v="10"/>
    <x v="42"/>
    <s v="TRAN.CTAS.TERC.BM"/>
    <n v="674.36"/>
    <s v="02499880"/>
    <x v="100"/>
    <s v="2025-10"/>
    <s v="IKRO &amp; DR COMPANY EIRL"/>
  </r>
  <r>
    <n v="10"/>
    <x v="42"/>
    <s v="TRANSF.BCO.BBVA"/>
    <n v="374.19"/>
    <s v="02154968"/>
    <x v="150"/>
    <s v="2025-09"/>
    <s v="JOEL ANTONIO AVILA FERNANDEZ"/>
  </r>
  <r>
    <n v="10"/>
    <x v="42"/>
    <s v="TRANSF.BCO.BBVA"/>
    <n v="357.07"/>
    <s v="02874731"/>
    <x v="150"/>
    <s v="2025-08"/>
    <s v="JOEL ANTONIO AVILA FERNANDEZ"/>
  </r>
  <r>
    <n v="10"/>
    <x v="42"/>
    <s v="TRAN.CTAS.TERC.BM"/>
    <n v="390.81"/>
    <s v="05959738"/>
    <x v="58"/>
    <s v="2025-09"/>
    <s v="LAMADRID MESONES JOSE ALBERTO"/>
  </r>
  <r>
    <n v="10"/>
    <x v="42"/>
    <s v="TRANSF.BCO.SCOTIABANK"/>
    <n v="250.3"/>
    <s v="02758475"/>
    <x v="122"/>
    <s v="2025-08"/>
    <s v="MARIOLITH CARBI VALLE"/>
  </r>
  <r>
    <n v="10"/>
    <x v="42"/>
    <s v="TRAN.CTAS.TERC.BM"/>
    <n v="580"/>
    <s v="01858286"/>
    <x v="2"/>
    <s v="lounge"/>
    <s v="MENDEZ BRAVO JUAN JOSE"/>
  </r>
  <r>
    <n v="10"/>
    <x v="42"/>
    <s v="TRAN.CTAS.TERC.BM"/>
    <n v="401.16"/>
    <s v="03350643"/>
    <x v="126"/>
    <s v="2025-09"/>
    <s v="MENDIOLA LOPEZ MARIA ELENA MARTINA"/>
  </r>
  <r>
    <n v="10"/>
    <x v="42"/>
    <s v="TRAN.CTAS.TERC.BM"/>
    <n v="80.52"/>
    <s v="03379568"/>
    <x v="127"/>
    <s v="2025-09"/>
    <s v="MENDIOLA LOPEZ MARIA ELENA MARTINA"/>
  </r>
  <r>
    <n v="10"/>
    <x v="42"/>
    <s v="TRAN.CTAS.TERC.BM"/>
    <n v="301.98"/>
    <s v="02501272"/>
    <x v="9"/>
    <s v="2025-09"/>
    <s v="MENDOZA BAZAN SILVIA VERONICA"/>
  </r>
  <r>
    <n v="10"/>
    <x v="42"/>
    <s v="TRAN.CTAS.TERC.BM"/>
    <n v="270.61"/>
    <s v="04115593"/>
    <x v="151"/>
    <s v="2025-10"/>
    <s v="MESONES DEL-RIO MARIA ISABEL"/>
  </r>
  <r>
    <n v="10"/>
    <x v="42"/>
    <s v="TRAN.CTAS.TERC.BM"/>
    <n v="349.22"/>
    <s v="02408877"/>
    <x v="152"/>
    <s v="2025-10"/>
    <s v="PACHECO URQUIAGA FERNANDO"/>
  </r>
  <r>
    <n v="10"/>
    <x v="42"/>
    <s v="TRANSF.BCO.BBVA"/>
    <n v="251.45"/>
    <s v="02102468"/>
    <x v="125"/>
    <s v="2025-10"/>
    <s v="RUBEN DARIO TORANZO SILVA"/>
  </r>
  <r>
    <n v="10"/>
    <x v="42"/>
    <s v="TRAN.CTAS.TERC.BM"/>
    <n v="178.5"/>
    <s v="02585101"/>
    <x v="24"/>
    <s v="2025-10"/>
    <s v="TIPON GALVIS MICHAEL"/>
  </r>
  <r>
    <n v="10"/>
    <x v="43"/>
    <s v="TRANSF.BCO.INTERBANK"/>
    <n v="415.74"/>
    <s v="02868922"/>
    <x v="95"/>
    <s v="2025-09"/>
    <s v="BERROSPI-SEVILLANOS-SEVILLANOS-JHOJAN KLAUS"/>
  </r>
  <r>
    <n v="10"/>
    <x v="43"/>
    <s v="TRAN.CTAS.TERC.BM"/>
    <n v="659.81"/>
    <s v="05351892"/>
    <x v="141"/>
    <s v="2025-10"/>
    <s v="LIZARZABURU PETROZZI MIKEL ARITZ"/>
  </r>
  <r>
    <n v="10"/>
    <x v="43"/>
    <s v="TRANSF.BCO.BBVA"/>
    <n v="385.04"/>
    <s v="02130505"/>
    <x v="8"/>
    <s v="2025-10"/>
    <s v="MARIA GISELLA YOUNG GUERRERO"/>
  </r>
  <r>
    <n v="10"/>
    <x v="43"/>
    <s v="TRAN.CTAS.TERC.BM"/>
    <n v="397.81"/>
    <s v="00088391"/>
    <x v="148"/>
    <s v="2025-10"/>
    <s v="MONTES DE OCA BRAMOSIO MARIA GABY"/>
  </r>
  <r>
    <n v="10"/>
    <x v="43"/>
    <s v="TRANSF.BCO.BBVA"/>
    <n v="40"/>
    <s v="02259087"/>
    <x v="2"/>
    <s v="parrilla"/>
    <s v="PABLO ABEL MINIANO GARCIA"/>
  </r>
  <r>
    <n v="10"/>
    <x v="43"/>
    <s v="TRANSF.BCO.INTERBANK"/>
    <n v="515.15"/>
    <s v="02370720"/>
    <x v="22"/>
    <s v="2025-10"/>
    <s v="TRANSF.BCO.INTERBANK"/>
  </r>
  <r>
    <n v="10"/>
    <x v="44"/>
    <s v="TRAN.CTAS.TERC.BM"/>
    <n v="170.93"/>
    <s v="00114942"/>
    <x v="133"/>
    <s v="2025-09"/>
    <s v="BUENO CHAVEZ SILVIA ISABEL"/>
  </r>
  <r>
    <n v="10"/>
    <x v="44"/>
    <s v="TRANSF.BCO.BBVA"/>
    <n v="175.08"/>
    <s v="02303943"/>
    <x v="73"/>
    <s v="2025-09"/>
    <s v="JERSON JULIANO CHUCO PAUCAR"/>
  </r>
  <r>
    <n v="10"/>
    <x v="44"/>
    <s v="TRANSF.BCO.INTERBANK"/>
    <n v="170.93"/>
    <s v="02961523"/>
    <x v="35"/>
    <s v="2025-10"/>
    <s v="MORALES-DURAND-DE-DURAN-ZANDRA"/>
  </r>
  <r>
    <n v="10"/>
    <x v="44"/>
    <s v="ENTR.EFEC. 0214483"/>
    <n v="194.25"/>
    <s v="00214483"/>
    <x v="98"/>
    <s v="2025-10"/>
    <s v="VENTANILLA"/>
  </r>
  <r>
    <n v="10"/>
    <x v="45"/>
    <s v="TRAN.CTAS.TERC.BM"/>
    <n v="534.59"/>
    <s v="02611114"/>
    <x v="107"/>
    <s v="2025-11"/>
    <s v="CONSTRUCCIONES CIVILES E INDUSTRIALES GU"/>
  </r>
  <r>
    <n v="10"/>
    <x v="45"/>
    <s v="TRAN.CTAS.TERC.BM"/>
    <n v="402.26"/>
    <s v="01387232"/>
    <x v="153"/>
    <s v="2025-08"/>
    <s v="FLORES MORALES MELISSA"/>
  </r>
  <r>
    <n v="10"/>
    <x v="45"/>
    <s v="TRAN.CTAS.TERC.BM"/>
    <n v="100"/>
    <s v="02435870"/>
    <x v="2"/>
    <s v="arcade"/>
    <s v="FLORES MORALES MELISSA"/>
  </r>
  <r>
    <n v="10"/>
    <x v="45"/>
    <s v="TRAN.CTAS.TERC.BM"/>
    <n v="440.75"/>
    <s v="02109910"/>
    <x v="41"/>
    <s v="2025-10"/>
    <s v="HENDRICK FONG OSCAR ALEJANDRO"/>
  </r>
  <r>
    <n v="10"/>
    <x v="45"/>
    <s v="TRAN.CTAS.TERC.BM"/>
    <n v="40"/>
    <s v="03117139"/>
    <x v="2"/>
    <s v="parrilla"/>
    <s v="NEIRA UN JAN MILAGROS ANDREA"/>
  </r>
  <r>
    <n v="10"/>
    <x v="45"/>
    <s v="TRAN.CTAS.TERC.BM"/>
    <n v="564.4"/>
    <s v="00750769"/>
    <x v="65"/>
    <s v="2025-09"/>
    <s v="SOTO CONDORI GIANFRANCO"/>
  </r>
  <r>
    <n v="10"/>
    <x v="45"/>
    <s v="ENTR.EFEC. 0800064"/>
    <n v="464.07"/>
    <s v="00800064"/>
    <x v="27"/>
    <s v="2025-09"/>
    <s v="VENTANILLA"/>
  </r>
  <r>
    <n v="10"/>
    <x v="45"/>
    <s v="ENTR.EFEC. 0797697"/>
    <n v="464.07"/>
    <s v="00797697"/>
    <x v="27"/>
    <s v="2025-10"/>
    <s v="VENTANILLA"/>
  </r>
  <r>
    <n v="10"/>
    <x v="46"/>
    <s v="TRAN.CTAS.TERC.BM"/>
    <n v="40"/>
    <s v="01893293"/>
    <x v="2"/>
    <s v="parrilla"/>
    <s v="LAMADRID MESONES JOSE ALBERTO"/>
  </r>
  <r>
    <n v="10"/>
    <x v="46"/>
    <s v="TRAN.CTAS.TERC.BM"/>
    <n v="398.15"/>
    <s v="04257570"/>
    <x v="154"/>
    <s v="2025-08"/>
    <s v="PAREDES ESTEFANY-O-GAMERO OSCAR"/>
  </r>
  <r>
    <n v="10"/>
    <x v="46"/>
    <s v="TRAN.CTAS.TERC.BM"/>
    <n v="399.12"/>
    <s v="04257570"/>
    <x v="154"/>
    <s v="2025-09"/>
    <s v="PAREDES ESTEFANY-O-GAMERO OSCAR"/>
  </r>
  <r>
    <n v="10"/>
    <x v="46"/>
    <s v="TRAN.CTAS.TERC.BM"/>
    <n v="378.34"/>
    <s v="01273818"/>
    <x v="119"/>
    <s v="2025-09"/>
    <s v="RUIZ GUTIERREZ ROLANDO"/>
  </r>
  <r>
    <n v="10"/>
    <x v="46"/>
    <s v="ENTR.EFEC. 0099414"/>
    <n v="404.2"/>
    <s v="00099414"/>
    <x v="66"/>
    <s v="2025-10"/>
    <s v="VENTANILLA"/>
  </r>
  <r>
    <n v="10"/>
    <x v="47"/>
    <s v="TRANSF.BCO.INTERBANK"/>
    <n v="168.8"/>
    <s v="02502791"/>
    <x v="155"/>
    <s v="2025-08"/>
    <s v="BERMEJO-DE-LA-CRUZ-JOSE"/>
  </r>
  <r>
    <n v="10"/>
    <x v="47"/>
    <s v="TRAN.CTAS.TERC.BM"/>
    <n v="390.81"/>
    <s v="00855810"/>
    <x v="121"/>
    <s v="2025-09"/>
    <s v="CASTILLA PEREZ CARMELA FERMINA"/>
  </r>
  <r>
    <n v="10"/>
    <x v="47"/>
    <s v="TRAN.CTAS.TERC.BM"/>
    <n v="175.57"/>
    <s v="03118936"/>
    <x v="155"/>
    <s v="2025-10"/>
    <s v="PEREZ SANCHEZ KIRIA JAEL"/>
  </r>
  <r>
    <n v="10"/>
    <x v="47"/>
    <s v="TRAN.CTAS.TERC.BM"/>
    <n v="197.87"/>
    <s v="02834124"/>
    <x v="112"/>
    <s v="2025-09"/>
    <s v="TOLOSA ALVAREZ WILKENDRY ANTONIO"/>
  </r>
  <r>
    <n v="10"/>
    <x v="47"/>
    <s v="TRAN.CTAS.TERC.BM"/>
    <n v="187.7"/>
    <s v="02826857"/>
    <x v="112"/>
    <s v="2025-08"/>
    <s v="TOLOSA ALVAREZ WILKENDRY ANTONIO"/>
  </r>
  <r>
    <n v="10"/>
    <x v="48"/>
    <s v="TRANSF.BCO.SCOTIABANK"/>
    <n v="80.52"/>
    <s v="02467202"/>
    <x v="79"/>
    <s v="2025-09"/>
    <s v="LIDIA VALDIVIESO FALCON"/>
  </r>
  <r>
    <n v="10"/>
    <x v="48"/>
    <s v="TRAN.CTAS.TERC.BM"/>
    <n v="500"/>
    <s v="03732600"/>
    <x v="2"/>
    <s v="lounge"/>
    <s v="MENDIOLA LOPEZ MARIA ELENA MARTINA"/>
  </r>
  <r>
    <n v="10"/>
    <x v="48"/>
    <s v="TRAN.CTAS.TERC.BM"/>
    <n v="80"/>
    <s v="03755424"/>
    <x v="2"/>
    <s v="lounge"/>
    <s v="MENDIOLA LOPEZ MARIA ELENA MARTINA"/>
  </r>
  <r>
    <n v="10"/>
    <x v="48"/>
    <s v="TRAN.CTAS.TERC.BM"/>
    <n v="40"/>
    <s v="03721609"/>
    <x v="2"/>
    <s v="parrilla"/>
    <s v="MENDIOLA LOPEZ MARIA ELENA MARTINA"/>
  </r>
  <r>
    <n v="10"/>
    <x v="48"/>
    <s v="TRAN.CTAS.TERC.BM"/>
    <n v="40"/>
    <s v="02131558"/>
    <x v="2"/>
    <s v="parrilla"/>
    <s v="NEGRINI WITHER JORGE ENRIQUE"/>
  </r>
  <r>
    <n v="10"/>
    <x v="48"/>
    <s v="TRANSF.BCO.BBVA"/>
    <n v="255.6"/>
    <s v="02133321"/>
    <x v="125"/>
    <s v="2025-09"/>
    <s v="RUBEN DARIO TORANZO SILVA"/>
  </r>
  <r>
    <n v="10"/>
    <x v="49"/>
    <s v="TRAN.CTAS.TERC.BM"/>
    <n v="462.85"/>
    <s v="03363837"/>
    <x v="104"/>
    <s v="2025-09"/>
    <s v="BUSTAMANTE RUIZ EDUARDO CARLOS"/>
  </r>
  <r>
    <n v="10"/>
    <x v="49"/>
    <s v="TRAN.CTAS.TERC.BM"/>
    <n v="580"/>
    <s v="01798155"/>
    <x v="2"/>
    <s v="lounge"/>
    <s v="CELI GUTIERREZ DIANA KARINA"/>
  </r>
  <r>
    <n v="10"/>
    <x v="49"/>
    <s v="TRAN.CTAS.TERC.BM"/>
    <n v="30"/>
    <s v="01793465"/>
    <x v="2"/>
    <s v="cine"/>
    <s v="CELI GUTIERREZ DIANA KARINA"/>
  </r>
  <r>
    <n v="10"/>
    <x v="49"/>
    <s v="TRAN.CTAS.TERC.BM"/>
    <n v="434.56"/>
    <s v="03586963"/>
    <x v="120"/>
    <s v="2025-10"/>
    <s v="CLAVIJO GONZALEZ LIZ TATIANA"/>
  </r>
  <r>
    <n v="10"/>
    <x v="49"/>
    <s v="TRAN.CTAS.TERC.BM"/>
    <n v="306.13"/>
    <s v="01035254"/>
    <x v="156"/>
    <s v="2025-09"/>
    <s v="DELGADO SILVA LUIS FERNANDO"/>
  </r>
  <r>
    <n v="10"/>
    <x v="49"/>
    <s v="TRANSF.BCO.PICHINCHA"/>
    <n v="620"/>
    <s v="00062675"/>
    <x v="111"/>
    <s v="2025-09"/>
    <s v="LOPEZ FORTUNATO"/>
  </r>
  <r>
    <n v="10"/>
    <x v="49"/>
    <s v="TRANSF.BCO.INTERBANK"/>
    <n v="190.09"/>
    <s v="02980048"/>
    <x v="129"/>
    <s v="2025-10"/>
    <s v="PADILLA-CRUZ-LOURDES"/>
  </r>
  <r>
    <n v="10"/>
    <x v="49"/>
    <s v="TRANSF.BCO.INTERBANK"/>
    <n v="183.39"/>
    <s v="02975688"/>
    <x v="129"/>
    <s v="2025-09"/>
    <s v="PADILLA-CRUZ-LOURDES"/>
  </r>
  <r>
    <n v="10"/>
    <x v="49"/>
    <s v="TRAN.CTAS.TERC.BM"/>
    <n v="304.52"/>
    <s v="01881607"/>
    <x v="88"/>
    <s v="2025-10"/>
    <s v="SANALEA REANO-DE-LLANO YOLANDA"/>
  </r>
  <r>
    <n v="10"/>
    <x v="50"/>
    <s v="TRANSF.BCO.INTERBANK"/>
    <n v="276.99"/>
    <s v="02341768"/>
    <x v="44"/>
    <s v="2025-10"/>
    <s v="JUSTO-NIETO-MILENA"/>
  </r>
  <r>
    <n v="10"/>
    <x v="50"/>
    <s v="TRAN.CTAS.TERC.BM"/>
    <n v="190"/>
    <s v="03968157"/>
    <x v="128"/>
    <s v="2025-10"/>
    <s v="QUISPE TAPIA BERLINNE CLARET"/>
  </r>
  <r>
    <n v="10"/>
    <x v="50"/>
    <s v="TRANSF.BCO.SCOTIABANK"/>
    <n v="183.39"/>
    <s v="02742208"/>
    <x v="37"/>
    <s v="2025-09"/>
    <s v="ROSA TUME ZEGARRA"/>
  </r>
  <r>
    <n v="10"/>
    <x v="50"/>
    <s v="TRANSF.BCO.BBVA"/>
    <n v="297.98"/>
    <s v="02517238"/>
    <x v="157"/>
    <s v="2025-08"/>
    <s v="VICTOR DANIEL DE LA CRUZ SOLO"/>
  </r>
  <r>
    <n v="10"/>
    <x v="50"/>
    <s v="TRAN.CTAS.TERC.BM"/>
    <n v="446.4"/>
    <s v="05623964"/>
    <x v="106"/>
    <s v="2025-09"/>
    <s v="YAIPEN PANTOJA ALEXIS"/>
  </r>
  <r>
    <n v="10"/>
    <x v="51"/>
    <s v="TRAN.CTAS.TERC.BM"/>
    <n v="382.69"/>
    <s v="03787842"/>
    <x v="15"/>
    <s v="2025-10"/>
    <s v="CAO NN DACHAO"/>
  </r>
  <r>
    <n v="10"/>
    <x v="51"/>
    <s v="TRAN.CTAS.TERC.BM"/>
    <n v="390.96"/>
    <s v="06155307"/>
    <x v="45"/>
    <s v="2025-09"/>
    <s v="LIANG NN YANQIU"/>
  </r>
  <r>
    <n v="10"/>
    <x v="51"/>
    <s v="TRAN.CTAS.TERC.BM"/>
    <n v="376.09"/>
    <s v="06168843"/>
    <x v="45"/>
    <s v="2025-10"/>
    <s v="LIANG NN YANQIU"/>
  </r>
  <r>
    <n v="10"/>
    <x v="51"/>
    <s v="TRAN.CTAS.TERC.BM"/>
    <n v="380.22"/>
    <s v="01962652"/>
    <x v="96"/>
    <s v="2025-10"/>
    <s v="NEIRA BUSTAMANTE GIANELLA LIZETH"/>
  </r>
  <r>
    <n v="10"/>
    <x v="51"/>
    <s v="TRAN.CTAS.TERC.BM"/>
    <n v="190.09"/>
    <s v="01114795"/>
    <x v="115"/>
    <s v="2025-10"/>
    <s v="OSORIO MOQUILLAZA JESUS ALFONSO"/>
  </r>
  <r>
    <n v="10"/>
    <x v="51"/>
    <s v="TRAN.CTAS.TERC.BM"/>
    <n v="183.39"/>
    <s v="01081705"/>
    <x v="115"/>
    <s v="2025-09"/>
    <s v="OSORIO MOQUILLAZA JESUS ALFONSO"/>
  </r>
  <r>
    <n v="10"/>
    <x v="52"/>
    <s v="TRAN.CTAS.TERC.BM"/>
    <n v="414.74"/>
    <s v="00385018"/>
    <x v="71"/>
    <s v="2025-10"/>
    <s v="HARO CABALLERO CAROL ELIZABETH"/>
  </r>
  <r>
    <n v="10"/>
    <x v="52"/>
    <s v="TRAN.CTAS.TERC.BM"/>
    <n v="391.42"/>
    <s v="05470761"/>
    <x v="36"/>
    <s v="2025-10"/>
    <s v="NEIRA UN JAN MILAGROS ANDREA"/>
  </r>
  <r>
    <n v="10"/>
    <x v="52"/>
    <s v="TRAN.CTAS.TERC.BM"/>
    <n v="294.25"/>
    <s v="05393556"/>
    <x v="64"/>
    <s v="2025-08"/>
    <s v="ROCA ZEGARRA RAQUEL JENIFFER"/>
  </r>
  <r>
    <n v="10"/>
    <x v="52"/>
    <s v="TRAN.CTAS.TERC.BM"/>
    <n v="191.7"/>
    <s v="02278475"/>
    <x v="158"/>
    <s v="2025-09"/>
    <s v="SANCHEZ---SALAZAR OLCESE GLADYS MARIELA"/>
  </r>
  <r>
    <n v="10"/>
    <x v="52"/>
    <s v="TRAN.CTAS.TERC.BM"/>
    <n v="191.21"/>
    <s v="02259143"/>
    <x v="158"/>
    <s v="2025-08"/>
    <s v="SANCHEZ---SALAZAR OLCESE GLADYS MARIELA"/>
  </r>
  <r>
    <n v="10"/>
    <x v="52"/>
    <s v="TRANSF.BCO.BBVA"/>
    <n v="30"/>
    <s v="02029566"/>
    <x v="2"/>
    <s v="cine"/>
    <s v="VICTOR DANIEL DE LA CRUZ SOLO"/>
  </r>
  <r>
    <n v="10"/>
    <x v="53"/>
    <s v="TRANSF.BCO.SCOTIABANK"/>
    <n v="580"/>
    <s v="02430862"/>
    <x v="2"/>
    <s v="lounge"/>
    <s v="DANITZA PALACIOS CARDENAS"/>
  </r>
  <r>
    <n v="10"/>
    <x v="53"/>
    <s v="TRANSF.BCO.SCOTIABANK"/>
    <n v="30"/>
    <s v="02430862"/>
    <x v="2"/>
    <s v="cine"/>
    <s v="DANITZA PALACIOS CARDENAS"/>
  </r>
  <r>
    <n v="10"/>
    <x v="53"/>
    <s v="TRANSF.BCO.INTERBANK"/>
    <n v="510.83"/>
    <s v="02504453"/>
    <x v="143"/>
    <s v="2025-10"/>
    <s v="GABANCHO-DAVILA-VALERIA"/>
  </r>
  <r>
    <n v="10"/>
    <x v="53"/>
    <s v="TRANSF.BCO.SCOTIABANK"/>
    <n v="40"/>
    <s v="02204114"/>
    <x v="2"/>
    <s v="parrilla"/>
    <s v="JOSE SALDARRIAGA CEDANO"/>
  </r>
  <r>
    <n v="10"/>
    <x v="54"/>
    <s v="TRAN.CTAS.TERC.HK"/>
    <n v="342.83"/>
    <s v="06027844"/>
    <x v="53"/>
    <s v="2025-10"/>
    <s v="BASTERRECHEA NN JIMMY"/>
  </r>
  <r>
    <n v="10"/>
    <x v="54"/>
    <s v="TRANSF.BCO.INTERBANK"/>
    <n v="332.24"/>
    <s v="02014380"/>
    <x v="1"/>
    <s v="2025-10"/>
    <s v="BLAS-OLIVER-LIDIA"/>
  </r>
  <r>
    <n v="10"/>
    <x v="55"/>
    <s v="TRANSF.BCO.INTERBANK"/>
    <n v="312.92"/>
    <s v="02154361"/>
    <x v="159"/>
    <s v="2025-08"/>
    <s v="CHAFLOQUE-MORENO-ALEXIS"/>
  </r>
  <r>
    <n v="10"/>
    <x v="55"/>
    <s v="ENTR.EFEC. 0013065"/>
    <n v="364.54"/>
    <s v="00013065"/>
    <x v="160"/>
    <s v="2025-08"/>
    <s v="VENTANILLA"/>
  </r>
  <r>
    <n v="10"/>
    <x v="55"/>
    <s v="ENTR.EFEC. 0013065"/>
    <n v="378.34"/>
    <s v="00013065"/>
    <x v="160"/>
    <s v="2025-09"/>
    <s v="VENTANILLA"/>
  </r>
  <r>
    <n v="10"/>
    <x v="55"/>
    <s v="ENTR.EFEC. 0013065"/>
    <n v="385.04"/>
    <s v="00013065"/>
    <x v="160"/>
    <s v="2025-10"/>
    <s v="VENTANILLA"/>
  </r>
  <r>
    <n v="10"/>
    <x v="55"/>
    <s v="TRAN.CTAS.TERC.BM"/>
    <n v="580"/>
    <s v="03513010"/>
    <x v="2"/>
    <s v="lounge"/>
    <s v="VILLACORTA ROCA KATHERINE MISHELL"/>
  </r>
  <r>
    <n v="10"/>
    <x v="56"/>
    <s v="TRAN.CTAS.TERC.HK"/>
    <n v="370.03"/>
    <s v="06107638"/>
    <x v="134"/>
    <s v="2025-09"/>
    <s v="AYAQUE LARICO ISAAC ALFREDO"/>
  </r>
  <r>
    <n v="10"/>
    <x v="56"/>
    <s v="TRAN.CTAS.TERC.HK"/>
    <n v="365.88"/>
    <s v="06107638"/>
    <x v="134"/>
    <s v="2025-10"/>
    <s v="AYAQUE LARICO ISAAC ALFREDO"/>
  </r>
  <r>
    <n v="10"/>
    <x v="56"/>
    <s v="TRAN.CTAS.TERC.BM"/>
    <n v="505.81"/>
    <s v="01294975"/>
    <x v="107"/>
    <s v="2025-10"/>
    <s v="CONSTRUCCIONES CIVILES E INDUSTRIALES GU"/>
  </r>
  <r>
    <n v="10"/>
    <x v="56"/>
    <s v="TRAN.CTAS.TERC.BM"/>
    <n v="383.29"/>
    <s v="01472352"/>
    <x v="39"/>
    <s v="2025-08"/>
    <s v="DE-LA-CRUZ DELGADO WALTER"/>
  </r>
  <r>
    <n v="10"/>
    <x v="56"/>
    <s v="TRAN.CTAS.TERC.BM"/>
    <n v="389.7"/>
    <s v="01472352"/>
    <x v="39"/>
    <s v="2025-09"/>
    <s v="DE-LA-CRUZ DELGADO WALTER"/>
  </r>
  <r>
    <n v="10"/>
    <x v="56"/>
    <s v="TRAN.CTAS.TERC.BM"/>
    <n v="393.21"/>
    <s v="01483074"/>
    <x v="39"/>
    <s v="2025-10"/>
    <s v="DE-LA-CRUZ DELGADO WALTER"/>
  </r>
  <r>
    <n v="10"/>
    <x v="56"/>
    <s v="TRAN.CTAS.TERC.BM"/>
    <n v="287.54000000000002"/>
    <s v="02733913"/>
    <x v="76"/>
    <s v="2025-10"/>
    <s v="MONZON JUAREZ MILAGROS DEL CARMEN"/>
  </r>
  <r>
    <n v="10"/>
    <x v="56"/>
    <s v="TRANSF.BCO.INTERBANK"/>
    <n v="386.65"/>
    <s v="02237728"/>
    <x v="86"/>
    <s v="2025-09"/>
    <s v="OCHOA-ALEJOS-CESAR"/>
  </r>
  <r>
    <n v="10"/>
    <x v="56"/>
    <s v="TRAN.CTAS.TERC.BM"/>
    <n v="274.77"/>
    <s v="00086938"/>
    <x v="52"/>
    <s v="2025-10"/>
    <s v="SALINAS SOUZA CARLOS ENRIQUE JOSE ALFR"/>
  </r>
  <r>
    <n v="10"/>
    <x v="56"/>
    <s v="TRAN.CTAS.TERC.BM"/>
    <n v="396.65"/>
    <s v="06007575"/>
    <x v="61"/>
    <s v="2025-10"/>
    <s v="TORRES VILLANTOY SUSAN VICTORIA"/>
  </r>
  <r>
    <n v="10"/>
    <x v="57"/>
    <s v="TRAN.CTAS.TERC.BM"/>
    <n v="580"/>
    <s v="01808611"/>
    <x v="2"/>
    <s v="lounge"/>
    <s v="MILAGROS MERCEDES BARRIENTOS FLORES"/>
  </r>
  <r>
    <n v="10"/>
    <x v="57"/>
    <s v="TRAN.CTAS.TERC.BM"/>
    <n v="296.14999999999998"/>
    <s v="04827567"/>
    <x v="110"/>
    <s v="2025-10"/>
    <s v="TUPAYACHI VALLENAS DENIS ALFREDO"/>
  </r>
  <r>
    <n v="10"/>
    <x v="58"/>
    <s v="TRAN.CTAS.TERC.BM"/>
    <n v="416.89"/>
    <s v="03020570"/>
    <x v="132"/>
    <s v="2025-09"/>
    <s v="CANCHANYA ARTEAGA KATHERINE GIOVANNA"/>
  </r>
  <r>
    <n v="10"/>
    <x v="58"/>
    <s v="DEPOSITO AG 981945"/>
    <n v="447.2"/>
    <s v="00164874"/>
    <x v="28"/>
    <s v="2025-10"/>
    <s v="CISNEROS CAHUANA JUANA CLENIA"/>
  </r>
  <r>
    <n v="10"/>
    <x v="58"/>
    <s v="TRAN.CTAS.TERC.BM"/>
    <n v="401.16"/>
    <s v="00152317"/>
    <x v="29"/>
    <s v="2025-10"/>
    <s v="CORDERO VILCA PEDRO LUIS"/>
  </r>
  <r>
    <n v="10"/>
    <x v="58"/>
    <s v="TRAN.CTAS.TERC.BM"/>
    <n v="80.52"/>
    <s v="00183124"/>
    <x v="64"/>
    <s v="2025-10"/>
    <s v="GODOY ACOSTA NORA EULALIA"/>
  </r>
  <r>
    <n v="10"/>
    <x v="58"/>
    <s v="TRANSF.BCO.SCOTIABANK"/>
    <n v="259.76"/>
    <s v="02936858"/>
    <x v="122"/>
    <s v="2025-09"/>
    <s v="MARIOLITH CARBI VALLE"/>
  </r>
  <r>
    <n v="10"/>
    <x v="58"/>
    <s v="TRAN.CTAS.TERC.BM"/>
    <n v="270.61"/>
    <s v="03064597"/>
    <x v="114"/>
    <s v="2025-10"/>
    <s v="MERINO NEGRON PEDRO MANUEL"/>
  </r>
  <r>
    <n v="10"/>
    <x v="58"/>
    <s v="TRAN.CTAS.TERC.BM"/>
    <n v="553.99"/>
    <s v="01225432"/>
    <x v="161"/>
    <s v="2025-07"/>
    <s v="MORALES CORDOVA JUAN ALARICO"/>
  </r>
  <r>
    <n v="10"/>
    <x v="58"/>
    <s v="TRAN.CTAS.TERC.BM"/>
    <n v="430.34"/>
    <s v="01225432"/>
    <x v="161"/>
    <s v="2025-08"/>
    <s v="MORALES CORDOVA JUAN ALARICO"/>
  </r>
  <r>
    <n v="10"/>
    <x v="58"/>
    <s v="TRAN.CTAS.TERC.BM"/>
    <n v="452.3"/>
    <s v="01225432"/>
    <x v="161"/>
    <s v="2025-09"/>
    <s v="MORALES CORDOVA JUAN ALARICO"/>
  </r>
  <r>
    <n v="10"/>
    <x v="58"/>
    <s v="TRAN.CTAS.TERC.BM"/>
    <n v="196.47"/>
    <s v="02091283"/>
    <x v="51"/>
    <s v="2025-10"/>
    <s v="REZUKHIN NN DMITRII"/>
  </r>
  <r>
    <n v="10"/>
    <x v="58"/>
    <s v="TRANSF.BCO.INTERBANK"/>
    <n v="310.89999999999998"/>
    <s v="02962937"/>
    <x v="31"/>
    <s v="2025-10"/>
    <s v="RODRIGUEZ-SOSA-TAMARA"/>
  </r>
  <r>
    <n v="10"/>
    <x v="58"/>
    <s v="TRAN.CTAS.TERC.BM"/>
    <n v="391.42"/>
    <s v="04456271"/>
    <x v="91"/>
    <s v="2025-10"/>
    <s v="TINEDO LOPEZ PEDRO LUIS"/>
  </r>
  <r>
    <n v="10"/>
    <x v="58"/>
    <s v="TRAN.CTAS.TERC.BM"/>
    <n v="522.05999999999995"/>
    <s v="01371190"/>
    <x v="162"/>
    <s v="2025-08"/>
    <s v="VERASTEGUI BUSTAMANTE DAVID RAUL"/>
  </r>
  <r>
    <n v="10"/>
    <x v="58"/>
    <s v="TRAN.CTAS.TERC.BM"/>
    <n v="521.27"/>
    <s v="01447023"/>
    <x v="162"/>
    <s v="2025-10"/>
    <s v="VERASTEGUI BUSTAMANTE DAVID RAUL"/>
  </r>
  <r>
    <n v="10"/>
    <x v="58"/>
    <s v="TRAN.CTAS.TERC.BM"/>
    <n v="40"/>
    <s v="02889763"/>
    <x v="2"/>
    <s v="parrilla"/>
    <s v="ZAPATA VELASCO ANGELA PATRICIA"/>
  </r>
  <r>
    <n v="10"/>
    <x v="59"/>
    <s v="TRAN.CTAS.TERC.BM"/>
    <n v="423.35"/>
    <s v="01502140"/>
    <x v="90"/>
    <s v="2025-10"/>
    <s v="ALVA CUELLAR DUGLAS CONCEPCION"/>
  </r>
  <r>
    <n v="10"/>
    <x v="59"/>
    <s v="TRAN.CTAS.TERC.BM"/>
    <n v="419.89"/>
    <s v="01499136"/>
    <x v="90"/>
    <s v="2025-09"/>
    <s v="ALVA CUELLAR DUGLAS CONCEPCION"/>
  </r>
  <r>
    <n v="10"/>
    <x v="59"/>
    <s v="TRAN.CTAS.TERC.BM"/>
    <n v="177.32"/>
    <s v="02446593"/>
    <x v="133"/>
    <s v="2025-10"/>
    <s v="BUENO CHAVEZ SILVIA ISABEL"/>
  </r>
  <r>
    <n v="10"/>
    <x v="59"/>
    <s v="TRAN.CTAS.TERC.HK"/>
    <n v="177.77"/>
    <s v="06074633"/>
    <x v="82"/>
    <s v="2025-10"/>
    <s v="GESTORA DE INVERSIONES INMOBILIARIAS S.A.C."/>
  </r>
  <r>
    <n v="10"/>
    <x v="59"/>
    <s v="TRAN.CTAS.TERC.HK"/>
    <n v="172.86"/>
    <s v="06075303"/>
    <x v="82"/>
    <s v="2025-09"/>
    <s v="GESTORA DE INVERSIONES INMOBILIARIAS S.A.C."/>
  </r>
  <r>
    <n v="10"/>
    <x v="59"/>
    <s v="TRANSF.BCO.BBVA"/>
    <n v="40"/>
    <s v="02599873"/>
    <x v="2"/>
    <s v="parrilla"/>
    <s v="GIANELLA LIZETH NEIRA BUSTAMANTE"/>
  </r>
  <r>
    <n v="10"/>
    <x v="59"/>
    <s v="TRAN.CTAS.TERC.BM"/>
    <n v="177.32"/>
    <s v="02809940"/>
    <x v="6"/>
    <s v="2025-10"/>
    <s v="HUERTA HUERTA CARLA ALESSANDRA"/>
  </r>
  <r>
    <n v="10"/>
    <x v="59"/>
    <s v="TRAN.CTAS.TERC.BM"/>
    <n v="40"/>
    <s v="01402902"/>
    <x v="2"/>
    <s v="parrilla"/>
    <s v="MILAGROS MERCEDES BARRIENTOS FLORES"/>
  </r>
  <r>
    <n v="10"/>
    <x v="59"/>
    <s v="TRAN.CTAS.TERC.BM"/>
    <n v="580"/>
    <s v="01226952"/>
    <x v="2"/>
    <s v="lounge"/>
    <s v="MORALES CORDOVA JUAN ALARICO"/>
  </r>
  <r>
    <n v="10"/>
    <x v="59"/>
    <s v="TRAN.CTAS.TERC.BM"/>
    <n v="393.36"/>
    <s v="01148427"/>
    <x v="13"/>
    <s v="2025-10"/>
    <s v="REGALADO SANTANA MARIA CELINDA"/>
  </r>
  <r>
    <n v="10"/>
    <x v="59"/>
    <s v="TRAN.CTAS.TERC.BM"/>
    <n v="390.2"/>
    <s v="01162025"/>
    <x v="13"/>
    <s v="2025-11"/>
    <s v="REGALADO SANTANA MARIA CELINDA"/>
  </r>
  <r>
    <n v="10"/>
    <x v="59"/>
    <s v="TRAN.CTAS.TERC.BM"/>
    <n v="40"/>
    <s v="02240815"/>
    <x v="2"/>
    <s v="parrilla"/>
    <s v="ROSARIO TORRES PATRICIA DEL CARMEN"/>
  </r>
  <r>
    <n v="10"/>
    <x v="59"/>
    <s v="TRANSF.BCO.BBVA"/>
    <n v="251.45"/>
    <s v="02236078"/>
    <x v="125"/>
    <s v="2025-11"/>
    <s v="RUBEN DARIO TORANZO SILVA"/>
  </r>
  <r>
    <n v="10"/>
    <x v="59"/>
    <s v="TRAN.CTAS.TERC.BM"/>
    <n v="341.92"/>
    <s v="01699731"/>
    <x v="63"/>
    <s v="2025-09"/>
    <s v="SILVA OLIVERA IVET JOHANA"/>
  </r>
  <r>
    <n v="10"/>
    <x v="59"/>
    <s v="TRAN.CTAS.TERC.BM"/>
    <n v="365.88"/>
    <s v="04016305"/>
    <x v="163"/>
    <s v="2025-10"/>
    <s v="TOMATEO HUARCAYA MARIA ISABEL"/>
  </r>
  <r>
    <n v="10"/>
    <x v="59"/>
    <s v="TRANSF.BCO.SCOTIABANK"/>
    <n v="183.7"/>
    <s v="00012008"/>
    <x v="16"/>
    <s v="2025-10"/>
    <s v="TRANSF.BCO.SCOTIABANK"/>
  </r>
  <r>
    <n v="10"/>
    <x v="59"/>
    <s v="TRAN.CTAS.TERC.BM"/>
    <n v="194.25"/>
    <s v="01571226"/>
    <x v="25"/>
    <s v="2025-10"/>
    <s v="VALDEZ CADENILLAS AGUSTIN"/>
  </r>
  <r>
    <n v="10"/>
    <x v="60"/>
    <s v="TRAN.CTAS.TERC.BM"/>
    <n v="100"/>
    <s v="03982548"/>
    <x v="2"/>
    <s v="arcade"/>
    <s v="ENRIQUEZ ILLESCAS LAURA STELLA"/>
  </r>
  <r>
    <n v="10"/>
    <x v="60"/>
    <s v="TRANSF.BCO.INTERBANK"/>
    <n v="323.67"/>
    <s v="02714564"/>
    <x v="99"/>
    <s v="2025-10"/>
    <s v="FALCON-RAMOS-CAROLINA"/>
  </r>
  <r>
    <n v="10"/>
    <x v="60"/>
    <s v="TRAN.CTAS.TERC.BM"/>
    <n v="40"/>
    <s v="01052483"/>
    <x v="2"/>
    <s v="parrilla"/>
    <s v="REZUKHIN NN DMITRII"/>
  </r>
  <r>
    <n v="10"/>
    <x v="60"/>
    <s v="TRAN.CTAS.TERC.HK"/>
    <n v="449.42"/>
    <s v="06116546"/>
    <x v="4"/>
    <s v="2025-10"/>
    <s v="RODAS AKHENS ABOGADOS SAC"/>
  </r>
  <r>
    <n v="10"/>
    <x v="61"/>
    <s v="TRANSF.BCO.PICHINCHA"/>
    <n v="415.35"/>
    <s v="02873980"/>
    <x v="108"/>
    <s v="2025-09"/>
    <s v="HELEN HENOSTROZA CRUZ"/>
  </r>
  <r>
    <n v="10"/>
    <x v="61"/>
    <s v="TRAN.CTAS.TERC.BM"/>
    <n v="418.25"/>
    <s v="01203411"/>
    <x v="12"/>
    <s v="2025-10"/>
    <s v="ORE ROSARIO CRISTOPHER GREY"/>
  </r>
  <r>
    <n v="10"/>
    <x v="62"/>
    <s v="TRAN.CTAS.TERC.BM"/>
    <n v="190.09"/>
    <s v="04282783"/>
    <x v="136"/>
    <s v="2025-10"/>
    <s v="CANDELA GRANADOS ALVARO GONZALO"/>
  </r>
  <r>
    <n v="10"/>
    <x v="62"/>
    <s v="TRAN.CTAS.TERC.BM"/>
    <n v="410.58"/>
    <s v="04579341"/>
    <x v="164"/>
    <s v="2025-10"/>
    <s v="CONSORCIO FUENTES EIRL"/>
  </r>
  <r>
    <n v="10"/>
    <x v="62"/>
    <s v="TRAN.CTAS.TERC.BM"/>
    <n v="424.85"/>
    <s v="02847379"/>
    <x v="153"/>
    <s v="2025-10"/>
    <s v="FLORES MORALES MELISSA"/>
  </r>
  <r>
    <n v="10"/>
    <x v="62"/>
    <s v="TRAN.CTAS.TERC.BM"/>
    <n v="417.86"/>
    <s v="02841288"/>
    <x v="153"/>
    <s v="2025-09"/>
    <s v="FLORES MORALES MELISSA"/>
  </r>
  <r>
    <n v="10"/>
    <x v="62"/>
    <s v="TRAN.CTAS.TERC.BM"/>
    <n v="365.8"/>
    <s v="03533035"/>
    <x v="17"/>
    <s v="2025-10"/>
    <s v="HUANAY MARTINEZ FRANZ CESAR"/>
  </r>
  <r>
    <n v="10"/>
    <x v="62"/>
    <s v="TRAN.CTAS.TERC.BM"/>
    <n v="385.04"/>
    <s v="04211807"/>
    <x v="74"/>
    <s v="2025-10"/>
    <s v="LOPEZ ARCE JUDITH MELISSA"/>
  </r>
  <r>
    <n v="10"/>
    <x v="62"/>
    <s v="TRAN.CTAS.TERC.BM"/>
    <n v="385.04"/>
    <s v="01629396"/>
    <x v="139"/>
    <s v="2025-10"/>
    <s v="MADUENO CHUMPITAZ LOURDES DE LOS ANGELES"/>
  </r>
  <r>
    <n v="10"/>
    <x v="62"/>
    <s v="TRAN.CTAS.TERC.HK"/>
    <n v="257.83999999999997"/>
    <s v="06026700"/>
    <x v="50"/>
    <s v="2025-10"/>
    <s v="RAMOS GUTTI DANIEL FRANCISCO"/>
  </r>
  <r>
    <n v="10"/>
    <x v="62"/>
    <s v="TRAN.CTAS.TERC.BM"/>
    <n v="770.06"/>
    <s v="04490977"/>
    <x v="77"/>
    <s v="2025-10"/>
    <s v="ROSARIO TORRES PATRICIA DEL CARMEN"/>
  </r>
  <r>
    <n v="10"/>
    <x v="62"/>
    <s v="TRANSF.BCO.INTERBANK"/>
    <n v="202.86"/>
    <s v="00005358"/>
    <x v="54"/>
    <s v="2025-10"/>
    <s v="TRANSF.BCO.INTERBANK"/>
  </r>
  <r>
    <n v="10"/>
    <x v="62"/>
    <s v="TRANSF.BCO.INTERBANK"/>
    <n v="194.25"/>
    <s v="02983388"/>
    <x v="165"/>
    <s v="2025-07"/>
    <s v="VALERA-ASPILLAGA-FIORELLA"/>
  </r>
  <r>
    <n v="10"/>
    <x v="62"/>
    <s v="TRANSF.BCO.INTERBANK"/>
    <n v="187.59"/>
    <s v="02983388"/>
    <x v="165"/>
    <s v="2025-08"/>
    <s v="VALERA-ASPILLAGA-FIORELLA"/>
  </r>
  <r>
    <n v="10"/>
    <x v="62"/>
    <s v="TRANSF.BCO.INTERBANK"/>
    <n v="194.25"/>
    <s v="02983388"/>
    <x v="165"/>
    <s v="2025-09"/>
    <s v="VALERA-ASPILLAGA-FIORELLA"/>
  </r>
  <r>
    <n v="10"/>
    <x v="63"/>
    <s v="TRAN.CTAS.TERC.BM"/>
    <n v="170.93"/>
    <s v="02585149"/>
    <x v="32"/>
    <s v="2025-10"/>
    <s v="BALLENA CAPUNAY FELIX ADALBERTO"/>
  </r>
  <r>
    <n v="10"/>
    <x v="63"/>
    <s v="TRANSF.BCO.INTERBANK"/>
    <n v="183.39"/>
    <s v="02274706"/>
    <x v="155"/>
    <s v="2025-09"/>
    <s v="BERMEJO-DE-LA-CRUZ-JOSE"/>
  </r>
  <r>
    <n v="10"/>
    <x v="63"/>
    <s v="TRAN.CTAS.TERC.BM"/>
    <n v="285.36"/>
    <s v="00772608"/>
    <x v="5"/>
    <s v="2025-10"/>
    <s v="CUBA REYES ANGIE CONSUELO LESLIE"/>
  </r>
  <r>
    <n v="10"/>
    <x v="63"/>
    <s v="TRANSF.BCO.SCOTIABANK"/>
    <n v="181.74"/>
    <s v="02234966"/>
    <x v="30"/>
    <s v="2025-09"/>
    <s v="DIEGO SEGURA MENDEZ"/>
  </r>
  <r>
    <n v="10"/>
    <x v="63"/>
    <s v="TRAN.CTAS.TERC.BM"/>
    <n v="404.19"/>
    <s v="01791218"/>
    <x v="55"/>
    <s v="2025-10"/>
    <s v="FIGUEROA MARQUEZ ELIZABETH JANETH"/>
  </r>
  <r>
    <n v="10"/>
    <x v="63"/>
    <s v="TRAN.CTAS.TERC.BM"/>
    <n v="30"/>
    <s v="01183893"/>
    <x v="2"/>
    <s v="cine"/>
    <s v="MARULANDA CALDERON ANDREA YOSELYN"/>
  </r>
  <r>
    <n v="10"/>
    <x v="63"/>
    <s v="TRAN.CTAS.TERC.BM"/>
    <n v="399.49"/>
    <s v="00562117"/>
    <x v="126"/>
    <s v="2025-10"/>
    <s v="MENDIOLA LOPEZ MARIA ELENA MARTINA"/>
  </r>
  <r>
    <n v="10"/>
    <x v="63"/>
    <s v="TRAN.CTAS.TERC.BM"/>
    <n v="80.52"/>
    <s v="00579772"/>
    <x v="127"/>
    <s v="2025-10"/>
    <s v="MENDIOLA LOPEZ MARIA ELENA MARTINA"/>
  </r>
  <r>
    <n v="10"/>
    <x v="64"/>
    <s v="TRANSF.BCO.NACION"/>
    <n v="408.64"/>
    <s v="02864893"/>
    <x v="92"/>
    <s v="2025-10"/>
    <s v="CARMEN MALACHE"/>
  </r>
  <r>
    <n v="10"/>
    <x v="64"/>
    <s v="TRANSF.BCO.INTERBANK"/>
    <n v="419.89"/>
    <s v="02834545"/>
    <x v="117"/>
    <s v="2025-09"/>
    <s v="CASAS-PEREA-JOSE"/>
  </r>
  <r>
    <n v="10"/>
    <x v="64"/>
    <s v="TRAN.CTAS.TERC.BM"/>
    <n v="40"/>
    <s v="00996208"/>
    <x v="2"/>
    <s v="parrilla"/>
    <s v="CHUMPITAZ JORDAN GIANFRANCO"/>
  </r>
  <r>
    <n v="10"/>
    <x v="64"/>
    <s v="TRAN.CTAS.TERC.HK"/>
    <n v="77.760000000000005"/>
    <s v="06039284"/>
    <x v="37"/>
    <s v="2025-10"/>
    <s v="ORELLANA VARGAS CARMEN ROSA"/>
  </r>
  <r>
    <n v="10"/>
    <x v="65"/>
    <s v="TRANSF.BCO.INTERBANK"/>
    <n v="391.42"/>
    <s v="02012834"/>
    <x v="67"/>
    <s v="2025-10"/>
    <s v="CHUMPITAZ-JORDAN-GIANFRANCO"/>
  </r>
  <r>
    <n v="10"/>
    <x v="65"/>
    <s v="TRANSF.BCO.SCOTIABANK"/>
    <n v="396.65"/>
    <s v="02408183"/>
    <x v="166"/>
    <s v="2025-07"/>
    <s v="EVELYNN VARGAS ABAD"/>
  </r>
  <r>
    <n v="10"/>
    <x v="65"/>
    <s v="TRANSF.BCO.SCOTIABANK"/>
    <n v="402.66"/>
    <s v="02408183"/>
    <x v="166"/>
    <s v="2025-09"/>
    <s v="EVELYNN VARGAS ABAD"/>
  </r>
  <r>
    <n v="10"/>
    <x v="65"/>
    <s v="TRAN.CTAS.TERC.BM"/>
    <n v="264.22000000000003"/>
    <s v="05470728"/>
    <x v="83"/>
    <s v="2025-10"/>
    <s v="IZQUIERDO ALATA LIAM JUAN PEDRO"/>
  </r>
  <r>
    <n v="10"/>
    <x v="65"/>
    <s v="TRANSF.BCO.BBVA"/>
    <n v="23.37"/>
    <s v="02122101"/>
    <x v="7"/>
    <s v="2025-10"/>
    <s v="JOSE AUGUSTO CANDELA ROJAS"/>
  </r>
  <r>
    <n v="10"/>
    <x v="65"/>
    <s v="TRANSF.BCO.BBVA"/>
    <n v="40"/>
    <s v="02014708"/>
    <x v="2"/>
    <s v="parrilla"/>
    <s v="LUIS DAVID SULCA CORONADO"/>
  </r>
  <r>
    <n v="10"/>
    <x v="65"/>
    <s v="TRAN.CTAS.TERC.BM"/>
    <n v="270.61"/>
    <s v="02732485"/>
    <x v="20"/>
    <s v="2025-10"/>
    <s v="MEJIA TURRIATE DEBORA DICK"/>
  </r>
  <r>
    <n v="10"/>
    <x v="66"/>
    <s v="TRAN.CTAS.TERC.BM"/>
    <n v="404.03"/>
    <s v="05646182"/>
    <x v="72"/>
    <s v="2025-10"/>
    <s v="ALATA FLORES GABRIELA VANESA"/>
  </r>
  <r>
    <n v="10"/>
    <x v="66"/>
    <s v="TRAN.CTAS.TERC.BM"/>
    <n v="40"/>
    <s v="04006826"/>
    <x v="2"/>
    <s v="parrilla"/>
    <s v="BALLON MENACHO VERONICA ESTHER"/>
  </r>
  <r>
    <n v="10"/>
    <x v="66"/>
    <s v="TRANSF.BCO.SCOTIABANK"/>
    <n v="391.42"/>
    <s v="02977856"/>
    <x v="78"/>
    <s v="2025-10"/>
    <s v="JOSE SAU E PACCO"/>
  </r>
  <r>
    <n v="10"/>
    <x v="66"/>
    <s v="TRAN.CTAS.TERC.BM"/>
    <n v="521.27"/>
    <s v="01180267"/>
    <x v="75"/>
    <s v="2025-10"/>
    <s v="LOREDO RODRIGUEZ CESAR ANTONIO"/>
  </r>
  <r>
    <n v="10"/>
    <x v="66"/>
    <s v="TRAN.CTAS.TERC.BM"/>
    <n v="270.61"/>
    <s v="05985924"/>
    <x v="21"/>
    <s v="2025-10"/>
    <s v="MILUSKA CRIS TAPIA CASARETTO"/>
  </r>
  <r>
    <n v="10"/>
    <x v="66"/>
    <s v="TRANSF.BCO.BBVA"/>
    <n v="498.22"/>
    <s v="02136329"/>
    <x v="48"/>
    <s v="2025-10"/>
    <s v="PABLO ABEL MINIANO GARCIA"/>
  </r>
  <r>
    <n v="10"/>
    <x v="66"/>
    <s v="TRAN.CTAS.TERC.BM"/>
    <n v="397.81"/>
    <s v="04380816"/>
    <x v="80"/>
    <s v="2025-10"/>
    <s v="VEGA DIESTRA DAVID VICTOR"/>
  </r>
  <r>
    <n v="11"/>
    <x v="67"/>
    <s v="TRAN.CTAS.TERC.BM"/>
    <n v="429.74"/>
    <s v="02310292"/>
    <x v="40"/>
    <s v="2025-10"/>
    <s v="CASTRO BARRERA ANITA MARITZA"/>
  </r>
  <r>
    <n v="11"/>
    <x v="67"/>
    <s v="TRAN.CTAS.TERC.BM"/>
    <n v="80.52"/>
    <s v="04872508"/>
    <x v="146"/>
    <s v="2025-11"/>
    <s v="HERRERA CASTRO VANESA ZARELA"/>
  </r>
  <r>
    <n v="11"/>
    <x v="67"/>
    <s v="TRANSF.BCO.SCOTIABANK"/>
    <n v="178.54"/>
    <s v="02916709"/>
    <x v="18"/>
    <s v="2025-10"/>
    <s v="JOSE SALDARRIAGA CEDANO"/>
  </r>
  <r>
    <n v="11"/>
    <x v="67"/>
    <s v="TRAN.CTAS.TERC.BM"/>
    <n v="429.74"/>
    <s v="01475237"/>
    <x v="69"/>
    <s v="2025-10"/>
    <s v="MUNOZ NN NATALIA"/>
  </r>
  <r>
    <n v="11"/>
    <x v="67"/>
    <s v="TRAN.CTAS.TERC.BM"/>
    <n v="580"/>
    <s v="02142388"/>
    <x v="2"/>
    <s v="lounge"/>
    <s v="PANIAGUA HARTLEY SANDRO MIGUEL"/>
  </r>
  <r>
    <n v="11"/>
    <x v="67"/>
    <s v="TRAN.CTAS.TERC.BM"/>
    <n v="515.24"/>
    <s v="01993266"/>
    <x v="49"/>
    <s v="2025-10"/>
    <s v="PANIAGUA HARTLEY SANDRO MIGUEL"/>
  </r>
  <r>
    <n v="11"/>
    <x v="68"/>
    <s v="TRAN.CTAS.TERC.HK"/>
    <n v="423.35"/>
    <s v="06018645"/>
    <x v="81"/>
    <s v="2025-10"/>
    <s v="JO LAURENT RENZO"/>
  </r>
  <r>
    <n v="11"/>
    <x v="68"/>
    <s v="TRAN.CTAS.TERC.BM"/>
    <n v="186.24"/>
    <s v="01465879"/>
    <x v="97"/>
    <s v="2025-10"/>
    <s v="MENDOZA SALDANA FRANK ANDRE"/>
  </r>
  <r>
    <n v="11"/>
    <x v="68"/>
    <s v="TRAN.CTAS.TERC.BM"/>
    <n v="385.04"/>
    <s v="01170811"/>
    <x v="119"/>
    <s v="2025-10"/>
    <s v="RUIZ GUTIERREZ ROLANDO"/>
  </r>
  <r>
    <n v="11"/>
    <x v="68"/>
    <s v="TRAN.CTAS.TERC.BM"/>
    <n v="177.32"/>
    <s v="01164448"/>
    <x v="26"/>
    <s v="2025-10"/>
    <s v="VALDIVIA OBANDO OSCAR EDMUNDO FRANCISCO"/>
  </r>
  <r>
    <n v="11"/>
    <x v="68"/>
    <s v="TRAN.CTAS.TERC.BM"/>
    <n v="410.58"/>
    <s v="02576541"/>
    <x v="105"/>
    <s v="2025-10"/>
    <s v="VALLEBUONA MAYTA LUIS ALBERTO"/>
  </r>
  <r>
    <n v="11"/>
    <x v="68"/>
    <s v="TRAN.CTAS.TERC.BM"/>
    <n v="423.35"/>
    <s v="00933281"/>
    <x v="62"/>
    <s v="2025-10"/>
    <s v="ZAPATA VELASCO ANGELA PATRICIA"/>
  </r>
  <r>
    <n v="11"/>
    <x v="69"/>
    <s v="TRAN.CTAS.TERC.BM"/>
    <n v="459.91"/>
    <s v="03945610"/>
    <x v="123"/>
    <s v="2025-10"/>
    <s v="ALIAGA ALVAREZ ZARELLA DENISSE"/>
  </r>
  <r>
    <n v="11"/>
    <x v="69"/>
    <s v="TRAN.CTAS.TERC.BM"/>
    <n v="404.01"/>
    <s v="04974769"/>
    <x v="84"/>
    <s v="2025-10"/>
    <s v="LIANG NN YANQIU"/>
  </r>
  <r>
    <n v="11"/>
    <x v="69"/>
    <s v="TRAN.CTAS.TERC.BM"/>
    <n v="251.45"/>
    <s v="01792657"/>
    <x v="19"/>
    <s v="2025-10"/>
    <s v="LOCK GOVEA JOSE EDILBERTO"/>
  </r>
  <r>
    <n v="11"/>
    <x v="69"/>
    <s v="TRAN.CTAS.TERC.BM"/>
    <n v="580"/>
    <s v="02780005"/>
    <x v="2"/>
    <s v="lounge"/>
    <s v="MORON CHOCANO JULIO CESAR"/>
  </r>
  <r>
    <n v="11"/>
    <x v="70"/>
    <s v="TRAN.CTAS.TERC.BM"/>
    <n v="385.23"/>
    <s v="01448307"/>
    <x v="121"/>
    <s v="2025-05"/>
    <s v="CASTILLA PEREZ CARMELA FERMINA"/>
  </r>
  <r>
    <n v="11"/>
    <x v="70"/>
    <s v="TRAN.CTAS.TERC.BM"/>
    <n v="183.7"/>
    <s v="00560500"/>
    <x v="56"/>
    <s v="2025-10"/>
    <s v="GUTIERREZ CORDOVA ANGELA PIERINA"/>
  </r>
  <r>
    <n v="11"/>
    <x v="70"/>
    <s v="TRAN.CTAS.TERC.BM"/>
    <n v="100"/>
    <s v="03834811"/>
    <x v="2"/>
    <s v="arcade"/>
    <s v="ROSARIO TORRES PATRICIA DEL CARMEN"/>
  </r>
  <r>
    <n v="11"/>
    <x v="70"/>
    <s v="TRANSF.BCO.BBVA"/>
    <n v="30"/>
    <s v="02914362"/>
    <x v="2"/>
    <s v="cine"/>
    <s v="VICTOR DANIEL DE LA CRUZ SOLO"/>
  </r>
  <r>
    <n v="11"/>
    <x v="71"/>
    <s v="TRANSF.BCO.INTERBANK"/>
    <n v="209.24"/>
    <s v="02330658"/>
    <x v="109"/>
    <s v="2025-10"/>
    <s v="ALVAREZ-SALAS-CARLOS"/>
  </r>
  <r>
    <n v="11"/>
    <x v="71"/>
    <s v="TRANSF.BCO.INTERBANK"/>
    <n v="397.81"/>
    <s v="02238257"/>
    <x v="95"/>
    <s v="2025-10"/>
    <s v="BERROSPI-SEVILLANOS-SEVILLANOS-JHOJAN KLAUS"/>
  </r>
  <r>
    <n v="11"/>
    <x v="71"/>
    <s v="TRAN.CTAS.TERC.BM"/>
    <n v="580"/>
    <s v="05466325"/>
    <x v="2"/>
    <s v="lounge"/>
    <s v="CANAS DIAZ SABRINA VALENTINA"/>
  </r>
  <r>
    <n v="11"/>
    <x v="71"/>
    <s v="TRAN.CTAS.TERC.BM"/>
    <n v="346.99"/>
    <s v="02722598"/>
    <x v="3"/>
    <s v="2025-10"/>
    <s v="CARDENAS MORIANO HEVELYNE HILDA"/>
  </r>
  <r>
    <n v="11"/>
    <x v="71"/>
    <s v="TRAN.CTAS.TERC.BM"/>
    <n v="310.89999999999998"/>
    <s v="05310625"/>
    <x v="118"/>
    <s v="2025-10"/>
    <s v="DELGADO SALDANA ALBERTO ALEXANDER"/>
  </r>
  <r>
    <n v="11"/>
    <x v="71"/>
    <s v="TRANSF.BCO.SCOTIABANK"/>
    <n v="181.74"/>
    <s v="02534103"/>
    <x v="30"/>
    <s v="2025-10"/>
    <s v="DIEGO SEGURA MENDEZ"/>
  </r>
  <r>
    <n v="11"/>
    <x v="71"/>
    <s v="TRAN.CTAS.TERC.BM"/>
    <n v="40"/>
    <s v="05260460"/>
    <x v="2"/>
    <s v="parrilla"/>
    <s v="IZQUIERDO ALATA LIAM JUAN PEDRO"/>
  </r>
  <r>
    <n v="11"/>
    <x v="71"/>
    <s v="TRAN.CTAS.TERC.BM"/>
    <n v="257.83999999999997"/>
    <s v="01570832"/>
    <x v="144"/>
    <s v="2025-10"/>
    <s v="NAVARRO LEYVA EDGARDO MILCIADES"/>
  </r>
  <r>
    <n v="11"/>
    <x v="71"/>
    <s v="TRAN.CTAS.TERC.BM"/>
    <n v="251.45"/>
    <s v="01556413"/>
    <x v="144"/>
    <s v="2025-09"/>
    <s v="NAVARRO LEYVA EDGARDO MILCIADES"/>
  </r>
  <r>
    <n v="11"/>
    <x v="71"/>
    <s v="TRAN.CTAS.TERC.BM"/>
    <n v="314.5"/>
    <s v="02037304"/>
    <x v="167"/>
    <s v="2025-07"/>
    <s v="NEGRINI WITHER JORGE ENRIQUE"/>
  </r>
  <r>
    <n v="11"/>
    <x v="71"/>
    <s v="TRAN.CTAS.TERC.BM"/>
    <n v="315.14999999999998"/>
    <s v="02037304"/>
    <x v="167"/>
    <s v="2025-08"/>
    <s v="NEGRINI WITHER JORGE ENRIQUE"/>
  </r>
  <r>
    <n v="11"/>
    <x v="71"/>
    <s v="TRAN.CTAS.TERC.BM"/>
    <n v="313.33999999999997"/>
    <s v="02037304"/>
    <x v="167"/>
    <s v="2025-09"/>
    <s v="NEGRINI WITHER JORGE ENRIQUE"/>
  </r>
  <r>
    <n v="11"/>
    <x v="71"/>
    <s v="TRAN.CTAS.TERC.BM"/>
    <n v="317.12"/>
    <s v="02037304"/>
    <x v="167"/>
    <s v="2025-10"/>
    <s v="NEGRINI WITHER JORGE ENRIQUE"/>
  </r>
  <r>
    <n v="11"/>
    <x v="71"/>
    <s v="TRAN.CTAS.TERC.BM"/>
    <n v="378.46"/>
    <s v="04389083"/>
    <x v="116"/>
    <s v="2025-08"/>
    <s v="ROJAS CACERES VITHIA MARCELA"/>
  </r>
  <r>
    <n v="11"/>
    <x v="71"/>
    <s v="TRAN.CTAS.TERC.BM"/>
    <n v="182.64"/>
    <s v="02145922"/>
    <x v="42"/>
    <s v="2025-10"/>
    <s v="TELLO VENEGAS FRANCO"/>
  </r>
  <r>
    <n v="11"/>
    <x v="71"/>
    <s v="TRAN.CTAS.TERC.BM"/>
    <n v="179.16"/>
    <s v="04662709"/>
    <x v="24"/>
    <s v="2025-09"/>
    <s v="TIPON GALVIS MICHAEL"/>
  </r>
  <r>
    <n v="11"/>
    <x v="72"/>
    <s v="TRANSF.BCO.INTERBANK"/>
    <n v="386.95"/>
    <s v="02385422"/>
    <x v="168"/>
    <s v="2025-08"/>
    <s v="ARAUCO-GODINEZ-BRENDA"/>
  </r>
  <r>
    <n v="11"/>
    <x v="72"/>
    <s v="TRANSF.BCO.INTERBANK"/>
    <n v="378.34"/>
    <s v="02387822"/>
    <x v="168"/>
    <s v="2025-09"/>
    <s v="ARAUCO-GODINEZ-BRENDA"/>
  </r>
  <r>
    <n v="11"/>
    <x v="72"/>
    <s v="TRANSF.BCO.INTERBANK"/>
    <n v="324.06"/>
    <s v="02476435"/>
    <x v="159"/>
    <s v="2025-07"/>
    <s v="CHAFLOQUE-MORENO-ALEXIS"/>
  </r>
  <r>
    <n v="11"/>
    <x v="72"/>
    <s v="TRAN.CTAS.TERC.BM"/>
    <n v="294.25"/>
    <s v="03960500"/>
    <x v="156"/>
    <s v="2025-08"/>
    <s v="DELGADO SILVA LUIS FERNANDO"/>
  </r>
  <r>
    <n v="11"/>
    <x v="72"/>
    <s v="TRANSF.BCO.INTERBANK"/>
    <n v="344.74"/>
    <s v="02117763"/>
    <x v="70"/>
    <s v="2025-10"/>
    <s v="GUTIERREZ-ESQUICHA-OLIVER"/>
  </r>
  <r>
    <n v="11"/>
    <x v="72"/>
    <s v="TRANSF.BCO.INTERBANK"/>
    <n v="381.36"/>
    <s v="02006869"/>
    <x v="163"/>
    <s v="2025-07"/>
    <s v="INFANTES-PANDURO-JHEYSON"/>
  </r>
  <r>
    <n v="11"/>
    <x v="72"/>
    <s v="TRANSF.BCO.INTERBANK"/>
    <n v="368.28"/>
    <s v="02006869"/>
    <x v="163"/>
    <s v="2025-08"/>
    <s v="INFANTES-PANDURO-JHEYSON"/>
  </r>
  <r>
    <n v="11"/>
    <x v="72"/>
    <s v="TRANSF.BCO.INTERBANK"/>
    <n v="236.89999999999998"/>
    <s v="02006869"/>
    <x v="163"/>
    <s v="2025-09"/>
    <s v="INFANTES-PANDURO-JHEYSON"/>
  </r>
  <r>
    <n v="11"/>
    <x v="72"/>
    <s v="TRAN.CTAS.TERC.BM"/>
    <n v="50"/>
    <s v="04455066"/>
    <x v="2"/>
    <s v="cine"/>
    <s v="RUIZ LLASACA IRMA MILAGROS"/>
  </r>
  <r>
    <n v="11"/>
    <x v="73"/>
    <s v="TRAN.CTAS.TERC.BM"/>
    <n v="516.67999999999995"/>
    <s v="04709460"/>
    <x v="169"/>
    <s v="2025-08"/>
    <s v="ALVARADO BRINGAS MILUSKA CARLA"/>
  </r>
  <r>
    <n v="11"/>
    <x v="73"/>
    <s v="TRAN.CTAS.TERC.BM"/>
    <n v="531.16"/>
    <s v="04709460"/>
    <x v="169"/>
    <s v="2025-09"/>
    <s v="ALVARADO BRINGAS MILUSKA CARLA"/>
  </r>
  <r>
    <n v="11"/>
    <x v="73"/>
    <s v="TRAN.CTAS.TERC.BM"/>
    <n v="531.16"/>
    <s v="04709460"/>
    <x v="169"/>
    <s v="2025-10"/>
    <s v="ALVARADO BRINGAS MILUSKA CARLA"/>
  </r>
  <r>
    <n v="11"/>
    <x v="73"/>
    <s v="TRANSF.BCO.BBVA"/>
    <n v="183.7"/>
    <s v="02429108"/>
    <x v="73"/>
    <s v="2025-10"/>
    <s v="JERSON JULIANO CHUCO PAUCAR"/>
  </r>
  <r>
    <n v="11"/>
    <x v="73"/>
    <s v="TRANSF.BCO.SCOTIABANK"/>
    <n v="80.52"/>
    <s v="02891560"/>
    <x v="170"/>
    <s v="2025-07"/>
    <s v="MIRLEY AVENDA O SILVA"/>
  </r>
  <r>
    <n v="11"/>
    <x v="73"/>
    <s v="TRANSF.BCO.SCOTIABANK"/>
    <n v="77.760000000000005"/>
    <s v="02891560"/>
    <x v="170"/>
    <s v="2025-08"/>
    <s v="MIRLEY AVENDA O SILVA"/>
  </r>
  <r>
    <n v="11"/>
    <x v="73"/>
    <s v="TRANSF.BCO.SCOTIABANK"/>
    <n v="80.52"/>
    <s v="02891560"/>
    <x v="170"/>
    <s v="2025-09"/>
    <s v="MIRLEY AVENDA O SILVA"/>
  </r>
  <r>
    <n v="11"/>
    <x v="73"/>
    <s v="TRAN.CTAS.TERC.BM"/>
    <n v="422.41"/>
    <s v="02778738"/>
    <x v="59"/>
    <s v="2025-10"/>
    <s v="PARI N LEONOR -O- INGA L LUIS"/>
  </r>
  <r>
    <n v="11"/>
    <x v="73"/>
    <s v="TRANSF.BCO.INTERBANK"/>
    <n v="40"/>
    <s v="02271789"/>
    <x v="2"/>
    <s v="parrilla"/>
    <s v="VILLAVICENCIO-PONCE-DE-LEON-ANA"/>
  </r>
  <r>
    <n v="11"/>
    <x v="74"/>
    <s v="DEPOSITO AG 373982"/>
    <n v="618.07000000000005"/>
    <s v="00002571"/>
    <x v="111"/>
    <s v="2025-10"/>
    <s v="DEPOSITO AG 373982"/>
  </r>
  <r>
    <n v="11"/>
    <x v="74"/>
    <s v="TRAN.CTAS.TERC.BM"/>
    <n v="137.29"/>
    <s v="05684089"/>
    <x v="163"/>
    <s v="2025-09"/>
    <s v="TOMATEO HUARCAYA MARIA ISABEL"/>
  </r>
  <r>
    <n v="11"/>
    <x v="74"/>
    <s v="TRANSF.BCO.BBVA"/>
    <n v="430.34"/>
    <s v="02592361"/>
    <x v="108"/>
    <s v="2025-10"/>
    <s v="TRANSF.BCO.BBVA"/>
  </r>
  <r>
    <n v="11"/>
    <x v="74"/>
    <s v="TRANSF.BCO.INTERBANK"/>
    <n v="322.75"/>
    <s v="02188475"/>
    <x v="159"/>
    <s v="2025-09"/>
    <s v="TRANSF.BCO.INTERBANK"/>
  </r>
  <r>
    <n v="11"/>
    <x v="74"/>
    <s v="TRANSF.BCO.SCOTIABANK"/>
    <n v="580"/>
    <s v="02435768"/>
    <x v="2"/>
    <s v="lounge"/>
    <s v="TRANSF.BCO.SCOTIABANK"/>
  </r>
  <r>
    <n v="11"/>
    <x v="74"/>
    <s v="TRANSF.BCO.SCOTIABANK"/>
    <n v="50"/>
    <s v="02059523"/>
    <x v="2"/>
    <s v="cine"/>
    <m/>
  </r>
  <r>
    <n v="11"/>
    <x v="75"/>
    <s v="TRAN.CTAS.TERC.BM"/>
    <n v="314.44"/>
    <s v="00526727"/>
    <x v="138"/>
    <s v="2025-09"/>
    <s v="VALDIVIA PASACHE GEORGE LOUIS ALEXANDER"/>
  </r>
  <r>
    <n v="11"/>
    <x v="75"/>
    <s v="TRAN.CTAS.TERC.BM"/>
    <n v="317.29000000000002"/>
    <s v="00526727"/>
    <x v="138"/>
    <s v="2025-10"/>
    <s v="VALDIVIA PASACHE GEORGE LOUIS ALEXANDER"/>
  </r>
  <r>
    <n v="11"/>
    <x v="76"/>
    <s v="TRANSF.BCO.INTERBANK"/>
    <n v="259.76"/>
    <s v="02631650"/>
    <x v="44"/>
    <s v="2025-09"/>
    <s v="JUSTO-NIETO-MILENA"/>
  </r>
  <r>
    <n v="11"/>
    <x v="76"/>
    <s v="TRAN.CTAS.TERC.BM"/>
    <n v="30"/>
    <s v="03848434"/>
    <x v="2"/>
    <s v="cine"/>
    <s v="ROJAS CACERES VITHIA MARCELA"/>
  </r>
  <r>
    <n v="11"/>
    <x v="77"/>
    <s v="TRAN.CTAS.TERC.BM"/>
    <n v="183.74"/>
    <s v="01027056"/>
    <x v="85"/>
    <s v="2025-08"/>
    <s v="MALDONADO DE-LA-CRUZ NORA TERESA"/>
  </r>
  <r>
    <n v="11"/>
    <x v="77"/>
    <s v="TRAN.CTAS.TERC.BM"/>
    <n v="183.7"/>
    <s v="01044520"/>
    <x v="85"/>
    <s v="2025-10"/>
    <s v="MALDONADO DE-LA-CRUZ NORA TERESA"/>
  </r>
  <r>
    <n v="11"/>
    <x v="77"/>
    <s v="TRANSF.BCO.BBVA"/>
    <n v="378.34"/>
    <s v="02786194"/>
    <x v="87"/>
    <s v="2025-09"/>
    <s v="ORLANDO SULLCAHUAMAN OTERO"/>
  </r>
  <r>
    <n v="11"/>
    <x v="77"/>
    <s v="TRANSF.BCO.BBVA"/>
    <n v="385.04"/>
    <s v="02786194"/>
    <x v="87"/>
    <s v="2025-10"/>
    <s v="ORLANDO SULLCAHUAMAN OTERO"/>
  </r>
  <r>
    <n v="11"/>
    <x v="77"/>
    <s v="TRAN.CTAS.TERC.BM"/>
    <n v="317.29000000000002"/>
    <s v="05834471"/>
    <x v="34"/>
    <s v="2025-10"/>
    <s v="TRAN.CTAS.TERC.BM"/>
  </r>
  <r>
    <n v="11"/>
    <x v="78"/>
    <s v="TRAN.CTAS.TERC.BM"/>
    <n v="531.16"/>
    <s v="04769337"/>
    <x v="169"/>
    <s v="2025-11"/>
    <s v="ALVARADO BRINGAS MILUSKA CARLA"/>
  </r>
  <r>
    <n v="11"/>
    <x v="78"/>
    <s v="TRAN.CTAS.TERC.BM"/>
    <n v="257.83999999999997"/>
    <s v="01214787"/>
    <x v="171"/>
    <s v="2025-10"/>
    <s v="APARCANA ROSADIO LUIS MIGUEL"/>
  </r>
  <r>
    <n v="11"/>
    <x v="78"/>
    <s v="TRAN.CTAS.TERC.BM"/>
    <n v="255.6"/>
    <s v="01213706"/>
    <x v="171"/>
    <s v="2025-09"/>
    <s v="APARCANA ROSADIO LUIS MIGUEL"/>
  </r>
  <r>
    <n v="11"/>
    <x v="78"/>
    <s v="TRAN.CTAS.TERC.BM"/>
    <n v="254.32"/>
    <s v="05043852"/>
    <x v="171"/>
    <s v="2025-11"/>
    <s v="APARCANA ROSADIO LUIS MIGUEL"/>
  </r>
  <r>
    <n v="11"/>
    <x v="78"/>
    <s v="TRAN.CTAS.TERC.BM"/>
    <n v="242.83"/>
    <s v="01218479"/>
    <x v="171"/>
    <s v="2025-08"/>
    <s v="APARCANA ROSADIO LUIS MIGUEL"/>
  </r>
  <r>
    <n v="11"/>
    <x v="78"/>
    <s v="DE INMOBILIARIA 23 SAC"/>
    <n v="172.21"/>
    <s v="02240681"/>
    <x v="147"/>
    <s v="2025-10"/>
    <s v="DE INMOBILIARIA 23 SAC"/>
  </r>
  <r>
    <n v="11"/>
    <x v="78"/>
    <s v="TRAN.CTAS.TERC.BM"/>
    <n v="100"/>
    <s v="05224827"/>
    <x v="2"/>
    <s v="arcade"/>
    <s v="IZQUIERDO ALATA LIAM JUAN PEDRO"/>
  </r>
  <r>
    <n v="11"/>
    <x v="78"/>
    <s v="TRAN.CTAS.TERC.HK"/>
    <n v="171.62"/>
    <s v="06062379"/>
    <x v="11"/>
    <s v="2025-10"/>
    <s v="OLIVARES SAAVEDRA JAIME ALBERTO"/>
  </r>
  <r>
    <n v="11"/>
    <x v="78"/>
    <s v="TRAN.CTAS.TERC.BM"/>
    <n v="182.54"/>
    <s v="01796495"/>
    <x v="129"/>
    <s v="2025-07"/>
    <s v="VENTURA FERREYRA MILAGRITOS DEL PILAR"/>
  </r>
  <r>
    <n v="11"/>
    <x v="78"/>
    <s v="TRAN.CTAS.TERC.BM"/>
    <n v="177.46"/>
    <s v="01796495"/>
    <x v="129"/>
    <s v="2025-11"/>
    <s v="VENTURA FERREYRA MILAGRITOS DEL PILAR"/>
  </r>
  <r>
    <n v="11"/>
    <x v="78"/>
    <s v="TRAN.CTAS.TERC.BM"/>
    <n v="525.41999999999996"/>
    <s v="05622200"/>
    <x v="162"/>
    <s v="2025-09"/>
    <s v="VERASTEGUI BUSTAMANTE DAVID RAUL"/>
  </r>
  <r>
    <n v="11"/>
    <x v="78"/>
    <s v="TRANSF.BCO.BBVA"/>
    <n v="208.18"/>
    <s v="02005324"/>
    <x v="112"/>
    <s v="2025-10"/>
    <s v="WILKENDRY ANTONIO TOLOSA ALVAREZ"/>
  </r>
  <r>
    <n v="11"/>
    <x v="79"/>
    <s v="TRAN.CTAS.TERC.BM"/>
    <n v="374.78"/>
    <s v="04990440"/>
    <x v="15"/>
    <s v="2025-11"/>
    <s v="CAO NN DACHAO"/>
  </r>
  <r>
    <n v="11"/>
    <x v="79"/>
    <s v="TRAN.CTAS.TERC.BM"/>
    <n v="335.45"/>
    <s v="05231236"/>
    <x v="172"/>
    <s v="2025-09"/>
    <s v="CHAVEZ LINDO MYLADY ANGIE"/>
  </r>
  <r>
    <n v="11"/>
    <x v="79"/>
    <s v="TRAN.CTAS.TERC.BM"/>
    <n v="313.69"/>
    <s v="05231788"/>
    <x v="172"/>
    <s v="2025-10"/>
    <s v="CHAVEZ LINDO MYLADY ANGIE"/>
  </r>
  <r>
    <n v="11"/>
    <x v="79"/>
    <s v="TRAN.CTAS.TERC.BM"/>
    <n v="307.88"/>
    <s v="05219150"/>
    <x v="172"/>
    <s v="2025-07"/>
    <s v="CHAVEZ LINDO MYLADY ANGIE"/>
  </r>
  <r>
    <n v="11"/>
    <x v="79"/>
    <s v="TRAN.CTAS.TERC.BM"/>
    <n v="300.13"/>
    <s v="05247317"/>
    <x v="172"/>
    <s v="2025-11"/>
    <s v="CHAVEZ LINDO MYLADY ANGIE"/>
  </r>
  <r>
    <n v="11"/>
    <x v="79"/>
    <s v="TRAN.CTAS.TERC.BM"/>
    <n v="275.58"/>
    <s v="05230752"/>
    <x v="172"/>
    <s v="2025-08"/>
    <s v="CHAVEZ LINDO MYLADY ANGIE"/>
  </r>
  <r>
    <n v="11"/>
    <x v="79"/>
    <s v="TRANSF.BCO.INTERBANK"/>
    <n v="185.28"/>
    <s v="02915542"/>
    <x v="54"/>
    <s v="2025-11"/>
    <s v="CHAVEZ-TAGLE-SISLEY"/>
  </r>
  <r>
    <n v="11"/>
    <x v="79"/>
    <s v="TRANSF.BCO.INTERBANK"/>
    <n v="308.32"/>
    <s v="02938795"/>
    <x v="99"/>
    <s v="2025-11"/>
    <s v="FALCON-RAMOS-CAROLINA"/>
  </r>
  <r>
    <n v="11"/>
    <x v="79"/>
    <s v="TRAN.CTAS.TERC.BM"/>
    <n v="410.58"/>
    <s v="04663039"/>
    <x v="145"/>
    <s v="2025-10"/>
    <s v="FERRER CODINA MILAGROS DE JESUS"/>
  </r>
  <r>
    <n v="11"/>
    <x v="79"/>
    <s v="TRAN.CTAS.TERC.BM"/>
    <n v="472.68"/>
    <s v="03378633"/>
    <x v="22"/>
    <s v="2025-11"/>
    <s v="RAMOS REQUEJO MABEL LICER"/>
  </r>
  <r>
    <n v="11"/>
    <x v="79"/>
    <s v="TRAN.CTAS.TERC.BM"/>
    <n v="23.32"/>
    <s v="03416472"/>
    <x v="173"/>
    <s v="2025-09"/>
    <s v="REJAS REYES TEOBALDO ALFREDO"/>
  </r>
  <r>
    <n v="11"/>
    <x v="79"/>
    <s v="TRAN.CTAS.TERC.BM"/>
    <n v="23.32"/>
    <s v="03410693"/>
    <x v="173"/>
    <s v="2025-10"/>
    <s v="REJAS REYES TEOBALDO ALFREDO"/>
  </r>
  <r>
    <n v="11"/>
    <x v="79"/>
    <s v="TRAN.CTAS.TERC.BM"/>
    <n v="23.32"/>
    <s v="03410322"/>
    <x v="173"/>
    <s v="2025-11"/>
    <s v="REJAS REYES TEOBALDO ALFREDO"/>
  </r>
  <r>
    <n v="11"/>
    <x v="79"/>
    <s v="TRAN.CTAS.TERC.BM"/>
    <n v="22.52"/>
    <s v="03417512"/>
    <x v="173"/>
    <s v="2025-08"/>
    <s v="REJAS REYES TEOBALDO ALFREDO"/>
  </r>
  <r>
    <n v="11"/>
    <x v="79"/>
    <s v="TRAN.CTAS.TERC.BM"/>
    <n v="403.27"/>
    <s v="01738750"/>
    <x v="105"/>
    <s v="2025-09"/>
    <s v="VALLEBUONA MAYTA LUIS ALBERTO"/>
  </r>
  <r>
    <n v="11"/>
    <x v="80"/>
    <s v="TRAN.CTAS.TERC.BM"/>
    <n v="447.92"/>
    <s v="01494159"/>
    <x v="101"/>
    <s v="2025-10"/>
    <s v="BENITES BALDOCEDA MARIA DE LOS ANGELES"/>
  </r>
  <r>
    <n v="11"/>
    <x v="80"/>
    <s v="TRAN.CTAS.TERC.BM"/>
    <n v="177.32"/>
    <s v="01494159"/>
    <x v="102"/>
    <s v="2025-10"/>
    <s v="BENITES BALDOCEDA MARIA DE LOS ANGELES"/>
  </r>
  <r>
    <n v="11"/>
    <x v="80"/>
    <s v="TRAN.CTAS.TERC.BM"/>
    <n v="264.22000000000003"/>
    <s v="01494159"/>
    <x v="103"/>
    <s v="2025-10"/>
    <s v="BENITES BALDOCEDA MARIA DE LOS ANGELES"/>
  </r>
  <r>
    <n v="11"/>
    <x v="80"/>
    <s v="TRAN.CTAS.TERC.BM"/>
    <n v="417.21"/>
    <s v="02895445"/>
    <x v="132"/>
    <s v="2025-10"/>
    <s v="CANCHANYA ARTEAGA KATHERINE GIOVANNA"/>
  </r>
  <r>
    <n v="11"/>
    <x v="80"/>
    <s v="TRANSF.BCO.INTERBANK"/>
    <n v="416.96"/>
    <s v="02613524"/>
    <x v="117"/>
    <s v="2025-10"/>
    <s v="CASAS-PEREA-JOSE"/>
  </r>
  <r>
    <n v="11"/>
    <x v="80"/>
    <s v="TRANSF.BCO.SCOTIABANK"/>
    <n v="429.74"/>
    <s v="02170960"/>
    <x v="68"/>
    <s v="2025-10"/>
    <s v="CLAUDIA VILLAVICENCIO PONCE DE LEON"/>
  </r>
  <r>
    <n v="11"/>
    <x v="80"/>
    <s v="TRAN.CTAS.TERC.BM"/>
    <n v="407.43"/>
    <s v="01509010"/>
    <x v="55"/>
    <s v="2025-09"/>
    <s v="FIGUEROA MARQUEZ ELIZABETH JANETH"/>
  </r>
  <r>
    <n v="11"/>
    <x v="80"/>
    <s v="TRAN.CTAS.TERC.BM"/>
    <n v="80.52"/>
    <s v="01696164"/>
    <x v="66"/>
    <s v="2025-06"/>
    <s v="GUERRERO GUERRERO MIRTHA ROSARIO"/>
  </r>
  <r>
    <n v="11"/>
    <x v="80"/>
    <s v="TRAN.CTAS.TERC.BM"/>
    <n v="67.97"/>
    <s v="01696164"/>
    <x v="66"/>
    <s v="2025-07"/>
    <s v="GUERRERO GUERRERO MIRTHA ROSARIO"/>
  </r>
  <r>
    <n v="11"/>
    <x v="80"/>
    <s v="TRANSF.BCO.BBVA"/>
    <n v="365.88"/>
    <s v="02087069"/>
    <x v="149"/>
    <s v="2025-09"/>
    <s v="LIZETH ALEJANDRA TIBURCIO GARCIA"/>
  </r>
  <r>
    <n v="11"/>
    <x v="80"/>
    <s v="TRANSF.BCO.BBVA"/>
    <n v="374.49"/>
    <s v="02233173"/>
    <x v="8"/>
    <s v="2025-11"/>
    <s v="MARIA GISELLA YOUNG GUERRERO"/>
  </r>
  <r>
    <n v="11"/>
    <x v="80"/>
    <s v="TRANSF.BCO.SCOTIABANK"/>
    <n v="40"/>
    <s v="02890562"/>
    <x v="2"/>
    <s v="parrilla"/>
    <s v="MILKA MOY MACEDO"/>
  </r>
  <r>
    <n v="11"/>
    <x v="80"/>
    <s v="TRANSF.BCO.INTERBANK"/>
    <n v="170.93"/>
    <s v="02105927"/>
    <x v="35"/>
    <s v="2025-11"/>
    <s v="MORALES-DURAND-DE-DURAN-ZANDRA"/>
  </r>
  <r>
    <n v="11"/>
    <x v="80"/>
    <s v="TRANSF.BCO.INTERBANK"/>
    <n v="2.31"/>
    <s v="02130585"/>
    <x v="35"/>
    <s v="2025-11"/>
    <s v="MORALES-DURAND-DE-DURAN-ZANDRA"/>
  </r>
  <r>
    <n v="11"/>
    <x v="81"/>
    <s v="TRANSF.BCO.INTERBANK"/>
    <n v="306.33999999999997"/>
    <s v="02184034"/>
    <x v="1"/>
    <s v="2025-11"/>
    <s v="BLAS-OLIVER-LIDIA"/>
  </r>
  <r>
    <n v="11"/>
    <x v="81"/>
    <s v="TRANSF.BCO.INTERBANK"/>
    <n v="501.86"/>
    <s v="02195954"/>
    <x v="143"/>
    <s v="2025-11"/>
    <s v="GABANCHO-DAVILA-VALERIA"/>
  </r>
  <r>
    <n v="11"/>
    <x v="81"/>
    <s v="TRANSF.BCO.INTERBANK"/>
    <n v="373.62"/>
    <s v="02503994"/>
    <x v="174"/>
    <s v="2025-07"/>
    <s v="GARCIA-ARCE-ANDRES DANIEL"/>
  </r>
  <r>
    <n v="11"/>
    <x v="81"/>
    <s v="TRANSF.BCO.INTERBANK"/>
    <n v="368.28"/>
    <s v="02503994"/>
    <x v="174"/>
    <s v="2025-08"/>
    <s v="GARCIA-ARCE-ANDRES DANIEL"/>
  </r>
  <r>
    <n v="11"/>
    <x v="81"/>
    <s v="TRANSF.BCO.INTERBANK"/>
    <n v="258.10000000000002"/>
    <s v="02503994"/>
    <x v="174"/>
    <s v="2025-09"/>
    <s v="GARCIA-ARCE-ANDRES DANIEL"/>
  </r>
  <r>
    <n v="11"/>
    <x v="81"/>
    <s v="TRAN.CTAS.TERC.BM"/>
    <n v="440.75"/>
    <s v="05725318"/>
    <x v="41"/>
    <s v="2025-11"/>
    <s v="HENDRICK FONG OSCAR ALEJANDRO"/>
  </r>
  <r>
    <n v="11"/>
    <x v="81"/>
    <s v="TRAN.CTAS.TERC.BM"/>
    <n v="397.81"/>
    <s v="06110101"/>
    <x v="58"/>
    <s v="2025-10"/>
    <s v="LAMADRID MESONES JOSE ALBERTO"/>
  </r>
  <r>
    <n v="11"/>
    <x v="81"/>
    <s v="TRAN.CTAS.TERC.BM"/>
    <n v="196.47"/>
    <s v="04128563"/>
    <x v="33"/>
    <s v="2025-10"/>
    <s v="MEDINA SARMIENTO JAVIER"/>
  </r>
  <r>
    <n v="11"/>
    <x v="81"/>
    <s v="TRAN.CTAS.TERC.BM"/>
    <n v="371.62"/>
    <s v="00153754"/>
    <x v="148"/>
    <s v="2025-11"/>
    <s v="MONTES DE OCA BRAMOSIO MARIA GABY"/>
  </r>
  <r>
    <n v="11"/>
    <x v="81"/>
    <s v="TRAN.CTAS.TERC.BM"/>
    <n v="380.23"/>
    <s v="01720483"/>
    <x v="36"/>
    <s v="2025-11"/>
    <s v="NEIRA UN JAN MILAGROS ANDREA"/>
  </r>
  <r>
    <n v="11"/>
    <x v="81"/>
    <s v="TRAN.CTAS.TERC.BM"/>
    <n v="340.25"/>
    <s v="06653860"/>
    <x v="175"/>
    <s v="2025-11"/>
    <s v="RUBIANO BARRERA NELSON RICARDO"/>
  </r>
  <r>
    <n v="11"/>
    <x v="82"/>
    <s v="TRAN.CTAS.TERC.BM"/>
    <n v="80.52"/>
    <s v="00365895"/>
    <x v="64"/>
    <s v="2025-11"/>
    <s v="GODOY ACOSTA NORA EULALIA"/>
  </r>
  <r>
    <n v="11"/>
    <x v="82"/>
    <s v="TRANSF.BCO.INTERBANK"/>
    <n v="391.42"/>
    <s v="02204118"/>
    <x v="86"/>
    <s v="2025-10"/>
    <s v="OCHOA-ALEJOS-CESAR"/>
  </r>
  <r>
    <n v="11"/>
    <x v="82"/>
    <s v="TRAN.CTAS.TERC.BM"/>
    <n v="298.13"/>
    <s v="02556556"/>
    <x v="64"/>
    <s v="2025-10"/>
    <s v="ROCA ZEGARRA RAQUEL JENIFFER"/>
  </r>
  <r>
    <n v="11"/>
    <x v="82"/>
    <s v="TRAN.CTAS.TERC.BM"/>
    <n v="277.64"/>
    <s v="01089972"/>
    <x v="52"/>
    <s v="2025-11"/>
    <s v="SALINAS SOUZA CARLOS ENRIQUE JOSE ALFR"/>
  </r>
  <r>
    <n v="11"/>
    <x v="83"/>
    <s v="TRAN.CTAS.TERC.BM"/>
    <n v="176.67"/>
    <s v="01248743"/>
    <x v="133"/>
    <s v="2025-11"/>
    <s v="BUENO CHAVEZ SILVIA ISABEL"/>
  </r>
  <r>
    <n v="11"/>
    <x v="83"/>
    <s v="TRANSF.BCO.SCOTIABANK"/>
    <n v="80.52"/>
    <s v="02159025"/>
    <x v="79"/>
    <s v="2025-10"/>
    <s v="LIDIA VALDIVIESO FALCON"/>
  </r>
  <r>
    <n v="11"/>
    <x v="83"/>
    <s v="TRANSF.BCO.PICHINCHA"/>
    <n v="30"/>
    <s v="00072548"/>
    <x v="2"/>
    <s v="cine"/>
    <s v="LOPEZ FORTUNATO"/>
  </r>
  <r>
    <n v="11"/>
    <x v="83"/>
    <s v="TRAN.CTAS.TERC.BM"/>
    <n v="190.09"/>
    <s v="05699108"/>
    <x v="37"/>
    <s v="2025-10"/>
    <s v="PEREZ SANCHEZ KIRIA JAEL"/>
  </r>
  <r>
    <n v="11"/>
    <x v="83"/>
    <s v="TRANSF.BCO.INTERBANK"/>
    <n v="378.26"/>
    <s v="02490853"/>
    <x v="60"/>
    <s v="2025-09"/>
    <s v="PUJOL-CORRECHER-EDUARDO"/>
  </r>
  <r>
    <n v="11"/>
    <x v="83"/>
    <s v="TRANSF.BCO.INTERBANK"/>
    <n v="391.42"/>
    <s v="02490853"/>
    <x v="60"/>
    <s v="2025-10"/>
    <s v="PUJOL-CORRECHER-EDUARDO"/>
  </r>
  <r>
    <n v="11"/>
    <x v="83"/>
    <s v="TRANSF.BCO.INTERBANK"/>
    <n v="380.23"/>
    <s v="02490853"/>
    <x v="60"/>
    <s v="2025-11"/>
    <s v="PUJOL-CORRECHER-EDUARDO"/>
  </r>
  <r>
    <n v="11"/>
    <x v="83"/>
    <s v="TRANSF.BCO.INTERBANK"/>
    <n v="15.53"/>
    <s v="02490853"/>
    <x v="60"/>
    <s v="2025-12"/>
    <s v="PUJOL-CORRECHER-EDUARDO"/>
  </r>
  <r>
    <n v="11"/>
    <x v="83"/>
    <s v="TRAN.CTAS.TERC.BM"/>
    <n v="377.34"/>
    <s v="05335826"/>
    <x v="23"/>
    <s v="2025-11"/>
    <s v="RUIZ SANDOVAL FLOR DE MARIA"/>
  </r>
  <r>
    <n v="11"/>
    <x v="83"/>
    <s v="TRAN.CTAS.TERC.BM"/>
    <n v="446.4"/>
    <s v="03607057"/>
    <x v="106"/>
    <s v="2025-10"/>
    <s v="YAIPEN PANTOJA ALEXIS"/>
  </r>
  <r>
    <n v="11"/>
    <x v="84"/>
    <s v="DE BERTOLOTTO INVESTME"/>
    <n v="1268.22"/>
    <s v="02250347"/>
    <x v="38"/>
    <s v="2025-09"/>
    <s v="BERTOLOTTO INVESTMENTS S.A.C."/>
  </r>
  <r>
    <n v="11"/>
    <x v="84"/>
    <s v="DE BERTOLOTTO INVESTME"/>
    <n v="1264.3699999999999"/>
    <s v="02250347"/>
    <x v="38"/>
    <s v="2025-10"/>
    <s v="BERTOLOTTO INVESTMENTS S.A.C."/>
  </r>
  <r>
    <n v="11"/>
    <x v="84"/>
    <s v="TRAN.CTAS.TERC.BM"/>
    <n v="397.81"/>
    <s v="06580649"/>
    <x v="121"/>
    <s v="2025-10"/>
    <s v="CASTILLA PEREZ CARMELA FERMINA"/>
  </r>
  <r>
    <n v="11"/>
    <x v="84"/>
    <s v="TRANSF.BCO.INTERBANK"/>
    <n v="379.02"/>
    <s v="02561890"/>
    <x v="29"/>
    <s v="2025-11"/>
    <s v="CORDERO-VILCA-PEDRO"/>
  </r>
  <r>
    <n v="11"/>
    <x v="84"/>
    <s v="TRANSF.BCO.BBVA"/>
    <n v="380.46"/>
    <s v="02731718"/>
    <x v="96"/>
    <s v="2025-09"/>
    <s v="GIANELLA LIZETH NEIRA BUSTAMANTE"/>
  </r>
  <r>
    <n v="11"/>
    <x v="84"/>
    <s v="TRANSF.BCO.BBVA"/>
    <n v="372.41"/>
    <s v="02679199"/>
    <x v="96"/>
    <s v="2025-11"/>
    <s v="GIANELLA LIZETH NEIRA BUSTAMANTE"/>
  </r>
  <r>
    <n v="11"/>
    <x v="84"/>
    <s v="TRANSF.BCO.BBVA"/>
    <n v="187.48"/>
    <s v="02789965"/>
    <x v="176"/>
    <s v="2025-08"/>
    <s v="LUIS DAVID SULCA CORONADO"/>
  </r>
  <r>
    <n v="11"/>
    <x v="84"/>
    <s v="TRANSF.BCO.BBVA"/>
    <n v="187.55"/>
    <s v="02789965"/>
    <x v="176"/>
    <s v="2025-09"/>
    <s v="LUIS DAVID SULCA CORONADO"/>
  </r>
  <r>
    <n v="11"/>
    <x v="84"/>
    <s v="TRANSF.BCO.BBVA"/>
    <n v="183.7"/>
    <s v="02789965"/>
    <x v="176"/>
    <s v="2025-11"/>
    <s v="LUIS DAVID SULCA CORONADO"/>
  </r>
  <r>
    <n v="11"/>
    <x v="84"/>
    <s v="TRAN.CTAS.TERC.BM"/>
    <n v="80.52"/>
    <s v="01265346"/>
    <x v="127"/>
    <s v="2025-11"/>
    <s v="MENDIOLA LOPEZ MARIA ELENA MARTINA"/>
  </r>
  <r>
    <n v="11"/>
    <x v="84"/>
    <s v="TRAN.CTAS.TERC.BM"/>
    <n v="580"/>
    <s v="00668177"/>
    <x v="2"/>
    <s v="lounge"/>
    <s v="MONICA JULIE GUERRERO ABARCA"/>
  </r>
  <r>
    <n v="11"/>
    <x v="84"/>
    <s v="TRAN.CTAS.TERC.BM"/>
    <n v="77.760000000000005"/>
    <s v="06531410"/>
    <x v="146"/>
    <s v="2025-08"/>
    <s v="ROSAS LIMAYLLA JHENIFER FLORINDA"/>
  </r>
  <r>
    <n v="11"/>
    <x v="84"/>
    <s v="TRAN.CTAS.TERC.BM"/>
    <n v="80.52"/>
    <s v="06531410"/>
    <x v="146"/>
    <s v="2025-09"/>
    <s v="ROSAS LIMAYLLA JHENIFER FLORINDA"/>
  </r>
  <r>
    <n v="11"/>
    <x v="85"/>
    <s v="TRAN.CTAS.TERC.BM"/>
    <n v="254.32"/>
    <s v="00725832"/>
    <x v="44"/>
    <s v="2025-11"/>
    <s v="JUSTO NIETO MILENA KATHERINE"/>
  </r>
  <r>
    <n v="11"/>
    <x v="85"/>
    <s v="TRAN.CTAS.TERC.BM"/>
    <n v="190"/>
    <s v="05115056"/>
    <x v="128"/>
    <s v="2025-11"/>
    <s v="QUISPE TAPIA BERLINNE CLARET"/>
  </r>
  <r>
    <n v="11"/>
    <x v="85"/>
    <s v="TRANSF.BCO.BBVA"/>
    <n v="310.89999999999998"/>
    <s v="02032647"/>
    <x v="135"/>
    <s v="2025-10"/>
    <s v="TRANSF.BCO.BBVA"/>
  </r>
  <r>
    <n v="11"/>
    <x v="85"/>
    <s v="TRANSF.BCO.BBVA"/>
    <n v="296.83999999999997"/>
    <s v="02038806"/>
    <x v="135"/>
    <s v="2025-11"/>
    <s v="TRANSF.BCO.BBVA"/>
  </r>
  <r>
    <n v="11"/>
    <x v="85"/>
    <s v="TRAN.CTAS.TERC.BM"/>
    <n v="199.99"/>
    <s v="03341902"/>
    <x v="25"/>
    <s v="2025-11"/>
    <s v="VALDEZ CADENILLAS AGUSTIN"/>
  </r>
  <r>
    <n v="11"/>
    <x v="86"/>
    <s v="TRAN.CTAS.TERC.BM"/>
    <n v="242.83"/>
    <s v="00643931"/>
    <x v="177"/>
    <s v="2025-08"/>
    <s v="CARRASCO BEAS ALFREDO EDILBERTO"/>
  </r>
  <r>
    <n v="11"/>
    <x v="86"/>
    <s v="TRAN.CTAS.TERC.BM"/>
    <n v="251.45"/>
    <s v="00643931"/>
    <x v="177"/>
    <s v="2025-09"/>
    <s v="CARRASCO BEAS ALFREDO EDILBERTO"/>
  </r>
  <r>
    <n v="11"/>
    <x v="86"/>
    <s v="TRAN.CTAS.TERC.BM"/>
    <n v="251.45"/>
    <s v="00643931"/>
    <x v="177"/>
    <s v="2025-10"/>
    <s v="CARRASCO BEAS ALFREDO EDILBERTO"/>
  </r>
  <r>
    <n v="11"/>
    <x v="86"/>
    <s v="TRANSF.BCO.BBVA"/>
    <n v="173.8"/>
    <s v="02410773"/>
    <x v="16"/>
    <s v="2025-11"/>
    <s v="FIORELLA TOLEDO MUENTE"/>
  </r>
  <r>
    <n v="11"/>
    <x v="86"/>
    <s v="TRAN.CTAS.TERC.BM"/>
    <n v="409.29"/>
    <s v="05011808"/>
    <x v="71"/>
    <s v="2025-11"/>
    <s v="HARO CABALLERO CAROL ELIZABETH"/>
  </r>
  <r>
    <n v="11"/>
    <x v="86"/>
    <s v="TRAN.CTAS.TERC.BM"/>
    <n v="386.57"/>
    <s v="01270216"/>
    <x v="126"/>
    <s v="2025-11"/>
    <s v="MENDIOLA LOPEZ MARIA ELENA MARTINA"/>
  </r>
  <r>
    <n v="11"/>
    <x v="86"/>
    <s v="TRAN.CTAS.TERC.BM"/>
    <n v="190.09"/>
    <s v="03424844"/>
    <x v="158"/>
    <s v="2025-10"/>
    <s v="SANCHEZ---SALAZAR OLCESE GLADYS MARIELA"/>
  </r>
  <r>
    <n v="11"/>
    <x v="86"/>
    <s v="TRAN.CTAS.TERC.BM"/>
    <n v="393.92"/>
    <s v="05969090"/>
    <x v="61"/>
    <s v="2025-09"/>
    <s v="TORRES VILLANTOY SUSAN VICTORIA"/>
  </r>
  <r>
    <n v="11"/>
    <x v="86"/>
    <s v="TRAN.CTAS.TERC.BM"/>
    <n v="380.97"/>
    <s v="05969090"/>
    <x v="61"/>
    <s v="2025-11"/>
    <s v="TORRES VILLANTOY SUSAN VICTORIA"/>
  </r>
  <r>
    <n v="11"/>
    <x v="87"/>
    <s v="TRAN.CTAS.TERC.BM"/>
    <n v="462.85"/>
    <s v="01723289"/>
    <x v="104"/>
    <s v="2025-10"/>
    <s v="BUSTAMANTE EDUARDO-O-SARMIENTO INGRID"/>
  </r>
  <r>
    <n v="11"/>
    <x v="87"/>
    <s v="TRAN.CTAS.TERC.BM"/>
    <n v="580"/>
    <s v="01070069"/>
    <x v="2"/>
    <s v="lounge"/>
    <s v="CANCHANYA ARTEAGA KATHERINE GIOVANNA"/>
  </r>
  <r>
    <n v="11"/>
    <x v="87"/>
    <s v="TRAN.CTAS.TERC.BM"/>
    <n v="580"/>
    <s v="01952283"/>
    <x v="2"/>
    <s v="lounge"/>
    <s v="CARDENAS MORIANO HEVELYNE HILDA"/>
  </r>
  <r>
    <n v="11"/>
    <x v="87"/>
    <s v="TRAN.CTAS.TERC.BM"/>
    <n v="197.44"/>
    <s v="03827287"/>
    <x v="178"/>
    <s v="2025-05"/>
    <s v="CHAVEZ JULCAHUANCA LUCIA ELIZABETH"/>
  </r>
  <r>
    <n v="11"/>
    <x v="87"/>
    <s v="TRAN.CTAS.TERC.BM"/>
    <n v="195.43"/>
    <s v="03827287"/>
    <x v="178"/>
    <s v="2025-06"/>
    <s v="CHAVEZ JULCAHUANCA LUCIA ELIZABETH"/>
  </r>
  <r>
    <n v="11"/>
    <x v="87"/>
    <s v="TRAN.CTAS.TERC.BM"/>
    <n v="198.02"/>
    <s v="03827287"/>
    <x v="178"/>
    <s v="2025-07"/>
    <s v="CHAVEZ JULCAHUANCA LUCIA ELIZABETH"/>
  </r>
  <r>
    <n v="11"/>
    <x v="87"/>
    <s v="TRAN.CTAS.TERC.BM"/>
    <n v="189.65"/>
    <s v="03827287"/>
    <x v="178"/>
    <s v="2025-08"/>
    <s v="CHAVEZ JULCAHUANCA LUCIA ELIZABETH"/>
  </r>
  <r>
    <n v="11"/>
    <x v="87"/>
    <s v="TRAN.CTAS.TERC.BM"/>
    <n v="196.1"/>
    <s v="03827287"/>
    <x v="178"/>
    <s v="2025-09"/>
    <s v="CHAVEZ JULCAHUANCA LUCIA ELIZABETH"/>
  </r>
  <r>
    <n v="11"/>
    <x v="87"/>
    <s v="TRAN.CTAS.TERC.BM"/>
    <n v="196.68"/>
    <s v="04547026"/>
    <x v="178"/>
    <s v="2025-10"/>
    <s v="CHAVEZ JULCAHUANCA LUCIA ELIZABETH"/>
  </r>
  <r>
    <n v="11"/>
    <x v="87"/>
    <s v="TRAN.CTAS.TERC.BM"/>
    <n v="185.59"/>
    <s v="04586580"/>
    <x v="178"/>
    <s v="2025-11"/>
    <s v="CHAVEZ JULCAHUANCA LUCIA ELIZABETH"/>
  </r>
  <r>
    <n v="11"/>
    <x v="87"/>
    <s v="TRAN.CTAS.TERC.BM"/>
    <n v="260.06"/>
    <s v="01667918"/>
    <x v="20"/>
    <s v="2025-11"/>
    <s v="MEJIA TURRIATE DEBORA DICK"/>
  </r>
  <r>
    <n v="11"/>
    <x v="87"/>
    <s v="TRAN.CTAS.TERC.BM"/>
    <n v="434.92"/>
    <s v="00825431"/>
    <x v="120"/>
    <s v="2025-09"/>
    <s v="SOLER CLAVIJO GABRIELA ANDREINA"/>
  </r>
  <r>
    <n v="11"/>
    <x v="87"/>
    <s v="ENTR.EFEC. 0981968"/>
    <n v="449.36"/>
    <s v="00981968"/>
    <x v="130"/>
    <s v="2025-11"/>
    <s v="VENTANILLA"/>
  </r>
  <r>
    <n v="11"/>
    <x v="87"/>
    <s v="TRAN.CTAS.TERC.BM"/>
    <n v="387.06"/>
    <s v="00107471"/>
    <x v="179"/>
    <s v="2025-08"/>
    <s v="ZAPATA ARANA MIRTHA BELINDA"/>
  </r>
  <r>
    <n v="11"/>
    <x v="88"/>
    <s v="TRAN.CTAS.TERC.BM"/>
    <n v="100"/>
    <s v="05096699"/>
    <x v="2"/>
    <s v="arcade"/>
    <s v="BENITES BALDOCEDA MARIA DE LOS ANGELES"/>
  </r>
  <r>
    <n v="11"/>
    <x v="88"/>
    <s v="TRAN.CTAS.TERC.BM"/>
    <n v="500"/>
    <s v="05693591"/>
    <x v="2"/>
    <s v="lounge"/>
    <s v="FLORES MORALES MELISSA"/>
  </r>
  <r>
    <n v="11"/>
    <x v="88"/>
    <s v="TRAN.CTAS.TERC.BM"/>
    <n v="358.89"/>
    <s v="02640438"/>
    <x v="180"/>
    <s v="2025-06"/>
    <s v="MARIA CECILIA SOLARI ATOCHE"/>
  </r>
  <r>
    <n v="11"/>
    <x v="88"/>
    <s v="TRAN.CTAS.TERC.BM"/>
    <n v="324.06"/>
    <s v="02640438"/>
    <x v="180"/>
    <s v="2025-07"/>
    <s v="MARIA CECILIA SOLARI ATOCHE"/>
  </r>
  <r>
    <n v="11"/>
    <x v="88"/>
    <s v="TRAN.CTAS.TERC.BM"/>
    <n v="275.58"/>
    <s v="02640438"/>
    <x v="180"/>
    <s v="2025-08"/>
    <s v="MARIA CECILIA SOLARI ATOCHE"/>
  </r>
  <r>
    <n v="11"/>
    <x v="88"/>
    <s v="TRAN.CTAS.TERC.BM"/>
    <n v="285.36"/>
    <s v="02640438"/>
    <x v="180"/>
    <s v="2025-09"/>
    <s v="MARIA CECILIA SOLARI ATOCHE"/>
  </r>
  <r>
    <n v="11"/>
    <x v="88"/>
    <s v="TRAN.CTAS.TERC.BM"/>
    <n v="298.13"/>
    <s v="02640438"/>
    <x v="180"/>
    <s v="2025-10"/>
    <s v="MARIA CECILIA SOLARI ATOCHE"/>
  </r>
  <r>
    <n v="11"/>
    <x v="88"/>
    <s v="TRAN.CTAS.TERC.BM"/>
    <n v="285.36"/>
    <s v="02640438"/>
    <x v="180"/>
    <s v="2025-11"/>
    <s v="MARIA CECILIA SOLARI ATOCHE"/>
  </r>
  <r>
    <n v="11"/>
    <x v="88"/>
    <s v="TRAN.CTAS.TERC.BM"/>
    <n v="280.51"/>
    <s v="00894962"/>
    <x v="76"/>
    <s v="2025-11"/>
    <s v="MONZON JUAREZ MILAGROS DEL CARMEN"/>
  </r>
  <r>
    <n v="11"/>
    <x v="88"/>
    <s v="TRANSF.BCO.BBVA"/>
    <n v="374.19"/>
    <s v="02903431"/>
    <x v="113"/>
    <s v="2025-09"/>
    <s v="TRANSF.BCO.BBVA"/>
  </r>
  <r>
    <n v="11"/>
    <x v="88"/>
    <s v="TRANSF.BCO.BBVA"/>
    <n v="372.27"/>
    <s v="02903431"/>
    <x v="113"/>
    <s v="2025-10"/>
    <s v="TRANSF.BCO.BBVA"/>
  </r>
  <r>
    <n v="11"/>
    <x v="88"/>
    <s v="TRANSF.BCO.BBVA"/>
    <n v="370.62"/>
    <s v="02903431"/>
    <x v="113"/>
    <s v="2025-11"/>
    <s v="TRANSF.BCO.BBVA"/>
  </r>
  <r>
    <n v="11"/>
    <x v="88"/>
    <s v="ENTR.EFEC. 0356127"/>
    <n v="194.25"/>
    <s v="00356127"/>
    <x v="98"/>
    <s v="2025-11"/>
    <s v="VENTANILLA"/>
  </r>
  <r>
    <n v="11"/>
    <x v="89"/>
    <s v="TRAN.CTAS.TERC.BM"/>
    <n v="580"/>
    <s v="02920728"/>
    <x v="2"/>
    <s v="lounge"/>
    <s v="MENDOZA SALDANA FRANK ANDRE"/>
  </r>
  <r>
    <n v="11"/>
    <x v="89"/>
    <s v="TRANSF.BCO.INTERBANK"/>
    <n v="179.54"/>
    <s v="02354243"/>
    <x v="158"/>
    <s v="2025-11"/>
    <s v="TRANSF.BCO.INTERBANK"/>
  </r>
  <r>
    <n v="11"/>
    <x v="89"/>
    <s v="TRANSF.BCO.INTERBANK"/>
    <n v="100"/>
    <s v="02318692"/>
    <x v="2"/>
    <s v="arcade"/>
    <m/>
  </r>
  <r>
    <n v="11"/>
    <x v="90"/>
    <s v="TRAN.CTAS.TERC.BM"/>
    <n v="389.1"/>
    <s v="03339402"/>
    <x v="181"/>
    <s v="2025-07"/>
    <s v="GONZALES VIDAL MIGUEL ANGEL"/>
  </r>
  <r>
    <n v="11"/>
    <x v="90"/>
    <s v="TRAN.CTAS.TERC.BM"/>
    <n v="379.48"/>
    <s v="03339402"/>
    <x v="181"/>
    <s v="2025-08"/>
    <s v="GONZALES VIDAL MIGUEL ANGEL"/>
  </r>
  <r>
    <n v="11"/>
    <x v="90"/>
    <s v="TRAN.CTAS.TERC.BM"/>
    <n v="386.65"/>
    <s v="03339402"/>
    <x v="181"/>
    <s v="2025-09"/>
    <s v="GONZALES VIDAL MIGUEL ANGEL"/>
  </r>
  <r>
    <n v="11"/>
    <x v="90"/>
    <s v="TRAN.CTAS.TERC.BM"/>
    <n v="391.42"/>
    <s v="03339402"/>
    <x v="181"/>
    <s v="2025-10"/>
    <s v="GONZALES VIDAL MIGUEL ANGEL"/>
  </r>
  <r>
    <n v="11"/>
    <x v="90"/>
    <s v="TRAN.CTAS.TERC.BM"/>
    <n v="377.36"/>
    <s v="03339402"/>
    <x v="181"/>
    <s v="2025-11"/>
    <s v="GONZALES VIDAL MIGUEL ANGEL"/>
  </r>
  <r>
    <n v="11"/>
    <x v="90"/>
    <s v="TRAN.CTAS.TERC.BM"/>
    <n v="380.23"/>
    <s v="02921591"/>
    <x v="139"/>
    <s v="2025-11"/>
    <s v="MADUENO CHUMPITAZ LOURDES DE LOS ANGELES"/>
  </r>
  <r>
    <n v="11"/>
    <x v="90"/>
    <s v="TRAN.CTAS.TERC.BM"/>
    <n v="80"/>
    <s v="04073061"/>
    <x v="2"/>
    <s v="parrilla"/>
    <s v="MADUENO MORALES LUCIENNE MARGARETH"/>
  </r>
  <r>
    <n v="11"/>
    <x v="90"/>
    <s v="TRAN.CTAS.TERC.BM"/>
    <n v="387.01"/>
    <s v="04073061"/>
    <x v="182"/>
    <s v="2025-07"/>
    <s v="MADUENO MORALES LUCIENNE MARGARETH"/>
  </r>
  <r>
    <n v="11"/>
    <x v="90"/>
    <s v="TRAN.CTAS.TERC.BM"/>
    <n v="112.99000000000001"/>
    <s v="04073061"/>
    <x v="182"/>
    <s v="2025-08"/>
    <s v="MADUENO MORALES LUCIENNE MARGARETH"/>
  </r>
  <r>
    <n v="11"/>
    <x v="90"/>
    <s v="TRAN.CTAS.TERC.BM"/>
    <n v="319.19"/>
    <s v="01374895"/>
    <x v="47"/>
    <s v="2025-09"/>
    <s v="ORTEGA DELGADILLO EMPERATRIZ"/>
  </r>
  <r>
    <n v="11"/>
    <x v="90"/>
    <s v="TRAN.CTAS.TERC.BM"/>
    <n v="40"/>
    <s v="03779807"/>
    <x v="2"/>
    <s v="parrilla"/>
    <s v="VEGA DE VERASTEGUI BERTHA YDALIA"/>
  </r>
  <r>
    <n v="11"/>
    <x v="90"/>
    <s v="TRAN.CTAS.TERC.BM"/>
    <n v="389.2"/>
    <s v="03760521"/>
    <x v="179"/>
    <s v="2025-09"/>
    <s v="ZAPATA ARANA MIRTHA BELINDA"/>
  </r>
  <r>
    <n v="11"/>
    <x v="91"/>
    <s v="TRAN.CTAS.TERC.HK"/>
    <n v="316.93"/>
    <s v="06086575"/>
    <x v="53"/>
    <s v="2025-11"/>
    <s v="BASTERRECHEA NN JIMMY"/>
  </r>
  <r>
    <n v="11"/>
    <x v="91"/>
    <s v="TRAN.CTAS.TERC.BM"/>
    <n v="50"/>
    <s v="03517712"/>
    <x v="2"/>
    <s v="cine"/>
    <s v="BENITES BALDOCEDA MARIA DE LOS ANGELES"/>
  </r>
  <r>
    <n v="11"/>
    <x v="91"/>
    <s v="TRAN.CTAS.TERC.BM"/>
    <n v="285.36"/>
    <s v="03547929"/>
    <x v="5"/>
    <s v="2025-11"/>
    <s v="CUBA REYES ANGIE CONSUELO LESLIE"/>
  </r>
  <r>
    <n v="11"/>
    <x v="91"/>
    <s v="TRAN.CTAS.TERC.BM"/>
    <n v="265.35000000000002"/>
    <s v="03689568"/>
    <x v="183"/>
    <s v="2025-08"/>
    <s v="LECTOR BRICENO PAOLA MITTCHELL DANIELA"/>
  </r>
  <r>
    <n v="11"/>
    <x v="91"/>
    <s v="TRAN.CTAS.TERC.BM"/>
    <n v="274.77"/>
    <s v="03689568"/>
    <x v="183"/>
    <s v="2025-09"/>
    <s v="LECTOR BRICENO PAOLA MITTCHELL DANIELA"/>
  </r>
  <r>
    <n v="11"/>
    <x v="91"/>
    <s v="TRAN.CTAS.TERC.BM"/>
    <n v="281.16000000000003"/>
    <s v="03689568"/>
    <x v="183"/>
    <s v="2025-10"/>
    <s v="LECTOR BRICENO PAOLA MITTCHELL DANIELA"/>
  </r>
  <r>
    <n v="11"/>
    <x v="91"/>
    <s v="TRAN.CTAS.TERC.BM"/>
    <n v="274.82"/>
    <s v="03689568"/>
    <x v="183"/>
    <s v="2025-11"/>
    <s v="LECTOR BRICENO PAOLA MITTCHELL DANIELA"/>
  </r>
  <r>
    <n v="11"/>
    <x v="91"/>
    <s v="TRAN.CTAS.TERC.BM"/>
    <n v="524.14"/>
    <s v="01750187"/>
    <x v="75"/>
    <s v="2025-11"/>
    <s v="LOREDO RODRIGUEZ CESAR ANTONIO"/>
  </r>
  <r>
    <n v="11"/>
    <x v="91"/>
    <s v="TRAN.CTAS.TERC.BM"/>
    <n v="261.65999999999997"/>
    <s v="03466642"/>
    <x v="182"/>
    <s v="2025-08"/>
    <s v="MADUENO MORALES LUCIENNE MARGARETH"/>
  </r>
  <r>
    <n v="11"/>
    <x v="91"/>
    <s v="TRAN.CTAS.TERC.BM"/>
    <n v="393.07"/>
    <s v="03466642"/>
    <x v="182"/>
    <s v="2025-09"/>
    <s v="MADUENO MORALES LUCIENNE MARGARETH"/>
  </r>
  <r>
    <n v="11"/>
    <x v="91"/>
    <s v="TRAN.CTAS.TERC.BM"/>
    <n v="391.74"/>
    <s v="03466642"/>
    <x v="182"/>
    <s v="2025-10"/>
    <s v="MADUENO MORALES LUCIENNE MARGARETH"/>
  </r>
  <r>
    <n v="11"/>
    <x v="91"/>
    <s v="TRAN.CTAS.TERC.BM"/>
    <n v="377.82"/>
    <s v="03466642"/>
    <x v="182"/>
    <s v="2025-11"/>
    <s v="MADUENO MORALES LUCIENNE MARGARETH"/>
  </r>
  <r>
    <n v="11"/>
    <x v="91"/>
    <s v="TRANSF.BCO.BBVA"/>
    <n v="377.49"/>
    <s v="02606669"/>
    <x v="150"/>
    <s v="2025-07"/>
    <s v="MARILYN ROXANA VELIZ CACHO"/>
  </r>
  <r>
    <n v="11"/>
    <x v="91"/>
    <s v="TRAN.CTAS.TERC.BM"/>
    <n v="262.93"/>
    <s v="02402891"/>
    <x v="114"/>
    <s v="2025-11"/>
    <s v="MERINO NEGRON PEDRO MANUEL"/>
  </r>
  <r>
    <n v="11"/>
    <x v="91"/>
    <s v="TRAN.CTAS.TERC.BM"/>
    <n v="408.72"/>
    <s v="01009452"/>
    <x v="4"/>
    <s v="2025-11"/>
    <s v="MERINO PARKER ANDREA MELISSA"/>
  </r>
  <r>
    <n v="11"/>
    <x v="91"/>
    <s v="TRAN.CTAS.TERC.BM"/>
    <n v="391.99"/>
    <s v="03298781"/>
    <x v="12"/>
    <s v="2025-11"/>
    <s v="ORE ROSARIO CRISTOPHER GREY"/>
  </r>
  <r>
    <n v="11"/>
    <x v="91"/>
    <s v="TRAN.CTAS.TERC.BM"/>
    <n v="188.79"/>
    <s v="03962248"/>
    <x v="112"/>
    <s v="2025-11"/>
    <s v="TOLOSA ALVAREZ WILKENDRY ANTONIO"/>
  </r>
  <r>
    <n v="11"/>
    <x v="91"/>
    <s v="ENTR.EFEC. 0256045"/>
    <n v="264.22000000000003"/>
    <s v="00256045"/>
    <x v="89"/>
    <s v="2025-10"/>
    <s v="VENTANILLA"/>
  </r>
  <r>
    <n v="11"/>
    <x v="91"/>
    <s v="ENTR.EFEC. 0256045"/>
    <n v="273.23"/>
    <s v="00256045"/>
    <x v="89"/>
    <s v="2025-11"/>
    <s v="VENTANILLA"/>
  </r>
  <r>
    <n v="11"/>
    <x v="91"/>
    <s v="TRAN.CTAS.TERC.BM"/>
    <n v="397.45"/>
    <s v="05885365"/>
    <x v="62"/>
    <s v="2025-11"/>
    <s v="ZAPATA VELASCO ANGELA PATRICIA"/>
  </r>
  <r>
    <n v="11"/>
    <x v="92"/>
    <s v="TRANSF.BCO.BBVA"/>
    <n v="580"/>
    <s v="02467069"/>
    <x v="2"/>
    <s v="lounge"/>
    <s v="BENNER ISAAC GUERRERO WALLER"/>
  </r>
  <r>
    <n v="11"/>
    <x v="92"/>
    <s v="TRANSF.BCO.NACION"/>
    <n v="387.14"/>
    <s v="02595090"/>
    <x v="92"/>
    <s v="2025-11"/>
    <s v="CARMEN MALACHE"/>
  </r>
  <r>
    <n v="11"/>
    <x v="92"/>
    <s v="TRAN.CTAS.TERC.BM"/>
    <n v="380.23"/>
    <s v="01481973"/>
    <x v="74"/>
    <s v="2025-11"/>
    <s v="LOPEZ ARCE JUDITH MELISSA"/>
  </r>
  <r>
    <n v="11"/>
    <x v="92"/>
    <s v="TRANSF.BCO.SCOTIABANK"/>
    <n v="80"/>
    <s v="02723059"/>
    <x v="2"/>
    <s v="parrilla"/>
    <s v="MILKA MOY MACEDO"/>
  </r>
  <r>
    <n v="11"/>
    <x v="92"/>
    <s v="TRANSF.BCO.INTERBANK"/>
    <n v="10"/>
    <s v="02022558"/>
    <x v="10"/>
    <s v="2025-09"/>
    <s v="NU EZ-ESTRADA-YULY"/>
  </r>
  <r>
    <n v="11"/>
    <x v="92"/>
    <s v="TRAN.CTAS.TERC.HK"/>
    <n v="176.67"/>
    <s v="06106026"/>
    <x v="11"/>
    <s v="2025-11"/>
    <s v="OLIVARES SAAVEDRA JAIME ALBERTO"/>
  </r>
  <r>
    <n v="11"/>
    <x v="92"/>
    <s v="TRAN.CTAS.TERC.BM"/>
    <n v="182.41"/>
    <s v="02147646"/>
    <x v="51"/>
    <s v="2025-11"/>
    <s v="REZUKHIN NN DMITRII"/>
  </r>
  <r>
    <n v="11"/>
    <x v="93"/>
    <s v="TRAN.CTAS.TERC.BM"/>
    <n v="251.45"/>
    <s v="01724791"/>
    <x v="32"/>
    <s v="2025-11"/>
    <s v="BALLENA CAPUNAY FELIX ADALBERTO"/>
  </r>
  <r>
    <n v="11"/>
    <x v="93"/>
    <s v="TRAN.CTAS.TERC.BM"/>
    <n v="613.96"/>
    <s v="02059779"/>
    <x v="100"/>
    <s v="2025-11"/>
    <s v="BOZA VILLAVICENCIO ROSA ISABEL"/>
  </r>
  <r>
    <n v="11"/>
    <x v="93"/>
    <s v="TRAN.CTAS.TERC.BM"/>
    <n v="391.7"/>
    <s v="03090235"/>
    <x v="66"/>
    <s v="2025-11"/>
    <s v="CAPILLO TELLO LICET"/>
  </r>
  <r>
    <n v="11"/>
    <x v="93"/>
    <s v="TRAN.CTAS.TERC.BM"/>
    <n v="40"/>
    <s v="02161190"/>
    <x v="2"/>
    <s v="parrilla"/>
    <s v="CARDENAS MORIANO HEVELYNE HILDA"/>
  </r>
  <r>
    <n v="11"/>
    <x v="93"/>
    <s v="TRANSF.BCO.INTERBANK"/>
    <n v="400.32"/>
    <s v="02582742"/>
    <x v="117"/>
    <s v="2025-11"/>
    <s v="CASAS-PEREA-JOSE"/>
  </r>
  <r>
    <n v="11"/>
    <x v="93"/>
    <s v="DEPOSITO AG 981945"/>
    <n v="440.8"/>
    <s v="00043615"/>
    <x v="28"/>
    <s v="2025-11"/>
    <s v="CISNEROS CAHUANA JUANA CLENIA"/>
  </r>
  <r>
    <n v="11"/>
    <x v="93"/>
    <s v="TRAN.CTAS.TERC.BM"/>
    <n v="401.88"/>
    <s v="02151178"/>
    <x v="131"/>
    <s v="2025-08"/>
    <s v="ENKANTA CLINICAS DENTALES SOCIEDAD ANONI"/>
  </r>
  <r>
    <n v="11"/>
    <x v="93"/>
    <s v="TRAN.CTAS.TERC.BM"/>
    <n v="415.74"/>
    <s v="02151178"/>
    <x v="131"/>
    <s v="2025-09"/>
    <s v="ENKANTA CLINICAS DENTALES SOCIEDAD ANONI"/>
  </r>
  <r>
    <n v="11"/>
    <x v="93"/>
    <s v="TRAN.CTAS.TERC.BM"/>
    <n v="410.58"/>
    <s v="02151178"/>
    <x v="131"/>
    <s v="2025-10"/>
    <s v="ENKANTA CLINICAS DENTALES SOCIEDAD ANONI"/>
  </r>
  <r>
    <n v="11"/>
    <x v="93"/>
    <s v="DE INMOBILIARIA IMPULS"/>
    <n v="580"/>
    <s v="02300949"/>
    <x v="2"/>
    <s v="lounge"/>
    <s v="INMOBILIARIA IMPULSO LEON SAC"/>
  </r>
  <r>
    <n v="11"/>
    <x v="93"/>
    <s v="DE INMOBILIARIA IMPULS"/>
    <n v="40"/>
    <s v="02301852"/>
    <x v="2"/>
    <s v="parrilla"/>
    <s v="INMOBILIARIA IMPULSO LEON SAC"/>
  </r>
  <r>
    <n v="11"/>
    <x v="93"/>
    <s v="DE INMOBILIARIA IMPULS"/>
    <n v="40"/>
    <s v="02303796"/>
    <x v="2"/>
    <s v="parrilla"/>
    <s v="INMOBILIARIA IMPULSO LEON SAC"/>
  </r>
  <r>
    <n v="11"/>
    <x v="93"/>
    <s v="TRANSF.BCO.BBVA"/>
    <n v="183.7"/>
    <s v="02318230"/>
    <x v="176"/>
    <s v="2025-10"/>
    <s v="LUIS DAVID SULCA CORONADO"/>
  </r>
  <r>
    <n v="11"/>
    <x v="93"/>
    <s v="TRAN.CTAS.TERC.BM"/>
    <n v="451.52"/>
    <s v="01501572"/>
    <x v="10"/>
    <s v="2025-09"/>
    <s v="NUNEZ ESTRADA YULY CRISTINA"/>
  </r>
  <r>
    <n v="11"/>
    <x v="93"/>
    <s v="TRAN.CTAS.TERC.BM"/>
    <n v="447.14"/>
    <s v="01501572"/>
    <x v="10"/>
    <s v="2025-10"/>
    <s v="NUNEZ ESTRADA YULY CRISTINA"/>
  </r>
  <r>
    <n v="11"/>
    <x v="93"/>
    <s v="TRAN.CTAS.TERC.BM"/>
    <n v="101.34000000000003"/>
    <s v="01501572"/>
    <x v="10"/>
    <s v="2025-11"/>
    <s v="NUNEZ ESTRADA YULY CRISTINA"/>
  </r>
  <r>
    <n v="11"/>
    <x v="93"/>
    <s v="DE PRONTOMATIC PERU SO"/>
    <n v="1954.48"/>
    <s v="02102727"/>
    <x v="184"/>
    <s v="2025-07"/>
    <s v="PRONTOMATIC PERU SOCIEDAD ANONIMA CERRAD"/>
  </r>
  <r>
    <n v="11"/>
    <x v="93"/>
    <s v="DE PRONTOMATIC PERU SO"/>
    <n v="1965.14"/>
    <s v="02102727"/>
    <x v="184"/>
    <s v="2025-08"/>
    <s v="PRONTOMATIC PERU SOCIEDAD ANONIMA CERRAD"/>
  </r>
  <r>
    <n v="11"/>
    <x v="93"/>
    <s v="DE PRONTOMATIC PERU SO"/>
    <n v="2660.09"/>
    <s v="02102727"/>
    <x v="184"/>
    <s v="2025-09"/>
    <s v="PRONTOMATIC PERU SOCIEDAD ANONIMA CERRAD"/>
  </r>
  <r>
    <n v="11"/>
    <x v="93"/>
    <s v="DE PRONTOMATIC PERU SO"/>
    <n v="1208.27"/>
    <s v="02102727"/>
    <x v="184"/>
    <s v="2025-10"/>
    <s v="PRONTOMATIC PERU SOCIEDAD ANONIMA CERRAD"/>
  </r>
  <r>
    <n v="11"/>
    <x v="93"/>
    <s v="DE PRONTOMATIC PERU SO"/>
    <n v="996.83999999999969"/>
    <s v="02102727"/>
    <x v="184"/>
    <s v="2025-11"/>
    <s v="PRONTOMATIC PERU SOCIEDAD ANONIMA CERRAD"/>
  </r>
  <r>
    <n v="11"/>
    <x v="93"/>
    <s v="TRAN.CTAS.TERC.BM"/>
    <n v="254.32"/>
    <s v="03457335"/>
    <x v="50"/>
    <s v="2025-11"/>
    <s v="RAMOS GUTTI DANIEL FRANCISCO"/>
  </r>
  <r>
    <n v="11"/>
    <x v="93"/>
    <s v="TRAN.CTAS.TERC.BM"/>
    <n v="386.65"/>
    <s v="03017411"/>
    <x v="116"/>
    <s v="2025-09"/>
    <s v="ROJAS CACERES VITHIA MARCELA"/>
  </r>
  <r>
    <n v="11"/>
    <x v="93"/>
    <s v="ENTR.EFEC. 0515893"/>
    <n v="456.23"/>
    <s v="00515893"/>
    <x v="130"/>
    <s v="2025-06"/>
    <s v="VENTANILLA"/>
  </r>
  <r>
    <n v="11"/>
    <x v="93"/>
    <s v="ENTR.EFEC. 0515893"/>
    <n v="456.23"/>
    <s v="00515893"/>
    <x v="130"/>
    <s v="2025-07"/>
    <s v="VENTANILLA"/>
  </r>
  <r>
    <n v="11"/>
    <x v="93"/>
    <s v="ENTR.EFEC. 0515893"/>
    <n v="453.21"/>
    <s v="00515893"/>
    <x v="130"/>
    <s v="2025-09"/>
    <s v="VENTANILLA"/>
  </r>
  <r>
    <n v="11"/>
    <x v="94"/>
    <s v="TRAN.CTAS.TERC.BM"/>
    <n v="367.03"/>
    <s v="05681805"/>
    <x v="45"/>
    <s v="2025-11"/>
    <s v="LIANG NN YANQIU"/>
  </r>
  <r>
    <n v="11"/>
    <x v="94"/>
    <s v="TRANSF.BCO.SCOTIABANK"/>
    <n v="262.93"/>
    <s v="02398532"/>
    <x v="122"/>
    <s v="2025-11"/>
    <s v="MARIOLITH CARBI VALLE"/>
  </r>
  <r>
    <n v="11"/>
    <x v="94"/>
    <s v="TRAN.CTAS.TERC.BM"/>
    <n v="580"/>
    <s v="06247809"/>
    <x v="2"/>
    <s v="lounge"/>
    <s v="MATIAS RAMIREZ SUSY MAGALLI"/>
  </r>
  <r>
    <n v="11"/>
    <x v="94"/>
    <s v="TRAN.CTAS.TERC.BM"/>
    <n v="261.5"/>
    <s v="04842771"/>
    <x v="151"/>
    <s v="2025-08"/>
    <s v="MESONES DEL-RIO MARIA ISABEL"/>
  </r>
  <r>
    <n v="11"/>
    <x v="94"/>
    <s v="TRAN.CTAS.TERC.BM"/>
    <n v="272.22000000000003"/>
    <s v="04842771"/>
    <x v="151"/>
    <s v="2025-09"/>
    <s v="MESONES DEL-RIO MARIA ISABEL"/>
  </r>
  <r>
    <n v="11"/>
    <x v="94"/>
    <s v="TRANSF.BCO.BBVA"/>
    <n v="480.94"/>
    <s v="02648482"/>
    <x v="48"/>
    <s v="2025-11"/>
    <s v="PABLO ABEL MINIANO GARCIA"/>
  </r>
  <r>
    <n v="11"/>
    <x v="94"/>
    <s v="TRAN.CTAS.TERC.BM"/>
    <n v="389.2"/>
    <s v="04099794"/>
    <x v="179"/>
    <s v="2025-10"/>
    <s v="ZAPATA ARANA MIRTHA BELINDA"/>
  </r>
  <r>
    <n v="11"/>
    <x v="95"/>
    <s v="TRAN.CTAS.TERC.BM"/>
    <n v="403.19"/>
    <s v="03544206"/>
    <x v="120"/>
    <s v="2025-11"/>
    <s v="TRAN.CTAS.TERC.BM"/>
  </r>
  <r>
    <n v="11"/>
    <x v="95"/>
    <s v="TRAN.CTAS.TERC.BM"/>
    <n v="421.91"/>
    <s v="01327251"/>
    <x v="59"/>
    <s v="2025-09"/>
    <s v="TRAN.CTAS.TERC.BM"/>
  </r>
  <r>
    <n v="11"/>
    <x v="95"/>
    <s v="TRAN.CTAS.TERC.BM"/>
    <n v="394.58"/>
    <s v="07283408"/>
    <x v="40"/>
    <s v="2025-11"/>
    <s v="TRAN.CTAS.TERC.BM"/>
  </r>
  <r>
    <n v="11"/>
    <x v="95"/>
    <s v="TRAN.CTAS.TERC.BM"/>
    <n v="388.84"/>
    <s v="07423870"/>
    <x v="80"/>
    <s v="2025-11"/>
    <s v="TRAN.CTAS.TERC.BM"/>
  </r>
  <r>
    <n v="11"/>
    <x v="95"/>
    <s v="TRAN.CTAS.TERC.BM"/>
    <n v="388.83"/>
    <s v="00284206"/>
    <x v="17"/>
    <s v="2025-11"/>
    <s v="TRAN.CTAS.TERC.BM"/>
  </r>
  <r>
    <n v="11"/>
    <x v="95"/>
    <s v="TRAN.CTAS.TERC.BM"/>
    <n v="380.23"/>
    <s v="06913326"/>
    <x v="91"/>
    <s v="2025-11"/>
    <s v="TRAN.CTAS.TERC.BM"/>
  </r>
  <r>
    <n v="11"/>
    <x v="95"/>
    <s v="TRAN.CTAS.TERC.BM"/>
    <n v="377.36"/>
    <s v="03520665"/>
    <x v="78"/>
    <s v="2025-11"/>
    <s v="TRAN.CTAS.TERC.BM"/>
  </r>
  <r>
    <n v="11"/>
    <x v="95"/>
    <s v="TRAN.CTAS.TERC.BM"/>
    <n v="50"/>
    <s v="07178031"/>
    <x v="2"/>
    <s v="cine"/>
    <s v="TRAN.CTAS.TERC.BM"/>
  </r>
  <r>
    <n v="11"/>
    <x v="95"/>
    <s v="TRAN.CTAS.TERC.HK"/>
    <n v="77.760000000000005"/>
    <s v="06157414"/>
    <x v="37"/>
    <s v="2025-11"/>
    <s v="TRAN.CTAS.TERC.HK"/>
  </r>
  <r>
    <n v="11"/>
    <x v="95"/>
    <s v="TRANSF.BCO.BBVA"/>
    <n v="580"/>
    <s v="02828797"/>
    <x v="2"/>
    <s v="lounge"/>
    <s v="TRANSF.BCO.BBVA"/>
  </r>
  <r>
    <n v="11"/>
    <x v="95"/>
    <s v="TRANSF.BCO.INTERBANK"/>
    <n v="319.95999999999998"/>
    <s v="02744550"/>
    <x v="140"/>
    <s v="2025-10"/>
    <s v="TRANSF.BCO.INTERBANK"/>
  </r>
  <r>
    <n v="11"/>
    <x v="95"/>
    <s v="TRANSF.BCO.INTERBANK"/>
    <n v="304.54000000000002"/>
    <s v="02744550"/>
    <x v="140"/>
    <s v="2025-11"/>
    <s v="TRANSF.BCO.INTERBANK"/>
  </r>
  <r>
    <n v="11"/>
    <x v="95"/>
    <s v="TRANSF.BCO.INTERBANK"/>
    <n v="308.32"/>
    <s v="02487841"/>
    <x v="159"/>
    <s v="2025-11"/>
    <s v="TRANSF.BCO.INTERBANK"/>
  </r>
  <r>
    <n v="11"/>
    <x v="95"/>
    <s v="TRANSF.BCO.INTERBANK"/>
    <n v="30"/>
    <s v="02429503"/>
    <x v="2"/>
    <s v="cine"/>
    <s v="TRANSF.BCO.INTERBANK"/>
  </r>
  <r>
    <n v="11"/>
    <x v="95"/>
    <s v="TRANSF.BCO.SCOTIABANK"/>
    <n v="176.23"/>
    <s v="02516798"/>
    <x v="30"/>
    <s v="2025-11"/>
    <s v="TRANSF.BCO.SCOTIABANK"/>
  </r>
  <r>
    <n v="11"/>
    <x v="95"/>
    <s v="TRANSF.BCO.SCOTIABANK"/>
    <n v="40"/>
    <s v="02126293"/>
    <x v="2"/>
    <s v="parrilla"/>
    <s v="TRANSF.BCO.SCOTIABANK"/>
  </r>
  <r>
    <n v="11"/>
    <x v="96"/>
    <s v="TRAN.CTAS.TERC.BM"/>
    <n v="371.62"/>
    <s v="05350480"/>
    <x v="163"/>
    <s v="2025-11"/>
    <s v="INFANTES"/>
  </r>
  <r>
    <n v="11"/>
    <x v="96"/>
    <s v="TRAN.CTAS.TERC.BM"/>
    <n v="580"/>
    <s v="03029589"/>
    <x v="2"/>
    <s v="lounge"/>
    <s v="TRAN.CTAS.TERC.BM"/>
  </r>
  <r>
    <n v="11"/>
    <x v="96"/>
    <s v="TRAN.CTAS.TERC.BM"/>
    <n v="532.75"/>
    <s v="05160699"/>
    <x v="162"/>
    <s v="2025-11"/>
    <s v="TRAN.CTAS.TERC.BM"/>
  </r>
  <r>
    <n v="11"/>
    <x v="96"/>
    <s v="TRAN.CTAS.TERC.BM"/>
    <n v="394.58"/>
    <s v="02014112"/>
    <x v="69"/>
    <s v="2025-11"/>
    <s v="TRAN.CTAS.TERC.BM"/>
  </r>
  <r>
    <n v="11"/>
    <x v="96"/>
    <s v="TRAN.CTAS.TERC.BM"/>
    <n v="40"/>
    <s v="00793093"/>
    <x v="2"/>
    <s v="parrilla"/>
    <s v="TRAN.CTAS.TERC.BM"/>
  </r>
  <r>
    <n v="11"/>
    <x v="96"/>
    <s v="TRAN.CTAS.TERC.BM"/>
    <n v="40"/>
    <s v="01411793"/>
    <x v="2"/>
    <s v="parrilla"/>
    <s v="TRAN.CTAS.TERC.BM"/>
  </r>
  <r>
    <n v="11"/>
    <x v="96"/>
    <s v="TRAN.CTAS.TERC.BM"/>
    <n v="40"/>
    <s v="03322726"/>
    <x v="2"/>
    <s v="parrilla"/>
    <s v="TRAN.CTAS.TERC.BM"/>
  </r>
  <r>
    <n v="11"/>
    <x v="96"/>
    <s v="TRANSF.BCO.INTERBANK"/>
    <n v="302.58"/>
    <s v="02290570"/>
    <x v="31"/>
    <s v="2025-11"/>
    <s v="TRANSF.BCO.INTERBANK"/>
  </r>
  <r>
    <n v="11"/>
    <x v="96"/>
    <s v="TRANSF.BCO.INTERBANK"/>
    <n v="40"/>
    <s v="02889920"/>
    <x v="2"/>
    <s v="parrilla"/>
    <s v="TRANSF.BCO.INTERBANK"/>
  </r>
  <r>
    <n v="12"/>
    <x v="97"/>
    <s v="TRAN.CTAS.TERC.BM"/>
    <n v="270.61"/>
    <s v="02410336"/>
    <x v="142"/>
    <s v="2025-10"/>
    <s v="BARRIENTOS FLORES MILAGROS MERCEDES"/>
  </r>
  <r>
    <n v="12"/>
    <x v="97"/>
    <s v="TRAN.CTAS.TERC.BM"/>
    <n v="265.8"/>
    <s v="02410336"/>
    <x v="142"/>
    <s v="2025-11"/>
    <s v="BARRIENTOS FLORES MILAGROS MERCEDES"/>
  </r>
  <r>
    <n v="12"/>
    <x v="97"/>
    <s v="TRANSF.BCO.INTERBANK"/>
    <n v="385.31"/>
    <s v="02750764"/>
    <x v="185"/>
    <s v="2025-06"/>
    <s v="CCACHURA-LUZA-ALEX"/>
  </r>
  <r>
    <n v="12"/>
    <x v="97"/>
    <s v="TRANSF.BCO.INTERBANK"/>
    <n v="382.13"/>
    <s v="02750764"/>
    <x v="185"/>
    <s v="2025-07"/>
    <s v="CCACHURA-LUZA-ALEX"/>
  </r>
  <r>
    <n v="12"/>
    <x v="97"/>
    <s v="TRANSF.BCO.INTERBANK"/>
    <n v="368.11"/>
    <s v="02750764"/>
    <x v="185"/>
    <s v="2025-08"/>
    <s v="CCACHURA-LUZA-ALEX"/>
  </r>
  <r>
    <n v="12"/>
    <x v="97"/>
    <s v="TRANSF.BCO.INTERBANK"/>
    <n v="378.78"/>
    <s v="02750764"/>
    <x v="185"/>
    <s v="2025-09"/>
    <s v="CCACHURA-LUZA-ALEX"/>
  </r>
  <r>
    <n v="12"/>
    <x v="97"/>
    <s v="TRANSF.BCO.INTERBANK"/>
    <n v="377.16"/>
    <s v="02750764"/>
    <x v="185"/>
    <s v="2025-10"/>
    <s v="CCACHURA-LUZA-ALEX"/>
  </r>
  <r>
    <n v="12"/>
    <x v="97"/>
    <s v="TRANSF.BCO.INTERBANK"/>
    <n v="370.23"/>
    <s v="02750764"/>
    <x v="185"/>
    <s v="2025-11"/>
    <s v="CCACHURA-LUZA-ALEX"/>
  </r>
  <r>
    <n v="12"/>
    <x v="97"/>
    <s v="TRAN.CTAS.TERC.BM"/>
    <n v="397.45"/>
    <s v="04737039"/>
    <x v="81"/>
    <s v="2025-11"/>
    <s v="ENRIQUEZ ILLESCAS LAURA STELLA"/>
  </r>
  <r>
    <n v="12"/>
    <x v="97"/>
    <s v="TRAN.CTAS.TERC.BM"/>
    <n v="378.65"/>
    <s v="05817694"/>
    <x v="57"/>
    <s v="2025-10"/>
    <s v="GUTIERREZ GUERRERO YEISON MARTIN"/>
  </r>
  <r>
    <n v="12"/>
    <x v="97"/>
    <s v="TRAN.CTAS.TERC.BM"/>
    <n v="374.49"/>
    <s v="05821538"/>
    <x v="57"/>
    <s v="2025-11"/>
    <s v="GUTIERREZ GUERRERO YEISON MARTIN"/>
  </r>
  <r>
    <n v="12"/>
    <x v="97"/>
    <s v="TRAN.CTAS.TERC.BM"/>
    <n v="175.8"/>
    <s v="00893543"/>
    <x v="42"/>
    <s v="2025-11"/>
    <s v="HERRERA CASTRO VANESA ZARELA"/>
  </r>
  <r>
    <n v="12"/>
    <x v="97"/>
    <s v="TRAN.CTAS.TERC.BM"/>
    <n v="176.67"/>
    <s v="01518148"/>
    <x v="6"/>
    <s v="2025-11"/>
    <s v="HUERTA HUERTA CARLA ALESSANDRA"/>
  </r>
  <r>
    <n v="12"/>
    <x v="97"/>
    <s v="TRANSF.BCO.SCOTIABANK"/>
    <n v="172.94"/>
    <s v="02068520"/>
    <x v="18"/>
    <s v="2025-11"/>
    <s v="JOSE SALDARRIAGA CEDANO"/>
  </r>
  <r>
    <n v="12"/>
    <x v="97"/>
    <s v="TRAN.CTAS.TERC.BM"/>
    <n v="382.05"/>
    <s v="04068760"/>
    <x v="84"/>
    <s v="2025-11"/>
    <s v="LI NN XIAN YI"/>
  </r>
  <r>
    <n v="12"/>
    <x v="97"/>
    <s v="TRAN.CTAS.TERC.BM"/>
    <n v="82.149999999999977"/>
    <s v="03880889"/>
    <x v="46"/>
    <s v="2025-08"/>
    <s v="MARULANDA HIDALGO BRIGIDO HORACIO"/>
  </r>
  <r>
    <n v="12"/>
    <x v="97"/>
    <s v="TRAN.CTAS.TERC.BM"/>
    <n v="994.95"/>
    <s v="03880889"/>
    <x v="46"/>
    <s v="2025-10"/>
    <s v="MARULANDA HIDALGO BRIGIDO HORACIO"/>
  </r>
  <r>
    <n v="12"/>
    <x v="97"/>
    <s v="TRAN.CTAS.TERC.BM"/>
    <n v="947.97"/>
    <s v="03880889"/>
    <x v="46"/>
    <s v="2025-11"/>
    <s v="MARULANDA HIDALGO BRIGIDO HORACIO"/>
  </r>
  <r>
    <n v="12"/>
    <x v="97"/>
    <s v="TRAN.CTAS.TERC.BM"/>
    <n v="580"/>
    <s v="03429355"/>
    <x v="2"/>
    <s v="lounge"/>
    <s v="MATIAS RAMIREZ SUSY MAGALLI"/>
  </r>
  <r>
    <n v="12"/>
    <x v="97"/>
    <s v="TRAN.CTAS.TERC.BM"/>
    <n v="198.24"/>
    <s v="02115421"/>
    <x v="97"/>
    <s v="2025-11"/>
    <s v="MENDOZA SALDANA FRANK ANDRE"/>
  </r>
  <r>
    <n v="12"/>
    <x v="97"/>
    <s v="TRAN.CTAS.TERC.BM"/>
    <n v="360"/>
    <s v="04118358"/>
    <x v="10"/>
    <s v="2025-11"/>
    <s v="NUNEZ ESTRADA YULY CRISTINA"/>
  </r>
  <r>
    <n v="12"/>
    <x v="97"/>
    <s v="TRAN.CTAS.TERC.BM"/>
    <n v="749.61"/>
    <s v="00555789"/>
    <x v="77"/>
    <s v="2025-11"/>
    <s v="ROSARIO TORRES PATRICIA DEL CARMEN"/>
  </r>
  <r>
    <n v="12"/>
    <x v="97"/>
    <s v="TRAN.CTAS.TERC.BM"/>
    <n v="378.65"/>
    <s v="02725344"/>
    <x v="93"/>
    <s v="2025-10"/>
    <s v="SALVATIERRA TORRES ROGGER DANNY"/>
  </r>
  <r>
    <n v="12"/>
    <x v="97"/>
    <s v="TRAN.CTAS.TERC.BM"/>
    <n v="377.36"/>
    <s v="01222294"/>
    <x v="93"/>
    <s v="2025-11"/>
    <s v="SALVATIERRA TORRES ROGGER DANNY"/>
  </r>
  <r>
    <n v="12"/>
    <x v="97"/>
    <s v="TRAN.CTAS.TERC.BM"/>
    <n v="580"/>
    <s v="04771772"/>
    <x v="2"/>
    <s v="lounge"/>
    <s v="TORRES VILLANTOY SUSAN VICTORIA"/>
  </r>
  <r>
    <n v="12"/>
    <x v="97"/>
    <s v="TRAN.CTAS.TERC.BM"/>
    <n v="40"/>
    <s v="04771772"/>
    <x v="2"/>
    <s v="parrilla"/>
    <s v="TORRES VILLANTOY SUSAN VICTORIA"/>
  </r>
  <r>
    <n v="12"/>
    <x v="98"/>
    <s v="TRANSF.BCO.INTERBANK"/>
    <n v="388.84"/>
    <s v="02905092"/>
    <x v="67"/>
    <s v="2025-11"/>
    <s v="CHUMPITAZ-JORDAN-GIANFRANCO"/>
  </r>
  <r>
    <n v="12"/>
    <x v="98"/>
    <s v="TRAN.CTAS.TERC.BM"/>
    <n v="580"/>
    <s v="00946929"/>
    <x v="2"/>
    <s v="lounge"/>
    <s v="FLORES MORALES MELISSA"/>
  </r>
  <r>
    <n v="12"/>
    <x v="98"/>
    <s v="TRAN.CTAS.TERC.BM"/>
    <n v="388.09"/>
    <s v="08129096"/>
    <x v="72"/>
    <s v="2025-11"/>
    <s v="IZQUIERDO ALATA LIAM JUAN PEDRO"/>
  </r>
  <r>
    <n v="12"/>
    <x v="98"/>
    <s v="TRANSF.BCO.BBVA"/>
    <n v="23.37"/>
    <s v="02995270"/>
    <x v="7"/>
    <s v="2025-11"/>
    <s v="JOSE AUGUSTO CANDELA ROJAS"/>
  </r>
  <r>
    <n v="12"/>
    <x v="98"/>
    <s v="TRAN.CTAS.TERC.BM"/>
    <n v="308.32"/>
    <s v="03228009"/>
    <x v="34"/>
    <s v="2025-11"/>
    <s v="MONICA JULIE GUERRERO ABARCA"/>
  </r>
  <r>
    <n v="12"/>
    <x v="98"/>
    <s v="TRANSF.BCO.SCOTIABANK"/>
    <n v="182.41"/>
    <s v="02258025"/>
    <x v="37"/>
    <s v="2025-11"/>
    <s v="ROSA TUME ZEGARRA"/>
  </r>
  <r>
    <n v="12"/>
    <x v="98"/>
    <s v="ENTR.EFEC. 0074378"/>
    <n v="620.29999999999995"/>
    <s v="00074378"/>
    <x v="111"/>
    <s v="2025-11"/>
    <s v="VENTANILLA"/>
  </r>
  <r>
    <n v="12"/>
    <x v="99"/>
    <s v="TRAN.CTAS.TERC.BM"/>
    <n v="182.41"/>
    <s v="00867353"/>
    <x v="56"/>
    <s v="2025-11"/>
    <s v="ANGEL GIOVANNI JOSE MOGOLLON ANGELES"/>
  </r>
  <r>
    <n v="12"/>
    <x v="99"/>
    <s v="TRANSF.BCO.BBVA"/>
    <n v="50"/>
    <s v="02513865"/>
    <x v="2"/>
    <s v="cine"/>
    <s v="PAOLA FABIOLA QUI�ONES PONCE DE LEON"/>
  </r>
  <r>
    <n v="12"/>
    <x v="99"/>
    <s v="TRAN.CTAS.TERC.BM"/>
    <n v="80.52"/>
    <s v="04387187"/>
    <x v="25"/>
    <s v="2025-09"/>
    <s v="VALDEZ CADENILLAS AGUSTIN"/>
  </r>
  <r>
    <n v="12"/>
    <x v="99"/>
    <s v="TRAN.CTAS.TERC.BM"/>
    <n v="80.52"/>
    <s v="04387187"/>
    <x v="25"/>
    <s v="2025-10"/>
    <s v="VALDEZ CADENILLAS AGUSTIN"/>
  </r>
  <r>
    <n v="12"/>
    <x v="99"/>
    <s v="TRAN.CTAS.TERC.BM"/>
    <n v="80.52"/>
    <s v="04387187"/>
    <x v="25"/>
    <s v="2025-11"/>
    <s v="VALDEZ CADENILLAS AGUSTIN"/>
  </r>
  <r>
    <n v="12"/>
    <x v="100"/>
    <s v="TRAN.CTAS.TERC.BM"/>
    <n v="396.84"/>
    <s v="03702583"/>
    <x v="186"/>
    <s v="2025-07"/>
    <s v="CASTRO ALMEIDA RAUL ARMANDO"/>
  </r>
  <r>
    <n v="12"/>
    <x v="100"/>
    <s v="TRAN.CTAS.TERC.BM"/>
    <n v="394.42"/>
    <s v="03702583"/>
    <x v="186"/>
    <s v="2025-08"/>
    <s v="CASTRO ALMEIDA RAUL ARMANDO"/>
  </r>
  <r>
    <n v="12"/>
    <x v="100"/>
    <s v="TRAN.CTAS.TERC.BM"/>
    <n v="403.27"/>
    <s v="03702583"/>
    <x v="186"/>
    <s v="2025-09"/>
    <s v="CASTRO ALMEIDA RAUL ARMANDO"/>
  </r>
  <r>
    <n v="12"/>
    <x v="100"/>
    <s v="TRAN.CTAS.TERC.BM"/>
    <n v="580"/>
    <s v="00356613"/>
    <x v="2"/>
    <s v="lounge"/>
    <s v="CORDERO VILCA PEDRO LUIS"/>
  </r>
  <r>
    <n v="12"/>
    <x v="100"/>
    <s v="TRAN.CTAS.TERC.BM"/>
    <n v="30"/>
    <s v="00466209"/>
    <x v="2"/>
    <s v="cine"/>
    <s v="CORDERO VILCA PEDRO LUIS"/>
  </r>
  <r>
    <n v="12"/>
    <x v="100"/>
    <s v="TRANSF.BCO.FALABELLA"/>
    <n v="400"/>
    <s v="02157477"/>
    <x v="2"/>
    <s v="sin identificar"/>
    <s v="MARIA ANGELICA BENITEZ DEL AGUILA"/>
  </r>
  <r>
    <n v="12"/>
    <x v="100"/>
    <s v="TRAN.CTAS.TERC.BM"/>
    <n v="182.41"/>
    <s v="01068663"/>
    <x v="115"/>
    <s v="2025-11"/>
    <s v="OSORIO MOQUILLAZA JESUS ALFONSO"/>
  </r>
  <r>
    <n v="12"/>
    <x v="100"/>
    <s v="TRAN.CTAS.TERC.BM"/>
    <n v="405.92"/>
    <s v="01384726"/>
    <x v="49"/>
    <s v="2025-11"/>
    <s v="PANIAGUA HARTLEY SANDRO MIGUEL"/>
  </r>
  <r>
    <n v="12"/>
    <x v="100"/>
    <s v="TRAN.CTAS.TERC.BM"/>
    <n v="377.36"/>
    <s v="06733149"/>
    <x v="119"/>
    <s v="2025-11"/>
    <s v="RUIZ GUTIERREZ ROLANDO"/>
  </r>
  <r>
    <n v="12"/>
    <x v="100"/>
    <s v="TRAN.CTAS.TERC.BM"/>
    <n v="40"/>
    <s v="02395637"/>
    <x v="2"/>
    <s v="parrilla"/>
    <s v="VEGA DE VERASTEGUI BERTHA YDALIA"/>
  </r>
  <r>
    <n v="12"/>
    <x v="101"/>
    <s v="TRAN.CTAS.TERC.HK"/>
    <n v="371.62"/>
    <s v="06028689"/>
    <x v="134"/>
    <s v="2025-11"/>
    <s v="AYAQUE LARICO ISAAC ALFREDO"/>
  </r>
  <r>
    <n v="12"/>
    <x v="101"/>
    <s v="TRAN.CTAS.TERC.BM"/>
    <n v="380.77"/>
    <s v="01308742"/>
    <x v="39"/>
    <s v="2025-11"/>
    <s v="DE-LA-CRUZ DELGADO WALTER"/>
  </r>
  <r>
    <n v="12"/>
    <x v="102"/>
    <s v="TRANSF.BCO.INTERBANK"/>
    <n v="40"/>
    <s v="02199842"/>
    <x v="2"/>
    <s v="parrilla"/>
    <s v="ALBAN-MALACHE-CARLA"/>
  </r>
  <r>
    <n v="12"/>
    <x v="102"/>
    <s v="TRANSF.BCO.SCOTIABANK"/>
    <n v="580"/>
    <s v="02314538"/>
    <x v="2"/>
    <s v="lounge"/>
    <s v="DANITZA PALACIOS CARDENAS"/>
  </r>
  <r>
    <n v="12"/>
    <x v="102"/>
    <s v="TRANSF.BCO.INTERBANK"/>
    <n v="317.19"/>
    <s v="02076173"/>
    <x v="156"/>
    <s v="2025-10"/>
    <s v="DELGADO-SILVA-LUIS"/>
  </r>
  <r>
    <n v="12"/>
    <x v="102"/>
    <s v="TRANSF.BCO.INTERBANK"/>
    <n v="343.45"/>
    <s v="02735993"/>
    <x v="70"/>
    <s v="2025-11"/>
    <s v="GUTIERREZ-ESQUICHA-OLIVER"/>
  </r>
  <r>
    <n v="12"/>
    <x v="102"/>
    <s v="TRANSF.BCO.BBVA"/>
    <n v="368.75"/>
    <s v="02143800"/>
    <x v="150"/>
    <s v="2025-11"/>
    <s v="MARILYN ROXANA VELIZ CACHO"/>
  </r>
  <r>
    <n v="12"/>
    <x v="102"/>
    <s v="TRAN.CTAS.TERC.BM"/>
    <n v="760"/>
    <s v="02435231"/>
    <x v="2"/>
    <s v="sin identificar"/>
    <s v="TRAN.CTAS.TERC.BM"/>
  </r>
  <r>
    <n v="12"/>
    <x v="102"/>
    <s v="TRAN.CTAS.TERC.BM"/>
    <n v="185.28"/>
    <s v="07132220"/>
    <x v="136"/>
    <s v="2025-11"/>
    <m/>
  </r>
  <r>
    <n v="12"/>
    <x v="102"/>
    <s v="TRAN.CTAS.TERC.BM"/>
    <n v="70"/>
    <s v="00748582"/>
    <x v="2"/>
    <s v="sin identificar"/>
    <s v="TRAN.CTAS.TERC.BM"/>
  </r>
  <r>
    <n v="12"/>
    <x v="102"/>
    <s v="TRAN.CTAS.TERC.BM"/>
    <n v="40"/>
    <s v="00908638"/>
    <x v="2"/>
    <s v="parrilla"/>
    <s v="TRAN.CTAS.TERC.BM"/>
  </r>
  <r>
    <n v="12"/>
    <x v="102"/>
    <s v="TRAN.CTAS.TERC.BM"/>
    <n v="40"/>
    <s v="06729056"/>
    <x v="2"/>
    <s v="parrilla"/>
    <s v="TRAN.CTAS.TERC.BM"/>
  </r>
  <r>
    <n v="12"/>
    <x v="102"/>
    <s v="TRAN.CTAS.TERC.HK"/>
    <n v="265.8"/>
    <s v="06014455"/>
    <x v="21"/>
    <s v="2025-11"/>
    <s v="TRAN.CTAS.TERC.HK"/>
  </r>
  <r>
    <n v="12"/>
    <x v="103"/>
    <s v="TRANSF.BCO.INTERBANK"/>
    <n v="188.15"/>
    <s v="02840058"/>
    <x v="109"/>
    <s v="2025-11"/>
    <s v="ALVAREZ-SALAS-CARLOS"/>
  </r>
  <r>
    <n v="12"/>
    <x v="103"/>
    <s v="TRAN.CTAS.TERC.BM"/>
    <n v="580"/>
    <s v="02177758"/>
    <x v="2"/>
    <s v="lounge"/>
    <s v="BARRIENTOS FLORES MILAGROS MERCEDES"/>
  </r>
  <r>
    <n v="12"/>
    <x v="103"/>
    <s v="TRAN.CTAS.TERC.BM"/>
    <n v="80"/>
    <s v="02177758"/>
    <x v="2"/>
    <s v="parrilla"/>
    <s v="BARRIENTOS FLORES MILAGROS MERCEDES"/>
  </r>
  <r>
    <n v="12"/>
    <x v="103"/>
    <s v="TRANSF.BCO.INTERBANK"/>
    <n v="388.84"/>
    <s v="02825976"/>
    <x v="95"/>
    <s v="2025-11"/>
    <s v="BERROSPI-SEVILLANOS-SEVILLANOS-JHOJAN KLAUS"/>
  </r>
  <r>
    <n v="12"/>
    <x v="103"/>
    <s v="TRANSF.BCO.INTERBANK"/>
    <n v="505.72"/>
    <s v="02668263"/>
    <x v="143"/>
    <s v="2025-12"/>
    <s v="GABANCHO-DAVILA-VALERIA"/>
  </r>
  <r>
    <n v="12"/>
    <x v="104"/>
    <s v="TRAN.CTAS.TERC.BM"/>
    <n v="374.82"/>
    <s v="00917303"/>
    <x v="160"/>
    <s v="2025-12"/>
    <s v="BRIZUELA ESPINOZA JHON CARLOS"/>
  </r>
  <r>
    <n v="12"/>
    <x v="104"/>
    <s v="TRAN.CTAS.TERC.BM"/>
    <n v="365.88"/>
    <s v="00883532"/>
    <x v="160"/>
    <s v="2025-11"/>
    <s v="BRIZUELA ESPINOZA JHON CARLOS"/>
  </r>
  <r>
    <n v="12"/>
    <x v="104"/>
    <s v="TRAN.CTAS.TERC.BM"/>
    <n v="2.87"/>
    <s v="00930480"/>
    <x v="160"/>
    <s v="2025-11"/>
    <s v="BRIZUELA ESPINOZA JHON CARLOS"/>
  </r>
  <r>
    <n v="12"/>
    <x v="104"/>
    <s v="TRAN.CTAS.TERC.BM"/>
    <n v="909.51"/>
    <s v="03226661"/>
    <x v="187"/>
    <s v="2025-09"/>
    <s v="CURAHUA SANCHEZ FLOR DE MARIA"/>
  </r>
  <r>
    <n v="12"/>
    <x v="104"/>
    <s v="TRAN.CTAS.TERC.BM"/>
    <n v="415.84"/>
    <s v="04910805"/>
    <x v="145"/>
    <s v="2025-11"/>
    <s v="FERRER CODINA MILAGROS DE JESUS"/>
  </r>
  <r>
    <n v="12"/>
    <x v="104"/>
    <s v="TRAN.CTAS.TERC.BM"/>
    <n v="388.84"/>
    <s v="03645542"/>
    <x v="55"/>
    <s v="2025-11"/>
    <s v="FIGUEROA MARQUEZ ELIZABETH JANETH"/>
  </r>
  <r>
    <n v="12"/>
    <x v="104"/>
    <s v="TRANSF.BCO.INTERBANK"/>
    <n v="412.32"/>
    <s v="02026779"/>
    <x v="164"/>
    <s v="2025-07"/>
    <s v="FUENTES-ALARCON-PERVIS"/>
  </r>
  <r>
    <n v="12"/>
    <x v="104"/>
    <s v="TRANSF.BCO.INTERBANK"/>
    <n v="80.52"/>
    <s v="02072506"/>
    <x v="164"/>
    <s v="2025-08"/>
    <s v="FUENTES-ALARCON-PERVIS"/>
  </r>
  <r>
    <n v="12"/>
    <x v="104"/>
    <s v="TRANSF.BCO.INTERBANK"/>
    <n v="80.52"/>
    <s v="02068468"/>
    <x v="164"/>
    <s v="2025-09"/>
    <s v="FUENTES-ALARCON-PERVIS"/>
  </r>
  <r>
    <n v="12"/>
    <x v="104"/>
    <s v="TRANSF.BCO.INTERBANK"/>
    <n v="510.26"/>
    <s v="02331937"/>
    <x v="107"/>
    <s v="2025-07"/>
    <s v="GUTIERREZ-PECEROS-ALBERTO"/>
  </r>
  <r>
    <n v="12"/>
    <x v="104"/>
    <s v="TRANSF.BCO.BBVA"/>
    <n v="305.45"/>
    <s v="02222068"/>
    <x v="118"/>
    <s v="2025-11"/>
    <s v="INVERSIONES MANTA SAC"/>
  </r>
  <r>
    <n v="12"/>
    <x v="104"/>
    <s v="TRANSF.BCO.SCOTIABANK"/>
    <n v="80.52"/>
    <s v="02008212"/>
    <x v="79"/>
    <s v="2025-11"/>
    <s v="LIDIA VALDIVIESO FALCON"/>
  </r>
  <r>
    <n v="12"/>
    <x v="104"/>
    <s v="TRAN.CTAS.TERC.BM"/>
    <n v="660.74"/>
    <s v="00428046"/>
    <x v="141"/>
    <s v="2025-11"/>
    <s v="LIZARZABURU PETROZZI MIKEL ARITZ"/>
  </r>
  <r>
    <n v="12"/>
    <x v="104"/>
    <s v="TRAN.CTAS.TERC.BM"/>
    <n v="365.88"/>
    <s v="00180881"/>
    <x v="148"/>
    <s v="2025-12"/>
    <s v="MONTES DE OCA BRAMOSIO MARIA GABY"/>
  </r>
  <r>
    <n v="12"/>
    <x v="104"/>
    <s v="TRANSF.BCO.INTERBANK"/>
    <n v="170.93"/>
    <s v="02211779"/>
    <x v="35"/>
    <s v="2025-12"/>
    <s v="MORALES-DURAND-DE-DURAN-ZANDRA"/>
  </r>
  <r>
    <n v="12"/>
    <x v="104"/>
    <s v="TRANSF.BCO.BBVA"/>
    <n v="488.43"/>
    <s v="02657936"/>
    <x v="48"/>
    <s v="2025-12"/>
    <s v="PABLO ABEL MINIANO GARCIA"/>
  </r>
  <r>
    <n v="12"/>
    <x v="104"/>
    <s v="TRAN.CTAS.TERC.BM"/>
    <n v="23.32"/>
    <s v="00214990"/>
    <x v="173"/>
    <s v="2025-12"/>
    <s v="REJAS REYES TEOBALDO ALFREDO"/>
  </r>
  <r>
    <n v="12"/>
    <x v="104"/>
    <s v="TRAN.CTAS.TERC.BM"/>
    <n v="559.86"/>
    <s v="01582150"/>
    <x v="65"/>
    <s v="2025-11"/>
    <s v="SOTO CONDORI GIANFRANCO"/>
  </r>
  <r>
    <n v="12"/>
    <x v="104"/>
    <s v="TRAN.CTAS.TERC.BM"/>
    <n v="446.4"/>
    <s v="01958804"/>
    <x v="106"/>
    <s v="2025-11"/>
    <s v="YAIPEN PANTOJA ALEXIS"/>
  </r>
  <r>
    <n v="12"/>
    <x v="105"/>
    <s v="TRAN.CTAS.TERC.BM"/>
    <n v="80.52"/>
    <s v="00590787"/>
    <x v="64"/>
    <s v="2025-12"/>
    <s v="GODOY ACOSTA NORA EULALIA"/>
  </r>
  <r>
    <n v="12"/>
    <x v="105"/>
    <s v="TRAN.CTAS.TERC.BM"/>
    <n v="410.06"/>
    <s v="05010901"/>
    <x v="71"/>
    <s v="2025-12"/>
    <s v="HARO CABALLERO CAROL ELIZABETH"/>
  </r>
  <r>
    <n v="12"/>
    <x v="105"/>
    <s v="TRAN.CTAS.TERC.BM"/>
    <n v="283.70999999999998"/>
    <s v="01647620"/>
    <x v="76"/>
    <s v="2025-12"/>
    <s v="MONZON JUAREZ MILAGROS DEL CARMEN"/>
  </r>
  <r>
    <n v="12"/>
    <x v="105"/>
    <s v="TRANSF.BCO.INTERBANK"/>
    <n v="4.62"/>
    <s v="02544666"/>
    <x v="35"/>
    <s v="2025-12"/>
    <s v="MORALES-DURAND-DE-DURAN-ZANDRA"/>
  </r>
  <r>
    <n v="12"/>
    <x v="105"/>
    <s v="TRAN.CTAS.TERC.BM"/>
    <n v="582.25"/>
    <s v="01835792"/>
    <x v="65"/>
    <s v="2025-10"/>
    <s v="SOTO CONDORI GIANFRANCO"/>
  </r>
  <r>
    <n v="12"/>
    <x v="105"/>
    <s v="ENTR.EFEC. 0535579"/>
    <n v="466.94"/>
    <s v="00535579"/>
    <x v="27"/>
    <s v="2025-11"/>
    <s v="VENTANILLA"/>
  </r>
  <r>
    <n v="12"/>
    <x v="105"/>
    <s v="ENTR.EFEC. 0535579"/>
    <n v="455.84"/>
    <s v="00535579"/>
    <x v="27"/>
    <s v="2025-12"/>
    <s v="VENTANILLA"/>
  </r>
  <r>
    <n v="12"/>
    <x v="106"/>
    <s v="TRANSF.BCO.INTERBANK"/>
    <n v="312.18"/>
    <s v="02071278"/>
    <x v="31"/>
    <s v="2025-12"/>
    <s v="GARCIA-SUAREZ-CARLOS"/>
  </r>
  <r>
    <n v="12"/>
    <x v="106"/>
    <s v="TRAN.CTAS.TERC.BM"/>
    <n v="440.75"/>
    <s v="05573518"/>
    <x v="41"/>
    <s v="2025-12"/>
    <s v="HENDRICK FONG OSCAR ALEJANDRO"/>
  </r>
  <r>
    <n v="12"/>
    <x v="106"/>
    <s v="TRANSF.BCO.BBVA"/>
    <n v="182.41"/>
    <s v="02852737"/>
    <x v="73"/>
    <s v="2025-11"/>
    <s v="JERSON JULIANO CHUCO PAUCAR"/>
  </r>
  <r>
    <n v="12"/>
    <x v="106"/>
    <s v="TRAN.CTAS.TERC.BM"/>
    <n v="80"/>
    <s v="05647910"/>
    <x v="2"/>
    <s v="parrilla"/>
    <s v="MENDOZA MELGAREJO YANNINA ANTONIETA"/>
  </r>
  <r>
    <n v="12"/>
    <x v="106"/>
    <s v="TRANSF.BCO.INTERBANK"/>
    <n v="371.21"/>
    <s v="02698093"/>
    <x v="60"/>
    <s v="2025-12"/>
    <s v="PUJOL-CORRECHER-EDUARDO"/>
  </r>
  <r>
    <n v="12"/>
    <x v="106"/>
    <s v="TRAN.CTAS.TERC.BM"/>
    <n v="100"/>
    <s v="04795877"/>
    <x v="2"/>
    <s v="arcade"/>
    <s v="RAMOS REQUEJO MABEL LICER"/>
  </r>
  <r>
    <n v="12"/>
    <x v="106"/>
    <s v="TRAN.CTAS.TERC.BM"/>
    <n v="80"/>
    <s v="02953592"/>
    <x v="2"/>
    <s v="parrilla"/>
    <s v="VALDIVIA PASACHE GEORGE LOUIS ALEXANDER"/>
  </r>
  <r>
    <n v="12"/>
    <x v="107"/>
    <s v="TRANSF.BCO.SCOTIABANK"/>
    <n v="80"/>
    <s v="02843186"/>
    <x v="2"/>
    <s v="parrilla"/>
    <s v="CLAUDIA VILLAVICENCIO PONCE DE LEON"/>
  </r>
  <r>
    <n v="12"/>
    <x v="107"/>
    <s v="TRANSF.BCO.BBVA"/>
    <n v="400.73"/>
    <s v="02074948"/>
    <x v="108"/>
    <s v="2025-11"/>
    <s v="HELEN FRANCESCA HENOSTROZA CRUZ"/>
  </r>
  <r>
    <n v="12"/>
    <x v="107"/>
    <s v="TRAN.CTAS.TERC.BM"/>
    <n v="194.77"/>
    <s v="00721247"/>
    <x v="33"/>
    <s v="2025-12"/>
    <s v="MEDINA SARMIENTO JAVIER"/>
  </r>
  <r>
    <n v="12"/>
    <x v="107"/>
    <s v="TRAN.CTAS.TERC.BM"/>
    <n v="100"/>
    <s v="00836813"/>
    <x v="167"/>
    <s v="2025-12"/>
    <s v="NEGRINI WITHER JORGE ENRIQUE"/>
  </r>
  <r>
    <n v="12"/>
    <x v="107"/>
    <s v="TRAN.CTAS.TERC.BM"/>
    <n v="302.58"/>
    <s v="03412949"/>
    <x v="138"/>
    <s v="2025-11"/>
    <s v="VALDIVIA PASACHE GEORGE LOUIS ALEXANDER"/>
  </r>
  <r>
    <n v="12"/>
    <x v="107"/>
    <s v="TRAN.CTAS.TERC.BM"/>
    <n v="303.24"/>
    <s v="03412949"/>
    <x v="138"/>
    <s v="2025-12"/>
    <s v="VALDIVIA PASACHE GEORGE LOUIS ALEXANDER"/>
  </r>
  <r>
    <n v="12"/>
    <x v="108"/>
    <s v="TRANSF.BCO.INTERBANK"/>
    <n v="313.51"/>
    <s v="02001353"/>
    <x v="1"/>
    <s v="2025-12"/>
    <s v="BLAS-OLIVER-LIDIA"/>
  </r>
  <r>
    <n v="12"/>
    <x v="108"/>
    <s v="TRAN.CTAS.TERC.BM"/>
    <n v="382.97"/>
    <s v="06174188"/>
    <x v="15"/>
    <s v="2025-12"/>
    <s v="CAO NN DACHAO"/>
  </r>
  <r>
    <n v="12"/>
    <x v="108"/>
    <s v="TRAN.CTAS.TERC.BM"/>
    <n v="927.38"/>
    <s v="01512617"/>
    <x v="187"/>
    <s v="2025-10"/>
    <s v="CURAHUA SANCHEZ FLOR DE MARIA"/>
  </r>
  <r>
    <n v="12"/>
    <x v="108"/>
    <s v="TRANSF.BCO.SCOTIABANK"/>
    <n v="432.78"/>
    <s v="02696554"/>
    <x v="188"/>
    <s v="2025-06"/>
    <s v="EDWARD SANDOVAL AMASIFUEN"/>
  </r>
  <r>
    <n v="12"/>
    <x v="108"/>
    <s v="TRANSF.BCO.SCOTIABANK"/>
    <n v="432.31"/>
    <s v="02713975"/>
    <x v="188"/>
    <s v="2025-07"/>
    <s v="EDWARD SANDOVAL AMASIFUEN"/>
  </r>
  <r>
    <n v="12"/>
    <x v="108"/>
    <s v="TRAN.CTAS.TERC.BM"/>
    <n v="40"/>
    <s v="05523707"/>
    <x v="2"/>
    <s v="parrilla"/>
    <s v="TIPON GALVIS MICHAEL"/>
  </r>
  <r>
    <n v="12"/>
    <x v="108"/>
    <s v="TRAN.CTAS.TERC.BM"/>
    <n v="277.75"/>
    <s v="01312349"/>
    <x v="25"/>
    <s v="2025-12"/>
    <s v="VALDEZ CADENILLAS AGUSTIN"/>
  </r>
  <r>
    <n v="12"/>
    <x v="108"/>
    <s v="ENTR.EFEC. 0069057"/>
    <n v="194.25"/>
    <s v="00069057"/>
    <x v="112"/>
    <s v="2025-12"/>
    <s v="VENTANILLA"/>
  </r>
  <r>
    <n v="12"/>
    <x v="109"/>
    <s v="TRAN.CTAS.TERC.BM"/>
    <n v="400"/>
    <s v="04585894"/>
    <x v="121"/>
    <s v="2025-06"/>
    <s v="CASTILLA PEREZ CARMELA FERMINA"/>
  </r>
  <r>
    <n v="12"/>
    <x v="109"/>
    <s v="TRAN.CTAS.TERC.BM"/>
    <n v="304.52"/>
    <s v="04094960"/>
    <x v="9"/>
    <s v="2025-10"/>
    <s v="MENDOZA BAZAN SILVIA VERONICA"/>
  </r>
  <r>
    <n v="12"/>
    <x v="109"/>
    <s v="TRAN.CTAS.TERC.BM"/>
    <n v="293.97000000000003"/>
    <s v="04094960"/>
    <x v="9"/>
    <s v="2025-11"/>
    <s v="MENDOZA BAZAN SILVIA VERONICA"/>
  </r>
  <r>
    <n v="12"/>
    <x v="109"/>
    <s v="TRANSF.BCO.BBVA"/>
    <n v="30"/>
    <s v="02043446"/>
    <x v="2"/>
    <s v="cine"/>
    <s v="VICTOR DANIEL DE LA CRUZ SOLO"/>
  </r>
  <r>
    <n v="12"/>
    <x v="110"/>
    <s v="TRAN.CTAS.TERC.BM"/>
    <n v="463.71"/>
    <s v="00885625"/>
    <x v="123"/>
    <s v="2025-11"/>
    <s v="ALIAGA ALVAREZ ZARELLA DENISSE"/>
  </r>
  <r>
    <n v="12"/>
    <x v="110"/>
    <s v="TRAN.CTAS.TERC.BM"/>
    <n v="1"/>
    <s v="04133460"/>
    <x v="121"/>
    <s v="2025-06"/>
    <s v="CASTILLA PEREZ CARMELA FERMINA"/>
  </r>
  <r>
    <n v="12"/>
    <x v="110"/>
    <s v="TRAN.CTAS.TERC.BM"/>
    <n v="40"/>
    <s v="01245877"/>
    <x v="2"/>
    <s v="parrilla"/>
    <s v="GUTIERREZ CORDOVA ANGELA PIERINA"/>
  </r>
  <r>
    <n v="12"/>
    <x v="110"/>
    <s v="TRAN.CTAS.TERC.BM"/>
    <n v="383.1"/>
    <s v="05022941"/>
    <x v="58"/>
    <s v="2025-11"/>
    <s v="LAMADRID MESONES JOSE ALBERTO"/>
  </r>
  <r>
    <n v="12"/>
    <x v="110"/>
    <s v="TRAN.CTAS.TERC.BM"/>
    <n v="380.78"/>
    <s v="05026635"/>
    <x v="58"/>
    <s v="2025-12"/>
    <s v="LAMADRID MESONES JOSE ALBERTO"/>
  </r>
  <r>
    <n v="12"/>
    <x v="110"/>
    <s v="TRAN.CTAS.TERC.BM"/>
    <n v="389.72"/>
    <s v="06537522"/>
    <x v="23"/>
    <s v="2025-12"/>
    <s v="RUIZ SANDOVAL FLOR DE MARIA"/>
  </r>
  <r>
    <n v="12"/>
    <x v="110"/>
    <s v="TRANSF.BCO.BBVA"/>
    <n v="301.98"/>
    <s v="02530430"/>
    <x v="157"/>
    <s v="2025-09"/>
    <s v="VICTOR DANIEL DE LA CRUZ SOLO"/>
  </r>
  <r>
    <n v="12"/>
    <x v="110"/>
    <s v="TRANSF.BCO.BBVA"/>
    <n v="381.14"/>
    <s v="02530430"/>
    <x v="157"/>
    <s v="2025-10"/>
    <s v="VICTOR DANIEL DE LA CRUZ SOLO"/>
  </r>
  <r>
    <n v="12"/>
    <x v="110"/>
    <s v="TRANSF.BCO.BBVA"/>
    <n v="308.32"/>
    <s v="02530430"/>
    <x v="157"/>
    <s v="2025-11"/>
    <s v="VICTOR DANIEL DE LA CRUZ SOLO"/>
  </r>
  <r>
    <n v="12"/>
    <x v="110"/>
    <s v="TRANSF.BCO.BBVA"/>
    <n v="309.2"/>
    <s v="02530430"/>
    <x v="157"/>
    <s v="2025-12"/>
    <s v="VICTOR DANIEL DE LA CRUZ SOLO"/>
  </r>
  <r>
    <n v="12"/>
    <x v="111"/>
    <s v="TRAN.CTAS.TERC.BM"/>
    <n v="448.81"/>
    <s v="06642301"/>
    <x v="101"/>
    <s v="2025-11"/>
    <s v="BENITES BALDOCEDA MARIA DE LOS ANGELES"/>
  </r>
  <r>
    <n v="12"/>
    <x v="111"/>
    <s v="TRAN.CTAS.TERC.BM"/>
    <n v="439.19"/>
    <s v="06606454"/>
    <x v="101"/>
    <s v="2025-12"/>
    <s v="BENITES BALDOCEDA MARIA DE LOS ANGELES"/>
  </r>
  <r>
    <n v="12"/>
    <x v="111"/>
    <s v="TRAN.CTAS.TERC.BM"/>
    <n v="176.67"/>
    <s v="06642301"/>
    <x v="102"/>
    <s v="2025-11"/>
    <s v="BENITES BALDOCEDA MARIA DE LOS ANGELES"/>
  </r>
  <r>
    <n v="12"/>
    <x v="111"/>
    <s v="TRAN.CTAS.TERC.BM"/>
    <n v="185.83"/>
    <s v="06606454"/>
    <x v="102"/>
    <s v="2025-12"/>
    <s v="BENITES BALDOCEDA MARIA DE LOS ANGELES"/>
  </r>
  <r>
    <n v="12"/>
    <x v="111"/>
    <s v="TRAN.CTAS.TERC.BM"/>
    <n v="257.19"/>
    <s v="06642301"/>
    <x v="103"/>
    <s v="2025-11"/>
    <s v="BENITES BALDOCEDA MARIA DE LOS ANGELES"/>
  </r>
  <r>
    <n v="12"/>
    <x v="111"/>
    <s v="TRAN.CTAS.TERC.BM"/>
    <n v="257.41000000000003"/>
    <s v="06606454"/>
    <x v="103"/>
    <s v="2025-12"/>
    <s v="BENITES BALDOCEDA MARIA DE LOS ANGELES"/>
  </r>
  <r>
    <n v="12"/>
    <x v="111"/>
    <s v="TRAN.CTAS.TERC.BM"/>
    <n v="80.52"/>
    <s v="03973064"/>
    <x v="124"/>
    <s v="2025-09"/>
    <s v="NAVARRO VILLAVICENCIO JOSE KARLO"/>
  </r>
  <r>
    <n v="12"/>
    <x v="111"/>
    <s v="TRAN.CTAS.TERC.BM"/>
    <n v="80.52"/>
    <s v="03973064"/>
    <x v="124"/>
    <s v="2025-10"/>
    <s v="NAVARRO VILLAVICENCIO JOSE KARLO"/>
  </r>
  <r>
    <n v="12"/>
    <x v="111"/>
    <s v="TRAN.CTAS.TERC.BM"/>
    <n v="80.52"/>
    <s v="03973064"/>
    <x v="124"/>
    <s v="2025-11"/>
    <s v="NAVARRO VILLAVICENCIO JOSE KARLO"/>
  </r>
  <r>
    <n v="12"/>
    <x v="111"/>
    <s v="TRAN.CTAS.TERC.BM"/>
    <n v="80.52"/>
    <s v="03973064"/>
    <x v="124"/>
    <s v="2025-12"/>
    <s v="NAVARRO VILLAVICENCIO JOSE KARLO"/>
  </r>
  <r>
    <n v="12"/>
    <x v="111"/>
    <s v="TRAN.CTAS.TERC.BM"/>
    <n v="383.76"/>
    <s v="08462622"/>
    <x v="36"/>
    <s v="2025-12"/>
    <s v="NEIRA UN JAN MILAGROS ANDREA"/>
  </r>
  <r>
    <n v="12"/>
    <x v="111"/>
    <s v="TRAN.CTAS.TERC.BM"/>
    <n v="473.01"/>
    <s v="00757832"/>
    <x v="22"/>
    <s v="2025-12"/>
    <s v="RAMOS REQUEJO MABEL LICER"/>
  </r>
  <r>
    <n v="12"/>
    <x v="111"/>
    <s v="TRAN.CTAS.TERC.BM"/>
    <n v="175.75"/>
    <s v="02064528"/>
    <x v="24"/>
    <s v="2025-11"/>
    <s v="TIPON GALVIS MICHAEL"/>
  </r>
  <r>
    <n v="12"/>
    <x v="111"/>
    <s v="TRANSF.BCO.NACION"/>
    <n v="40"/>
    <s v="04160620"/>
    <x v="2"/>
    <s v="parrilla"/>
    <s v="TRANSF.BCO.NACION"/>
  </r>
  <r>
    <n v="12"/>
    <x v="111"/>
    <s v="ENTR.EFEC. 0181149"/>
    <n v="392.7"/>
    <s v="00181149"/>
    <x v="66"/>
    <s v="2025-12"/>
    <s v="VENTANILLA"/>
  </r>
  <r>
    <n v="12"/>
    <x v="112"/>
    <s v="TRANSF.BCO.INTERBANK"/>
    <n v="318.60000000000002"/>
    <s v="02865302"/>
    <x v="99"/>
    <s v="2025-09"/>
    <s v="FALCON-RAMOS-CAROLINA"/>
  </r>
  <r>
    <n v="12"/>
    <x v="112"/>
    <s v="TRANSF.BCO.BBVA"/>
    <n v="40"/>
    <s v="02161821"/>
    <x v="2"/>
    <s v="parrilla"/>
    <s v="GIANELLA LIZETH NEIRA BUSTAMANTE"/>
  </r>
  <r>
    <n v="12"/>
    <x v="112"/>
    <s v="TRAN.CTAS.TERC.BM"/>
    <n v="386.74"/>
    <s v="00922162"/>
    <x v="139"/>
    <s v="2025-12"/>
    <s v="MADUENO CHUMPITAZ LOURDES DE LOS ANGELES"/>
  </r>
  <r>
    <n v="12"/>
    <x v="112"/>
    <s v="TRAN.CTAS.TERC.BM"/>
    <n v="254.32"/>
    <s v="02942183"/>
    <x v="144"/>
    <s v="2025-11"/>
    <s v="NAVARRO LEYVA EDGARDO MILCIADES"/>
  </r>
  <r>
    <n v="12"/>
    <x v="112"/>
    <s v="TRAN.CTAS.TERC.BM"/>
    <n v="1000"/>
    <s v="01762135"/>
    <x v="10"/>
    <s v="2025-12"/>
    <s v="NUNEZ ESTRADA YULY CRISTINA"/>
  </r>
  <r>
    <n v="12"/>
    <x v="113"/>
    <s v="DEPOSITO AG 981945"/>
    <n v="450"/>
    <s v="00017563"/>
    <x v="28"/>
    <s v="2025-12"/>
    <s v="CISNEROS CAHUANA JUANA CLENIA"/>
  </r>
  <r>
    <n v="12"/>
    <x v="113"/>
    <s v="TRAN.CTAS.TERC.BM"/>
    <n v="274.77"/>
    <s v="00180783"/>
    <x v="52"/>
    <s v="2025-12"/>
    <s v="SALINAS SOUZA CARLOS ENRIQUE JOSE ALFR"/>
  </r>
  <r>
    <n v="12"/>
    <x v="113"/>
    <s v="TRAN.CTAS.TERC.BM"/>
    <n v="388.84"/>
    <s v="02019720"/>
    <x v="105"/>
    <s v="2025-11"/>
    <s v="VALLEBUONA MAYTA LUIS ALBERTO"/>
  </r>
  <r>
    <n v="12"/>
    <x v="114"/>
    <s v="TRAN.CTAS.TERC.BM"/>
    <n v="50"/>
    <s v="05003802"/>
    <x v="2"/>
    <s v="cine"/>
    <s v="HOLGUIN CUBILLAS RUTH AGRIPINA"/>
  </r>
  <r>
    <n v="12"/>
    <x v="114"/>
    <s v="DE INMOBILIARIA 23 SAC"/>
    <n v="170.93"/>
    <s v="02364908"/>
    <x v="147"/>
    <s v="2025-11"/>
    <s v="INMOBILIARIA 23 SAC"/>
  </r>
  <r>
    <n v="12"/>
    <x v="114"/>
    <s v="DE INMOBILIARIA 23 SAC"/>
    <n v="171.77"/>
    <s v="02364908"/>
    <x v="147"/>
    <s v="2025-12"/>
    <s v="INMOBILIARIA 23 SAC"/>
  </r>
  <r>
    <n v="12"/>
    <x v="114"/>
    <s v="TRAN.CTAS.TERC.BM"/>
    <n v="40"/>
    <s v="06510766"/>
    <x v="2"/>
    <s v="parrilla"/>
    <s v="MENDOZA SALDANA FRANK ANDRE"/>
  </r>
  <r>
    <n v="12"/>
    <x v="114"/>
    <s v="TRAN.CTAS.TERC.BM"/>
    <n v="40"/>
    <s v="01743480"/>
    <x v="2"/>
    <s v="parrilla"/>
    <s v="MENDOZA SALDANA FRANK ANDRE"/>
  </r>
  <r>
    <n v="12"/>
    <x v="114"/>
    <s v="TRAN.CTAS.TERC.BM"/>
    <n v="260.39"/>
    <s v="04473277"/>
    <x v="114"/>
    <s v="2025-12"/>
    <s v="MERINO NEGRON PEDRO MANUEL"/>
  </r>
  <r>
    <n v="12"/>
    <x v="114"/>
    <s v="TRAN.CTAS.TERC.BM"/>
    <n v="190"/>
    <s v="02824312"/>
    <x v="128"/>
    <s v="2025-12"/>
    <s v="QUISPE TAPIA BERLINNE CLARET"/>
  </r>
  <r>
    <n v="12"/>
    <x v="115"/>
    <s v="TRANSF.BCO.SCOTIABANK"/>
    <n v="431.87"/>
    <s v="02099190"/>
    <x v="188"/>
    <s v="2025-09"/>
    <s v="EDWARD SANDOVAL AMASIFUEN"/>
  </r>
  <r>
    <n v="12"/>
    <x v="115"/>
    <s v="TRANSF.BCO.SCOTIABANK"/>
    <n v="421.12"/>
    <s v="02091193"/>
    <x v="188"/>
    <s v="2025-08"/>
    <s v="EDWARD SANDOVAL AMASIFUEN"/>
  </r>
  <r>
    <n v="12"/>
    <x v="115"/>
    <s v="TRAN.CTAS.TERC.BM"/>
    <n v="179.54"/>
    <s v="03255181"/>
    <x v="85"/>
    <s v="2025-11"/>
    <s v="MALDONADO DE-LA-CRUZ NORA TERESA"/>
  </r>
  <r>
    <n v="12"/>
    <x v="115"/>
    <s v="TRAN.CTAS.TERC.HK"/>
    <n v="77.760000000000005"/>
    <s v="06001400"/>
    <x v="37"/>
    <s v="2025-12"/>
    <s v="ORELLANA VARGAS CARMEN ROSA"/>
  </r>
  <r>
    <n v="12"/>
    <x v="115"/>
    <s v="TRAN.CTAS.TERC.BM"/>
    <n v="165.07"/>
    <s v="00626080"/>
    <x v="189"/>
    <s v="2025-08"/>
    <s v="RENTERIA CHIOK MARIA ISABEL"/>
  </r>
  <r>
    <n v="12"/>
    <x v="115"/>
    <s v="TRAN.CTAS.TERC.BM"/>
    <n v="170.93"/>
    <s v="00626080"/>
    <x v="189"/>
    <s v="2025-09"/>
    <s v="RENTERIA CHIOK MARIA ISABEL"/>
  </r>
  <r>
    <n v="12"/>
    <x v="115"/>
    <s v="TRAN.CTAS.TERC.BM"/>
    <n v="170.93"/>
    <s v="00626080"/>
    <x v="189"/>
    <s v="2025-10"/>
    <s v="RENTERIA CHIOK MARIA ISABEL"/>
  </r>
  <r>
    <n v="12"/>
    <x v="115"/>
    <s v="TRAN.CTAS.TERC.BM"/>
    <n v="160.93"/>
    <s v="00626080"/>
    <x v="189"/>
    <s v="2025-11"/>
    <s v="RENTERIA CHIOK MARIA ISABEL"/>
  </r>
  <r>
    <n v="12"/>
    <x v="115"/>
    <s v="TRAN.CTAS.TERC.BM"/>
    <n v="296.83999999999997"/>
    <s v="02203772"/>
    <x v="64"/>
    <s v="2025-11"/>
    <s v="ROCA ZEGARRA RAQUEL JENIFFER"/>
  </r>
  <r>
    <n v="12"/>
    <x v="115"/>
    <s v="TRAN.CTAS.TERC.BM"/>
    <n v="395.68"/>
    <s v="04182976"/>
    <x v="62"/>
    <s v="2025-12"/>
    <s v="ZAPATA VELASCO ANGELA PATRICIA"/>
  </r>
  <r>
    <n v="12"/>
    <x v="116"/>
    <s v="TRAN.CTAS.TERC.BM"/>
    <n v="40"/>
    <s v="03222193"/>
    <x v="2"/>
    <s v="parrilla"/>
    <s v="CANAS RODRIGUEZ GUSTAVO JOSE"/>
  </r>
  <r>
    <n v="12"/>
    <x v="116"/>
    <s v="TRAN.CTAS.TERC.BM"/>
    <n v="30"/>
    <s v="03222193"/>
    <x v="2"/>
    <s v="cine"/>
    <s v="CANAS RODRIGUEZ GUSTAVO JOSE"/>
  </r>
  <r>
    <n v="12"/>
    <x v="116"/>
    <s v="TRAN.CTAS.TERC.BM"/>
    <n v="390.37"/>
    <s v="02185083"/>
    <x v="29"/>
    <s v="2025-12"/>
    <s v="CORDERO VILCA PEDRO LUIS"/>
  </r>
  <r>
    <n v="12"/>
    <x v="116"/>
    <s v="TRANSF.BCO.SCOTIABANK"/>
    <n v="173.91"/>
    <s v="02826779"/>
    <x v="16"/>
    <s v="2025-12"/>
    <s v="FIORELLA TOLEDO MUENTE"/>
  </r>
  <r>
    <n v="12"/>
    <x v="116"/>
    <s v="TRANSF.BCO.BBVA"/>
    <n v="40"/>
    <s v="02444535"/>
    <x v="2"/>
    <s v="parrilla"/>
    <s v="GIANELLA LIZETH NEIRA BUSTAMANTE"/>
  </r>
  <r>
    <n v="12"/>
    <x v="117"/>
    <s v="TRAN.CTAS.TERC.BM"/>
    <n v="410.58"/>
    <s v="04120973"/>
    <x v="90"/>
    <s v="2025-12"/>
    <s v="ALVA CUELLAR DUGLAS CONCEPCION"/>
  </r>
  <r>
    <n v="12"/>
    <x v="117"/>
    <s v="TRAN.CTAS.TERC.BM"/>
    <n v="403.2"/>
    <s v="04104524"/>
    <x v="90"/>
    <s v="2025-11"/>
    <s v="ALVA CUELLAR DUGLAS CONCEPCION"/>
  </r>
  <r>
    <n v="12"/>
    <x v="117"/>
    <s v="TRAN.CTAS.TERC.BM"/>
    <n v="446.24"/>
    <s v="04223286"/>
    <x v="104"/>
    <s v="2025-12"/>
    <s v="BUSTAMANTE RUIZ EDUARDO CARLOS"/>
  </r>
  <r>
    <n v="12"/>
    <x v="117"/>
    <s v="DE COMPANIA INCUBADORA"/>
    <n v="1.93"/>
    <s v="00877753"/>
    <x v="14"/>
    <s v="sin identificar"/>
    <s v="DE COMPANIA INCUBADORA"/>
  </r>
  <r>
    <n v="12"/>
    <x v="117"/>
    <s v="TRAN.CTAS.TERC.BM"/>
    <n v="254.32"/>
    <s v="00166127"/>
    <x v="19"/>
    <s v="2025-11"/>
    <s v="LOCK GOVEA JOSE EDILBERTO"/>
  </r>
  <r>
    <n v="12"/>
    <x v="117"/>
    <s v="TRAN.CTAS.TERC.BM"/>
    <n v="257.41000000000003"/>
    <s v="01703471"/>
    <x v="20"/>
    <s v="2025-12"/>
    <s v="MEJIA TURRIATE DEBORA DICK"/>
  </r>
  <r>
    <n v="12"/>
    <x v="117"/>
    <s v="TRAN.CTAS.TERC.BM"/>
    <n v="323.77999999999997"/>
    <s v="02418603"/>
    <x v="47"/>
    <s v="2025-10"/>
    <s v="ORTEGA DELGADILLO EMPERATRIZ"/>
  </r>
  <r>
    <n v="12"/>
    <x v="117"/>
    <s v="TRAN.CTAS.TERC.BM"/>
    <n v="376.51"/>
    <s v="02757581"/>
    <x v="4"/>
    <s v="2025-12"/>
    <s v="OYOLA LAURENCIO JERSON ALONSO"/>
  </r>
  <r>
    <n v="12"/>
    <x v="117"/>
    <s v="TRANSF.BCO.INTERBANK"/>
    <n v="179.87"/>
    <s v="02821224"/>
    <x v="129"/>
    <s v="2025-12"/>
    <s v="PADILLA-CRUZ-LOURDES"/>
  </r>
  <r>
    <n v="12"/>
    <x v="117"/>
    <s v="TRAN.CTAS.TERC.BM"/>
    <n v="188.81"/>
    <s v="01745475"/>
    <x v="51"/>
    <s v="2025-12"/>
    <s v="REZUKHIN NN DMITRII"/>
  </r>
  <r>
    <n v="12"/>
    <x v="117"/>
    <s v="TRAN.CTAS.TERC.BM"/>
    <n v="374.82"/>
    <s v="00722874"/>
    <x v="91"/>
    <s v="2025-12"/>
    <s v="TINEDO LOPEZ PEDRO LUIS"/>
  </r>
  <r>
    <n v="12"/>
    <x v="118"/>
    <s v="TRAN.CTAS.TERC.HK"/>
    <n v="321.12"/>
    <s v="06075864"/>
    <x v="53"/>
    <s v="2025-12"/>
    <s v="BASTERRECHEA NN JIMMY"/>
  </r>
  <r>
    <n v="12"/>
    <x v="118"/>
    <s v="TRANSF.BCO.INTERBANK"/>
    <n v="188.81"/>
    <s v="02438253"/>
    <x v="54"/>
    <s v="2025-12"/>
    <s v="CHAVEZ-TAGLE-SISLEY"/>
  </r>
  <r>
    <n v="12"/>
    <x v="118"/>
    <s v="TRAN.CTAS.TERC.BM"/>
    <n v="40"/>
    <s v="06536340"/>
    <x v="2"/>
    <s v="parrilla"/>
    <s v="IZQUIERDO ALATA LIAM JUAN PEDRO"/>
  </r>
  <r>
    <n v="12"/>
    <x v="118"/>
    <s v="TRAN.CTAS.TERC.BM"/>
    <n v="40"/>
    <s v="00327176"/>
    <x v="2"/>
    <s v="parrilla"/>
    <s v="MARIA CECILIA SOLARI ATOCHE"/>
  </r>
  <r>
    <n v="12"/>
    <x v="118"/>
    <s v="TRAN.CTAS.TERC.BM"/>
    <n v="409.56"/>
    <s v="02843397"/>
    <x v="12"/>
    <s v="2025-12"/>
    <s v="ORE ROSARIO CRISTOPHER GREY"/>
  </r>
  <r>
    <n v="12"/>
    <x v="118"/>
    <s v="TRAN.CTAS.TERC.BM"/>
    <n v="341.98"/>
    <s v="00846444"/>
    <x v="152"/>
    <s v="2025-12"/>
    <s v="PACHECO URQUIAGA FERNANDO"/>
  </r>
  <r>
    <n v="12"/>
    <x v="118"/>
    <s v="TRAN.CTAS.TERC.BM"/>
    <n v="452.23"/>
    <s v="01165445"/>
    <x v="49"/>
    <s v="2025-12"/>
    <s v="PANIAGUA HARTLEY SANDRO MIGUEL"/>
  </r>
  <r>
    <n v="12"/>
    <x v="118"/>
    <s v="TRAN.CTAS.TERC.BM"/>
    <n v="40"/>
    <s v="00581704"/>
    <x v="2"/>
    <s v="parrilla"/>
    <s v="ROCA ZEGARRA RAQUEL JENIFFER"/>
  </r>
  <r>
    <n v="12"/>
    <x v="119"/>
    <s v="TRAN.CTAS.TERC.BM"/>
    <n v="285.36"/>
    <s v="00046631"/>
    <x v="5"/>
    <s v="2025-12"/>
    <s v="CUBA REYES JHONNY ERIC"/>
  </r>
  <r>
    <n v="12"/>
    <x v="119"/>
    <s v="TRAN.CTAS.TERC.BM"/>
    <n v="397.81"/>
    <s v="04789377"/>
    <x v="116"/>
    <s v="2025-10"/>
    <s v="ROJAS CACERES VITHIA MARCELA"/>
  </r>
  <r>
    <n v="12"/>
    <x v="119"/>
    <s v="TRAN.CTAS.TERC.BM"/>
    <n v="380.78"/>
    <s v="03916008"/>
    <x v="78"/>
    <s v="2025-12"/>
    <s v="SAUNE PACCO JOSE OSWALDO"/>
  </r>
  <r>
    <n v="12"/>
    <x v="120"/>
    <s v="TRAN.CTAS.TERC.BM"/>
    <n v="173.91"/>
    <s v="01744136"/>
    <x v="6"/>
    <s v="2025-12"/>
    <s v="HUERTA HUERTA CARLA ALESSANDRA"/>
  </r>
  <r>
    <n v="12"/>
    <x v="120"/>
    <s v="TRANSF.BCO.INTERBANK"/>
    <n v="385.97"/>
    <s v="02051060"/>
    <x v="86"/>
    <s v="2025-11"/>
    <s v="OCHOA-ALEJOS-CESAR"/>
  </r>
  <r>
    <n v="12"/>
    <x v="121"/>
    <s v="TRANSF.BCO.SCOTIABANK"/>
    <n v="408.94"/>
    <s v="02683872"/>
    <x v="68"/>
    <s v="2025-11"/>
    <s v="CLAUDIA VILLAVICENCIO PONCE DE LEON"/>
  </r>
  <r>
    <n v="12"/>
    <x v="121"/>
    <s v="TRAN.CTAS.TERC.BM"/>
    <n v="418.32"/>
    <s v="03744626"/>
    <x v="120"/>
    <s v="2025-12"/>
    <s v="CLAVIJO GONZALEZ LIZ TATIANA"/>
  </r>
  <r>
    <n v="12"/>
    <x v="121"/>
    <s v="TRAN.CTAS.TERC.HK"/>
    <n v="171.15"/>
    <s v="06031211"/>
    <x v="82"/>
    <s v="2025-11"/>
    <s v="GESTORA DE INVERSIONES INMOBILIARIAS S.A.C."/>
  </r>
  <r>
    <n v="12"/>
    <x v="121"/>
    <s v="TRAN.CTAS.TERC.BM"/>
    <n v="40"/>
    <s v="00932275"/>
    <x v="2"/>
    <s v="parrilla"/>
    <s v="GUTIERREZ CORDOVA ANGELA PIERINA"/>
  </r>
  <r>
    <n v="12"/>
    <x v="121"/>
    <s v="TRANSF.BCO.BBVA"/>
    <n v="365.88"/>
    <s v="02620295"/>
    <x v="149"/>
    <s v="2025-10"/>
    <s v="LIZETH ALEJANDRA TIBURCIO GARCIA"/>
  </r>
  <r>
    <n v="12"/>
    <x v="121"/>
    <s v="TRAN.CTAS.TERC.BM"/>
    <n v="527.23"/>
    <s v="02272717"/>
    <x v="75"/>
    <s v="2025-12"/>
    <s v="LOREDO RODRIGUEZ CESAR ANTONIO"/>
  </r>
  <r>
    <n v="12"/>
    <x v="121"/>
    <s v="TRANSF.BCO.BBVA"/>
    <n v="368.86"/>
    <s v="02871874"/>
    <x v="150"/>
    <s v="2025-12"/>
    <s v="MARILYN ROXANA VELIZ CACHO"/>
  </r>
  <r>
    <n v="12"/>
    <x v="121"/>
    <s v="TRANSF.BCO.BBVA"/>
    <n v="365.88"/>
    <s v="02867706"/>
    <x v="150"/>
    <s v="2025-10"/>
    <s v="MARILYN ROXANA VELIZ CACHO"/>
  </r>
  <r>
    <n v="12"/>
    <x v="121"/>
    <s v="TRAN.CTAS.TERC.BM"/>
    <n v="170.93"/>
    <s v="03608894"/>
    <x v="115"/>
    <s v="2025-12"/>
    <s v="OSORIO MOQUILLAZA JESUS ALFONSO"/>
  </r>
  <r>
    <n v="12"/>
    <x v="121"/>
    <s v="TRAN.CTAS.TERC.BM"/>
    <n v="40"/>
    <s v="03674894"/>
    <x v="2"/>
    <s v="parrilla"/>
    <s v="OSORIO MOQUILLAZA JESUS ALFONSO"/>
  </r>
  <r>
    <n v="12"/>
    <x v="121"/>
    <s v="TRAN.CTAS.TERC.BM"/>
    <n v="265.8"/>
    <s v="03011352"/>
    <x v="110"/>
    <s v="2025-11"/>
    <s v="TUPAYACHI VALLENAS DENIS ALFREDO"/>
  </r>
  <r>
    <n v="12"/>
    <x v="121"/>
    <s v="ENTR.EFEC. 0565858"/>
    <n v="454"/>
    <s v="00565858"/>
    <x v="2"/>
    <s v="sin identificar"/>
    <s v="VENTANILLA"/>
  </r>
  <r>
    <n v="12"/>
    <x v="121"/>
    <s v="TRAN.CTAS.TERC.BM"/>
    <n v="392.07"/>
    <s v="03875569"/>
    <x v="179"/>
    <s v="2025-11"/>
    <s v="ZAPATA ARANA MIRTHA BELINDA"/>
  </r>
  <r>
    <n v="12"/>
    <x v="122"/>
    <s v="TRANSF.BCO.BBVA"/>
    <n v="40"/>
    <s v="02020352"/>
    <x v="2"/>
    <s v="parrilla"/>
    <s v="ALBERTO ALEXANDER DELGADO SALDA�A"/>
  </r>
  <r>
    <n v="12"/>
    <x v="122"/>
    <s v="TRANSF.BCO.SCOTIABANK"/>
    <n v="182.14"/>
    <s v="02893081"/>
    <x v="30"/>
    <s v="2025-12"/>
    <s v="DIEGO SEGURA MENDEZ"/>
  </r>
  <r>
    <n v="12"/>
    <x v="122"/>
    <s v="TRANSF.BCO.BBVA"/>
    <n v="377.8"/>
    <s v="02091953"/>
    <x v="87"/>
    <s v="2025-12"/>
    <s v="ORLANDO SULLCAHUAMAN OTERO"/>
  </r>
  <r>
    <n v="12"/>
    <x v="122"/>
    <s v="TRANSF.BCO.BBVA"/>
    <n v="374.49"/>
    <s v="02088709"/>
    <x v="87"/>
    <s v="2025-11"/>
    <s v="ORLANDO SULLCAHUAMAN OTERO"/>
  </r>
  <r>
    <n v="12"/>
    <x v="123"/>
    <s v="TRAN.CTAS.TERC.BM"/>
    <n v="312.52999999999997"/>
    <s v="03206808"/>
    <x v="140"/>
    <s v="2025-12"/>
    <s v="DURANGO CHAVEZ OLGA KARINA"/>
  </r>
  <r>
    <n v="12"/>
    <x v="123"/>
    <s v="TRANSF.BCO.BBVA"/>
    <n v="50"/>
    <s v="02197731"/>
    <x v="2"/>
    <s v="cine"/>
    <s v="INVERSIONES MANTA SAC"/>
  </r>
  <r>
    <n v="12"/>
    <x v="123"/>
    <s v="TRAN.CTAS.TERC.BM"/>
    <n v="387.66"/>
    <s v="03389876"/>
    <x v="13"/>
    <s v="2025-12"/>
    <s v="REGALADO SANTANA MARIA CELINDA"/>
  </r>
  <r>
    <n v="12"/>
    <x v="124"/>
    <s v="TRAN.CTAS.TERC.BM"/>
    <n v="251.45"/>
    <s v="02823577"/>
    <x v="32"/>
    <s v="2025-12"/>
    <s v="BALLENA CAPUNAY FELIX ADALBERTO"/>
  </r>
  <r>
    <n v="12"/>
    <x v="124"/>
    <s v="TRAN.CTAS.TERC.BM"/>
    <n v="100"/>
    <s v="03983455"/>
    <x v="2"/>
    <s v="arcade"/>
    <s v="BENITES BALDOCEDA MARIA DE LOS ANGELES"/>
  </r>
  <r>
    <n v="12"/>
    <x v="124"/>
    <s v="TRAN.CTAS.TERC.BM"/>
    <n v="40"/>
    <s v="03761803"/>
    <x v="2"/>
    <s v="parrilla"/>
    <s v="FIGUEROA MARQUEZ ELIZABETH JANETH"/>
  </r>
  <r>
    <n v="12"/>
    <x v="124"/>
    <s v="TRAN.CTAS.TERC.BM"/>
    <n v="179.87"/>
    <s v="01083397"/>
    <x v="56"/>
    <s v="2025-12"/>
    <s v="GUTIERREZ CORDOVA ANGELA PIERINA"/>
  </r>
  <r>
    <n v="12"/>
    <x v="124"/>
    <s v="TRAN.CTAS.TERC.HK"/>
    <n v="173.91"/>
    <s v="06081950"/>
    <x v="11"/>
    <s v="2025-12"/>
    <s v="OLIVARES SAAVEDRA JAIME ALBERTO"/>
  </r>
  <r>
    <n v="12"/>
    <x v="124"/>
    <s v="TRAN.CTAS.TERC.BM"/>
    <n v="372.01"/>
    <s v="02848006"/>
    <x v="119"/>
    <s v="2025-12"/>
    <s v="RUIZ GUTIERREZ ROLANDO"/>
  </r>
  <r>
    <n v="12"/>
    <x v="124"/>
    <s v="TRAN.CTAS.TERC.BM"/>
    <n v="11.75"/>
    <s v="03042041"/>
    <x v="119"/>
    <s v="2025-12"/>
    <s v="RUIZ GUTIERREZ ROLANDO"/>
  </r>
  <r>
    <n v="12"/>
    <x v="124"/>
    <s v="TRAN.CTAS.TERC.BM"/>
    <n v="374.82"/>
    <s v="02281490"/>
    <x v="8"/>
    <s v="2025-12"/>
    <s v="YOUNG GUERRERO MARIA GISELLA"/>
  </r>
  <r>
    <n v="12"/>
    <x v="125"/>
    <s v="TRAN.CTAS.TERC.BM"/>
    <n v="580"/>
    <s v="03958974"/>
    <x v="2"/>
    <s v="lounge"/>
    <s v="CURAHUA SANCHEZ FLOR DE MARIA"/>
  </r>
  <r>
    <n v="12"/>
    <x v="125"/>
    <s v="TRANSF.BCO.SCOTIABANK"/>
    <n v="443.74"/>
    <s v="02699692"/>
    <x v="188"/>
    <s v="2025-10"/>
    <s v="EDWARD SANDOVAL AMASIFUEN"/>
  </r>
  <r>
    <n v="12"/>
    <x v="125"/>
    <s v="TRAN.CTAS.TERC.BM"/>
    <n v="412.48"/>
    <s v="01226691"/>
    <x v="153"/>
    <s v="2025-12"/>
    <s v="FLORES MORALES MELISSA"/>
  </r>
  <r>
    <n v="12"/>
    <x v="125"/>
    <s v="TRAN.CTAS.TERC.BM"/>
    <n v="394.68"/>
    <s v="01224820"/>
    <x v="153"/>
    <s v="2025-11"/>
    <s v="FLORES MORALES MELISSA"/>
  </r>
  <r>
    <n v="12"/>
    <x v="125"/>
    <s v="TRAN.CTAS.TERC.BM"/>
    <n v="182.49"/>
    <s v="05274333"/>
    <x v="42"/>
    <s v="2025-12"/>
    <s v="HERRERA CASTRO VANESA ZARELA"/>
  </r>
  <r>
    <n v="12"/>
    <x v="125"/>
    <s v="TRAN.CTAS.TERC.BM"/>
    <n v="80.52"/>
    <s v="05290560"/>
    <x v="146"/>
    <s v="2025-12"/>
    <s v="HERRERA CASTRO VANESA ZARELA"/>
  </r>
  <r>
    <n v="12"/>
    <x v="125"/>
    <s v="TRAN.CTAS.TERC.BM"/>
    <n v="268.67"/>
    <s v="02321546"/>
    <x v="83"/>
    <s v="2025-11"/>
    <s v="IZQUIERDO ALATA LIAM JUAN PEDRO"/>
  </r>
  <r>
    <n v="12"/>
    <x v="125"/>
    <s v="TRAN.CTAS.TERC.BM"/>
    <n v="263.37"/>
    <s v="02557375"/>
    <x v="83"/>
    <s v="2025-12"/>
    <s v="IZQUIERDO ALATA LIAM JUAN PEDRO"/>
  </r>
  <r>
    <n v="12"/>
    <x v="125"/>
    <s v="TRAN.CTAS.TERC.BM"/>
    <n v="383.76"/>
    <s v="05858531"/>
    <x v="74"/>
    <s v="2025-12"/>
    <s v="LOPEZ ARCE JUDITH MELISSA"/>
  </r>
  <r>
    <n v="12"/>
    <x v="125"/>
    <s v="TRANSF.BCO.PICHINCHA"/>
    <n v="617.70000000000005"/>
    <s v="00086611"/>
    <x v="111"/>
    <s v="2025-12"/>
    <s v="LOPEZ FORTUNATO"/>
  </r>
  <r>
    <n v="12"/>
    <x v="125"/>
    <s v="TRAN.CTAS.TERC.BM"/>
    <n v="312.18"/>
    <s v="05282470"/>
    <x v="34"/>
    <s v="2025-12"/>
    <s v="MONICA JULIE GUERRERO ABARCA"/>
  </r>
  <r>
    <n v="12"/>
    <x v="125"/>
    <s v="TRAN.CTAS.TERC.BM"/>
    <n v="756.01"/>
    <s v="01392161"/>
    <x v="77"/>
    <s v="2025-12"/>
    <s v="ROSARIO TORRES PATRICIA DEL CARMEN"/>
  </r>
  <r>
    <n v="12"/>
    <x v="125"/>
    <s v="TRANSF.BCO.SCOTIABANK"/>
    <n v="393.68"/>
    <s v="00017302"/>
    <x v="72"/>
    <s v="2025-12"/>
    <s v="TRANSF.BCO.SCOTIABANK"/>
  </r>
  <r>
    <n v="12"/>
    <x v="125"/>
    <s v="ENTR.EFEC. 0036290"/>
    <n v="524.25"/>
    <s v="00036290"/>
    <x v="162"/>
    <s v="2025-12"/>
    <s v="VENTANILLA"/>
  </r>
  <r>
    <n v="12"/>
    <x v="126"/>
    <s v="TRANSF.BCO.INTERBANK"/>
    <n v="378.65"/>
    <s v="02592429"/>
    <x v="168"/>
    <s v="2025-10"/>
    <s v="ARAUCO-GODINEZ-BRENDA"/>
  </r>
  <r>
    <n v="12"/>
    <x v="126"/>
    <s v="TRAN.CTAS.TERC.BM"/>
    <n v="360.81"/>
    <s v="04766419"/>
    <x v="94"/>
    <s v="2025-08"/>
    <s v="CANCINO APAZA MARYLIN MARYBEL"/>
  </r>
  <r>
    <n v="12"/>
    <x v="126"/>
    <s v="TRAN.CTAS.TERC.BM"/>
    <n v="374.19"/>
    <s v="04766419"/>
    <x v="94"/>
    <s v="2025-09"/>
    <s v="CANCINO APAZA MARYLIN MARYBEL"/>
  </r>
  <r>
    <n v="12"/>
    <x v="126"/>
    <s v="TRANSF.BCO.INTERBANK"/>
    <n v="510.26"/>
    <s v="02498216"/>
    <x v="107"/>
    <s v="2025-09"/>
    <s v="GUTIERREZ-PECEROS-ALBERTO"/>
  </r>
  <r>
    <n v="12"/>
    <x v="126"/>
    <s v="TRANSF.BCO.BBVA"/>
    <n v="23.37"/>
    <s v="02403460"/>
    <x v="7"/>
    <s v="2025-12"/>
    <s v="JOSE AUGUSTO CANDELA ROJAS"/>
  </r>
  <r>
    <n v="12"/>
    <x v="126"/>
    <s v="TRAN.CTAS.TERC.BM"/>
    <n v="30"/>
    <s v="02662205"/>
    <x v="2"/>
    <s v="cine"/>
    <s v="LIANG NN YANQIU"/>
  </r>
  <r>
    <n v="12"/>
    <x v="126"/>
    <s v="TRAN.CTAS.TERC.HK"/>
    <n v="673.43"/>
    <s v="06019996"/>
    <x v="141"/>
    <s v="2025-12"/>
    <s v="LIZARZABURU PETROZZI MIKEL ARITZ"/>
  </r>
  <r>
    <n v="12"/>
    <x v="126"/>
    <s v="TRAN.CTAS.TERC.BM"/>
    <n v="396.7"/>
    <s v="01489669"/>
    <x v="126"/>
    <s v="2025-12"/>
    <s v="MENDIOLA LOPEZ MARIA ELENA MARTINA"/>
  </r>
  <r>
    <n v="12"/>
    <x v="126"/>
    <s v="TRAN.CTAS.TERC.BM"/>
    <n v="80.52"/>
    <s v="01597661"/>
    <x v="127"/>
    <s v="2025-12"/>
    <s v="MENDIOLA LOPEZ MARIA ELENA MARTINA"/>
  </r>
  <r>
    <n v="12"/>
    <x v="126"/>
    <s v="TRAN.CTAS.TERC.BM"/>
    <n v="580"/>
    <s v="01549529"/>
    <x v="2"/>
    <s v="lounge"/>
    <s v="VALDIVIA PASACHE GEORGE LOUIS ALEXANDER"/>
  </r>
  <r>
    <n v="12"/>
    <x v="126"/>
    <s v="TRAN.CTAS.TERC.BM"/>
    <n v="303.24"/>
    <s v="01543568"/>
    <x v="138"/>
    <s v="2025-12"/>
    <s v="VALDIVIA PASACHE GEORGE LOUIS ALEXAND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A07DA-7FE1-4EA4-8CA2-A726CA74BBB0}" name="TablaDinámica3" cacheId="1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A3:E209" firstHeaderRow="1" firstDataRow="2" firstDataCol="2"/>
  <pivotFields count="9">
    <pivotField axis="axisRow" compact="0" outline="0" showAll="0" defaultSubtota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2"/>
      </items>
    </pivotField>
    <pivotField axis="axisRow" compact="0" outline="0" showAll="0">
      <items count="206">
        <item x="1"/>
        <item x="2"/>
        <item x="4"/>
        <item x="5"/>
        <item x="6"/>
        <item x="194"/>
        <item x="7"/>
        <item x="8"/>
        <item x="201"/>
        <item x="9"/>
        <item x="10"/>
        <item x="11"/>
        <item x="12"/>
        <item x="13"/>
        <item x="15"/>
        <item x="16"/>
        <item x="17"/>
        <item x="15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5"/>
        <item x="37"/>
        <item x="38"/>
        <item x="39"/>
        <item x="40"/>
        <item x="41"/>
        <item x="42"/>
        <item x="43"/>
        <item x="44"/>
        <item x="46"/>
        <item x="47"/>
        <item x="102"/>
        <item x="48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6"/>
        <item x="65"/>
        <item x="68"/>
        <item x="195"/>
        <item x="69"/>
        <item x="70"/>
        <item x="71"/>
        <item x="72"/>
        <item x="73"/>
        <item x="74"/>
        <item x="75"/>
        <item x="49"/>
        <item x="76"/>
        <item x="14"/>
        <item x="77"/>
        <item x="78"/>
        <item x="79"/>
        <item x="163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4"/>
        <item x="203"/>
        <item x="95"/>
        <item x="189"/>
        <item x="96"/>
        <item x="97"/>
        <item x="98"/>
        <item x="67"/>
        <item x="99"/>
        <item x="100"/>
        <item x="101"/>
        <item x="196"/>
        <item x="103"/>
        <item x="104"/>
        <item x="158"/>
        <item x="107"/>
        <item x="108"/>
        <item x="93"/>
        <item x="109"/>
        <item x="110"/>
        <item x="111"/>
        <item x="121"/>
        <item x="156"/>
        <item x="112"/>
        <item x="134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85"/>
        <item x="128"/>
        <item x="129"/>
        <item x="130"/>
        <item x="131"/>
        <item x="132"/>
        <item x="133"/>
        <item x="135"/>
        <item x="197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98"/>
        <item x="199"/>
        <item x="147"/>
        <item x="148"/>
        <item x="3"/>
        <item x="45"/>
        <item x="149"/>
        <item x="150"/>
        <item x="151"/>
        <item x="152"/>
        <item x="105"/>
        <item x="153"/>
        <item x="154"/>
        <item x="155"/>
        <item x="159"/>
        <item x="160"/>
        <item x="0"/>
        <item x="32"/>
        <item x="161"/>
        <item x="106"/>
        <item x="162"/>
        <item x="164"/>
        <item x="165"/>
        <item x="166"/>
        <item x="167"/>
        <item x="172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200"/>
        <item x="186"/>
        <item x="187"/>
        <item x="188"/>
        <item x="190"/>
        <item x="191"/>
        <item x="192"/>
        <item x="193"/>
        <item m="1" x="204"/>
        <item x="202"/>
        <item t="default"/>
      </items>
    </pivotField>
    <pivotField compact="0" outline="0" showAll="0"/>
    <pivotField compact="0" numFmtId="43" outline="0" showAll="0"/>
    <pivotField compact="0" numFmtId="43" outline="0" showAll="0"/>
    <pivotField compact="0" numFmtId="166" outline="0" showAll="0"/>
    <pivotField dataField="1" compact="0" numFmtId="43" outline="0" showAll="0"/>
    <pivotField dataField="1" compact="0" numFmtId="43" outline="0" showAll="0"/>
    <pivotField dataField="1" compact="0" numFmtId="43" outline="0" showAll="0"/>
  </pivotFields>
  <rowFields count="2">
    <field x="0"/>
    <field x="1"/>
  </rowFields>
  <rowItems count="205">
    <i>
      <x/>
      <x v="168"/>
    </i>
    <i>
      <x v="1"/>
      <x/>
    </i>
    <i>
      <x v="2"/>
      <x v="1"/>
    </i>
    <i>
      <x v="3"/>
      <x v="156"/>
    </i>
    <i>
      <x v="4"/>
      <x v="2"/>
    </i>
    <i>
      <x v="5"/>
      <x v="3"/>
    </i>
    <i>
      <x v="6"/>
      <x v="4"/>
    </i>
    <i>
      <x v="7"/>
      <x v="6"/>
    </i>
    <i>
      <x v="8"/>
      <x v="7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76"/>
    </i>
    <i>
      <x v="15"/>
      <x v="14"/>
    </i>
    <i>
      <x v="16"/>
      <x v="15"/>
    </i>
    <i>
      <x v="17"/>
      <x v="16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169"/>
    </i>
    <i>
      <x v="33"/>
      <x v="32"/>
    </i>
    <i>
      <x v="34"/>
      <x v="33"/>
    </i>
    <i>
      <x v="35"/>
      <x v="35"/>
    </i>
    <i>
      <x v="36"/>
      <x v="34"/>
    </i>
    <i>
      <x v="37"/>
      <x v="36"/>
    </i>
    <i>
      <x v="38"/>
      <x v="37"/>
    </i>
    <i>
      <x v="39"/>
      <x v="38"/>
    </i>
    <i>
      <x v="40"/>
      <x v="39"/>
    </i>
    <i>
      <x v="41"/>
      <x v="40"/>
    </i>
    <i>
      <x v="42"/>
      <x v="41"/>
    </i>
    <i>
      <x v="43"/>
      <x v="42"/>
    </i>
    <i>
      <x v="44"/>
      <x v="43"/>
    </i>
    <i>
      <x v="45"/>
      <x v="157"/>
    </i>
    <i>
      <x v="46"/>
      <x v="44"/>
    </i>
    <i>
      <x v="47"/>
      <x v="45"/>
    </i>
    <i>
      <x v="48"/>
      <x v="47"/>
    </i>
    <i>
      <x v="49"/>
      <x v="74"/>
    </i>
    <i>
      <x v="50"/>
      <x v="48"/>
    </i>
    <i>
      <x v="51"/>
      <x v="49"/>
    </i>
    <i>
      <x v="52"/>
      <x v="50"/>
    </i>
    <i>
      <x v="53"/>
      <x v="51"/>
    </i>
    <i>
      <x v="54"/>
      <x v="52"/>
    </i>
    <i>
      <x v="55"/>
      <x v="53"/>
    </i>
    <i>
      <x v="56"/>
      <x v="54"/>
    </i>
    <i>
      <x v="57"/>
      <x v="56"/>
    </i>
    <i>
      <x v="58"/>
      <x v="55"/>
    </i>
    <i>
      <x v="59"/>
      <x v="57"/>
    </i>
    <i>
      <x v="60"/>
      <x v="58"/>
    </i>
    <i>
      <x v="61"/>
      <x v="59"/>
    </i>
    <i>
      <x v="62"/>
      <x v="60"/>
    </i>
    <i>
      <x v="63"/>
      <x v="61"/>
    </i>
    <i>
      <x v="64"/>
      <x v="62"/>
    </i>
    <i>
      <x v="65"/>
      <x v="64"/>
    </i>
    <i>
      <x v="66"/>
      <x v="63"/>
    </i>
    <i>
      <x v="67"/>
      <x v="100"/>
    </i>
    <i>
      <x v="68"/>
      <x v="65"/>
    </i>
    <i>
      <x v="69"/>
      <x v="67"/>
    </i>
    <i>
      <x v="70"/>
      <x v="68"/>
    </i>
    <i>
      <x v="71"/>
      <x v="69"/>
    </i>
    <i>
      <x v="72"/>
      <x v="70"/>
    </i>
    <i>
      <x v="73"/>
      <x v="71"/>
    </i>
    <i>
      <x v="74"/>
      <x v="72"/>
    </i>
    <i>
      <x v="75"/>
      <x v="73"/>
    </i>
    <i>
      <x v="76"/>
      <x v="75"/>
    </i>
    <i>
      <x v="77"/>
      <x v="77"/>
    </i>
    <i>
      <x v="78"/>
      <x v="78"/>
    </i>
    <i>
      <x v="79"/>
      <x v="79"/>
    </i>
    <i>
      <x v="80"/>
      <x v="81"/>
    </i>
    <i>
      <x v="81"/>
      <x v="82"/>
    </i>
    <i>
      <x v="82"/>
      <x v="83"/>
    </i>
    <i>
      <x v="83"/>
      <x v="84"/>
    </i>
    <i>
      <x v="84"/>
      <x v="85"/>
    </i>
    <i>
      <x v="85"/>
      <x v="132"/>
    </i>
    <i>
      <x v="86"/>
      <x v="86"/>
    </i>
    <i>
      <x v="87"/>
      <x v="87"/>
    </i>
    <i>
      <x v="88"/>
      <x v="88"/>
    </i>
    <i>
      <x v="89"/>
      <x v="89"/>
    </i>
    <i>
      <x v="90"/>
      <x v="90"/>
    </i>
    <i>
      <x v="91"/>
      <x v="91"/>
    </i>
    <i>
      <x v="92"/>
      <x v="92"/>
    </i>
    <i>
      <x v="93"/>
      <x v="110"/>
    </i>
    <i>
      <x v="94"/>
      <x v="93"/>
    </i>
    <i>
      <x v="95"/>
      <x v="95"/>
    </i>
    <i>
      <x v="96"/>
      <x v="97"/>
    </i>
    <i>
      <x v="97"/>
      <x v="98"/>
    </i>
    <i>
      <x v="98"/>
      <x v="99"/>
    </i>
    <i>
      <x v="99"/>
      <x v="101"/>
    </i>
    <i>
      <x v="100"/>
      <x v="102"/>
    </i>
    <i>
      <x v="101"/>
      <x v="103"/>
    </i>
    <i>
      <x v="102"/>
      <x v="46"/>
    </i>
    <i>
      <x v="103"/>
      <x v="105"/>
    </i>
    <i>
      <x v="104"/>
      <x v="106"/>
    </i>
    <i>
      <x v="105"/>
      <x v="162"/>
    </i>
    <i>
      <x v="106"/>
      <x v="171"/>
    </i>
    <i>
      <x v="107"/>
      <x v="108"/>
    </i>
    <i>
      <x v="108"/>
      <x v="109"/>
    </i>
    <i>
      <x v="109"/>
      <x v="111"/>
    </i>
    <i>
      <x v="110"/>
      <x v="112"/>
    </i>
    <i>
      <x v="111"/>
      <x v="113"/>
    </i>
    <i>
      <x v="112"/>
      <x v="116"/>
    </i>
    <i>
      <x v="113"/>
      <x v="118"/>
    </i>
    <i>
      <x v="114"/>
      <x v="119"/>
    </i>
    <i>
      <x v="115"/>
      <x v="120"/>
    </i>
    <i>
      <x v="116"/>
      <x v="121"/>
    </i>
    <i>
      <x v="117"/>
      <x v="122"/>
    </i>
    <i>
      <x v="118"/>
      <x v="123"/>
    </i>
    <i>
      <x v="119"/>
      <x v="124"/>
    </i>
    <i>
      <x v="120"/>
      <x v="125"/>
    </i>
    <i>
      <x v="121"/>
      <x v="114"/>
    </i>
    <i>
      <x v="122"/>
      <x v="126"/>
    </i>
    <i>
      <x v="123"/>
      <x v="127"/>
    </i>
    <i>
      <x v="124"/>
      <x v="128"/>
    </i>
    <i>
      <x v="125"/>
      <x v="129"/>
    </i>
    <i>
      <x v="126"/>
      <x v="130"/>
    </i>
    <i>
      <x v="127"/>
      <x v="131"/>
    </i>
    <i>
      <x v="128"/>
      <x v="133"/>
    </i>
    <i>
      <x v="129"/>
      <x v="134"/>
    </i>
    <i>
      <x v="130"/>
      <x v="135"/>
    </i>
    <i>
      <x v="131"/>
      <x v="136"/>
    </i>
    <i>
      <x v="132"/>
      <x v="137"/>
    </i>
    <i>
      <x v="133"/>
      <x v="138"/>
    </i>
    <i>
      <x v="134"/>
      <x v="117"/>
    </i>
    <i>
      <x v="135"/>
      <x v="139"/>
    </i>
    <i>
      <x v="136"/>
      <x v="141"/>
    </i>
    <i>
      <x v="137"/>
      <x v="142"/>
    </i>
    <i>
      <x v="138"/>
      <x v="143"/>
    </i>
    <i>
      <x v="139"/>
      <x v="144"/>
    </i>
    <i>
      <x v="140"/>
      <x v="145"/>
    </i>
    <i>
      <x v="141"/>
      <x v="146"/>
    </i>
    <i>
      <x v="142"/>
      <x v="147"/>
    </i>
    <i>
      <x v="143"/>
      <x v="148"/>
    </i>
    <i>
      <x v="144"/>
      <x v="149"/>
    </i>
    <i>
      <x v="145"/>
      <x v="150"/>
    </i>
    <i>
      <x v="146"/>
      <x v="151"/>
    </i>
    <i>
      <x v="147"/>
      <x v="154"/>
    </i>
    <i>
      <x v="148"/>
      <x v="155"/>
    </i>
    <i>
      <x v="149"/>
      <x v="158"/>
    </i>
    <i>
      <x v="150"/>
      <x v="159"/>
    </i>
    <i>
      <x v="151"/>
      <x v="160"/>
    </i>
    <i>
      <x v="152"/>
      <x v="161"/>
    </i>
    <i>
      <x v="153"/>
      <x v="163"/>
    </i>
    <i>
      <x v="154"/>
      <x v="164"/>
    </i>
    <i>
      <x v="155"/>
      <x v="165"/>
    </i>
    <i>
      <x v="156"/>
      <x v="115"/>
    </i>
    <i>
      <x v="157"/>
      <x v="17"/>
    </i>
    <i>
      <x v="158"/>
      <x v="107"/>
    </i>
    <i>
      <x v="159"/>
      <x v="166"/>
    </i>
    <i>
      <x v="160"/>
      <x v="167"/>
    </i>
    <i>
      <x v="161"/>
      <x v="170"/>
    </i>
    <i>
      <x v="162"/>
      <x v="172"/>
    </i>
    <i>
      <x v="163"/>
      <x v="80"/>
    </i>
    <i>
      <x v="164"/>
      <x v="173"/>
    </i>
    <i>
      <x v="165"/>
      <x v="174"/>
    </i>
    <i>
      <x v="166"/>
      <x v="175"/>
    </i>
    <i>
      <x v="167"/>
      <x v="176"/>
    </i>
    <i>
      <x v="168"/>
      <x v="178"/>
    </i>
    <i>
      <x v="169"/>
      <x v="179"/>
    </i>
    <i>
      <x v="170"/>
      <x v="180"/>
    </i>
    <i>
      <x v="171"/>
      <x v="181"/>
    </i>
    <i>
      <x v="172"/>
      <x v="177"/>
    </i>
    <i>
      <x v="173"/>
      <x v="182"/>
    </i>
    <i>
      <x v="174"/>
      <x v="183"/>
    </i>
    <i>
      <x v="175"/>
      <x v="184"/>
    </i>
    <i>
      <x v="176"/>
      <x v="185"/>
    </i>
    <i>
      <x v="177"/>
      <x v="186"/>
    </i>
    <i>
      <x v="178"/>
      <x v="187"/>
    </i>
    <i>
      <x v="179"/>
      <x v="188"/>
    </i>
    <i>
      <x v="180"/>
      <x v="189"/>
    </i>
    <i>
      <x v="181"/>
      <x v="190"/>
    </i>
    <i>
      <x v="182"/>
      <x v="191"/>
    </i>
    <i>
      <x v="183"/>
      <x v="192"/>
    </i>
    <i>
      <x v="184"/>
      <x v="193"/>
    </i>
    <i>
      <x v="185"/>
      <x v="194"/>
    </i>
    <i>
      <x v="186"/>
      <x v="196"/>
    </i>
    <i>
      <x v="187"/>
      <x v="197"/>
    </i>
    <i>
      <x v="188"/>
      <x v="198"/>
    </i>
    <i>
      <x v="189"/>
      <x v="96"/>
    </i>
    <i>
      <x v="190"/>
      <x v="199"/>
    </i>
    <i>
      <x v="191"/>
      <x v="200"/>
    </i>
    <i>
      <x v="192"/>
      <x v="201"/>
    </i>
    <i>
      <x v="193"/>
      <x v="202"/>
    </i>
    <i>
      <x v="194"/>
      <x v="5"/>
    </i>
    <i>
      <x v="195"/>
      <x v="66"/>
    </i>
    <i>
      <x v="196"/>
      <x v="104"/>
    </i>
    <i>
      <x v="197"/>
      <x v="140"/>
    </i>
    <i>
      <x v="198"/>
      <x v="152"/>
    </i>
    <i>
      <x v="199"/>
      <x v="153"/>
    </i>
    <i>
      <x v="200"/>
      <x v="195"/>
    </i>
    <i>
      <x v="201"/>
      <x v="8"/>
    </i>
    <i>
      <x v="202"/>
      <x v="94"/>
    </i>
    <i>
      <x v="203"/>
      <x v="20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VALOR CUOTA" fld="6" baseField="0" baseItem="0" numFmtId="43"/>
    <dataField name="Suma de AGUA CONSUMO" fld="7" baseField="0" baseItem="0" numFmtId="43"/>
    <dataField name="Suma de SUMA" fld="8" baseField="0" baseItem="0" numFmtId="43"/>
  </dataFields>
  <formats count="12">
    <format dxfId="247">
      <pivotArea field="0" type="button" dataOnly="0" labelOnly="1" outline="0" axis="axisRow" fieldPosition="0"/>
    </format>
    <format dxfId="246">
      <pivotArea field="1" type="button" dataOnly="0" labelOnly="1" outline="0" axis="axisRow" fieldPosition="1"/>
    </format>
    <format dxfId="2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4">
      <pivotArea field="0" type="button" dataOnly="0" labelOnly="1" outline="0" axis="axisRow" fieldPosition="0"/>
    </format>
    <format dxfId="243">
      <pivotArea field="1" type="button" dataOnly="0" labelOnly="1" outline="0" axis="axisRow" fieldPosition="1"/>
    </format>
    <format dxfId="2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1">
      <pivotArea field="0" type="button" dataOnly="0" labelOnly="1" outline="0" axis="axisRow" fieldPosition="0"/>
    </format>
    <format dxfId="240">
      <pivotArea field="1" type="button" dataOnly="0" labelOnly="1" outline="0" axis="axisRow" fieldPosition="1"/>
    </format>
    <format dxfId="2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8">
      <pivotArea field="0" type="button" dataOnly="0" labelOnly="1" outline="0" axis="axisRow" fieldPosition="0"/>
    </format>
    <format dxfId="237">
      <pivotArea field="1" type="button" dataOnly="0" labelOnly="1" outline="0" axis="axisRow" fieldPosition="1"/>
    </format>
    <format dxfId="2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A21C4-B380-41D5-B924-275D538A902F}" name="TablaDinámica2" cacheId="1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Predio">
  <location ref="C20:G23" firstHeaderRow="0" firstDataRow="1" firstDataCol="1" rowPageCount="1" colPageCount="1"/>
  <pivotFields count="9">
    <pivotField axis="axisPage" showAl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2"/>
        <item t="default"/>
      </items>
    </pivotField>
    <pivotField showAll="0"/>
    <pivotField axis="axisRow" showAll="0">
      <items count="381">
        <item x="10"/>
        <item x="64"/>
        <item x="122"/>
        <item x="105"/>
        <item x="242"/>
        <item x="26"/>
        <item x="179"/>
        <item x="240"/>
        <item x="183"/>
        <item x="21"/>
        <item x="224"/>
        <item x="78"/>
        <item x="321"/>
        <item x="212"/>
        <item x="332"/>
        <item x="82"/>
        <item x="86"/>
        <item x="372"/>
        <item x="319"/>
        <item x="24"/>
        <item x="103"/>
        <item x="194"/>
        <item x="185"/>
        <item x="284"/>
        <item x="281"/>
        <item x="53"/>
        <item x="205"/>
        <item x="303"/>
        <item x="272"/>
        <item x="74"/>
        <item x="334"/>
        <item x="55"/>
        <item x="66"/>
        <item x="8"/>
        <item x="155"/>
        <item x="311"/>
        <item x="161"/>
        <item x="213"/>
        <item x="98"/>
        <item x="248"/>
        <item x="174"/>
        <item x="196"/>
        <item x="144"/>
        <item x="164"/>
        <item x="188"/>
        <item x="246"/>
        <item x="60"/>
        <item x="336"/>
        <item x="353"/>
        <item x="177"/>
        <item x="49"/>
        <item x="15"/>
        <item x="73"/>
        <item x="43"/>
        <item x="116"/>
        <item x="68"/>
        <item x="294"/>
        <item x="221"/>
        <item x="181"/>
        <item x="359"/>
        <item x="317"/>
        <item x="219"/>
        <item x="291"/>
        <item x="361"/>
        <item x="365"/>
        <item x="199"/>
        <item x="113"/>
        <item x="331"/>
        <item x="45"/>
        <item x="186"/>
        <item x="307"/>
        <item x="276"/>
        <item x="318"/>
        <item x="94"/>
        <item x="357"/>
        <item x="160"/>
        <item x="241"/>
        <item x="261"/>
        <item x="19"/>
        <item x="142"/>
        <item x="170"/>
        <item x="1"/>
        <item x="327"/>
        <item x="51"/>
        <item x="236"/>
        <item x="40"/>
        <item x="80"/>
        <item x="313"/>
        <item x="109"/>
        <item x="343"/>
        <item x="354"/>
        <item x="29"/>
        <item x="370"/>
        <item x="162"/>
        <item x="367"/>
        <item x="300"/>
        <item x="346"/>
        <item x="206"/>
        <item x="47"/>
        <item x="202"/>
        <item x="193"/>
        <item x="268"/>
        <item x="77"/>
        <item x="341"/>
        <item x="274"/>
        <item x="92"/>
        <item x="289"/>
        <item x="270"/>
        <item x="225"/>
        <item x="141"/>
        <item x="244"/>
        <item x="350"/>
        <item x="138"/>
        <item x="362"/>
        <item x="96"/>
        <item x="87"/>
        <item x="252"/>
        <item x="135"/>
        <item x="290"/>
        <item x="315"/>
        <item x="158"/>
        <item x="299"/>
        <item x="131"/>
        <item x="231"/>
        <item x="305"/>
        <item x="139"/>
        <item x="129"/>
        <item x="296"/>
        <item x="133"/>
        <item x="70"/>
        <item x="235"/>
        <item x="102"/>
        <item x="90"/>
        <item x="215"/>
        <item x="269"/>
        <item x="114"/>
        <item x="337"/>
        <item x="84"/>
        <item x="368"/>
        <item x="339"/>
        <item x="189"/>
        <item x="251"/>
        <item x="172"/>
        <item x="254"/>
        <item x="76"/>
        <item x="265"/>
        <item x="166"/>
        <item x="217"/>
        <item x="124"/>
        <item x="280"/>
        <item x="107"/>
        <item x="348"/>
        <item x="13"/>
        <item x="233"/>
        <item x="330"/>
        <item x="75"/>
        <item x="12"/>
        <item x="62"/>
        <item x="3"/>
        <item x="126"/>
        <item x="176"/>
        <item x="278"/>
        <item x="209"/>
        <item x="27"/>
        <item x="104"/>
        <item x="259"/>
        <item x="237"/>
        <item x="168"/>
        <item x="288"/>
        <item x="120"/>
        <item x="304"/>
        <item x="323"/>
        <item x="257"/>
        <item x="17"/>
        <item x="203"/>
        <item x="267"/>
        <item x="309"/>
        <item x="325"/>
        <item x="249"/>
        <item x="153"/>
        <item x="5"/>
        <item x="239"/>
        <item x="149"/>
        <item x="6"/>
        <item x="111"/>
        <item x="99"/>
        <item x="228"/>
        <item x="286"/>
        <item x="72"/>
        <item x="136"/>
        <item x="137"/>
        <item x="151"/>
        <item x="302"/>
        <item x="229"/>
        <item x="145"/>
        <item x="79"/>
        <item x="56"/>
        <item x="146"/>
        <item x="262"/>
        <item x="376"/>
        <item x="377"/>
        <item x="190"/>
        <item x="351"/>
        <item x="282"/>
        <item x="277"/>
        <item x="173"/>
        <item x="156"/>
        <item x="54"/>
        <item x="314"/>
        <item x="127"/>
        <item x="333"/>
        <item x="297"/>
        <item x="100"/>
        <item x="292"/>
        <item x="41"/>
        <item x="328"/>
        <item x="275"/>
        <item x="363"/>
        <item x="264"/>
        <item x="255"/>
        <item x="52"/>
        <item x="0"/>
        <item x="374"/>
        <item x="30"/>
        <item x="95"/>
        <item x="258"/>
        <item x="93"/>
        <item x="298"/>
        <item x="31"/>
        <item x="88"/>
        <item x="378"/>
        <item x="32"/>
        <item x="373"/>
        <item x="83"/>
        <item x="371"/>
        <item x="57"/>
        <item x="58"/>
        <item x="59"/>
        <item x="197"/>
        <item x="33"/>
        <item x="2"/>
        <item x="207"/>
        <item x="34"/>
        <item x="347"/>
        <item x="263"/>
        <item x="369"/>
        <item x="198"/>
        <item x="123"/>
        <item x="342"/>
        <item x="308"/>
        <item x="329"/>
        <item x="115"/>
        <item x="61"/>
        <item x="279"/>
        <item x="147"/>
        <item x="42"/>
        <item x="22"/>
        <item x="117"/>
        <item x="247"/>
        <item x="125"/>
        <item x="344"/>
        <item x="345"/>
        <item x="7"/>
        <item x="312"/>
        <item x="218"/>
        <item x="130"/>
        <item x="35"/>
        <item x="200"/>
        <item x="201"/>
        <item x="243"/>
        <item x="358"/>
        <item x="187"/>
        <item x="352"/>
        <item x="44"/>
        <item x="36"/>
        <item x="118"/>
        <item x="18"/>
        <item x="216"/>
        <item x="85"/>
        <item x="191"/>
        <item x="50"/>
        <item x="210"/>
        <item x="37"/>
        <item x="11"/>
        <item x="211"/>
        <item x="14"/>
        <item x="108"/>
        <item x="4"/>
        <item x="180"/>
        <item x="204"/>
        <item x="143"/>
        <item x="253"/>
        <item x="283"/>
        <item x="89"/>
        <item x="266"/>
        <item x="222"/>
        <item x="306"/>
        <item x="9"/>
        <item x="81"/>
        <item x="349"/>
        <item x="366"/>
        <item x="112"/>
        <item x="338"/>
        <item x="163"/>
        <item x="226"/>
        <item x="175"/>
        <item x="110"/>
        <item x="16"/>
        <item x="121"/>
        <item x="148"/>
        <item x="157"/>
        <item x="38"/>
        <item x="46"/>
        <item x="106"/>
        <item x="234"/>
        <item x="310"/>
        <item x="220"/>
        <item x="39"/>
        <item x="301"/>
        <item x="273"/>
        <item x="227"/>
        <item x="324"/>
        <item x="159"/>
        <item x="28"/>
        <item x="20"/>
        <item x="322"/>
        <item x="119"/>
        <item x="184"/>
        <item x="195"/>
        <item x="287"/>
        <item x="208"/>
        <item x="320"/>
        <item x="245"/>
        <item x="238"/>
        <item x="340"/>
        <item x="91"/>
        <item x="316"/>
        <item x="169"/>
        <item x="355"/>
        <item x="230"/>
        <item x="152"/>
        <item x="71"/>
        <item x="214"/>
        <item x="285"/>
        <item x="260"/>
        <item x="326"/>
        <item x="128"/>
        <item x="256"/>
        <item x="360"/>
        <item x="171"/>
        <item x="67"/>
        <item x="293"/>
        <item x="48"/>
        <item x="165"/>
        <item x="250"/>
        <item x="178"/>
        <item x="356"/>
        <item x="223"/>
        <item x="150"/>
        <item x="101"/>
        <item x="63"/>
        <item x="97"/>
        <item x="140"/>
        <item x="25"/>
        <item x="271"/>
        <item x="232"/>
        <item x="167"/>
        <item x="364"/>
        <item x="69"/>
        <item x="192"/>
        <item x="65"/>
        <item x="134"/>
        <item x="335"/>
        <item x="23"/>
        <item x="132"/>
        <item x="154"/>
        <item x="295"/>
        <item x="375"/>
        <item x="182"/>
        <item x="379"/>
        <item t="default"/>
      </items>
    </pivotField>
    <pivotField numFmtId="43" showAll="0"/>
    <pivotField numFmtId="43" showAll="0"/>
    <pivotField dataField="1" numFmtId="166" showAll="0"/>
    <pivotField dataField="1" numFmtId="43" showAll="0"/>
    <pivotField dataField="1" numFmtId="43" showAll="0"/>
    <pivotField dataField="1" numFmtId="43" showAll="0"/>
  </pivotFields>
  <rowFields count="1">
    <field x="2"/>
  </rowFields>
  <rowItems count="3">
    <i>
      <x v="43"/>
    </i>
    <i>
      <x v="35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item="203" hier="-1"/>
  </pageFields>
  <dataFields count="4">
    <dataField name=" % PARTICIPACIÓN" fld="5" baseField="0" baseItem="0" numFmtId="166"/>
    <dataField name=" VALOR CUOTA S/." fld="6" baseField="0" baseItem="0" numFmtId="43"/>
    <dataField name=" AGUA CONSUMO S/." fld="7" baseField="0" baseItem="0" numFmtId="43"/>
    <dataField name=" SUMA" fld="8" baseField="0" baseItem="0" numFmtId="43"/>
  </dataFields>
  <formats count="65">
    <format dxfId="312">
      <pivotArea type="all" dataOnly="0" outline="0" fieldPosition="0"/>
    </format>
    <format dxfId="311">
      <pivotArea outline="0" collapsedLevelsAreSubtotals="1" fieldPosition="0"/>
    </format>
    <format dxfId="310">
      <pivotArea field="2" type="button" dataOnly="0" labelOnly="1" outline="0" axis="axisRow" fieldPosition="0"/>
    </format>
    <format dxfId="309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8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07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06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05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04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03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02">
      <pivotArea dataOnly="0" labelOnly="1" fieldPosition="0">
        <references count="1">
          <reference field="2" count="3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</reference>
        </references>
      </pivotArea>
    </format>
    <format dxfId="301">
      <pivotArea dataOnly="0" labelOnly="1" grandRow="1" outline="0" fieldPosition="0"/>
    </format>
    <format dxfId="30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9">
      <pivotArea type="all" dataOnly="0" outline="0" fieldPosition="0"/>
    </format>
    <format dxfId="298">
      <pivotArea outline="0" collapsedLevelsAreSubtotals="1" fieldPosition="0"/>
    </format>
    <format dxfId="297">
      <pivotArea field="2" type="button" dataOnly="0" labelOnly="1" outline="0" axis="axisRow" fieldPosition="0"/>
    </format>
    <format dxfId="296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5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94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93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92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91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90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89">
      <pivotArea dataOnly="0" labelOnly="1" fieldPosition="0">
        <references count="1">
          <reference field="2" count="3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</reference>
        </references>
      </pivotArea>
    </format>
    <format dxfId="288">
      <pivotArea dataOnly="0" labelOnly="1" grandRow="1" outline="0" fieldPosition="0"/>
    </format>
    <format dxfId="28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6">
      <pivotArea type="all" dataOnly="0" outline="0" fieldPosition="0"/>
    </format>
    <format dxfId="285">
      <pivotArea field="2" type="button" dataOnly="0" labelOnly="1" outline="0" axis="axisRow" fieldPosition="0"/>
    </format>
    <format dxfId="2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2" type="button" dataOnly="0" labelOnly="1" outline="0" axis="axisRow" fieldPosition="0"/>
    </format>
    <format dxfId="280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79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78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77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76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75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74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73">
      <pivotArea dataOnly="0" labelOnly="1" fieldPosition="0">
        <references count="1">
          <reference field="2" count="3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</reference>
        </references>
      </pivotArea>
    </format>
    <format dxfId="272">
      <pivotArea dataOnly="0" labelOnly="1" grandRow="1" outline="0" fieldPosition="0"/>
    </format>
    <format dxfId="27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70">
      <pivotArea field="2" type="button" dataOnly="0" labelOnly="1" outline="0" axis="axisRow" fieldPosition="0"/>
    </format>
    <format dxfId="2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8">
      <pivotArea field="2" type="button" dataOnly="0" labelOnly="1" outline="0" axis="axisRow" fieldPosition="0"/>
    </format>
    <format dxfId="26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6">
      <pivotArea field="2" type="button" dataOnly="0" labelOnly="1" outline="0" axis="axisRow" fieldPosition="0"/>
    </format>
    <format dxfId="2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4">
      <pivotArea field="2" type="button" dataOnly="0" labelOnly="1" outline="0" axis="axisRow" fieldPosition="0"/>
    </format>
    <format dxfId="26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2">
      <pivotArea field="2" type="button" dataOnly="0" labelOnly="1" outline="0" axis="axisRow" fieldPosition="0"/>
    </format>
    <format dxfId="2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2" type="button" dataOnly="0" labelOnly="1" outline="0" axis="axisRow" fieldPosition="0"/>
    </format>
    <format dxfId="257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6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55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54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53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52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51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50">
      <pivotArea dataOnly="0" labelOnly="1" fieldPosition="0">
        <references count="1">
          <reference field="2" count="3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</reference>
        </references>
      </pivotArea>
    </format>
    <format dxfId="249">
      <pivotArea dataOnly="0" labelOnly="1" grandRow="1" outline="0" fieldPosition="0"/>
    </format>
    <format dxfId="24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AD5F5-907E-488D-B434-F4B61C1F6264}" name="TablaDinámica5" cacheId="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FECHA ABONO">
  <location ref="D40:E42" firstHeaderRow="1" firstDataRow="1" firstDataCol="1" rowPageCount="1" colPageCount="1"/>
  <pivotFields count="10">
    <pivotField showAll="0"/>
    <pivotField axis="axisRow" numFmtId="14" showAll="0">
      <items count="12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0"/>
        <item t="default"/>
      </items>
    </pivotField>
    <pivotField showAll="0"/>
    <pivotField dataField="1" showAll="0"/>
    <pivotField showAll="0"/>
    <pivotField axis="axisPage" showAll="0">
      <items count="191">
        <item x="14"/>
        <item x="185"/>
        <item x="92"/>
        <item x="18"/>
        <item x="74"/>
        <item x="90"/>
        <item x="169"/>
        <item x="171"/>
        <item x="30"/>
        <item x="170"/>
        <item x="150"/>
        <item x="134"/>
        <item x="100"/>
        <item x="41"/>
        <item x="101"/>
        <item x="38"/>
        <item x="1"/>
        <item x="130"/>
        <item x="94"/>
        <item x="120"/>
        <item x="15"/>
        <item x="3"/>
        <item x="63"/>
        <item x="46"/>
        <item x="177"/>
        <item x="112"/>
        <item x="117"/>
        <item x="121"/>
        <item x="186"/>
        <item x="40"/>
        <item x="180"/>
        <item x="159"/>
        <item x="178"/>
        <item x="54"/>
        <item x="172"/>
        <item x="135"/>
        <item x="97"/>
        <item x="7"/>
        <item x="29"/>
        <item x="116"/>
        <item x="60"/>
        <item x="187"/>
        <item x="39"/>
        <item x="23"/>
        <item x="21"/>
        <item x="131"/>
        <item x="140"/>
        <item x="71"/>
        <item x="16"/>
        <item x="99"/>
        <item x="145"/>
        <item x="164"/>
        <item x="154"/>
        <item x="174"/>
        <item x="157"/>
        <item x="28"/>
        <item x="166"/>
        <item x="64"/>
        <item x="113"/>
        <item x="77"/>
        <item x="181"/>
        <item x="153"/>
        <item x="19"/>
        <item x="34"/>
        <item x="176"/>
        <item x="129"/>
        <item x="156"/>
        <item x="66"/>
        <item x="57"/>
        <item x="107"/>
        <item x="123"/>
        <item x="108"/>
        <item x="69"/>
        <item x="183"/>
        <item x="17"/>
        <item x="24"/>
        <item x="6"/>
        <item x="163"/>
        <item x="59"/>
        <item x="72"/>
        <item x="137"/>
        <item x="98"/>
        <item x="81"/>
        <item x="5"/>
        <item x="44"/>
        <item x="58"/>
        <item x="122"/>
        <item x="20"/>
        <item x="53"/>
        <item x="45"/>
        <item x="141"/>
        <item x="88"/>
        <item x="168"/>
        <item x="111"/>
        <item x="75"/>
        <item x="35"/>
        <item x="182"/>
        <item x="85"/>
        <item x="70"/>
        <item x="126"/>
        <item x="127"/>
        <item x="9"/>
        <item x="114"/>
        <item x="151"/>
        <item x="48"/>
        <item x="89"/>
        <item x="161"/>
        <item x="95"/>
        <item x="124"/>
        <item x="167"/>
        <item x="36"/>
        <item x="10"/>
        <item x="86"/>
        <item x="56"/>
        <item x="11"/>
        <item x="37"/>
        <item x="47"/>
        <item x="115"/>
        <item x="49"/>
        <item x="96"/>
        <item x="4"/>
        <item x="12"/>
        <item x="42"/>
        <item x="83"/>
        <item x="152"/>
        <item x="76"/>
        <item x="160"/>
        <item x="50"/>
        <item x="22"/>
        <item x="173"/>
        <item x="189"/>
        <item x="79"/>
        <item x="136"/>
        <item x="31"/>
        <item x="142"/>
        <item x="13"/>
        <item x="51"/>
        <item x="175"/>
        <item x="119"/>
        <item x="52"/>
        <item x="132"/>
        <item x="102"/>
        <item x="158"/>
        <item x="188"/>
        <item x="148"/>
        <item x="104"/>
        <item x="33"/>
        <item x="78"/>
        <item x="147"/>
        <item x="65"/>
        <item x="87"/>
        <item x="103"/>
        <item x="149"/>
        <item x="91"/>
        <item x="128"/>
        <item x="125"/>
        <item x="155"/>
        <item x="73"/>
        <item x="144"/>
        <item x="61"/>
        <item x="93"/>
        <item x="110"/>
        <item x="25"/>
        <item x="26"/>
        <item x="138"/>
        <item x="165"/>
        <item x="105"/>
        <item x="118"/>
        <item x="80"/>
        <item x="55"/>
        <item x="67"/>
        <item x="162"/>
        <item x="32"/>
        <item x="68"/>
        <item x="27"/>
        <item x="133"/>
        <item x="106"/>
        <item x="84"/>
        <item x="8"/>
        <item x="82"/>
        <item x="179"/>
        <item x="62"/>
        <item x="109"/>
        <item x="139"/>
        <item x="143"/>
        <item x="146"/>
        <item x="43"/>
        <item x="184"/>
        <item x="2"/>
        <item x="0"/>
        <item t="default"/>
      </items>
    </pivotField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2">
    <i>
      <x v="126"/>
    </i>
    <i t="grand">
      <x/>
    </i>
  </rowItems>
  <colItems count="1">
    <i/>
  </colItems>
  <pageFields count="1">
    <pageField fld="5" item="189" hier="-1"/>
  </pageFields>
  <dataFields count="1">
    <dataField name="IMPORTE RECIBIDO" fld="3" baseField="0" baseItem="0" numFmtId="43"/>
  </dataFields>
  <formats count="41"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1" type="button" dataOnly="0" labelOnly="1" outline="0" axis="axisRow" fieldPosition="0"/>
    </format>
    <format dxfId="35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9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8">
      <pivotArea dataOnly="0" labelOnly="1" fieldPosition="0">
        <references count="1">
          <reference field="1" count="26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347">
      <pivotArea dataOnly="0" labelOnly="1" grandRow="1" outline="0" fieldPosition="0"/>
    </format>
    <format dxfId="346">
      <pivotArea dataOnly="0" labelOnly="1" outline="0" axis="axisValues" fieldPosition="0"/>
    </format>
    <format dxfId="345">
      <pivotArea type="all" dataOnly="0" outline="0" fieldPosition="0"/>
    </format>
    <format dxfId="344">
      <pivotArea outline="0" collapsedLevelsAreSubtotals="1" fieldPosition="0"/>
    </format>
    <format dxfId="343">
      <pivotArea field="1" type="button" dataOnly="0" labelOnly="1" outline="0" axis="axisRow" fieldPosition="0"/>
    </format>
    <format dxfId="34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1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0">
      <pivotArea dataOnly="0" labelOnly="1" fieldPosition="0">
        <references count="1">
          <reference field="1" count="26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339">
      <pivotArea dataOnly="0" labelOnly="1" grandRow="1" outline="0" fieldPosition="0"/>
    </format>
    <format dxfId="338">
      <pivotArea dataOnly="0" labelOnly="1" outline="0" axis="axisValues" fieldPosition="0"/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1" type="button" dataOnly="0" labelOnly="1" outline="0" axis="axisRow" fieldPosition="0"/>
    </format>
    <format dxfId="33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3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32">
      <pivotArea dataOnly="0" labelOnly="1" fieldPosition="0">
        <references count="1">
          <reference field="1" count="26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331">
      <pivotArea dataOnly="0" labelOnly="1" grandRow="1" outline="0" fieldPosition="0"/>
    </format>
    <format dxfId="330">
      <pivotArea dataOnly="0" labelOnly="1" outline="0" axis="axisValues" fieldPosition="0"/>
    </format>
    <format dxfId="329">
      <pivotArea outline="0" collapsedLevelsAreSubtotals="1" fieldPosition="0"/>
    </format>
    <format dxfId="328">
      <pivotArea dataOnly="0" labelOnly="1" outline="0" axis="axisValues" fieldPosition="0"/>
    </format>
    <format dxfId="327">
      <pivotArea type="all" dataOnly="0" outline="0" fieldPosition="0"/>
    </format>
    <format dxfId="326">
      <pivotArea field="1" type="button" dataOnly="0" labelOnly="1" outline="0" axis="axisRow" fieldPosition="0"/>
    </format>
    <format dxfId="325">
      <pivotArea dataOnly="0" labelOnly="1" outline="0" axis="axisValues" fieldPosition="0"/>
    </format>
    <format dxfId="324">
      <pivotArea field="1" type="button" dataOnly="0" labelOnly="1" outline="0" axis="axisRow" fieldPosition="0"/>
    </format>
    <format dxfId="323">
      <pivotArea dataOnly="0" labelOnly="1" outline="0" axis="axisValues" fieldPosition="0"/>
    </format>
    <format dxfId="322">
      <pivotArea field="1" type="button" dataOnly="0" labelOnly="1" outline="0" axis="axisRow" fieldPosition="0"/>
    </format>
    <format dxfId="321">
      <pivotArea dataOnly="0" labelOnly="1" outline="0" axis="axisValues" fieldPosition="0"/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field="1" type="button" dataOnly="0" labelOnly="1" outline="0" axis="axisRow" fieldPosition="0"/>
    </format>
    <format dxfId="31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16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15">
      <pivotArea dataOnly="0" labelOnly="1" fieldPosition="0">
        <references count="1">
          <reference field="1" count="27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</reference>
        </references>
      </pivotArea>
    </format>
    <format dxfId="314">
      <pivotArea dataOnly="0" labelOnly="1" grandRow="1" outline="0" fieldPosition="0"/>
    </format>
    <format dxfId="3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1-12T04:35:15.24" personId="{C04D321A-27EA-4123-8568-704789D7371C}" id="{F8028C12-2EE1-47EC-B56B-0793B80CE279}">
    <text>AJUSTE DE 700 X 3MESES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1" dT="2025-12-08T17:27:48.52" personId="{C04D321A-27EA-4123-8568-704789D7371C}" id="{FE080931-B794-466D-A073-01F0A13C6AB4}">
    <text>Se ajusto cuotas mensuales 23.37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3DEE-5A66-4252-8FE8-5D1EE6CB4145}">
  <dimension ref="B2:C5"/>
  <sheetViews>
    <sheetView zoomScale="220" zoomScaleNormal="220" workbookViewId="0">
      <selection activeCell="C2" sqref="C2"/>
    </sheetView>
  </sheetViews>
  <sheetFormatPr baseColWidth="10" defaultRowHeight="15" x14ac:dyDescent="0.25"/>
  <cols>
    <col min="2" max="2" width="25.42578125" bestFit="1" customWidth="1"/>
  </cols>
  <sheetData>
    <row r="2" spans="2:3" x14ac:dyDescent="0.25">
      <c r="B2" t="s">
        <v>2096</v>
      </c>
      <c r="C2" s="67">
        <v>60116</v>
      </c>
    </row>
    <row r="3" spans="2:3" x14ac:dyDescent="0.25">
      <c r="C3" s="9"/>
    </row>
    <row r="4" spans="2:3" ht="17.25" x14ac:dyDescent="0.4">
      <c r="B4" t="s">
        <v>2097</v>
      </c>
      <c r="C4" s="68">
        <f>4776.4-900</f>
        <v>3876.3999999999996</v>
      </c>
    </row>
    <row r="5" spans="2:3" x14ac:dyDescent="0.25">
      <c r="C5" s="67">
        <f>SUM(C2:C4)</f>
        <v>63992.4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9EC0-BE54-4EBE-8907-778C6731B142}">
  <sheetPr>
    <pageSetUpPr fitToPage="1"/>
  </sheetPr>
  <dimension ref="A1:Z204"/>
  <sheetViews>
    <sheetView showGridLines="0" zoomScaleNormal="100" workbookViewId="0">
      <pane xSplit="1" ySplit="7" topLeftCell="J197" activePane="bottomRight" state="frozen"/>
      <selection pane="topRight" activeCell="C1" sqref="C1"/>
      <selection pane="bottomLeft" activeCell="A3" sqref="A3"/>
      <selection pane="bottomRight" activeCell="K203" sqref="K203"/>
    </sheetView>
  </sheetViews>
  <sheetFormatPr baseColWidth="10" defaultRowHeight="15" x14ac:dyDescent="0.25"/>
  <cols>
    <col min="2" max="5" width="11.42578125" customWidth="1"/>
    <col min="7" max="7" width="10.85546875" customWidth="1"/>
    <col min="8" max="8" width="11.42578125" style="9"/>
    <col min="9" max="9" width="13.140625" customWidth="1"/>
    <col min="11" max="11" width="11.42578125" style="30"/>
    <col min="12" max="12" width="11.42578125" customWidth="1"/>
    <col min="13" max="14" width="11" customWidth="1"/>
    <col min="15" max="18" width="11.42578125" customWidth="1"/>
    <col min="19" max="19" width="11.42578125" style="32" customWidth="1"/>
    <col min="20" max="20" width="11.42578125" style="33" customWidth="1"/>
    <col min="21" max="25" width="11.42578125" customWidth="1"/>
  </cols>
  <sheetData>
    <row r="1" spans="1:26" x14ac:dyDescent="0.25">
      <c r="H1" s="9" t="s">
        <v>2071</v>
      </c>
      <c r="I1" s="9">
        <v>4713.3999999999996</v>
      </c>
      <c r="L1" s="31">
        <v>4636.5</v>
      </c>
      <c r="O1" s="31">
        <v>5266.7</v>
      </c>
      <c r="R1" s="31">
        <v>2972.3999999999996</v>
      </c>
      <c r="U1" s="31">
        <v>3793.1000000000004</v>
      </c>
      <c r="V1" s="31"/>
      <c r="W1" s="31"/>
      <c r="X1" s="31">
        <v>3876.3999999999996</v>
      </c>
    </row>
    <row r="2" spans="1:26" x14ac:dyDescent="0.25">
      <c r="H2" t="s">
        <v>2072</v>
      </c>
      <c r="I2" s="34">
        <f>$G$203</f>
        <v>1262.2289999999998</v>
      </c>
      <c r="J2" t="s">
        <v>2073</v>
      </c>
      <c r="L2" s="35">
        <f>J203</f>
        <v>1115.9609999999998</v>
      </c>
      <c r="M2" t="s">
        <v>2073</v>
      </c>
      <c r="O2" s="35">
        <f>M203</f>
        <v>824.77900000000022</v>
      </c>
      <c r="P2" t="s">
        <v>2073</v>
      </c>
      <c r="R2" s="35">
        <f>P203</f>
        <v>1035.538</v>
      </c>
      <c r="U2" s="35">
        <f>S203</f>
        <v>1272.95</v>
      </c>
      <c r="V2" s="35"/>
      <c r="W2" s="35"/>
      <c r="X2" s="35">
        <f>V203</f>
        <v>1302.895</v>
      </c>
      <c r="Z2" t="s">
        <v>2073</v>
      </c>
    </row>
    <row r="3" spans="1:26" x14ac:dyDescent="0.25">
      <c r="H3" s="9" t="s">
        <v>2074</v>
      </c>
      <c r="I3" s="36">
        <f>ROUND(I1/I2,4)</f>
        <v>3.7342</v>
      </c>
      <c r="L3" s="36">
        <f>ROUND(L1/L2,4)</f>
        <v>4.1547000000000001</v>
      </c>
      <c r="O3" s="36">
        <f>ROUND(O1/O2,4)</f>
        <v>6.3856000000000002</v>
      </c>
      <c r="R3" s="36">
        <f>ROUND(R1/R2,4)</f>
        <v>2.8704000000000001</v>
      </c>
      <c r="T3" s="37"/>
      <c r="U3" s="36">
        <f>ROUND(U1/U2,4)</f>
        <v>2.9798</v>
      </c>
      <c r="V3" s="38"/>
      <c r="W3" s="38"/>
      <c r="X3" s="36">
        <f>ROUND(X1/X2,4)</f>
        <v>2.9752000000000001</v>
      </c>
    </row>
    <row r="4" spans="1:26" ht="15.75" x14ac:dyDescent="0.25">
      <c r="A4" s="39" t="s">
        <v>2075</v>
      </c>
      <c r="I4" s="36"/>
      <c r="L4" s="36"/>
      <c r="O4" s="36"/>
      <c r="R4" s="36"/>
      <c r="T4" s="37"/>
      <c r="U4" s="36"/>
      <c r="V4" s="38"/>
      <c r="W4" s="38"/>
      <c r="X4" s="38"/>
    </row>
    <row r="5" spans="1:26" ht="21" x14ac:dyDescent="0.35">
      <c r="A5" s="40" t="s">
        <v>2076</v>
      </c>
      <c r="I5" s="36"/>
      <c r="L5" s="36"/>
      <c r="O5" s="36"/>
      <c r="R5" s="36"/>
      <c r="T5" s="37"/>
      <c r="U5" s="36"/>
      <c r="V5" s="38"/>
      <c r="W5" s="38"/>
      <c r="X5" s="38"/>
    </row>
    <row r="7" spans="1:26" s="22" customFormat="1" ht="43.5" customHeight="1" x14ac:dyDescent="0.25">
      <c r="A7" s="24" t="s">
        <v>2077</v>
      </c>
      <c r="B7" s="41" t="s">
        <v>2078</v>
      </c>
      <c r="C7" s="42" t="s">
        <v>2079</v>
      </c>
      <c r="D7" s="41" t="s">
        <v>2080</v>
      </c>
      <c r="E7" s="42" t="s">
        <v>2079</v>
      </c>
      <c r="F7" s="43" t="s">
        <v>2081</v>
      </c>
      <c r="G7" s="42" t="s">
        <v>2079</v>
      </c>
      <c r="H7" s="44" t="s">
        <v>2082</v>
      </c>
      <c r="I7" s="45" t="s">
        <v>2083</v>
      </c>
      <c r="J7" s="46" t="s">
        <v>2079</v>
      </c>
      <c r="K7" s="24" t="s">
        <v>2084</v>
      </c>
      <c r="L7" s="45" t="s">
        <v>2083</v>
      </c>
      <c r="M7" s="46" t="s">
        <v>2079</v>
      </c>
      <c r="N7" s="24" t="s">
        <v>2085</v>
      </c>
      <c r="O7" s="45" t="s">
        <v>2083</v>
      </c>
      <c r="P7" s="46" t="s">
        <v>2079</v>
      </c>
      <c r="Q7" s="24" t="s">
        <v>2086</v>
      </c>
      <c r="R7" s="45" t="s">
        <v>2083</v>
      </c>
      <c r="S7" s="46" t="s">
        <v>2079</v>
      </c>
      <c r="T7" s="47" t="s">
        <v>2087</v>
      </c>
      <c r="U7" s="45" t="s">
        <v>2083</v>
      </c>
      <c r="V7" s="46" t="s">
        <v>2079</v>
      </c>
      <c r="W7" s="48">
        <v>46023</v>
      </c>
      <c r="X7" s="49" t="s">
        <v>2083</v>
      </c>
      <c r="Y7" s="50"/>
    </row>
    <row r="8" spans="1:26" x14ac:dyDescent="0.25">
      <c r="A8" s="17" t="s">
        <v>1547</v>
      </c>
      <c r="B8" s="51">
        <v>800</v>
      </c>
      <c r="C8" s="51">
        <f>D8-B8</f>
        <v>21</v>
      </c>
      <c r="D8" s="51">
        <v>821</v>
      </c>
      <c r="E8" s="51">
        <f>F8-D8</f>
        <v>22</v>
      </c>
      <c r="F8" s="51">
        <v>843</v>
      </c>
      <c r="G8" s="51">
        <f>H8-F8</f>
        <v>27</v>
      </c>
      <c r="H8" s="52">
        <v>870</v>
      </c>
      <c r="I8" s="25">
        <f>ROUND(G8*$I$3,2)</f>
        <v>100.82</v>
      </c>
      <c r="J8" s="51">
        <f>K8-H8</f>
        <v>23</v>
      </c>
      <c r="K8" s="52">
        <v>893</v>
      </c>
      <c r="L8" s="25">
        <f>ROUND(J8*$L$3,2)</f>
        <v>95.56</v>
      </c>
      <c r="M8" s="51">
        <f>N8-K8</f>
        <v>18</v>
      </c>
      <c r="N8" s="52">
        <v>911</v>
      </c>
      <c r="O8" s="25">
        <f>ROUND(M8*$O$3,2)</f>
        <v>114.94</v>
      </c>
      <c r="P8" s="51">
        <f>Q8-N8</f>
        <v>19</v>
      </c>
      <c r="Q8" s="52">
        <v>930</v>
      </c>
      <c r="R8" s="25">
        <f>ROUND(P8*$R$3,2)</f>
        <v>54.54</v>
      </c>
      <c r="S8" s="53">
        <f>+T8-Q8</f>
        <v>22</v>
      </c>
      <c r="T8" s="52">
        <v>952</v>
      </c>
      <c r="U8" s="25">
        <f>ROUND(S8*$U$3,2)</f>
        <v>65.56</v>
      </c>
      <c r="V8" s="53">
        <f>+W8-T8</f>
        <v>24</v>
      </c>
      <c r="W8" s="54">
        <v>976</v>
      </c>
      <c r="X8" s="25">
        <f>V8*$X$3</f>
        <v>71.404799999999994</v>
      </c>
      <c r="Z8" s="35"/>
    </row>
    <row r="9" spans="1:26" x14ac:dyDescent="0.25">
      <c r="A9" s="17" t="s">
        <v>1805</v>
      </c>
      <c r="B9" s="51">
        <v>287</v>
      </c>
      <c r="C9" s="51">
        <f t="shared" ref="C9:C72" si="0">D9-B9</f>
        <v>7</v>
      </c>
      <c r="D9" s="51">
        <v>294</v>
      </c>
      <c r="E9" s="51">
        <f t="shared" ref="E9:E72" si="1">F9-D9</f>
        <v>4</v>
      </c>
      <c r="F9" s="51">
        <v>298</v>
      </c>
      <c r="G9" s="51">
        <f t="shared" ref="G9:G72" si="2">H9-F9</f>
        <v>7</v>
      </c>
      <c r="H9" s="52">
        <v>305</v>
      </c>
      <c r="I9" s="25">
        <f t="shared" ref="I9:I72" si="3">ROUND(G9*$I$3,2)</f>
        <v>26.14</v>
      </c>
      <c r="J9" s="51">
        <f t="shared" ref="J9:J72" si="4">K9-H9</f>
        <v>4</v>
      </c>
      <c r="K9" s="52">
        <v>309</v>
      </c>
      <c r="L9" s="25">
        <f t="shared" ref="L9:L72" si="5">ROUND(J9*$L$3,2)</f>
        <v>16.62</v>
      </c>
      <c r="M9" s="51">
        <f t="shared" ref="M9:M72" si="6">N9-K9</f>
        <v>3</v>
      </c>
      <c r="N9" s="52">
        <v>312</v>
      </c>
      <c r="O9" s="25">
        <f t="shared" ref="O9:O72" si="7">ROUND(M9*$O$3,2)</f>
        <v>19.16</v>
      </c>
      <c r="P9" s="51">
        <f t="shared" ref="P9:P72" si="8">Q9-N9</f>
        <v>3</v>
      </c>
      <c r="Q9" s="52">
        <v>315</v>
      </c>
      <c r="R9" s="25">
        <f t="shared" ref="R9:R72" si="9">ROUND(P9*$R$3,2)</f>
        <v>8.61</v>
      </c>
      <c r="S9" s="53">
        <f t="shared" ref="S9:S72" si="10">+T9-Q9</f>
        <v>2</v>
      </c>
      <c r="T9" s="52">
        <v>317</v>
      </c>
      <c r="U9" s="25">
        <f t="shared" ref="U9:U72" si="11">ROUND(S9*$U$3,2)</f>
        <v>5.96</v>
      </c>
      <c r="V9" s="53">
        <f t="shared" ref="V9:V72" si="12">+W9-T9</f>
        <v>2</v>
      </c>
      <c r="W9" s="54">
        <v>319</v>
      </c>
      <c r="X9" s="25">
        <f t="shared" ref="X9:X72" si="13">V9*$X$3</f>
        <v>5.9504000000000001</v>
      </c>
    </row>
    <row r="10" spans="1:26" x14ac:dyDescent="0.25">
      <c r="A10" s="17" t="s">
        <v>1995</v>
      </c>
      <c r="B10" s="51">
        <v>51</v>
      </c>
      <c r="C10" s="51">
        <f t="shared" si="0"/>
        <v>0</v>
      </c>
      <c r="D10" s="51">
        <v>51</v>
      </c>
      <c r="E10" s="51">
        <f t="shared" si="1"/>
        <v>0</v>
      </c>
      <c r="F10" s="51">
        <v>51</v>
      </c>
      <c r="G10" s="51">
        <f t="shared" si="2"/>
        <v>0</v>
      </c>
      <c r="H10" s="52">
        <v>51</v>
      </c>
      <c r="I10" s="25">
        <f t="shared" si="3"/>
        <v>0</v>
      </c>
      <c r="J10" s="51">
        <f t="shared" si="4"/>
        <v>0</v>
      </c>
      <c r="K10" s="52">
        <v>51</v>
      </c>
      <c r="L10" s="25">
        <f t="shared" si="5"/>
        <v>0</v>
      </c>
      <c r="M10" s="51">
        <f t="shared" si="6"/>
        <v>0</v>
      </c>
      <c r="N10" s="52">
        <v>51</v>
      </c>
      <c r="O10" s="25">
        <f t="shared" si="7"/>
        <v>0</v>
      </c>
      <c r="P10" s="51">
        <f t="shared" si="8"/>
        <v>0</v>
      </c>
      <c r="Q10" s="52">
        <v>51</v>
      </c>
      <c r="R10" s="25">
        <f t="shared" si="9"/>
        <v>0</v>
      </c>
      <c r="S10" s="53">
        <f t="shared" si="10"/>
        <v>0</v>
      </c>
      <c r="T10" s="52">
        <v>51</v>
      </c>
      <c r="U10" s="25">
        <f t="shared" si="11"/>
        <v>0</v>
      </c>
      <c r="V10" s="53">
        <f t="shared" si="12"/>
        <v>0</v>
      </c>
      <c r="W10" s="54">
        <v>51</v>
      </c>
      <c r="X10" s="25">
        <f t="shared" si="13"/>
        <v>0</v>
      </c>
    </row>
    <row r="11" spans="1:26" x14ac:dyDescent="0.25">
      <c r="A11" s="17" t="s">
        <v>1620</v>
      </c>
      <c r="B11" s="51">
        <v>327</v>
      </c>
      <c r="C11" s="51">
        <f t="shared" si="0"/>
        <v>5</v>
      </c>
      <c r="D11" s="51">
        <v>332</v>
      </c>
      <c r="E11" s="51">
        <f t="shared" si="1"/>
        <v>6</v>
      </c>
      <c r="F11" s="51">
        <v>338</v>
      </c>
      <c r="G11" s="51">
        <f t="shared" si="2"/>
        <v>7</v>
      </c>
      <c r="H11" s="52">
        <v>345</v>
      </c>
      <c r="I11" s="25">
        <f t="shared" si="3"/>
        <v>26.14</v>
      </c>
      <c r="J11" s="51">
        <f t="shared" si="4"/>
        <v>5</v>
      </c>
      <c r="K11" s="52">
        <v>350</v>
      </c>
      <c r="L11" s="25">
        <f t="shared" si="5"/>
        <v>20.77</v>
      </c>
      <c r="M11" s="51">
        <f t="shared" si="6"/>
        <v>5</v>
      </c>
      <c r="N11" s="52">
        <v>355</v>
      </c>
      <c r="O11" s="25">
        <f t="shared" si="7"/>
        <v>31.93</v>
      </c>
      <c r="P11" s="51">
        <f t="shared" si="8"/>
        <v>9</v>
      </c>
      <c r="Q11" s="52">
        <v>364</v>
      </c>
      <c r="R11" s="25">
        <f t="shared" si="9"/>
        <v>25.83</v>
      </c>
      <c r="S11" s="53">
        <f t="shared" si="10"/>
        <v>8</v>
      </c>
      <c r="T11" s="52">
        <v>372</v>
      </c>
      <c r="U11" s="25">
        <f t="shared" si="11"/>
        <v>23.84</v>
      </c>
      <c r="V11" s="53">
        <f t="shared" si="12"/>
        <v>12</v>
      </c>
      <c r="W11" s="54">
        <v>384</v>
      </c>
      <c r="X11" s="25">
        <f t="shared" si="13"/>
        <v>35.702399999999997</v>
      </c>
    </row>
    <row r="12" spans="1:26" x14ac:dyDescent="0.25">
      <c r="A12" s="17" t="s">
        <v>1625</v>
      </c>
      <c r="B12" s="51">
        <v>532</v>
      </c>
      <c r="C12" s="51">
        <f t="shared" si="0"/>
        <v>10</v>
      </c>
      <c r="D12" s="51">
        <v>542</v>
      </c>
      <c r="E12" s="51">
        <f t="shared" si="1"/>
        <v>12</v>
      </c>
      <c r="F12" s="51">
        <v>554</v>
      </c>
      <c r="G12" s="51">
        <f t="shared" si="2"/>
        <v>8</v>
      </c>
      <c r="H12" s="52">
        <v>562</v>
      </c>
      <c r="I12" s="25">
        <f t="shared" si="3"/>
        <v>29.87</v>
      </c>
      <c r="J12" s="51">
        <f t="shared" si="4"/>
        <v>13</v>
      </c>
      <c r="K12" s="52">
        <v>575</v>
      </c>
      <c r="L12" s="25">
        <f t="shared" si="5"/>
        <v>54.01</v>
      </c>
      <c r="M12" s="51">
        <f t="shared" si="6"/>
        <v>10</v>
      </c>
      <c r="N12" s="52">
        <v>585</v>
      </c>
      <c r="O12" s="25">
        <f t="shared" si="7"/>
        <v>63.86</v>
      </c>
      <c r="P12" s="51">
        <f t="shared" si="8"/>
        <v>14</v>
      </c>
      <c r="Q12" s="52">
        <v>599</v>
      </c>
      <c r="R12" s="25">
        <f t="shared" si="9"/>
        <v>40.19</v>
      </c>
      <c r="S12" s="53">
        <f t="shared" si="10"/>
        <v>13</v>
      </c>
      <c r="T12" s="52">
        <v>612</v>
      </c>
      <c r="U12" s="25">
        <f t="shared" si="11"/>
        <v>38.74</v>
      </c>
      <c r="V12" s="53">
        <f t="shared" si="12"/>
        <v>22</v>
      </c>
      <c r="W12" s="54">
        <v>634</v>
      </c>
      <c r="X12" s="25">
        <f t="shared" si="13"/>
        <v>65.454400000000007</v>
      </c>
    </row>
    <row r="13" spans="1:26" x14ac:dyDescent="0.25">
      <c r="A13" s="17" t="s">
        <v>2051</v>
      </c>
      <c r="B13" s="51">
        <v>396</v>
      </c>
      <c r="C13" s="51">
        <f t="shared" si="0"/>
        <v>0</v>
      </c>
      <c r="D13" s="51">
        <v>396</v>
      </c>
      <c r="E13" s="51">
        <f t="shared" si="1"/>
        <v>0</v>
      </c>
      <c r="F13" s="51">
        <v>396</v>
      </c>
      <c r="G13" s="51">
        <f t="shared" si="2"/>
        <v>1</v>
      </c>
      <c r="H13" s="52">
        <v>397</v>
      </c>
      <c r="I13" s="25">
        <f t="shared" si="3"/>
        <v>3.73</v>
      </c>
      <c r="J13" s="51">
        <f t="shared" si="4"/>
        <v>2</v>
      </c>
      <c r="K13" s="52">
        <v>399</v>
      </c>
      <c r="L13" s="25">
        <f t="shared" si="5"/>
        <v>8.31</v>
      </c>
      <c r="M13" s="51">
        <f t="shared" si="6"/>
        <v>5</v>
      </c>
      <c r="N13" s="52">
        <v>404</v>
      </c>
      <c r="O13" s="25">
        <f t="shared" si="7"/>
        <v>31.93</v>
      </c>
      <c r="P13" s="51">
        <f t="shared" si="8"/>
        <v>8</v>
      </c>
      <c r="Q13" s="52">
        <v>412</v>
      </c>
      <c r="R13" s="25">
        <f t="shared" si="9"/>
        <v>22.96</v>
      </c>
      <c r="S13" s="53">
        <f t="shared" si="10"/>
        <v>9</v>
      </c>
      <c r="T13" s="52">
        <v>421</v>
      </c>
      <c r="U13" s="25">
        <f t="shared" si="11"/>
        <v>26.82</v>
      </c>
      <c r="V13" s="53">
        <f t="shared" si="12"/>
        <v>8</v>
      </c>
      <c r="W13" s="54">
        <v>429</v>
      </c>
      <c r="X13" s="25">
        <f t="shared" si="13"/>
        <v>23.801600000000001</v>
      </c>
    </row>
    <row r="14" spans="1:26" x14ac:dyDescent="0.25">
      <c r="A14" s="17" t="s">
        <v>1977</v>
      </c>
      <c r="B14" s="51">
        <v>25</v>
      </c>
      <c r="C14" s="51">
        <f t="shared" si="0"/>
        <v>0</v>
      </c>
      <c r="D14" s="51">
        <v>25</v>
      </c>
      <c r="E14" s="51">
        <f t="shared" si="1"/>
        <v>1</v>
      </c>
      <c r="F14" s="51">
        <v>26</v>
      </c>
      <c r="G14" s="51">
        <f t="shared" si="2"/>
        <v>0</v>
      </c>
      <c r="H14" s="52">
        <v>26</v>
      </c>
      <c r="I14" s="25">
        <f t="shared" si="3"/>
        <v>0</v>
      </c>
      <c r="J14" s="51">
        <f t="shared" si="4"/>
        <v>0</v>
      </c>
      <c r="K14" s="55">
        <v>26</v>
      </c>
      <c r="L14" s="25">
        <f t="shared" si="5"/>
        <v>0</v>
      </c>
      <c r="M14" s="51">
        <f t="shared" si="6"/>
        <v>1</v>
      </c>
      <c r="N14" s="55">
        <v>27</v>
      </c>
      <c r="O14" s="25">
        <f t="shared" si="7"/>
        <v>6.39</v>
      </c>
      <c r="P14" s="51">
        <f t="shared" si="8"/>
        <v>1</v>
      </c>
      <c r="Q14" s="55">
        <v>28</v>
      </c>
      <c r="R14" s="25">
        <f t="shared" si="9"/>
        <v>2.87</v>
      </c>
      <c r="S14" s="53">
        <f t="shared" si="10"/>
        <v>0</v>
      </c>
      <c r="T14" s="52">
        <v>28</v>
      </c>
      <c r="U14" s="25">
        <f t="shared" si="11"/>
        <v>0</v>
      </c>
      <c r="V14" s="53">
        <f t="shared" si="12"/>
        <v>1</v>
      </c>
      <c r="W14" s="54">
        <v>29</v>
      </c>
      <c r="X14" s="25">
        <f t="shared" si="13"/>
        <v>2.9752000000000001</v>
      </c>
    </row>
    <row r="15" spans="1:26" x14ac:dyDescent="0.25">
      <c r="A15" s="17" t="s">
        <v>1896</v>
      </c>
      <c r="B15" s="51">
        <v>128</v>
      </c>
      <c r="C15" s="51">
        <f t="shared" si="0"/>
        <v>8</v>
      </c>
      <c r="D15" s="51">
        <v>136</v>
      </c>
      <c r="E15" s="51">
        <f t="shared" si="1"/>
        <v>6</v>
      </c>
      <c r="F15" s="51">
        <v>142</v>
      </c>
      <c r="G15" s="51">
        <f t="shared" si="2"/>
        <v>11</v>
      </c>
      <c r="H15" s="52">
        <v>153</v>
      </c>
      <c r="I15" s="25">
        <f t="shared" si="3"/>
        <v>41.08</v>
      </c>
      <c r="J15" s="51">
        <f t="shared" si="4"/>
        <v>8</v>
      </c>
      <c r="K15" s="52">
        <v>161</v>
      </c>
      <c r="L15" s="25">
        <f t="shared" si="5"/>
        <v>33.24</v>
      </c>
      <c r="M15" s="51">
        <f t="shared" si="6"/>
        <v>4</v>
      </c>
      <c r="N15" s="52">
        <v>165</v>
      </c>
      <c r="O15" s="25">
        <f t="shared" si="7"/>
        <v>25.54</v>
      </c>
      <c r="P15" s="51">
        <f t="shared" si="8"/>
        <v>6</v>
      </c>
      <c r="Q15" s="52">
        <v>171</v>
      </c>
      <c r="R15" s="25">
        <f t="shared" si="9"/>
        <v>17.22</v>
      </c>
      <c r="S15" s="53">
        <f t="shared" si="10"/>
        <v>9</v>
      </c>
      <c r="T15" s="52">
        <v>180</v>
      </c>
      <c r="U15" s="25">
        <f t="shared" si="11"/>
        <v>26.82</v>
      </c>
      <c r="V15" s="53">
        <f t="shared" si="12"/>
        <v>11</v>
      </c>
      <c r="W15" s="54">
        <v>191</v>
      </c>
      <c r="X15" s="25">
        <f t="shared" si="13"/>
        <v>32.727200000000003</v>
      </c>
    </row>
    <row r="16" spans="1:26" x14ac:dyDescent="0.25">
      <c r="A16" s="17" t="s">
        <v>1610</v>
      </c>
      <c r="B16" s="51">
        <v>95</v>
      </c>
      <c r="C16" s="51">
        <f t="shared" si="0"/>
        <v>6</v>
      </c>
      <c r="D16" s="51">
        <v>101</v>
      </c>
      <c r="E16" s="51">
        <f t="shared" si="1"/>
        <v>4</v>
      </c>
      <c r="F16" s="51">
        <v>105</v>
      </c>
      <c r="G16" s="51">
        <f t="shared" si="2"/>
        <v>6</v>
      </c>
      <c r="H16" s="52">
        <v>111</v>
      </c>
      <c r="I16" s="25">
        <f t="shared" si="3"/>
        <v>22.41</v>
      </c>
      <c r="J16" s="51">
        <f t="shared" si="4"/>
        <v>3</v>
      </c>
      <c r="K16" s="52">
        <v>114</v>
      </c>
      <c r="L16" s="25">
        <f t="shared" si="5"/>
        <v>12.46</v>
      </c>
      <c r="M16" s="51">
        <f t="shared" si="6"/>
        <v>4</v>
      </c>
      <c r="N16" s="52">
        <v>118</v>
      </c>
      <c r="O16" s="25">
        <f t="shared" si="7"/>
        <v>25.54</v>
      </c>
      <c r="P16" s="51">
        <f t="shared" si="8"/>
        <v>4</v>
      </c>
      <c r="Q16" s="52">
        <v>122</v>
      </c>
      <c r="R16" s="25">
        <f t="shared" si="9"/>
        <v>11.48</v>
      </c>
      <c r="S16" s="53">
        <f t="shared" si="10"/>
        <v>5</v>
      </c>
      <c r="T16" s="52">
        <v>127</v>
      </c>
      <c r="U16" s="25">
        <f t="shared" si="11"/>
        <v>14.9</v>
      </c>
      <c r="V16" s="53">
        <f t="shared" si="12"/>
        <v>6</v>
      </c>
      <c r="W16" s="54">
        <v>133</v>
      </c>
      <c r="X16" s="25">
        <f t="shared" si="13"/>
        <v>17.851199999999999</v>
      </c>
    </row>
    <row r="17" spans="1:25" x14ac:dyDescent="0.25">
      <c r="A17" s="17" t="s">
        <v>2009</v>
      </c>
      <c r="B17" s="51">
        <v>234</v>
      </c>
      <c r="C17" s="51">
        <f t="shared" si="0"/>
        <v>4</v>
      </c>
      <c r="D17" s="51">
        <v>238</v>
      </c>
      <c r="E17" s="51">
        <f t="shared" si="1"/>
        <v>4</v>
      </c>
      <c r="F17" s="51">
        <v>242</v>
      </c>
      <c r="G17" s="51">
        <f t="shared" si="2"/>
        <v>8</v>
      </c>
      <c r="H17" s="52">
        <v>250</v>
      </c>
      <c r="I17" s="25">
        <f t="shared" si="3"/>
        <v>29.87</v>
      </c>
      <c r="J17" s="51">
        <f t="shared" si="4"/>
        <v>3</v>
      </c>
      <c r="K17" s="52">
        <v>253</v>
      </c>
      <c r="L17" s="25">
        <f t="shared" si="5"/>
        <v>12.46</v>
      </c>
      <c r="M17" s="51">
        <f t="shared" si="6"/>
        <v>4</v>
      </c>
      <c r="N17" s="52">
        <v>257</v>
      </c>
      <c r="O17" s="25">
        <f t="shared" si="7"/>
        <v>25.54</v>
      </c>
      <c r="P17" s="51">
        <f t="shared" si="8"/>
        <v>8</v>
      </c>
      <c r="Q17" s="52">
        <v>265</v>
      </c>
      <c r="R17" s="25">
        <f t="shared" si="9"/>
        <v>22.96</v>
      </c>
      <c r="S17" s="53">
        <f t="shared" si="10"/>
        <v>55</v>
      </c>
      <c r="T17" s="52">
        <v>320</v>
      </c>
      <c r="U17" s="25">
        <f t="shared" si="11"/>
        <v>163.89</v>
      </c>
      <c r="V17" s="53">
        <f t="shared" si="12"/>
        <v>29</v>
      </c>
      <c r="W17" s="54">
        <v>349</v>
      </c>
      <c r="X17" s="25">
        <f t="shared" si="13"/>
        <v>86.280799999999999</v>
      </c>
      <c r="Y17" s="56" t="s">
        <v>2088</v>
      </c>
    </row>
    <row r="18" spans="1:25" x14ac:dyDescent="0.25">
      <c r="A18" s="17" t="s">
        <v>1908</v>
      </c>
      <c r="B18" s="51">
        <v>145</v>
      </c>
      <c r="C18" s="51">
        <f t="shared" si="0"/>
        <v>4</v>
      </c>
      <c r="D18" s="51">
        <v>149</v>
      </c>
      <c r="E18" s="51">
        <f t="shared" si="1"/>
        <v>5</v>
      </c>
      <c r="F18" s="51">
        <v>154</v>
      </c>
      <c r="G18" s="51">
        <f t="shared" si="2"/>
        <v>7</v>
      </c>
      <c r="H18" s="52">
        <v>161</v>
      </c>
      <c r="I18" s="25">
        <f t="shared" si="3"/>
        <v>26.14</v>
      </c>
      <c r="J18" s="51">
        <f t="shared" si="4"/>
        <v>5</v>
      </c>
      <c r="K18" s="52">
        <v>166</v>
      </c>
      <c r="L18" s="25">
        <f t="shared" si="5"/>
        <v>20.77</v>
      </c>
      <c r="M18" s="51">
        <f t="shared" si="6"/>
        <v>4</v>
      </c>
      <c r="N18" s="52">
        <v>170</v>
      </c>
      <c r="O18" s="25">
        <f t="shared" si="7"/>
        <v>25.54</v>
      </c>
      <c r="P18" s="51">
        <f t="shared" si="8"/>
        <v>4</v>
      </c>
      <c r="Q18" s="52">
        <v>174</v>
      </c>
      <c r="R18" s="25">
        <f t="shared" si="9"/>
        <v>11.48</v>
      </c>
      <c r="S18" s="53">
        <f t="shared" si="10"/>
        <v>6</v>
      </c>
      <c r="T18" s="52">
        <v>180</v>
      </c>
      <c r="U18" s="25">
        <f t="shared" si="11"/>
        <v>17.88</v>
      </c>
      <c r="V18" s="53">
        <f t="shared" si="12"/>
        <v>5</v>
      </c>
      <c r="W18" s="54">
        <v>185</v>
      </c>
      <c r="X18" s="25">
        <f t="shared" si="13"/>
        <v>14.876000000000001</v>
      </c>
    </row>
    <row r="19" spans="1:25" x14ac:dyDescent="0.25">
      <c r="A19" s="17" t="s">
        <v>1631</v>
      </c>
      <c r="B19" s="51">
        <v>157</v>
      </c>
      <c r="C19" s="51">
        <f t="shared" si="0"/>
        <v>8</v>
      </c>
      <c r="D19" s="51">
        <v>165</v>
      </c>
      <c r="E19" s="51">
        <f t="shared" si="1"/>
        <v>7</v>
      </c>
      <c r="F19" s="51">
        <v>172</v>
      </c>
      <c r="G19" s="51">
        <f t="shared" si="2"/>
        <v>7</v>
      </c>
      <c r="H19" s="52">
        <v>179</v>
      </c>
      <c r="I19" s="25">
        <f t="shared" si="3"/>
        <v>26.14</v>
      </c>
      <c r="J19" s="51">
        <f t="shared" si="4"/>
        <v>7</v>
      </c>
      <c r="K19" s="52">
        <v>186</v>
      </c>
      <c r="L19" s="25">
        <f t="shared" si="5"/>
        <v>29.08</v>
      </c>
      <c r="M19" s="51">
        <f t="shared" si="6"/>
        <v>5</v>
      </c>
      <c r="N19" s="52">
        <v>191</v>
      </c>
      <c r="O19" s="25">
        <f t="shared" si="7"/>
        <v>31.93</v>
      </c>
      <c r="P19" s="51">
        <f t="shared" si="8"/>
        <v>3</v>
      </c>
      <c r="Q19" s="52">
        <v>194</v>
      </c>
      <c r="R19" s="25">
        <f t="shared" si="9"/>
        <v>8.61</v>
      </c>
      <c r="S19" s="53">
        <f t="shared" si="10"/>
        <v>8</v>
      </c>
      <c r="T19" s="52">
        <v>202</v>
      </c>
      <c r="U19" s="25">
        <f t="shared" si="11"/>
        <v>23.84</v>
      </c>
      <c r="V19" s="53">
        <f t="shared" si="12"/>
        <v>9</v>
      </c>
      <c r="W19" s="54">
        <v>211</v>
      </c>
      <c r="X19" s="25">
        <f t="shared" si="13"/>
        <v>26.776800000000001</v>
      </c>
    </row>
    <row r="20" spans="1:25" x14ac:dyDescent="0.25">
      <c r="A20" s="17" t="s">
        <v>1932</v>
      </c>
      <c r="B20" s="51">
        <v>131</v>
      </c>
      <c r="C20" s="51">
        <f t="shared" si="0"/>
        <v>4</v>
      </c>
      <c r="D20" s="51">
        <v>135</v>
      </c>
      <c r="E20" s="51">
        <f t="shared" si="1"/>
        <v>4</v>
      </c>
      <c r="F20" s="51">
        <v>139</v>
      </c>
      <c r="G20" s="51">
        <f t="shared" si="2"/>
        <v>7</v>
      </c>
      <c r="H20" s="52">
        <v>146</v>
      </c>
      <c r="I20" s="25">
        <f t="shared" si="3"/>
        <v>26.14</v>
      </c>
      <c r="J20" s="51">
        <f t="shared" si="4"/>
        <v>5</v>
      </c>
      <c r="K20" s="52">
        <v>151</v>
      </c>
      <c r="L20" s="25">
        <f t="shared" si="5"/>
        <v>20.77</v>
      </c>
      <c r="M20" s="51">
        <f t="shared" si="6"/>
        <v>3</v>
      </c>
      <c r="N20" s="52">
        <v>154</v>
      </c>
      <c r="O20" s="25">
        <f t="shared" si="7"/>
        <v>19.16</v>
      </c>
      <c r="P20" s="51">
        <f t="shared" si="8"/>
        <v>2</v>
      </c>
      <c r="Q20" s="52">
        <v>156</v>
      </c>
      <c r="R20" s="25">
        <f t="shared" si="9"/>
        <v>5.74</v>
      </c>
      <c r="S20" s="53">
        <f t="shared" si="10"/>
        <v>0</v>
      </c>
      <c r="T20" s="52">
        <v>156</v>
      </c>
      <c r="U20" s="25">
        <f t="shared" si="11"/>
        <v>0</v>
      </c>
      <c r="V20" s="53">
        <f t="shared" si="12"/>
        <v>1</v>
      </c>
      <c r="W20" s="54">
        <v>157</v>
      </c>
      <c r="X20" s="25">
        <f t="shared" si="13"/>
        <v>2.9752000000000001</v>
      </c>
    </row>
    <row r="21" spans="1:25" x14ac:dyDescent="0.25">
      <c r="A21" s="17" t="s">
        <v>1902</v>
      </c>
      <c r="B21" s="51">
        <v>196</v>
      </c>
      <c r="C21" s="51">
        <f t="shared" si="0"/>
        <v>4</v>
      </c>
      <c r="D21" s="51">
        <v>200</v>
      </c>
      <c r="E21" s="51">
        <f t="shared" si="1"/>
        <v>4</v>
      </c>
      <c r="F21" s="51">
        <v>204</v>
      </c>
      <c r="G21" s="51">
        <f t="shared" si="2"/>
        <v>5</v>
      </c>
      <c r="H21" s="52">
        <v>209</v>
      </c>
      <c r="I21" s="25">
        <f t="shared" si="3"/>
        <v>18.670000000000002</v>
      </c>
      <c r="J21" s="51">
        <f t="shared" si="4"/>
        <v>4</v>
      </c>
      <c r="K21" s="52">
        <v>213</v>
      </c>
      <c r="L21" s="25">
        <f t="shared" si="5"/>
        <v>16.62</v>
      </c>
      <c r="M21" s="51">
        <f t="shared" si="6"/>
        <v>3</v>
      </c>
      <c r="N21" s="52">
        <v>216</v>
      </c>
      <c r="O21" s="25">
        <f t="shared" si="7"/>
        <v>19.16</v>
      </c>
      <c r="P21" s="51">
        <f t="shared" si="8"/>
        <v>5</v>
      </c>
      <c r="Q21" s="52">
        <v>221</v>
      </c>
      <c r="R21" s="25">
        <f t="shared" si="9"/>
        <v>14.35</v>
      </c>
      <c r="S21" s="53">
        <f t="shared" si="10"/>
        <v>0</v>
      </c>
      <c r="T21" s="52">
        <v>221</v>
      </c>
      <c r="U21" s="25">
        <f t="shared" si="11"/>
        <v>0</v>
      </c>
      <c r="V21" s="53">
        <f t="shared" si="12"/>
        <v>7</v>
      </c>
      <c r="W21" s="54">
        <v>228</v>
      </c>
      <c r="X21" s="25">
        <f t="shared" si="13"/>
        <v>20.8264</v>
      </c>
    </row>
    <row r="22" spans="1:25" x14ac:dyDescent="0.25">
      <c r="A22" s="17" t="s">
        <v>1825</v>
      </c>
      <c r="B22" s="51">
        <v>258</v>
      </c>
      <c r="C22" s="51">
        <f t="shared" si="0"/>
        <v>9</v>
      </c>
      <c r="D22" s="51">
        <v>267</v>
      </c>
      <c r="E22" s="51">
        <f t="shared" si="1"/>
        <v>9</v>
      </c>
      <c r="F22" s="51">
        <v>276</v>
      </c>
      <c r="G22" s="51">
        <f t="shared" si="2"/>
        <v>5</v>
      </c>
      <c r="H22" s="52">
        <v>281</v>
      </c>
      <c r="I22" s="25">
        <f t="shared" si="3"/>
        <v>18.670000000000002</v>
      </c>
      <c r="J22" s="51">
        <f t="shared" si="4"/>
        <v>12</v>
      </c>
      <c r="K22" s="52">
        <v>293</v>
      </c>
      <c r="L22" s="25">
        <f t="shared" si="5"/>
        <v>49.86</v>
      </c>
      <c r="M22" s="51">
        <f t="shared" si="6"/>
        <v>5</v>
      </c>
      <c r="N22" s="52">
        <v>298</v>
      </c>
      <c r="O22" s="25">
        <f t="shared" si="7"/>
        <v>31.93</v>
      </c>
      <c r="P22" s="51">
        <f t="shared" si="8"/>
        <v>8</v>
      </c>
      <c r="Q22" s="52">
        <v>306</v>
      </c>
      <c r="R22" s="25">
        <f t="shared" si="9"/>
        <v>22.96</v>
      </c>
      <c r="S22" s="53">
        <f t="shared" si="10"/>
        <v>10</v>
      </c>
      <c r="T22" s="52">
        <v>316</v>
      </c>
      <c r="U22" s="25">
        <f t="shared" si="11"/>
        <v>29.8</v>
      </c>
      <c r="V22" s="53">
        <f t="shared" si="12"/>
        <v>9</v>
      </c>
      <c r="W22" s="54">
        <v>325</v>
      </c>
      <c r="X22" s="25">
        <f t="shared" si="13"/>
        <v>26.776800000000001</v>
      </c>
    </row>
    <row r="23" spans="1:25" x14ac:dyDescent="0.25">
      <c r="A23" s="17" t="s">
        <v>1708</v>
      </c>
      <c r="B23" s="51">
        <v>14</v>
      </c>
      <c r="C23" s="51">
        <f t="shared" si="0"/>
        <v>1</v>
      </c>
      <c r="D23" s="51">
        <v>15</v>
      </c>
      <c r="E23" s="51">
        <f t="shared" si="1"/>
        <v>1</v>
      </c>
      <c r="F23" s="51">
        <v>16</v>
      </c>
      <c r="G23" s="51">
        <f t="shared" si="2"/>
        <v>0</v>
      </c>
      <c r="H23" s="52">
        <v>16</v>
      </c>
      <c r="I23" s="25">
        <f t="shared" si="3"/>
        <v>0</v>
      </c>
      <c r="J23" s="51">
        <f t="shared" si="4"/>
        <v>1</v>
      </c>
      <c r="K23" s="52">
        <v>17</v>
      </c>
      <c r="L23" s="25">
        <f t="shared" si="5"/>
        <v>4.1500000000000004</v>
      </c>
      <c r="M23" s="51">
        <f t="shared" si="6"/>
        <v>0</v>
      </c>
      <c r="N23" s="52">
        <v>17</v>
      </c>
      <c r="O23" s="25">
        <f t="shared" si="7"/>
        <v>0</v>
      </c>
      <c r="P23" s="51">
        <f t="shared" si="8"/>
        <v>1</v>
      </c>
      <c r="Q23" s="52">
        <v>18</v>
      </c>
      <c r="R23" s="25">
        <f t="shared" si="9"/>
        <v>2.87</v>
      </c>
      <c r="S23" s="53">
        <f t="shared" si="10"/>
        <v>1</v>
      </c>
      <c r="T23" s="52">
        <v>19</v>
      </c>
      <c r="U23" s="25">
        <f t="shared" si="11"/>
        <v>2.98</v>
      </c>
      <c r="V23" s="53">
        <f t="shared" si="12"/>
        <v>0</v>
      </c>
      <c r="W23" s="54">
        <v>19</v>
      </c>
      <c r="X23" s="25">
        <f t="shared" si="13"/>
        <v>0</v>
      </c>
    </row>
    <row r="24" spans="1:25" x14ac:dyDescent="0.25">
      <c r="A24" s="17" t="s">
        <v>1857</v>
      </c>
      <c r="B24" s="51">
        <v>332.49</v>
      </c>
      <c r="C24" s="51">
        <f t="shared" si="0"/>
        <v>16.860000000000014</v>
      </c>
      <c r="D24" s="51">
        <v>349.35</v>
      </c>
      <c r="E24" s="51">
        <f t="shared" si="1"/>
        <v>18.17999999999995</v>
      </c>
      <c r="F24" s="51">
        <v>367.53</v>
      </c>
      <c r="G24" s="51">
        <f t="shared" si="2"/>
        <v>15.545000000000016</v>
      </c>
      <c r="H24" s="52">
        <v>383.07499999999999</v>
      </c>
      <c r="I24" s="25">
        <f t="shared" si="3"/>
        <v>58.05</v>
      </c>
      <c r="J24" s="51">
        <f t="shared" si="4"/>
        <v>16.925000000000011</v>
      </c>
      <c r="K24" s="52">
        <v>400</v>
      </c>
      <c r="L24" s="25">
        <f t="shared" si="5"/>
        <v>70.319999999999993</v>
      </c>
      <c r="M24" s="51">
        <f t="shared" si="6"/>
        <v>13.081999999999994</v>
      </c>
      <c r="N24" s="52">
        <v>413.08199999999999</v>
      </c>
      <c r="O24" s="25">
        <f t="shared" si="7"/>
        <v>83.54</v>
      </c>
      <c r="P24" s="51">
        <f t="shared" si="8"/>
        <v>14.925999999999988</v>
      </c>
      <c r="Q24" s="52">
        <v>428.00799999999998</v>
      </c>
      <c r="R24" s="25">
        <f t="shared" si="9"/>
        <v>42.84</v>
      </c>
      <c r="S24" s="53">
        <f t="shared" si="10"/>
        <v>3.5670000000000073</v>
      </c>
      <c r="T24" s="52">
        <v>431.57499999999999</v>
      </c>
      <c r="U24" s="25">
        <f t="shared" si="11"/>
        <v>10.63</v>
      </c>
      <c r="V24" s="53">
        <f t="shared" si="12"/>
        <v>8.4250000000000114</v>
      </c>
      <c r="W24" s="54">
        <v>440</v>
      </c>
      <c r="X24" s="25">
        <f t="shared" si="13"/>
        <v>25.066060000000036</v>
      </c>
    </row>
    <row r="25" spans="1:25" x14ac:dyDescent="0.25">
      <c r="A25" s="17" t="s">
        <v>2021</v>
      </c>
      <c r="B25" s="51">
        <v>72</v>
      </c>
      <c r="C25" s="51">
        <f t="shared" si="0"/>
        <v>1</v>
      </c>
      <c r="D25" s="51">
        <v>73</v>
      </c>
      <c r="E25" s="51">
        <f t="shared" si="1"/>
        <v>1</v>
      </c>
      <c r="F25" s="51">
        <v>74</v>
      </c>
      <c r="G25" s="51">
        <f t="shared" si="2"/>
        <v>2</v>
      </c>
      <c r="H25" s="52">
        <v>76</v>
      </c>
      <c r="I25" s="25">
        <f t="shared" si="3"/>
        <v>7.47</v>
      </c>
      <c r="J25" s="51">
        <f t="shared" si="4"/>
        <v>1</v>
      </c>
      <c r="K25" s="52">
        <v>77</v>
      </c>
      <c r="L25" s="25">
        <f t="shared" si="5"/>
        <v>4.1500000000000004</v>
      </c>
      <c r="M25" s="51">
        <f t="shared" si="6"/>
        <v>0</v>
      </c>
      <c r="N25" s="52">
        <v>77</v>
      </c>
      <c r="O25" s="25">
        <f t="shared" si="7"/>
        <v>0</v>
      </c>
      <c r="P25" s="51">
        <f t="shared" si="8"/>
        <v>1</v>
      </c>
      <c r="Q25" s="52">
        <v>78</v>
      </c>
      <c r="R25" s="25">
        <f t="shared" si="9"/>
        <v>2.87</v>
      </c>
      <c r="S25" s="53">
        <f t="shared" si="10"/>
        <v>0</v>
      </c>
      <c r="T25" s="52">
        <v>78</v>
      </c>
      <c r="U25" s="25">
        <f t="shared" si="11"/>
        <v>0</v>
      </c>
      <c r="V25" s="53">
        <f t="shared" si="12"/>
        <v>0</v>
      </c>
      <c r="W25" s="54">
        <v>78</v>
      </c>
      <c r="X25" s="25">
        <f t="shared" si="13"/>
        <v>0</v>
      </c>
    </row>
    <row r="26" spans="1:25" x14ac:dyDescent="0.25">
      <c r="A26" s="17" t="s">
        <v>1702</v>
      </c>
      <c r="B26" s="51">
        <v>12</v>
      </c>
      <c r="C26" s="51">
        <f t="shared" si="0"/>
        <v>6</v>
      </c>
      <c r="D26" s="51">
        <v>18</v>
      </c>
      <c r="E26" s="51">
        <f t="shared" si="1"/>
        <v>4</v>
      </c>
      <c r="F26" s="51">
        <v>22</v>
      </c>
      <c r="G26" s="51">
        <f t="shared" si="2"/>
        <v>5</v>
      </c>
      <c r="H26" s="52">
        <v>27</v>
      </c>
      <c r="I26" s="25">
        <f t="shared" si="3"/>
        <v>18.670000000000002</v>
      </c>
      <c r="J26" s="51">
        <f t="shared" si="4"/>
        <v>5</v>
      </c>
      <c r="K26" s="52">
        <v>32</v>
      </c>
      <c r="L26" s="25">
        <f t="shared" si="5"/>
        <v>20.77</v>
      </c>
      <c r="M26" s="51">
        <f t="shared" si="6"/>
        <v>5</v>
      </c>
      <c r="N26" s="52">
        <v>37</v>
      </c>
      <c r="O26" s="25">
        <f t="shared" si="7"/>
        <v>31.93</v>
      </c>
      <c r="P26" s="51">
        <f t="shared" si="8"/>
        <v>9</v>
      </c>
      <c r="Q26" s="52">
        <v>46</v>
      </c>
      <c r="R26" s="25">
        <f t="shared" si="9"/>
        <v>25.83</v>
      </c>
      <c r="S26" s="53">
        <f t="shared" si="10"/>
        <v>12</v>
      </c>
      <c r="T26" s="52">
        <v>58</v>
      </c>
      <c r="U26" s="25">
        <f t="shared" si="11"/>
        <v>35.76</v>
      </c>
      <c r="V26" s="53">
        <f t="shared" si="12"/>
        <v>11</v>
      </c>
      <c r="W26" s="54">
        <v>69</v>
      </c>
      <c r="X26" s="25">
        <f t="shared" si="13"/>
        <v>32.727200000000003</v>
      </c>
    </row>
    <row r="27" spans="1:25" x14ac:dyDescent="0.25">
      <c r="A27" s="17" t="s">
        <v>2036</v>
      </c>
      <c r="B27" s="51">
        <v>58</v>
      </c>
      <c r="C27" s="51">
        <f t="shared" si="0"/>
        <v>0</v>
      </c>
      <c r="D27" s="51">
        <v>58</v>
      </c>
      <c r="E27" s="51">
        <f t="shared" si="1"/>
        <v>0</v>
      </c>
      <c r="F27" s="51">
        <v>58</v>
      </c>
      <c r="G27" s="51">
        <f t="shared" si="2"/>
        <v>3</v>
      </c>
      <c r="H27" s="52">
        <v>61</v>
      </c>
      <c r="I27" s="25">
        <f t="shared" si="3"/>
        <v>11.2</v>
      </c>
      <c r="J27" s="51">
        <f t="shared" si="4"/>
        <v>0</v>
      </c>
      <c r="K27" s="52">
        <v>61</v>
      </c>
      <c r="L27" s="25">
        <f t="shared" si="5"/>
        <v>0</v>
      </c>
      <c r="M27" s="51">
        <f t="shared" si="6"/>
        <v>0</v>
      </c>
      <c r="N27" s="52">
        <v>61</v>
      </c>
      <c r="O27" s="25">
        <f t="shared" si="7"/>
        <v>0</v>
      </c>
      <c r="P27" s="51">
        <f t="shared" si="8"/>
        <v>1</v>
      </c>
      <c r="Q27" s="52">
        <v>62</v>
      </c>
      <c r="R27" s="25">
        <f t="shared" si="9"/>
        <v>2.87</v>
      </c>
      <c r="S27" s="53">
        <f t="shared" si="10"/>
        <v>0</v>
      </c>
      <c r="T27" s="52">
        <v>62</v>
      </c>
      <c r="U27" s="25">
        <f t="shared" si="11"/>
        <v>0</v>
      </c>
      <c r="V27" s="53">
        <f t="shared" si="12"/>
        <v>1</v>
      </c>
      <c r="W27" s="54">
        <v>63</v>
      </c>
      <c r="X27" s="25">
        <f t="shared" si="13"/>
        <v>2.9752000000000001</v>
      </c>
    </row>
    <row r="28" spans="1:25" x14ac:dyDescent="0.25">
      <c r="A28" s="17" t="s">
        <v>1637</v>
      </c>
      <c r="B28" s="51">
        <v>434</v>
      </c>
      <c r="C28" s="51">
        <f t="shared" si="0"/>
        <v>13</v>
      </c>
      <c r="D28" s="51">
        <v>447</v>
      </c>
      <c r="E28" s="51">
        <f t="shared" si="1"/>
        <v>13</v>
      </c>
      <c r="F28" s="51">
        <v>460</v>
      </c>
      <c r="G28" s="51">
        <f t="shared" si="2"/>
        <v>13</v>
      </c>
      <c r="H28" s="52">
        <v>473</v>
      </c>
      <c r="I28" s="25">
        <f t="shared" si="3"/>
        <v>48.54</v>
      </c>
      <c r="J28" s="51">
        <f t="shared" si="4"/>
        <v>12</v>
      </c>
      <c r="K28" s="52">
        <v>485</v>
      </c>
      <c r="L28" s="25">
        <f t="shared" si="5"/>
        <v>49.86</v>
      </c>
      <c r="M28" s="51">
        <f t="shared" si="6"/>
        <v>7</v>
      </c>
      <c r="N28" s="52">
        <v>492</v>
      </c>
      <c r="O28" s="25">
        <f t="shared" si="7"/>
        <v>44.7</v>
      </c>
      <c r="P28" s="51">
        <f t="shared" si="8"/>
        <v>6</v>
      </c>
      <c r="Q28" s="52">
        <v>498</v>
      </c>
      <c r="R28" s="25">
        <f t="shared" si="9"/>
        <v>17.22</v>
      </c>
      <c r="S28" s="53">
        <f t="shared" si="10"/>
        <v>2</v>
      </c>
      <c r="T28" s="52">
        <v>500</v>
      </c>
      <c r="U28" s="25">
        <f t="shared" si="11"/>
        <v>5.96</v>
      </c>
      <c r="V28" s="53">
        <f t="shared" si="12"/>
        <v>4</v>
      </c>
      <c r="W28" s="54">
        <v>504</v>
      </c>
      <c r="X28" s="25">
        <f t="shared" si="13"/>
        <v>11.9008</v>
      </c>
    </row>
    <row r="29" spans="1:25" x14ac:dyDescent="0.25">
      <c r="A29" s="17" t="s">
        <v>2089</v>
      </c>
      <c r="B29" s="51">
        <v>60.11</v>
      </c>
      <c r="C29" s="51">
        <f t="shared" si="0"/>
        <v>4.2800000000000011</v>
      </c>
      <c r="D29" s="51">
        <v>64.39</v>
      </c>
      <c r="E29" s="51">
        <f t="shared" si="1"/>
        <v>4.769999999999996</v>
      </c>
      <c r="F29" s="51">
        <v>69.16</v>
      </c>
      <c r="G29" s="51">
        <f t="shared" si="2"/>
        <v>5.7349999999999994</v>
      </c>
      <c r="H29" s="52">
        <v>74.894999999999996</v>
      </c>
      <c r="I29" s="25">
        <f t="shared" si="3"/>
        <v>21.42</v>
      </c>
      <c r="J29" s="51">
        <f t="shared" si="4"/>
        <v>2.5810000000000031</v>
      </c>
      <c r="K29" s="52">
        <v>77.475999999999999</v>
      </c>
      <c r="L29" s="25">
        <f t="shared" si="5"/>
        <v>10.72</v>
      </c>
      <c r="M29" s="51">
        <f t="shared" si="6"/>
        <v>2.9350000000000023</v>
      </c>
      <c r="N29" s="52">
        <v>80.411000000000001</v>
      </c>
      <c r="O29" s="25">
        <f t="shared" si="7"/>
        <v>18.739999999999998</v>
      </c>
      <c r="P29" s="51">
        <f t="shared" si="8"/>
        <v>4.5889999999999986</v>
      </c>
      <c r="Q29" s="52">
        <v>85</v>
      </c>
      <c r="R29" s="25">
        <f t="shared" si="9"/>
        <v>13.17</v>
      </c>
      <c r="S29" s="53">
        <f t="shared" si="10"/>
        <v>5.0480000000000018</v>
      </c>
      <c r="T29" s="52">
        <v>90.048000000000002</v>
      </c>
      <c r="U29" s="25">
        <f t="shared" si="11"/>
        <v>15.04</v>
      </c>
      <c r="V29" s="53">
        <f t="shared" si="12"/>
        <v>5.9519999999999982</v>
      </c>
      <c r="W29" s="54">
        <v>96</v>
      </c>
      <c r="X29" s="25">
        <f t="shared" si="13"/>
        <v>17.708390399999995</v>
      </c>
    </row>
    <row r="30" spans="1:25" x14ac:dyDescent="0.25">
      <c r="A30" s="17" t="s">
        <v>1872</v>
      </c>
      <c r="B30" s="51">
        <v>238</v>
      </c>
      <c r="C30" s="51">
        <f t="shared" si="0"/>
        <v>6</v>
      </c>
      <c r="D30" s="51">
        <v>244</v>
      </c>
      <c r="E30" s="51">
        <f t="shared" si="1"/>
        <v>4</v>
      </c>
      <c r="F30" s="51">
        <v>248</v>
      </c>
      <c r="G30" s="51">
        <f t="shared" si="2"/>
        <v>7</v>
      </c>
      <c r="H30" s="52">
        <v>255</v>
      </c>
      <c r="I30" s="25">
        <f t="shared" si="3"/>
        <v>26.14</v>
      </c>
      <c r="J30" s="51">
        <f t="shared" si="4"/>
        <v>9</v>
      </c>
      <c r="K30" s="52">
        <v>264</v>
      </c>
      <c r="L30" s="25">
        <f t="shared" si="5"/>
        <v>37.39</v>
      </c>
      <c r="M30" s="51">
        <f t="shared" si="6"/>
        <v>5</v>
      </c>
      <c r="N30" s="52">
        <v>269</v>
      </c>
      <c r="O30" s="25">
        <f t="shared" si="7"/>
        <v>31.93</v>
      </c>
      <c r="P30" s="51">
        <f t="shared" si="8"/>
        <v>6</v>
      </c>
      <c r="Q30" s="52">
        <v>275</v>
      </c>
      <c r="R30" s="25">
        <f t="shared" si="9"/>
        <v>17.22</v>
      </c>
      <c r="S30" s="53">
        <f t="shared" si="10"/>
        <v>9</v>
      </c>
      <c r="T30" s="52">
        <v>284</v>
      </c>
      <c r="U30" s="25">
        <f t="shared" si="11"/>
        <v>26.82</v>
      </c>
      <c r="V30" s="53">
        <f t="shared" si="12"/>
        <v>9</v>
      </c>
      <c r="W30" s="54">
        <v>293</v>
      </c>
      <c r="X30" s="25">
        <f t="shared" si="13"/>
        <v>26.776800000000001</v>
      </c>
    </row>
    <row r="31" spans="1:25" x14ac:dyDescent="0.25">
      <c r="A31" s="17" t="s">
        <v>1693</v>
      </c>
      <c r="B31" s="51">
        <v>244</v>
      </c>
      <c r="C31" s="51">
        <f t="shared" si="0"/>
        <v>9</v>
      </c>
      <c r="D31" s="51">
        <v>253</v>
      </c>
      <c r="E31" s="51">
        <f t="shared" si="1"/>
        <v>8</v>
      </c>
      <c r="F31" s="51">
        <v>261</v>
      </c>
      <c r="G31" s="51">
        <f t="shared" si="2"/>
        <v>10</v>
      </c>
      <c r="H31" s="52">
        <v>271</v>
      </c>
      <c r="I31" s="25">
        <f t="shared" si="3"/>
        <v>37.340000000000003</v>
      </c>
      <c r="J31" s="51">
        <f t="shared" si="4"/>
        <v>8</v>
      </c>
      <c r="K31" s="52">
        <v>279</v>
      </c>
      <c r="L31" s="25">
        <f t="shared" si="5"/>
        <v>33.24</v>
      </c>
      <c r="M31" s="51">
        <f t="shared" si="6"/>
        <v>5</v>
      </c>
      <c r="N31" s="52">
        <v>284</v>
      </c>
      <c r="O31" s="25">
        <f t="shared" si="7"/>
        <v>31.93</v>
      </c>
      <c r="P31" s="51">
        <f t="shared" si="8"/>
        <v>8</v>
      </c>
      <c r="Q31" s="52">
        <v>292</v>
      </c>
      <c r="R31" s="25">
        <f t="shared" si="9"/>
        <v>22.96</v>
      </c>
      <c r="S31" s="53">
        <f t="shared" si="10"/>
        <v>9</v>
      </c>
      <c r="T31" s="52">
        <v>301</v>
      </c>
      <c r="U31" s="25">
        <f t="shared" si="11"/>
        <v>26.82</v>
      </c>
      <c r="V31" s="53">
        <f t="shared" si="12"/>
        <v>10</v>
      </c>
      <c r="W31" s="54">
        <v>311</v>
      </c>
      <c r="X31" s="25">
        <f t="shared" si="13"/>
        <v>29.752000000000002</v>
      </c>
    </row>
    <row r="32" spans="1:25" x14ac:dyDescent="0.25">
      <c r="A32" s="17" t="s">
        <v>2090</v>
      </c>
      <c r="B32" s="51">
        <v>123</v>
      </c>
      <c r="C32" s="51">
        <f t="shared" si="0"/>
        <v>5</v>
      </c>
      <c r="D32" s="51">
        <v>128</v>
      </c>
      <c r="E32" s="51">
        <f t="shared" si="1"/>
        <v>3</v>
      </c>
      <c r="F32" s="51">
        <v>131</v>
      </c>
      <c r="G32" s="51">
        <f t="shared" si="2"/>
        <v>4</v>
      </c>
      <c r="H32" s="52">
        <v>135</v>
      </c>
      <c r="I32" s="25">
        <f t="shared" si="3"/>
        <v>14.94</v>
      </c>
      <c r="J32" s="51">
        <f t="shared" si="4"/>
        <v>3</v>
      </c>
      <c r="K32" s="52">
        <v>138</v>
      </c>
      <c r="L32" s="25">
        <f t="shared" si="5"/>
        <v>12.46</v>
      </c>
      <c r="M32" s="51">
        <f t="shared" si="6"/>
        <v>3</v>
      </c>
      <c r="N32" s="52">
        <v>141</v>
      </c>
      <c r="O32" s="25">
        <f t="shared" si="7"/>
        <v>19.16</v>
      </c>
      <c r="P32" s="51">
        <f t="shared" si="8"/>
        <v>3</v>
      </c>
      <c r="Q32" s="52">
        <v>144</v>
      </c>
      <c r="R32" s="25">
        <f t="shared" si="9"/>
        <v>8.61</v>
      </c>
      <c r="S32" s="53">
        <f t="shared" si="10"/>
        <v>3</v>
      </c>
      <c r="T32" s="52">
        <v>147</v>
      </c>
      <c r="U32" s="25">
        <f t="shared" si="11"/>
        <v>8.94</v>
      </c>
      <c r="V32" s="53">
        <f t="shared" si="12"/>
        <v>4</v>
      </c>
      <c r="W32" s="54">
        <v>151</v>
      </c>
      <c r="X32" s="25">
        <f t="shared" si="13"/>
        <v>11.9008</v>
      </c>
    </row>
    <row r="33" spans="1:24" x14ac:dyDescent="0.25">
      <c r="A33" s="17" t="s">
        <v>1968</v>
      </c>
      <c r="B33" s="51">
        <v>93</v>
      </c>
      <c r="C33" s="51">
        <f t="shared" si="0"/>
        <v>1</v>
      </c>
      <c r="D33" s="51">
        <v>94</v>
      </c>
      <c r="E33" s="51">
        <f t="shared" si="1"/>
        <v>0</v>
      </c>
      <c r="F33" s="51">
        <v>94</v>
      </c>
      <c r="G33" s="51">
        <f t="shared" si="2"/>
        <v>0</v>
      </c>
      <c r="H33" s="52">
        <v>94</v>
      </c>
      <c r="I33" s="25">
        <f t="shared" si="3"/>
        <v>0</v>
      </c>
      <c r="J33" s="51">
        <f t="shared" si="4"/>
        <v>1</v>
      </c>
      <c r="K33" s="52">
        <v>95</v>
      </c>
      <c r="L33" s="25">
        <f t="shared" si="5"/>
        <v>4.1500000000000004</v>
      </c>
      <c r="M33" s="51">
        <f t="shared" si="6"/>
        <v>0</v>
      </c>
      <c r="N33" s="52">
        <v>95</v>
      </c>
      <c r="O33" s="25">
        <f t="shared" si="7"/>
        <v>0</v>
      </c>
      <c r="P33" s="51">
        <f t="shared" si="8"/>
        <v>0</v>
      </c>
      <c r="Q33" s="52">
        <v>95</v>
      </c>
      <c r="R33" s="25">
        <f t="shared" si="9"/>
        <v>0</v>
      </c>
      <c r="S33" s="53">
        <f t="shared" si="10"/>
        <v>1</v>
      </c>
      <c r="T33" s="52">
        <v>96</v>
      </c>
      <c r="U33" s="25">
        <f t="shared" si="11"/>
        <v>2.98</v>
      </c>
      <c r="V33" s="53">
        <f t="shared" si="12"/>
        <v>1</v>
      </c>
      <c r="W33" s="54">
        <v>97</v>
      </c>
      <c r="X33" s="25">
        <f t="shared" si="13"/>
        <v>2.9752000000000001</v>
      </c>
    </row>
    <row r="34" spans="1:24" x14ac:dyDescent="0.25">
      <c r="A34" s="17" t="s">
        <v>1727</v>
      </c>
      <c r="B34" s="51">
        <v>138.91</v>
      </c>
      <c r="C34" s="51">
        <f t="shared" si="0"/>
        <v>4.3700000000000045</v>
      </c>
      <c r="D34" s="51">
        <v>143.28</v>
      </c>
      <c r="E34" s="51">
        <f t="shared" si="1"/>
        <v>3.4199999999999875</v>
      </c>
      <c r="F34" s="51">
        <v>146.69999999999999</v>
      </c>
      <c r="G34" s="51">
        <f t="shared" si="2"/>
        <v>3.3370000000000175</v>
      </c>
      <c r="H34" s="52">
        <v>150.03700000000001</v>
      </c>
      <c r="I34" s="25">
        <f t="shared" si="3"/>
        <v>12.46</v>
      </c>
      <c r="J34" s="51">
        <f t="shared" si="4"/>
        <v>3.9739999999999895</v>
      </c>
      <c r="K34" s="52">
        <v>154.011</v>
      </c>
      <c r="L34" s="25">
        <f t="shared" si="5"/>
        <v>16.510000000000002</v>
      </c>
      <c r="M34" s="51">
        <f t="shared" si="6"/>
        <v>2.4339999999999975</v>
      </c>
      <c r="N34" s="52">
        <v>156.44499999999999</v>
      </c>
      <c r="O34" s="25">
        <f t="shared" si="7"/>
        <v>15.54</v>
      </c>
      <c r="P34" s="51">
        <f t="shared" si="8"/>
        <v>2.5550000000000068</v>
      </c>
      <c r="Q34" s="52">
        <v>159</v>
      </c>
      <c r="R34" s="25">
        <f t="shared" si="9"/>
        <v>7.33</v>
      </c>
      <c r="S34" s="53">
        <f t="shared" si="10"/>
        <v>4.8230000000000075</v>
      </c>
      <c r="T34" s="52">
        <v>163.82300000000001</v>
      </c>
      <c r="U34" s="25">
        <f t="shared" si="11"/>
        <v>14.37</v>
      </c>
      <c r="V34" s="53">
        <f t="shared" si="12"/>
        <v>3.1769999999999925</v>
      </c>
      <c r="W34" s="54">
        <v>167</v>
      </c>
      <c r="X34" s="25">
        <f t="shared" si="13"/>
        <v>9.4522103999999771</v>
      </c>
    </row>
    <row r="35" spans="1:24" x14ac:dyDescent="0.25">
      <c r="A35" s="17" t="s">
        <v>1942</v>
      </c>
      <c r="B35" s="51">
        <v>236</v>
      </c>
      <c r="C35" s="51">
        <f t="shared" si="0"/>
        <v>4</v>
      </c>
      <c r="D35" s="51">
        <v>240</v>
      </c>
      <c r="E35" s="51">
        <f t="shared" si="1"/>
        <v>6</v>
      </c>
      <c r="F35" s="51">
        <v>246</v>
      </c>
      <c r="G35" s="51">
        <f t="shared" si="2"/>
        <v>10</v>
      </c>
      <c r="H35" s="52">
        <v>256</v>
      </c>
      <c r="I35" s="25">
        <f t="shared" si="3"/>
        <v>37.340000000000003</v>
      </c>
      <c r="J35" s="51">
        <f t="shared" si="4"/>
        <v>6</v>
      </c>
      <c r="K35" s="52">
        <v>262</v>
      </c>
      <c r="L35" s="25">
        <f t="shared" si="5"/>
        <v>24.93</v>
      </c>
      <c r="M35" s="51">
        <f t="shared" si="6"/>
        <v>4</v>
      </c>
      <c r="N35" s="52">
        <v>266</v>
      </c>
      <c r="O35" s="25">
        <f t="shared" si="7"/>
        <v>25.54</v>
      </c>
      <c r="P35" s="51">
        <f t="shared" si="8"/>
        <v>4</v>
      </c>
      <c r="Q35" s="52">
        <v>270</v>
      </c>
      <c r="R35" s="25">
        <f t="shared" si="9"/>
        <v>11.48</v>
      </c>
      <c r="S35" s="53">
        <f t="shared" si="10"/>
        <v>8</v>
      </c>
      <c r="T35" s="52">
        <v>278</v>
      </c>
      <c r="U35" s="25">
        <f t="shared" si="11"/>
        <v>23.84</v>
      </c>
      <c r="V35" s="53">
        <f t="shared" si="12"/>
        <v>6</v>
      </c>
      <c r="W35" s="54">
        <v>284</v>
      </c>
      <c r="X35" s="25">
        <f t="shared" si="13"/>
        <v>17.851199999999999</v>
      </c>
    </row>
    <row r="36" spans="1:24" x14ac:dyDescent="0.25">
      <c r="A36" s="17" t="s">
        <v>1687</v>
      </c>
      <c r="B36" s="51">
        <v>361.59</v>
      </c>
      <c r="C36" s="51">
        <f t="shared" si="0"/>
        <v>13.710000000000036</v>
      </c>
      <c r="D36" s="51">
        <v>375.3</v>
      </c>
      <c r="E36" s="51">
        <f t="shared" si="1"/>
        <v>12.819999999999993</v>
      </c>
      <c r="F36" s="51">
        <v>388.12</v>
      </c>
      <c r="G36" s="51">
        <f t="shared" si="2"/>
        <v>13.100999999999999</v>
      </c>
      <c r="H36" s="52">
        <v>401.221</v>
      </c>
      <c r="I36" s="25">
        <f t="shared" si="3"/>
        <v>48.92</v>
      </c>
      <c r="J36" s="51">
        <f t="shared" si="4"/>
        <v>12.512</v>
      </c>
      <c r="K36" s="52">
        <v>413.733</v>
      </c>
      <c r="L36" s="25">
        <f t="shared" si="5"/>
        <v>51.98</v>
      </c>
      <c r="M36" s="51">
        <f t="shared" si="6"/>
        <v>9.2350000000000136</v>
      </c>
      <c r="N36" s="52">
        <v>422.96800000000002</v>
      </c>
      <c r="O36" s="25">
        <f t="shared" si="7"/>
        <v>58.97</v>
      </c>
      <c r="P36" s="51">
        <f t="shared" si="8"/>
        <v>10.031999999999982</v>
      </c>
      <c r="Q36" s="52">
        <v>433</v>
      </c>
      <c r="R36" s="25">
        <f t="shared" si="9"/>
        <v>28.8</v>
      </c>
      <c r="S36" s="53">
        <f t="shared" si="10"/>
        <v>15.637</v>
      </c>
      <c r="T36" s="52">
        <v>448.637</v>
      </c>
      <c r="U36" s="25">
        <f t="shared" si="11"/>
        <v>46.6</v>
      </c>
      <c r="V36" s="53">
        <f t="shared" si="12"/>
        <v>13.363</v>
      </c>
      <c r="W36" s="54">
        <v>462</v>
      </c>
      <c r="X36" s="25">
        <f t="shared" si="13"/>
        <v>39.757597599999997</v>
      </c>
    </row>
    <row r="37" spans="1:24" x14ac:dyDescent="0.25">
      <c r="A37" s="17" t="s">
        <v>1834</v>
      </c>
      <c r="B37" s="51">
        <v>260</v>
      </c>
      <c r="C37" s="51">
        <f t="shared" si="0"/>
        <v>13</v>
      </c>
      <c r="D37" s="51">
        <v>273</v>
      </c>
      <c r="E37" s="51">
        <f t="shared" si="1"/>
        <v>4</v>
      </c>
      <c r="F37" s="51">
        <v>277</v>
      </c>
      <c r="G37" s="51">
        <f t="shared" si="2"/>
        <v>8</v>
      </c>
      <c r="H37" s="52">
        <v>285</v>
      </c>
      <c r="I37" s="25">
        <f t="shared" si="3"/>
        <v>29.87</v>
      </c>
      <c r="J37" s="51">
        <f t="shared" si="4"/>
        <v>5</v>
      </c>
      <c r="K37" s="52">
        <v>290</v>
      </c>
      <c r="L37" s="25">
        <f t="shared" si="5"/>
        <v>20.77</v>
      </c>
      <c r="M37" s="51">
        <f t="shared" si="6"/>
        <v>1</v>
      </c>
      <c r="N37" s="52">
        <v>291</v>
      </c>
      <c r="O37" s="25">
        <f t="shared" si="7"/>
        <v>6.39</v>
      </c>
      <c r="P37" s="51">
        <f t="shared" si="8"/>
        <v>6</v>
      </c>
      <c r="Q37" s="52">
        <v>297</v>
      </c>
      <c r="R37" s="25">
        <f t="shared" si="9"/>
        <v>17.22</v>
      </c>
      <c r="S37" s="53">
        <f t="shared" si="10"/>
        <v>2</v>
      </c>
      <c r="T37" s="52">
        <v>299</v>
      </c>
      <c r="U37" s="25">
        <f t="shared" si="11"/>
        <v>5.96</v>
      </c>
      <c r="V37" s="53">
        <f t="shared" si="12"/>
        <v>16</v>
      </c>
      <c r="W37" s="54">
        <v>315</v>
      </c>
      <c r="X37" s="25">
        <f t="shared" si="13"/>
        <v>47.603200000000001</v>
      </c>
    </row>
    <row r="38" spans="1:24" x14ac:dyDescent="0.25">
      <c r="A38" s="17" t="s">
        <v>1954</v>
      </c>
      <c r="B38" s="51">
        <v>337</v>
      </c>
      <c r="C38" s="51">
        <f t="shared" si="0"/>
        <v>4</v>
      </c>
      <c r="D38" s="51">
        <v>341</v>
      </c>
      <c r="E38" s="51">
        <f t="shared" si="1"/>
        <v>4</v>
      </c>
      <c r="F38" s="51">
        <v>345</v>
      </c>
      <c r="G38" s="51">
        <f t="shared" si="2"/>
        <v>3</v>
      </c>
      <c r="H38" s="52">
        <v>348</v>
      </c>
      <c r="I38" s="25">
        <f t="shared" si="3"/>
        <v>11.2</v>
      </c>
      <c r="J38" s="51">
        <f t="shared" si="4"/>
        <v>3</v>
      </c>
      <c r="K38" s="52">
        <v>351</v>
      </c>
      <c r="L38" s="25">
        <f t="shared" si="5"/>
        <v>12.46</v>
      </c>
      <c r="M38" s="51">
        <f t="shared" si="6"/>
        <v>3</v>
      </c>
      <c r="N38" s="52">
        <v>354</v>
      </c>
      <c r="O38" s="25">
        <f t="shared" si="7"/>
        <v>19.16</v>
      </c>
      <c r="P38" s="51">
        <f t="shared" si="8"/>
        <v>3</v>
      </c>
      <c r="Q38" s="52">
        <v>357</v>
      </c>
      <c r="R38" s="25">
        <f t="shared" si="9"/>
        <v>8.61</v>
      </c>
      <c r="S38" s="53">
        <f t="shared" si="10"/>
        <v>4</v>
      </c>
      <c r="T38" s="52">
        <v>361</v>
      </c>
      <c r="U38" s="25">
        <f t="shared" si="11"/>
        <v>11.92</v>
      </c>
      <c r="V38" s="53">
        <f t="shared" si="12"/>
        <v>4</v>
      </c>
      <c r="W38" s="54">
        <v>365</v>
      </c>
      <c r="X38" s="25">
        <f t="shared" si="13"/>
        <v>11.9008</v>
      </c>
    </row>
    <row r="39" spans="1:24" x14ac:dyDescent="0.25">
      <c r="A39" s="17" t="s">
        <v>1705</v>
      </c>
      <c r="B39" s="51">
        <v>345</v>
      </c>
      <c r="C39" s="51">
        <f t="shared" si="0"/>
        <v>10</v>
      </c>
      <c r="D39" s="51">
        <v>355</v>
      </c>
      <c r="E39" s="51">
        <f t="shared" si="1"/>
        <v>9</v>
      </c>
      <c r="F39" s="51">
        <v>364</v>
      </c>
      <c r="G39" s="51">
        <f t="shared" si="2"/>
        <v>8</v>
      </c>
      <c r="H39" s="52">
        <v>372</v>
      </c>
      <c r="I39" s="25">
        <f t="shared" si="3"/>
        <v>29.87</v>
      </c>
      <c r="J39" s="51">
        <f t="shared" si="4"/>
        <v>11</v>
      </c>
      <c r="K39" s="52">
        <v>383</v>
      </c>
      <c r="L39" s="25">
        <f t="shared" si="5"/>
        <v>45.7</v>
      </c>
      <c r="M39" s="51">
        <f t="shared" si="6"/>
        <v>6</v>
      </c>
      <c r="N39" s="52">
        <v>389</v>
      </c>
      <c r="O39" s="25">
        <f t="shared" si="7"/>
        <v>38.31</v>
      </c>
      <c r="P39" s="51">
        <f t="shared" si="8"/>
        <v>9</v>
      </c>
      <c r="Q39" s="52">
        <v>398</v>
      </c>
      <c r="R39" s="25">
        <f t="shared" si="9"/>
        <v>25.83</v>
      </c>
      <c r="S39" s="53">
        <f t="shared" si="10"/>
        <v>9</v>
      </c>
      <c r="T39" s="52">
        <v>407</v>
      </c>
      <c r="U39" s="25">
        <f t="shared" si="11"/>
        <v>26.82</v>
      </c>
      <c r="V39" s="53">
        <f t="shared" si="12"/>
        <v>7</v>
      </c>
      <c r="W39" s="54">
        <v>414</v>
      </c>
      <c r="X39" s="25">
        <f t="shared" si="13"/>
        <v>20.8264</v>
      </c>
    </row>
    <row r="40" spans="1:24" x14ac:dyDescent="0.25">
      <c r="A40" s="17" t="s">
        <v>1684</v>
      </c>
      <c r="B40" s="51">
        <v>54</v>
      </c>
      <c r="C40" s="51">
        <f t="shared" si="0"/>
        <v>6</v>
      </c>
      <c r="D40" s="51">
        <v>60</v>
      </c>
      <c r="E40" s="51">
        <f t="shared" si="1"/>
        <v>3</v>
      </c>
      <c r="F40" s="51">
        <v>63</v>
      </c>
      <c r="G40" s="51">
        <f t="shared" si="2"/>
        <v>7</v>
      </c>
      <c r="H40" s="52">
        <v>70</v>
      </c>
      <c r="I40" s="25">
        <f t="shared" si="3"/>
        <v>26.14</v>
      </c>
      <c r="J40" s="51">
        <f t="shared" si="4"/>
        <v>5</v>
      </c>
      <c r="K40" s="52">
        <v>75</v>
      </c>
      <c r="L40" s="25">
        <f t="shared" si="5"/>
        <v>20.77</v>
      </c>
      <c r="M40" s="51">
        <f t="shared" si="6"/>
        <v>4</v>
      </c>
      <c r="N40" s="52">
        <v>79</v>
      </c>
      <c r="O40" s="25">
        <f t="shared" si="7"/>
        <v>25.54</v>
      </c>
      <c r="P40" s="51">
        <f t="shared" si="8"/>
        <v>4</v>
      </c>
      <c r="Q40" s="52">
        <v>83</v>
      </c>
      <c r="R40" s="25">
        <f t="shared" si="9"/>
        <v>11.48</v>
      </c>
      <c r="S40" s="53">
        <f t="shared" si="10"/>
        <v>6</v>
      </c>
      <c r="T40" s="52">
        <v>89</v>
      </c>
      <c r="U40" s="25">
        <f t="shared" si="11"/>
        <v>17.88</v>
      </c>
      <c r="V40" s="53">
        <f t="shared" si="12"/>
        <v>5</v>
      </c>
      <c r="W40" s="54">
        <v>94</v>
      </c>
      <c r="X40" s="25">
        <f t="shared" si="13"/>
        <v>14.876000000000001</v>
      </c>
    </row>
    <row r="41" spans="1:24" x14ac:dyDescent="0.25">
      <c r="A41" s="17" t="s">
        <v>1940</v>
      </c>
      <c r="B41" s="51">
        <v>367.34</v>
      </c>
      <c r="C41" s="51">
        <f t="shared" si="0"/>
        <v>18.53000000000003</v>
      </c>
      <c r="D41" s="51">
        <v>385.87</v>
      </c>
      <c r="E41" s="51">
        <f t="shared" si="1"/>
        <v>17.019999999999982</v>
      </c>
      <c r="F41" s="51">
        <v>402.89</v>
      </c>
      <c r="G41" s="51">
        <f t="shared" si="2"/>
        <v>20.235000000000014</v>
      </c>
      <c r="H41" s="52">
        <v>423.125</v>
      </c>
      <c r="I41" s="25">
        <f t="shared" si="3"/>
        <v>75.56</v>
      </c>
      <c r="J41" s="51">
        <f t="shared" si="4"/>
        <v>17.375</v>
      </c>
      <c r="K41" s="52">
        <v>440.5</v>
      </c>
      <c r="L41" s="25">
        <f t="shared" si="5"/>
        <v>72.19</v>
      </c>
      <c r="M41" s="51">
        <f t="shared" si="6"/>
        <v>11.533000000000015</v>
      </c>
      <c r="N41" s="52">
        <v>452.03300000000002</v>
      </c>
      <c r="O41" s="25">
        <f t="shared" si="7"/>
        <v>73.650000000000006</v>
      </c>
      <c r="P41" s="51">
        <f t="shared" si="8"/>
        <v>13.966999999999985</v>
      </c>
      <c r="Q41" s="52">
        <v>466</v>
      </c>
      <c r="R41" s="25">
        <f t="shared" si="9"/>
        <v>40.090000000000003</v>
      </c>
      <c r="S41" s="53">
        <f t="shared" si="10"/>
        <v>19.141999999999996</v>
      </c>
      <c r="T41" s="52">
        <v>485.142</v>
      </c>
      <c r="U41" s="25">
        <f t="shared" si="11"/>
        <v>57.04</v>
      </c>
      <c r="V41" s="53">
        <f t="shared" si="12"/>
        <v>11.858000000000004</v>
      </c>
      <c r="W41" s="54">
        <v>497</v>
      </c>
      <c r="X41" s="25">
        <f t="shared" si="13"/>
        <v>35.279921600000016</v>
      </c>
    </row>
    <row r="42" spans="1:24" x14ac:dyDescent="0.25">
      <c r="A42" s="17" t="s">
        <v>1690</v>
      </c>
      <c r="B42" s="51">
        <v>242</v>
      </c>
      <c r="C42" s="51">
        <f t="shared" si="0"/>
        <v>1</v>
      </c>
      <c r="D42" s="51">
        <v>243</v>
      </c>
      <c r="E42" s="51">
        <f t="shared" si="1"/>
        <v>6</v>
      </c>
      <c r="F42" s="51">
        <v>249</v>
      </c>
      <c r="G42" s="51">
        <f t="shared" si="2"/>
        <v>0</v>
      </c>
      <c r="H42" s="52">
        <v>249</v>
      </c>
      <c r="I42" s="25">
        <f t="shared" si="3"/>
        <v>0</v>
      </c>
      <c r="J42" s="51">
        <f t="shared" si="4"/>
        <v>0</v>
      </c>
      <c r="K42" s="52">
        <v>249</v>
      </c>
      <c r="L42" s="25">
        <f t="shared" si="5"/>
        <v>0</v>
      </c>
      <c r="M42" s="51">
        <f t="shared" si="6"/>
        <v>0</v>
      </c>
      <c r="N42" s="52">
        <v>249</v>
      </c>
      <c r="O42" s="25">
        <f t="shared" si="7"/>
        <v>0</v>
      </c>
      <c r="P42" s="51">
        <f t="shared" si="8"/>
        <v>1</v>
      </c>
      <c r="Q42" s="52">
        <v>250</v>
      </c>
      <c r="R42" s="25">
        <f t="shared" si="9"/>
        <v>2.87</v>
      </c>
      <c r="S42" s="53">
        <f t="shared" si="10"/>
        <v>1</v>
      </c>
      <c r="T42" s="52">
        <v>251</v>
      </c>
      <c r="U42" s="25">
        <f t="shared" si="11"/>
        <v>2.98</v>
      </c>
      <c r="V42" s="53">
        <f t="shared" si="12"/>
        <v>2</v>
      </c>
      <c r="W42" s="54">
        <v>253</v>
      </c>
      <c r="X42" s="25">
        <f t="shared" si="13"/>
        <v>5.9504000000000001</v>
      </c>
    </row>
    <row r="43" spans="1:24" x14ac:dyDescent="0.25">
      <c r="A43" s="17" t="s">
        <v>1592</v>
      </c>
      <c r="B43" s="51">
        <v>266</v>
      </c>
      <c r="C43" s="51">
        <f t="shared" si="0"/>
        <v>4</v>
      </c>
      <c r="D43" s="51">
        <v>270</v>
      </c>
      <c r="E43" s="51">
        <f t="shared" si="1"/>
        <v>17</v>
      </c>
      <c r="F43" s="51">
        <v>287</v>
      </c>
      <c r="G43" s="51">
        <f t="shared" si="2"/>
        <v>13</v>
      </c>
      <c r="H43" s="52">
        <v>300</v>
      </c>
      <c r="I43" s="25">
        <f t="shared" si="3"/>
        <v>48.54</v>
      </c>
      <c r="J43" s="51">
        <f t="shared" si="4"/>
        <v>12</v>
      </c>
      <c r="K43" s="52">
        <v>312</v>
      </c>
      <c r="L43" s="25">
        <f t="shared" si="5"/>
        <v>49.86</v>
      </c>
      <c r="M43" s="51">
        <f t="shared" si="6"/>
        <v>10</v>
      </c>
      <c r="N43" s="52">
        <v>322</v>
      </c>
      <c r="O43" s="25">
        <f t="shared" si="7"/>
        <v>63.86</v>
      </c>
      <c r="P43" s="51">
        <f t="shared" si="8"/>
        <v>10</v>
      </c>
      <c r="Q43" s="52">
        <v>332</v>
      </c>
      <c r="R43" s="25">
        <f t="shared" si="9"/>
        <v>28.7</v>
      </c>
      <c r="S43" s="53">
        <f t="shared" si="10"/>
        <v>11</v>
      </c>
      <c r="T43" s="52">
        <v>343</v>
      </c>
      <c r="U43" s="25">
        <f t="shared" si="11"/>
        <v>32.78</v>
      </c>
      <c r="V43" s="53">
        <f t="shared" si="12"/>
        <v>11</v>
      </c>
      <c r="W43" s="54">
        <v>354</v>
      </c>
      <c r="X43" s="25">
        <f t="shared" si="13"/>
        <v>32.727200000000003</v>
      </c>
    </row>
    <row r="44" spans="1:24" x14ac:dyDescent="0.25">
      <c r="A44" s="17" t="s">
        <v>1840</v>
      </c>
      <c r="B44" s="51">
        <v>86</v>
      </c>
      <c r="C44" s="51">
        <f t="shared" si="0"/>
        <v>1</v>
      </c>
      <c r="D44" s="51">
        <v>87</v>
      </c>
      <c r="E44" s="51">
        <f t="shared" si="1"/>
        <v>0</v>
      </c>
      <c r="F44" s="51">
        <v>87</v>
      </c>
      <c r="G44" s="51">
        <f t="shared" si="2"/>
        <v>5</v>
      </c>
      <c r="H44" s="52">
        <v>92</v>
      </c>
      <c r="I44" s="25">
        <f t="shared" si="3"/>
        <v>18.670000000000002</v>
      </c>
      <c r="J44" s="51">
        <f t="shared" si="4"/>
        <v>4</v>
      </c>
      <c r="K44" s="52">
        <v>96</v>
      </c>
      <c r="L44" s="25">
        <f t="shared" si="5"/>
        <v>16.62</v>
      </c>
      <c r="M44" s="51">
        <f t="shared" si="6"/>
        <v>2</v>
      </c>
      <c r="N44" s="52">
        <v>98</v>
      </c>
      <c r="O44" s="25">
        <f t="shared" si="7"/>
        <v>12.77</v>
      </c>
      <c r="P44" s="51">
        <f t="shared" si="8"/>
        <v>4</v>
      </c>
      <c r="Q44" s="52">
        <v>102</v>
      </c>
      <c r="R44" s="25">
        <f t="shared" si="9"/>
        <v>11.48</v>
      </c>
      <c r="S44" s="53">
        <f t="shared" si="10"/>
        <v>3</v>
      </c>
      <c r="T44" s="52">
        <v>105</v>
      </c>
      <c r="U44" s="25">
        <f t="shared" si="11"/>
        <v>8.94</v>
      </c>
      <c r="V44" s="53">
        <f t="shared" si="12"/>
        <v>3</v>
      </c>
      <c r="W44" s="54">
        <v>108</v>
      </c>
      <c r="X44" s="25">
        <f t="shared" si="13"/>
        <v>8.9255999999999993</v>
      </c>
    </row>
    <row r="45" spans="1:24" x14ac:dyDescent="0.25">
      <c r="A45" s="17" t="s">
        <v>1644</v>
      </c>
      <c r="B45" s="51">
        <v>7</v>
      </c>
      <c r="C45" s="51">
        <f t="shared" si="0"/>
        <v>1</v>
      </c>
      <c r="D45" s="51">
        <v>8</v>
      </c>
      <c r="E45" s="51">
        <f t="shared" si="1"/>
        <v>2</v>
      </c>
      <c r="F45" s="51">
        <v>10</v>
      </c>
      <c r="G45" s="51">
        <f t="shared" si="2"/>
        <v>2</v>
      </c>
      <c r="H45" s="52">
        <v>12</v>
      </c>
      <c r="I45" s="25">
        <f t="shared" si="3"/>
        <v>7.47</v>
      </c>
      <c r="J45" s="51">
        <f t="shared" si="4"/>
        <v>1</v>
      </c>
      <c r="K45" s="52">
        <v>13</v>
      </c>
      <c r="L45" s="25">
        <f t="shared" si="5"/>
        <v>4.1500000000000004</v>
      </c>
      <c r="M45" s="51">
        <f t="shared" si="6"/>
        <v>2</v>
      </c>
      <c r="N45" s="52">
        <v>15</v>
      </c>
      <c r="O45" s="25">
        <f t="shared" si="7"/>
        <v>12.77</v>
      </c>
      <c r="P45" s="51">
        <f t="shared" si="8"/>
        <v>1</v>
      </c>
      <c r="Q45" s="52">
        <v>16</v>
      </c>
      <c r="R45" s="25">
        <f t="shared" si="9"/>
        <v>2.87</v>
      </c>
      <c r="S45" s="53">
        <f t="shared" si="10"/>
        <v>1</v>
      </c>
      <c r="T45" s="52">
        <v>17</v>
      </c>
      <c r="U45" s="25">
        <f t="shared" si="11"/>
        <v>2.98</v>
      </c>
      <c r="V45" s="53">
        <f t="shared" si="12"/>
        <v>1</v>
      </c>
      <c r="W45" s="54">
        <v>18</v>
      </c>
      <c r="X45" s="25">
        <f t="shared" si="13"/>
        <v>2.9752000000000001</v>
      </c>
    </row>
    <row r="46" spans="1:24" x14ac:dyDescent="0.25">
      <c r="A46" s="17" t="s">
        <v>1628</v>
      </c>
      <c r="B46" s="51">
        <v>216.65</v>
      </c>
      <c r="C46" s="51">
        <f t="shared" si="0"/>
        <v>6.1699999999999875</v>
      </c>
      <c r="D46" s="51">
        <v>222.82</v>
      </c>
      <c r="E46" s="51">
        <f t="shared" si="1"/>
        <v>4.960000000000008</v>
      </c>
      <c r="F46" s="51">
        <v>227.78</v>
      </c>
      <c r="G46" s="51">
        <f t="shared" si="2"/>
        <v>8.0200000000000102</v>
      </c>
      <c r="H46" s="52">
        <v>235.8</v>
      </c>
      <c r="I46" s="25">
        <f t="shared" si="3"/>
        <v>29.95</v>
      </c>
      <c r="J46" s="51">
        <f t="shared" si="4"/>
        <v>5.7329999999999757</v>
      </c>
      <c r="K46" s="52">
        <v>241.53299999999999</v>
      </c>
      <c r="L46" s="25">
        <f t="shared" si="5"/>
        <v>23.82</v>
      </c>
      <c r="M46" s="51">
        <f t="shared" si="6"/>
        <v>4.2800000000000011</v>
      </c>
      <c r="N46" s="52">
        <v>245.81299999999999</v>
      </c>
      <c r="O46" s="25">
        <f t="shared" si="7"/>
        <v>27.33</v>
      </c>
      <c r="P46" s="51">
        <f t="shared" si="8"/>
        <v>5.1870000000000118</v>
      </c>
      <c r="Q46" s="52">
        <v>251</v>
      </c>
      <c r="R46" s="25">
        <f t="shared" si="9"/>
        <v>14.89</v>
      </c>
      <c r="S46" s="53">
        <f t="shared" si="10"/>
        <v>6.5110000000000241</v>
      </c>
      <c r="T46" s="52">
        <v>257.51100000000002</v>
      </c>
      <c r="U46" s="25">
        <f t="shared" si="11"/>
        <v>19.399999999999999</v>
      </c>
      <c r="V46" s="53">
        <f t="shared" si="12"/>
        <v>5.4889999999999759</v>
      </c>
      <c r="W46" s="54">
        <v>263</v>
      </c>
      <c r="X46" s="25">
        <f t="shared" si="13"/>
        <v>16.330872799999927</v>
      </c>
    </row>
    <row r="47" spans="1:24" x14ac:dyDescent="0.25">
      <c r="A47" s="17" t="s">
        <v>1811</v>
      </c>
      <c r="B47" s="51">
        <v>185</v>
      </c>
      <c r="C47" s="51">
        <f t="shared" si="0"/>
        <v>3</v>
      </c>
      <c r="D47" s="51">
        <v>188</v>
      </c>
      <c r="E47" s="51">
        <f t="shared" si="1"/>
        <v>4</v>
      </c>
      <c r="F47" s="51">
        <v>192</v>
      </c>
      <c r="G47" s="51">
        <f t="shared" si="2"/>
        <v>5</v>
      </c>
      <c r="H47" s="52">
        <v>197</v>
      </c>
      <c r="I47" s="25">
        <f t="shared" si="3"/>
        <v>18.670000000000002</v>
      </c>
      <c r="J47" s="51">
        <f t="shared" si="4"/>
        <v>5</v>
      </c>
      <c r="K47" s="52">
        <v>202</v>
      </c>
      <c r="L47" s="25">
        <f t="shared" si="5"/>
        <v>20.77</v>
      </c>
      <c r="M47" s="51">
        <f t="shared" si="6"/>
        <v>3</v>
      </c>
      <c r="N47" s="52">
        <v>205</v>
      </c>
      <c r="O47" s="25">
        <f t="shared" si="7"/>
        <v>19.16</v>
      </c>
      <c r="P47" s="51">
        <f t="shared" si="8"/>
        <v>5</v>
      </c>
      <c r="Q47" s="52">
        <v>210</v>
      </c>
      <c r="R47" s="25">
        <f t="shared" si="9"/>
        <v>14.35</v>
      </c>
      <c r="S47" s="53">
        <f t="shared" si="10"/>
        <v>6</v>
      </c>
      <c r="T47" s="52">
        <v>216</v>
      </c>
      <c r="U47" s="25">
        <f t="shared" si="11"/>
        <v>17.88</v>
      </c>
      <c r="V47" s="53">
        <f t="shared" si="12"/>
        <v>5</v>
      </c>
      <c r="W47" s="54">
        <v>221</v>
      </c>
      <c r="X47" s="25">
        <f t="shared" si="13"/>
        <v>14.876000000000001</v>
      </c>
    </row>
    <row r="48" spans="1:24" x14ac:dyDescent="0.25">
      <c r="A48" s="17" t="s">
        <v>1899</v>
      </c>
      <c r="B48" s="51">
        <v>78.34</v>
      </c>
      <c r="C48" s="51">
        <f t="shared" si="0"/>
        <v>0.70000000000000284</v>
      </c>
      <c r="D48" s="51">
        <v>79.040000000000006</v>
      </c>
      <c r="E48" s="51">
        <f t="shared" si="1"/>
        <v>0.35999999999999943</v>
      </c>
      <c r="F48" s="51">
        <v>79.400000000000006</v>
      </c>
      <c r="G48" s="51">
        <f t="shared" si="2"/>
        <v>0.2879999999999967</v>
      </c>
      <c r="H48" s="52">
        <v>79.688000000000002</v>
      </c>
      <c r="I48" s="25">
        <f t="shared" si="3"/>
        <v>1.08</v>
      </c>
      <c r="J48" s="51">
        <f t="shared" si="4"/>
        <v>2.1189999999999998</v>
      </c>
      <c r="K48" s="52">
        <v>81.807000000000002</v>
      </c>
      <c r="L48" s="25">
        <f t="shared" si="5"/>
        <v>8.8000000000000007</v>
      </c>
      <c r="M48" s="51">
        <f t="shared" si="6"/>
        <v>0.95199999999999818</v>
      </c>
      <c r="N48" s="52">
        <v>82.759</v>
      </c>
      <c r="O48" s="25">
        <f t="shared" si="7"/>
        <v>6.08</v>
      </c>
      <c r="P48" s="51">
        <f t="shared" si="8"/>
        <v>0.24099999999999966</v>
      </c>
      <c r="Q48" s="52">
        <v>83</v>
      </c>
      <c r="R48" s="25">
        <f t="shared" si="9"/>
        <v>0.69</v>
      </c>
      <c r="S48" s="53">
        <f t="shared" si="10"/>
        <v>1.9879999999999995</v>
      </c>
      <c r="T48" s="52">
        <v>84.988</v>
      </c>
      <c r="U48" s="25">
        <f t="shared" si="11"/>
        <v>5.92</v>
      </c>
      <c r="V48" s="53">
        <f t="shared" si="12"/>
        <v>1.0120000000000005</v>
      </c>
      <c r="W48" s="54">
        <v>86</v>
      </c>
      <c r="X48" s="25">
        <f t="shared" si="13"/>
        <v>3.0109024000000013</v>
      </c>
    </row>
    <row r="49" spans="1:24" x14ac:dyDescent="0.25">
      <c r="A49" s="17" t="s">
        <v>1666</v>
      </c>
      <c r="B49" s="51">
        <v>137</v>
      </c>
      <c r="C49" s="51">
        <f t="shared" si="0"/>
        <v>2</v>
      </c>
      <c r="D49" s="51">
        <v>139</v>
      </c>
      <c r="E49" s="51">
        <f t="shared" si="1"/>
        <v>0</v>
      </c>
      <c r="F49" s="51">
        <v>139</v>
      </c>
      <c r="G49" s="51">
        <f t="shared" si="2"/>
        <v>1</v>
      </c>
      <c r="H49" s="52">
        <v>140</v>
      </c>
      <c r="I49" s="25">
        <f t="shared" si="3"/>
        <v>3.73</v>
      </c>
      <c r="J49" s="51">
        <f t="shared" si="4"/>
        <v>1</v>
      </c>
      <c r="K49" s="52">
        <v>141</v>
      </c>
      <c r="L49" s="25">
        <f t="shared" si="5"/>
        <v>4.1500000000000004</v>
      </c>
      <c r="M49" s="51">
        <f t="shared" si="6"/>
        <v>1</v>
      </c>
      <c r="N49" s="52">
        <v>142</v>
      </c>
      <c r="O49" s="25">
        <f t="shared" si="7"/>
        <v>6.39</v>
      </c>
      <c r="P49" s="51">
        <f t="shared" si="8"/>
        <v>0</v>
      </c>
      <c r="Q49" s="52">
        <v>142</v>
      </c>
      <c r="R49" s="25">
        <f t="shared" si="9"/>
        <v>0</v>
      </c>
      <c r="S49" s="53">
        <f t="shared" si="10"/>
        <v>3</v>
      </c>
      <c r="T49" s="52">
        <v>145</v>
      </c>
      <c r="U49" s="25">
        <f t="shared" si="11"/>
        <v>8.94</v>
      </c>
      <c r="V49" s="53">
        <f t="shared" si="12"/>
        <v>4</v>
      </c>
      <c r="W49" s="54">
        <v>149</v>
      </c>
      <c r="X49" s="25">
        <f t="shared" si="13"/>
        <v>11.9008</v>
      </c>
    </row>
    <row r="50" spans="1:24" x14ac:dyDescent="0.25">
      <c r="A50" s="17" t="s">
        <v>2003</v>
      </c>
      <c r="B50" s="51">
        <v>297</v>
      </c>
      <c r="C50" s="51">
        <f t="shared" si="0"/>
        <v>6</v>
      </c>
      <c r="D50" s="51">
        <v>303</v>
      </c>
      <c r="E50" s="51">
        <f t="shared" si="1"/>
        <v>8</v>
      </c>
      <c r="F50" s="51">
        <v>311</v>
      </c>
      <c r="G50" s="51">
        <f t="shared" si="2"/>
        <v>8</v>
      </c>
      <c r="H50" s="52">
        <v>319</v>
      </c>
      <c r="I50" s="25">
        <f t="shared" si="3"/>
        <v>29.87</v>
      </c>
      <c r="J50" s="51">
        <f t="shared" si="4"/>
        <v>7</v>
      </c>
      <c r="K50" s="52">
        <v>326</v>
      </c>
      <c r="L50" s="25">
        <f t="shared" si="5"/>
        <v>29.08</v>
      </c>
      <c r="M50" s="51">
        <f t="shared" si="6"/>
        <v>5</v>
      </c>
      <c r="N50" s="52">
        <v>331</v>
      </c>
      <c r="O50" s="25">
        <f t="shared" si="7"/>
        <v>31.93</v>
      </c>
      <c r="P50" s="51">
        <f t="shared" si="8"/>
        <v>8</v>
      </c>
      <c r="Q50" s="52">
        <v>339</v>
      </c>
      <c r="R50" s="25">
        <f t="shared" si="9"/>
        <v>22.96</v>
      </c>
      <c r="S50" s="53">
        <f t="shared" si="10"/>
        <v>8</v>
      </c>
      <c r="T50" s="52">
        <v>347</v>
      </c>
      <c r="U50" s="25">
        <f t="shared" si="11"/>
        <v>23.84</v>
      </c>
      <c r="V50" s="53">
        <f t="shared" si="12"/>
        <v>8</v>
      </c>
      <c r="W50" s="54">
        <v>355</v>
      </c>
      <c r="X50" s="25">
        <f t="shared" si="13"/>
        <v>23.801600000000001</v>
      </c>
    </row>
    <row r="51" spans="1:24" x14ac:dyDescent="0.25">
      <c r="A51" s="17" t="s">
        <v>1623</v>
      </c>
      <c r="B51" s="51">
        <v>209</v>
      </c>
      <c r="C51" s="51">
        <f t="shared" si="0"/>
        <v>7</v>
      </c>
      <c r="D51" s="51">
        <v>216</v>
      </c>
      <c r="E51" s="51">
        <f t="shared" si="1"/>
        <v>6</v>
      </c>
      <c r="F51" s="51">
        <v>222</v>
      </c>
      <c r="G51" s="51">
        <f t="shared" si="2"/>
        <v>8</v>
      </c>
      <c r="H51" s="52">
        <v>230</v>
      </c>
      <c r="I51" s="25">
        <f t="shared" si="3"/>
        <v>29.87</v>
      </c>
      <c r="J51" s="51">
        <f t="shared" si="4"/>
        <v>6</v>
      </c>
      <c r="K51" s="52">
        <v>236</v>
      </c>
      <c r="L51" s="25">
        <f t="shared" si="5"/>
        <v>24.93</v>
      </c>
      <c r="M51" s="51">
        <f t="shared" si="6"/>
        <v>4</v>
      </c>
      <c r="N51" s="52">
        <v>240</v>
      </c>
      <c r="O51" s="25">
        <f t="shared" si="7"/>
        <v>25.54</v>
      </c>
      <c r="P51" s="51">
        <f t="shared" si="8"/>
        <v>5</v>
      </c>
      <c r="Q51" s="52">
        <v>245</v>
      </c>
      <c r="R51" s="25">
        <f t="shared" si="9"/>
        <v>14.35</v>
      </c>
      <c r="S51" s="53">
        <f t="shared" si="10"/>
        <v>7</v>
      </c>
      <c r="T51" s="52">
        <v>252</v>
      </c>
      <c r="U51" s="25">
        <f t="shared" si="11"/>
        <v>20.86</v>
      </c>
      <c r="V51" s="53">
        <f t="shared" si="12"/>
        <v>7</v>
      </c>
      <c r="W51" s="54">
        <v>259</v>
      </c>
      <c r="X51" s="25">
        <f t="shared" si="13"/>
        <v>20.8264</v>
      </c>
    </row>
    <row r="52" spans="1:24" x14ac:dyDescent="0.25">
      <c r="A52" s="17" t="s">
        <v>2045</v>
      </c>
      <c r="B52" s="51">
        <v>37</v>
      </c>
      <c r="C52" s="51">
        <f t="shared" si="0"/>
        <v>1</v>
      </c>
      <c r="D52" s="51">
        <v>38</v>
      </c>
      <c r="E52" s="51">
        <f t="shared" si="1"/>
        <v>0</v>
      </c>
      <c r="F52" s="51">
        <v>38</v>
      </c>
      <c r="G52" s="51">
        <f t="shared" si="2"/>
        <v>1</v>
      </c>
      <c r="H52" s="52">
        <v>39</v>
      </c>
      <c r="I52" s="25">
        <f t="shared" si="3"/>
        <v>3.73</v>
      </c>
      <c r="J52" s="51">
        <f t="shared" si="4"/>
        <v>0</v>
      </c>
      <c r="K52" s="52">
        <v>39</v>
      </c>
      <c r="L52" s="25">
        <f t="shared" si="5"/>
        <v>0</v>
      </c>
      <c r="M52" s="51">
        <f t="shared" si="6"/>
        <v>1</v>
      </c>
      <c r="N52" s="52">
        <v>40</v>
      </c>
      <c r="O52" s="25">
        <f t="shared" si="7"/>
        <v>6.39</v>
      </c>
      <c r="P52" s="51">
        <f t="shared" si="8"/>
        <v>1</v>
      </c>
      <c r="Q52" s="52">
        <v>41</v>
      </c>
      <c r="R52" s="25">
        <f t="shared" si="9"/>
        <v>2.87</v>
      </c>
      <c r="S52" s="53">
        <f t="shared" si="10"/>
        <v>17</v>
      </c>
      <c r="T52" s="52">
        <v>58</v>
      </c>
      <c r="U52" s="25">
        <f t="shared" si="11"/>
        <v>50.66</v>
      </c>
      <c r="V52" s="53">
        <f t="shared" si="12"/>
        <v>23</v>
      </c>
      <c r="W52" s="54">
        <v>81</v>
      </c>
      <c r="X52" s="25">
        <f t="shared" si="13"/>
        <v>68.429600000000008</v>
      </c>
    </row>
    <row r="53" spans="1:24" x14ac:dyDescent="0.25">
      <c r="A53" s="17" t="s">
        <v>2006</v>
      </c>
      <c r="B53" s="51">
        <v>289</v>
      </c>
      <c r="C53" s="51">
        <f t="shared" si="0"/>
        <v>12</v>
      </c>
      <c r="D53" s="51">
        <v>301</v>
      </c>
      <c r="E53" s="51">
        <f t="shared" si="1"/>
        <v>11</v>
      </c>
      <c r="F53" s="51">
        <v>312</v>
      </c>
      <c r="G53" s="51">
        <f t="shared" si="2"/>
        <v>11</v>
      </c>
      <c r="H53" s="52">
        <v>323</v>
      </c>
      <c r="I53" s="25">
        <f t="shared" si="3"/>
        <v>41.08</v>
      </c>
      <c r="J53" s="51">
        <f t="shared" si="4"/>
        <v>10</v>
      </c>
      <c r="K53" s="52">
        <v>333</v>
      </c>
      <c r="L53" s="25">
        <f t="shared" si="5"/>
        <v>41.55</v>
      </c>
      <c r="M53" s="51">
        <f t="shared" si="6"/>
        <v>6</v>
      </c>
      <c r="N53" s="52">
        <v>339</v>
      </c>
      <c r="O53" s="25">
        <f t="shared" si="7"/>
        <v>38.31</v>
      </c>
      <c r="P53" s="51">
        <f t="shared" si="8"/>
        <v>8</v>
      </c>
      <c r="Q53" s="52">
        <v>347</v>
      </c>
      <c r="R53" s="25">
        <f t="shared" si="9"/>
        <v>22.96</v>
      </c>
      <c r="S53" s="53">
        <f t="shared" si="10"/>
        <v>10</v>
      </c>
      <c r="T53" s="52">
        <v>357</v>
      </c>
      <c r="U53" s="25">
        <f t="shared" si="11"/>
        <v>29.8</v>
      </c>
      <c r="V53" s="53">
        <f t="shared" si="12"/>
        <v>11</v>
      </c>
      <c r="W53" s="54">
        <v>368</v>
      </c>
      <c r="X53" s="25">
        <f t="shared" si="13"/>
        <v>32.727200000000003</v>
      </c>
    </row>
    <row r="54" spans="1:24" x14ac:dyDescent="0.25">
      <c r="A54" s="17" t="s">
        <v>2091</v>
      </c>
      <c r="B54" s="51">
        <v>92</v>
      </c>
      <c r="C54" s="51">
        <f t="shared" si="0"/>
        <v>2</v>
      </c>
      <c r="D54" s="51">
        <v>94</v>
      </c>
      <c r="E54" s="51">
        <f t="shared" si="1"/>
        <v>1</v>
      </c>
      <c r="F54" s="51">
        <v>95</v>
      </c>
      <c r="G54" s="51">
        <f t="shared" si="2"/>
        <v>6</v>
      </c>
      <c r="H54" s="52">
        <v>101</v>
      </c>
      <c r="I54" s="25">
        <f t="shared" si="3"/>
        <v>22.41</v>
      </c>
      <c r="J54" s="51">
        <f t="shared" si="4"/>
        <v>2</v>
      </c>
      <c r="K54" s="52">
        <v>103</v>
      </c>
      <c r="L54" s="25">
        <f t="shared" si="5"/>
        <v>8.31</v>
      </c>
      <c r="M54" s="51">
        <f t="shared" si="6"/>
        <v>1</v>
      </c>
      <c r="N54" s="52">
        <v>104</v>
      </c>
      <c r="O54" s="25">
        <f t="shared" si="7"/>
        <v>6.39</v>
      </c>
      <c r="P54" s="51">
        <f t="shared" si="8"/>
        <v>2</v>
      </c>
      <c r="Q54" s="52">
        <v>106</v>
      </c>
      <c r="R54" s="25">
        <f t="shared" si="9"/>
        <v>5.74</v>
      </c>
      <c r="S54" s="53">
        <f t="shared" si="10"/>
        <v>1</v>
      </c>
      <c r="T54" s="52">
        <v>107</v>
      </c>
      <c r="U54" s="25">
        <f t="shared" si="11"/>
        <v>2.98</v>
      </c>
      <c r="V54" s="53">
        <f t="shared" si="12"/>
        <v>4</v>
      </c>
      <c r="W54" s="54">
        <v>111</v>
      </c>
      <c r="X54" s="25">
        <f t="shared" si="13"/>
        <v>11.9008</v>
      </c>
    </row>
    <row r="55" spans="1:24" x14ac:dyDescent="0.25">
      <c r="A55" s="17" t="s">
        <v>1869</v>
      </c>
      <c r="B55" s="51">
        <v>350</v>
      </c>
      <c r="C55" s="51">
        <f t="shared" si="0"/>
        <v>18</v>
      </c>
      <c r="D55" s="51">
        <v>368</v>
      </c>
      <c r="E55" s="51">
        <f t="shared" si="1"/>
        <v>11</v>
      </c>
      <c r="F55" s="51">
        <v>379</v>
      </c>
      <c r="G55" s="51">
        <f t="shared" si="2"/>
        <v>13</v>
      </c>
      <c r="H55" s="52">
        <v>392</v>
      </c>
      <c r="I55" s="25">
        <f t="shared" si="3"/>
        <v>48.54</v>
      </c>
      <c r="J55" s="51">
        <f t="shared" si="4"/>
        <v>13</v>
      </c>
      <c r="K55" s="52">
        <v>405</v>
      </c>
      <c r="L55" s="25">
        <f t="shared" si="5"/>
        <v>54.01</v>
      </c>
      <c r="M55" s="51">
        <f t="shared" si="6"/>
        <v>10</v>
      </c>
      <c r="N55" s="52">
        <v>415</v>
      </c>
      <c r="O55" s="25">
        <f t="shared" si="7"/>
        <v>63.86</v>
      </c>
      <c r="P55" s="51">
        <f t="shared" si="8"/>
        <v>10</v>
      </c>
      <c r="Q55" s="52">
        <v>425</v>
      </c>
      <c r="R55" s="25">
        <f t="shared" si="9"/>
        <v>28.7</v>
      </c>
      <c r="S55" s="53">
        <f t="shared" si="10"/>
        <v>19</v>
      </c>
      <c r="T55" s="52">
        <v>444</v>
      </c>
      <c r="U55" s="25">
        <f t="shared" si="11"/>
        <v>56.62</v>
      </c>
      <c r="V55" s="53">
        <f t="shared" si="12"/>
        <v>13</v>
      </c>
      <c r="W55" s="54">
        <v>457</v>
      </c>
      <c r="X55" s="25">
        <f t="shared" si="13"/>
        <v>38.677599999999998</v>
      </c>
    </row>
    <row r="56" spans="1:24" x14ac:dyDescent="0.25">
      <c r="A56" s="17" t="s">
        <v>1749</v>
      </c>
      <c r="B56" s="51">
        <v>5</v>
      </c>
      <c r="C56" s="51">
        <f t="shared" si="0"/>
        <v>0</v>
      </c>
      <c r="D56" s="51">
        <v>5</v>
      </c>
      <c r="E56" s="51">
        <f t="shared" si="1"/>
        <v>0</v>
      </c>
      <c r="F56" s="51">
        <v>5</v>
      </c>
      <c r="G56" s="51">
        <f t="shared" si="2"/>
        <v>0</v>
      </c>
      <c r="H56" s="52">
        <v>5</v>
      </c>
      <c r="I56" s="25">
        <f t="shared" si="3"/>
        <v>0</v>
      </c>
      <c r="J56" s="51">
        <f t="shared" si="4"/>
        <v>0</v>
      </c>
      <c r="K56" s="52">
        <v>5</v>
      </c>
      <c r="L56" s="25">
        <f t="shared" si="5"/>
        <v>0</v>
      </c>
      <c r="M56" s="51">
        <f t="shared" si="6"/>
        <v>0</v>
      </c>
      <c r="N56" s="52">
        <v>5</v>
      </c>
      <c r="O56" s="25">
        <f t="shared" si="7"/>
        <v>0</v>
      </c>
      <c r="P56" s="51">
        <f t="shared" si="8"/>
        <v>2</v>
      </c>
      <c r="Q56" s="52">
        <v>7</v>
      </c>
      <c r="R56" s="25">
        <f t="shared" si="9"/>
        <v>5.74</v>
      </c>
      <c r="S56" s="53">
        <f t="shared" si="10"/>
        <v>0</v>
      </c>
      <c r="T56" s="52">
        <v>7</v>
      </c>
      <c r="U56" s="25">
        <f t="shared" si="11"/>
        <v>0</v>
      </c>
      <c r="V56" s="53">
        <f t="shared" si="12"/>
        <v>0</v>
      </c>
      <c r="W56" s="54">
        <v>7</v>
      </c>
      <c r="X56" s="25">
        <f t="shared" si="13"/>
        <v>0</v>
      </c>
    </row>
    <row r="57" spans="1:24" x14ac:dyDescent="0.25">
      <c r="A57" s="17" t="s">
        <v>1875</v>
      </c>
      <c r="B57" s="51">
        <v>81</v>
      </c>
      <c r="C57" s="51">
        <f t="shared" si="0"/>
        <v>3</v>
      </c>
      <c r="D57" s="51">
        <v>84</v>
      </c>
      <c r="E57" s="51">
        <f t="shared" si="1"/>
        <v>3</v>
      </c>
      <c r="F57" s="51">
        <v>87</v>
      </c>
      <c r="G57" s="51">
        <f t="shared" si="2"/>
        <v>2</v>
      </c>
      <c r="H57" s="52">
        <v>89</v>
      </c>
      <c r="I57" s="25">
        <f t="shared" si="3"/>
        <v>7.47</v>
      </c>
      <c r="J57" s="51">
        <f t="shared" si="4"/>
        <v>3</v>
      </c>
      <c r="K57" s="52">
        <v>92</v>
      </c>
      <c r="L57" s="25">
        <f t="shared" si="5"/>
        <v>12.46</v>
      </c>
      <c r="M57" s="51">
        <f t="shared" si="6"/>
        <v>2</v>
      </c>
      <c r="N57" s="52">
        <v>94</v>
      </c>
      <c r="O57" s="25">
        <f t="shared" si="7"/>
        <v>12.77</v>
      </c>
      <c r="P57" s="51">
        <f t="shared" si="8"/>
        <v>2</v>
      </c>
      <c r="Q57" s="52">
        <v>96</v>
      </c>
      <c r="R57" s="25">
        <f t="shared" si="9"/>
        <v>5.74</v>
      </c>
      <c r="S57" s="53">
        <f t="shared" si="10"/>
        <v>3</v>
      </c>
      <c r="T57" s="52">
        <v>99</v>
      </c>
      <c r="U57" s="25">
        <f t="shared" si="11"/>
        <v>8.94</v>
      </c>
      <c r="V57" s="53">
        <f t="shared" si="12"/>
        <v>2</v>
      </c>
      <c r="W57" s="54">
        <v>101</v>
      </c>
      <c r="X57" s="25">
        <f t="shared" si="13"/>
        <v>5.9504000000000001</v>
      </c>
    </row>
    <row r="58" spans="1:24" x14ac:dyDescent="0.25">
      <c r="A58" s="17" t="s">
        <v>1607</v>
      </c>
      <c r="B58" s="51">
        <v>201.23</v>
      </c>
      <c r="C58" s="51">
        <f t="shared" si="0"/>
        <v>5.8200000000000216</v>
      </c>
      <c r="D58" s="51">
        <v>207.05</v>
      </c>
      <c r="E58" s="51">
        <f t="shared" si="1"/>
        <v>6.3100000000000023</v>
      </c>
      <c r="F58" s="51">
        <v>213.36</v>
      </c>
      <c r="G58" s="51">
        <f t="shared" si="2"/>
        <v>0</v>
      </c>
      <c r="H58" s="52">
        <v>213.36</v>
      </c>
      <c r="I58" s="25">
        <f t="shared" si="3"/>
        <v>0</v>
      </c>
      <c r="J58" s="51">
        <f t="shared" si="4"/>
        <v>12.056999999999988</v>
      </c>
      <c r="K58" s="52">
        <v>225.417</v>
      </c>
      <c r="L58" s="25">
        <f t="shared" si="5"/>
        <v>50.09</v>
      </c>
      <c r="M58" s="51">
        <f t="shared" si="6"/>
        <v>4.4370000000000118</v>
      </c>
      <c r="N58" s="52">
        <v>229.85400000000001</v>
      </c>
      <c r="O58" s="25">
        <f t="shared" si="7"/>
        <v>28.33</v>
      </c>
      <c r="P58" s="51">
        <f t="shared" si="8"/>
        <v>5.1459999999999866</v>
      </c>
      <c r="Q58" s="52">
        <v>235</v>
      </c>
      <c r="R58" s="25">
        <f t="shared" si="9"/>
        <v>14.77</v>
      </c>
      <c r="S58" s="53">
        <f t="shared" si="10"/>
        <v>6.0219999999999914</v>
      </c>
      <c r="T58" s="52">
        <v>241.02199999999999</v>
      </c>
      <c r="U58" s="25">
        <f t="shared" si="11"/>
        <v>17.940000000000001</v>
      </c>
      <c r="V58" s="53">
        <f t="shared" si="12"/>
        <v>2.9780000000000086</v>
      </c>
      <c r="W58" s="54">
        <v>244</v>
      </c>
      <c r="X58" s="25">
        <f t="shared" si="13"/>
        <v>8.8601456000000258</v>
      </c>
    </row>
    <row r="59" spans="1:24" x14ac:dyDescent="0.25">
      <c r="A59" s="17" t="s">
        <v>1887</v>
      </c>
      <c r="B59" s="51">
        <v>1.0900000000000001</v>
      </c>
      <c r="C59" s="51">
        <f t="shared" si="0"/>
        <v>0</v>
      </c>
      <c r="D59" s="51">
        <v>1.0900000000000001</v>
      </c>
      <c r="E59" s="51">
        <f t="shared" si="1"/>
        <v>0</v>
      </c>
      <c r="F59" s="51">
        <v>1.0900000000000001</v>
      </c>
      <c r="G59" s="51">
        <f t="shared" si="2"/>
        <v>0</v>
      </c>
      <c r="H59" s="52">
        <v>1.0900000000000001</v>
      </c>
      <c r="I59" s="25">
        <f t="shared" si="3"/>
        <v>0</v>
      </c>
      <c r="J59" s="51">
        <f t="shared" si="4"/>
        <v>0</v>
      </c>
      <c r="K59" s="52">
        <v>1.0900000000000001</v>
      </c>
      <c r="L59" s="25">
        <f t="shared" si="5"/>
        <v>0</v>
      </c>
      <c r="M59" s="51">
        <f t="shared" si="6"/>
        <v>0</v>
      </c>
      <c r="N59" s="52">
        <v>1.0900000000000001</v>
      </c>
      <c r="O59" s="25">
        <f t="shared" si="7"/>
        <v>0</v>
      </c>
      <c r="P59" s="51">
        <f t="shared" si="8"/>
        <v>0</v>
      </c>
      <c r="Q59" s="52">
        <v>1.0900000000000001</v>
      </c>
      <c r="R59" s="25">
        <f t="shared" si="9"/>
        <v>0</v>
      </c>
      <c r="S59" s="53">
        <f t="shared" si="10"/>
        <v>0</v>
      </c>
      <c r="T59" s="52">
        <v>1.0900000000000001</v>
      </c>
      <c r="U59" s="25">
        <f t="shared" si="11"/>
        <v>0</v>
      </c>
      <c r="V59" s="53">
        <f t="shared" si="12"/>
        <v>-9.000000000000008E-2</v>
      </c>
      <c r="W59" s="54">
        <v>1</v>
      </c>
      <c r="X59" s="25">
        <f t="shared" si="13"/>
        <v>-0.26776800000000023</v>
      </c>
    </row>
    <row r="60" spans="1:24" x14ac:dyDescent="0.25">
      <c r="A60" s="17" t="s">
        <v>1741</v>
      </c>
      <c r="B60" s="51">
        <v>378.97</v>
      </c>
      <c r="C60" s="51">
        <f t="shared" si="0"/>
        <v>11.979999999999961</v>
      </c>
      <c r="D60" s="51">
        <v>390.95</v>
      </c>
      <c r="E60" s="51">
        <f t="shared" si="1"/>
        <v>11.629999999999995</v>
      </c>
      <c r="F60" s="51">
        <v>402.58</v>
      </c>
      <c r="G60" s="51">
        <f t="shared" si="2"/>
        <v>14.38900000000001</v>
      </c>
      <c r="H60" s="52">
        <v>416.96899999999999</v>
      </c>
      <c r="I60" s="25">
        <f t="shared" si="3"/>
        <v>53.73</v>
      </c>
      <c r="J60" s="51">
        <f t="shared" si="4"/>
        <v>13.48599999999999</v>
      </c>
      <c r="K60" s="52">
        <v>430.45499999999998</v>
      </c>
      <c r="L60" s="25">
        <f t="shared" si="5"/>
        <v>56.03</v>
      </c>
      <c r="M60" s="51">
        <f t="shared" si="6"/>
        <v>8.8530000000000086</v>
      </c>
      <c r="N60" s="52">
        <v>439.30799999999999</v>
      </c>
      <c r="O60" s="25">
        <f t="shared" si="7"/>
        <v>56.53</v>
      </c>
      <c r="P60" s="51">
        <f t="shared" si="8"/>
        <v>9.6920000000000073</v>
      </c>
      <c r="Q60" s="52">
        <v>449</v>
      </c>
      <c r="R60" s="25">
        <f t="shared" si="9"/>
        <v>27.82</v>
      </c>
      <c r="S60" s="53">
        <f t="shared" si="10"/>
        <v>17.822999999999979</v>
      </c>
      <c r="T60" s="52">
        <v>466.82299999999998</v>
      </c>
      <c r="U60" s="25">
        <f t="shared" si="11"/>
        <v>53.11</v>
      </c>
      <c r="V60" s="53">
        <f t="shared" si="12"/>
        <v>13.177000000000021</v>
      </c>
      <c r="W60" s="54">
        <v>480</v>
      </c>
      <c r="X60" s="25">
        <f t="shared" si="13"/>
        <v>39.204210400000065</v>
      </c>
    </row>
    <row r="61" spans="1:24" x14ac:dyDescent="0.25">
      <c r="A61" s="17" t="s">
        <v>1814</v>
      </c>
      <c r="B61" s="51">
        <v>489</v>
      </c>
      <c r="C61" s="51">
        <f t="shared" si="0"/>
        <v>16</v>
      </c>
      <c r="D61" s="51">
        <v>505</v>
      </c>
      <c r="E61" s="51">
        <f t="shared" si="1"/>
        <v>15</v>
      </c>
      <c r="F61" s="51">
        <v>520</v>
      </c>
      <c r="G61" s="51">
        <f t="shared" si="2"/>
        <v>17</v>
      </c>
      <c r="H61" s="52">
        <v>537</v>
      </c>
      <c r="I61" s="25">
        <f t="shared" si="3"/>
        <v>63.48</v>
      </c>
      <c r="J61" s="51">
        <f t="shared" si="4"/>
        <v>16</v>
      </c>
      <c r="K61" s="52">
        <v>553</v>
      </c>
      <c r="L61" s="25">
        <f t="shared" si="5"/>
        <v>66.48</v>
      </c>
      <c r="M61" s="51">
        <f t="shared" si="6"/>
        <v>9</v>
      </c>
      <c r="N61" s="52">
        <v>562</v>
      </c>
      <c r="O61" s="25">
        <f t="shared" si="7"/>
        <v>57.47</v>
      </c>
      <c r="P61" s="51">
        <f t="shared" si="8"/>
        <v>14</v>
      </c>
      <c r="Q61" s="52">
        <v>576</v>
      </c>
      <c r="R61" s="25">
        <f t="shared" si="9"/>
        <v>40.19</v>
      </c>
      <c r="S61" s="53">
        <f t="shared" si="10"/>
        <v>16</v>
      </c>
      <c r="T61" s="52">
        <v>592</v>
      </c>
      <c r="U61" s="25">
        <f t="shared" si="11"/>
        <v>47.68</v>
      </c>
      <c r="V61" s="53">
        <f t="shared" si="12"/>
        <v>18</v>
      </c>
      <c r="W61" s="54">
        <v>610</v>
      </c>
      <c r="X61" s="25">
        <f t="shared" si="13"/>
        <v>53.553600000000003</v>
      </c>
    </row>
    <row r="62" spans="1:24" x14ac:dyDescent="0.25">
      <c r="A62" s="17" t="s">
        <v>1679</v>
      </c>
      <c r="B62" s="51">
        <v>71</v>
      </c>
      <c r="C62" s="51">
        <f t="shared" si="0"/>
        <v>2</v>
      </c>
      <c r="D62" s="51">
        <v>73</v>
      </c>
      <c r="E62" s="51">
        <f t="shared" si="1"/>
        <v>2</v>
      </c>
      <c r="F62" s="51">
        <v>75</v>
      </c>
      <c r="G62" s="51">
        <f t="shared" si="2"/>
        <v>3</v>
      </c>
      <c r="H62" s="52">
        <v>78</v>
      </c>
      <c r="I62" s="25">
        <f t="shared" si="3"/>
        <v>11.2</v>
      </c>
      <c r="J62" s="51">
        <f t="shared" si="4"/>
        <v>2</v>
      </c>
      <c r="K62" s="52">
        <v>80</v>
      </c>
      <c r="L62" s="25">
        <f t="shared" si="5"/>
        <v>8.31</v>
      </c>
      <c r="M62" s="51">
        <f t="shared" si="6"/>
        <v>1</v>
      </c>
      <c r="N62" s="52">
        <v>81</v>
      </c>
      <c r="O62" s="25">
        <f t="shared" si="7"/>
        <v>6.39</v>
      </c>
      <c r="P62" s="51">
        <f t="shared" si="8"/>
        <v>2</v>
      </c>
      <c r="Q62" s="52">
        <v>83</v>
      </c>
      <c r="R62" s="25">
        <f t="shared" si="9"/>
        <v>5.74</v>
      </c>
      <c r="S62" s="53">
        <f t="shared" si="10"/>
        <v>2</v>
      </c>
      <c r="T62" s="52">
        <v>85</v>
      </c>
      <c r="U62" s="25">
        <f t="shared" si="11"/>
        <v>5.96</v>
      </c>
      <c r="V62" s="53">
        <f t="shared" si="12"/>
        <v>3</v>
      </c>
      <c r="W62" s="54">
        <v>88</v>
      </c>
      <c r="X62" s="25">
        <f t="shared" si="13"/>
        <v>8.9255999999999993</v>
      </c>
    </row>
    <row r="63" spans="1:24" x14ac:dyDescent="0.25">
      <c r="A63" s="17" t="s">
        <v>1917</v>
      </c>
      <c r="B63" s="51">
        <v>134</v>
      </c>
      <c r="C63" s="51">
        <f t="shared" si="0"/>
        <v>3</v>
      </c>
      <c r="D63" s="51">
        <v>137</v>
      </c>
      <c r="E63" s="51">
        <f t="shared" si="1"/>
        <v>1</v>
      </c>
      <c r="F63" s="51">
        <v>138</v>
      </c>
      <c r="G63" s="51">
        <f t="shared" si="2"/>
        <v>1</v>
      </c>
      <c r="H63" s="52">
        <v>139</v>
      </c>
      <c r="I63" s="25">
        <f t="shared" si="3"/>
        <v>3.73</v>
      </c>
      <c r="J63" s="51">
        <f t="shared" si="4"/>
        <v>1</v>
      </c>
      <c r="K63" s="52">
        <v>140</v>
      </c>
      <c r="L63" s="25">
        <f t="shared" si="5"/>
        <v>4.1500000000000004</v>
      </c>
      <c r="M63" s="51">
        <f t="shared" si="6"/>
        <v>0</v>
      </c>
      <c r="N63" s="52">
        <v>140</v>
      </c>
      <c r="O63" s="25">
        <f t="shared" si="7"/>
        <v>0</v>
      </c>
      <c r="P63" s="51">
        <f t="shared" si="8"/>
        <v>1</v>
      </c>
      <c r="Q63" s="52">
        <v>141</v>
      </c>
      <c r="R63" s="25">
        <f t="shared" si="9"/>
        <v>2.87</v>
      </c>
      <c r="S63" s="53">
        <f t="shared" si="10"/>
        <v>1</v>
      </c>
      <c r="T63" s="52">
        <v>142</v>
      </c>
      <c r="U63" s="25">
        <f t="shared" si="11"/>
        <v>2.98</v>
      </c>
      <c r="V63" s="53">
        <f t="shared" si="12"/>
        <v>1</v>
      </c>
      <c r="W63" s="54">
        <v>143</v>
      </c>
      <c r="X63" s="25">
        <f t="shared" si="13"/>
        <v>2.9752000000000001</v>
      </c>
    </row>
    <row r="64" spans="1:24" x14ac:dyDescent="0.25">
      <c r="A64" s="17" t="s">
        <v>1655</v>
      </c>
      <c r="B64" s="51">
        <v>243</v>
      </c>
      <c r="C64" s="51">
        <f t="shared" si="0"/>
        <v>12</v>
      </c>
      <c r="D64" s="51">
        <v>255</v>
      </c>
      <c r="E64" s="51">
        <f t="shared" si="1"/>
        <v>11</v>
      </c>
      <c r="F64" s="51">
        <v>266</v>
      </c>
      <c r="G64" s="51">
        <f t="shared" si="2"/>
        <v>9</v>
      </c>
      <c r="H64" s="52">
        <v>275</v>
      </c>
      <c r="I64" s="25">
        <f t="shared" si="3"/>
        <v>33.61</v>
      </c>
      <c r="J64" s="51">
        <f t="shared" si="4"/>
        <v>12</v>
      </c>
      <c r="K64" s="52">
        <v>287</v>
      </c>
      <c r="L64" s="25">
        <f t="shared" si="5"/>
        <v>49.86</v>
      </c>
      <c r="M64" s="51">
        <f t="shared" si="6"/>
        <v>7</v>
      </c>
      <c r="N64" s="52">
        <v>294</v>
      </c>
      <c r="O64" s="25">
        <f t="shared" si="7"/>
        <v>44.7</v>
      </c>
      <c r="P64" s="51">
        <f t="shared" si="8"/>
        <v>10</v>
      </c>
      <c r="Q64" s="52">
        <v>304</v>
      </c>
      <c r="R64" s="25">
        <f t="shared" si="9"/>
        <v>28.7</v>
      </c>
      <c r="S64" s="53">
        <f t="shared" si="10"/>
        <v>14</v>
      </c>
      <c r="T64" s="52">
        <v>318</v>
      </c>
      <c r="U64" s="25">
        <f t="shared" si="11"/>
        <v>41.72</v>
      </c>
      <c r="V64" s="53">
        <f t="shared" si="12"/>
        <v>8</v>
      </c>
      <c r="W64" s="54">
        <v>326</v>
      </c>
      <c r="X64" s="25">
        <f t="shared" si="13"/>
        <v>23.801600000000001</v>
      </c>
    </row>
    <row r="65" spans="1:24" x14ac:dyDescent="0.25">
      <c r="A65" s="17" t="s">
        <v>2018</v>
      </c>
      <c r="B65" s="51">
        <v>670</v>
      </c>
      <c r="C65" s="51">
        <f t="shared" si="0"/>
        <v>18</v>
      </c>
      <c r="D65" s="51">
        <v>688</v>
      </c>
      <c r="E65" s="51">
        <f t="shared" si="1"/>
        <v>16</v>
      </c>
      <c r="F65" s="51">
        <v>704</v>
      </c>
      <c r="G65" s="51">
        <f t="shared" si="2"/>
        <v>18</v>
      </c>
      <c r="H65" s="52">
        <v>722</v>
      </c>
      <c r="I65" s="25">
        <f t="shared" si="3"/>
        <v>67.22</v>
      </c>
      <c r="J65" s="51">
        <f t="shared" si="4"/>
        <v>18</v>
      </c>
      <c r="K65" s="52">
        <v>740</v>
      </c>
      <c r="L65" s="25">
        <f t="shared" si="5"/>
        <v>74.78</v>
      </c>
      <c r="M65" s="51">
        <f t="shared" si="6"/>
        <v>10</v>
      </c>
      <c r="N65" s="52">
        <v>750</v>
      </c>
      <c r="O65" s="25">
        <f t="shared" si="7"/>
        <v>63.86</v>
      </c>
      <c r="P65" s="51">
        <f t="shared" si="8"/>
        <v>15</v>
      </c>
      <c r="Q65" s="52">
        <v>765</v>
      </c>
      <c r="R65" s="25">
        <f t="shared" si="9"/>
        <v>43.06</v>
      </c>
      <c r="S65" s="53">
        <f t="shared" si="10"/>
        <v>17</v>
      </c>
      <c r="T65" s="52">
        <v>782</v>
      </c>
      <c r="U65" s="25">
        <f t="shared" si="11"/>
        <v>50.66</v>
      </c>
      <c r="V65" s="53">
        <f t="shared" si="12"/>
        <v>18</v>
      </c>
      <c r="W65" s="54">
        <v>800</v>
      </c>
      <c r="X65" s="25">
        <f t="shared" si="13"/>
        <v>53.553600000000003</v>
      </c>
    </row>
    <row r="66" spans="1:24" x14ac:dyDescent="0.25">
      <c r="A66" s="17" t="s">
        <v>1534</v>
      </c>
      <c r="B66" s="51">
        <v>64</v>
      </c>
      <c r="C66" s="51">
        <f t="shared" si="0"/>
        <v>1</v>
      </c>
      <c r="D66" s="51">
        <v>65</v>
      </c>
      <c r="E66" s="51">
        <f t="shared" si="1"/>
        <v>1</v>
      </c>
      <c r="F66" s="51">
        <v>66</v>
      </c>
      <c r="G66" s="51">
        <f t="shared" si="2"/>
        <v>0</v>
      </c>
      <c r="H66" s="52">
        <v>66</v>
      </c>
      <c r="I66" s="25">
        <f t="shared" si="3"/>
        <v>0</v>
      </c>
      <c r="J66" s="51">
        <f t="shared" si="4"/>
        <v>1</v>
      </c>
      <c r="K66" s="52">
        <v>67</v>
      </c>
      <c r="L66" s="25">
        <f t="shared" si="5"/>
        <v>4.1500000000000004</v>
      </c>
      <c r="M66" s="51">
        <f t="shared" si="6"/>
        <v>1</v>
      </c>
      <c r="N66" s="52">
        <v>68</v>
      </c>
      <c r="O66" s="25">
        <f t="shared" si="7"/>
        <v>6.39</v>
      </c>
      <c r="P66" s="51">
        <f t="shared" si="8"/>
        <v>1</v>
      </c>
      <c r="Q66" s="52">
        <v>69</v>
      </c>
      <c r="R66" s="25">
        <f t="shared" si="9"/>
        <v>2.87</v>
      </c>
      <c r="S66" s="53">
        <f t="shared" si="10"/>
        <v>0</v>
      </c>
      <c r="T66" s="52">
        <v>69</v>
      </c>
      <c r="U66" s="25">
        <f t="shared" si="11"/>
        <v>0</v>
      </c>
      <c r="V66" s="53">
        <f t="shared" si="12"/>
        <v>2</v>
      </c>
      <c r="W66" s="54">
        <v>71</v>
      </c>
      <c r="X66" s="25">
        <f t="shared" si="13"/>
        <v>5.9504000000000001</v>
      </c>
    </row>
    <row r="67" spans="1:24" x14ac:dyDescent="0.25">
      <c r="A67" s="17" t="s">
        <v>1837</v>
      </c>
      <c r="B67" s="51">
        <v>308</v>
      </c>
      <c r="C67" s="51">
        <f t="shared" si="0"/>
        <v>4</v>
      </c>
      <c r="D67" s="51">
        <v>312</v>
      </c>
      <c r="E67" s="51">
        <f t="shared" si="1"/>
        <v>8</v>
      </c>
      <c r="F67" s="51">
        <v>320</v>
      </c>
      <c r="G67" s="51">
        <f t="shared" si="2"/>
        <v>10</v>
      </c>
      <c r="H67" s="52">
        <v>330</v>
      </c>
      <c r="I67" s="25">
        <f t="shared" si="3"/>
        <v>37.340000000000003</v>
      </c>
      <c r="J67" s="51">
        <f t="shared" si="4"/>
        <v>5</v>
      </c>
      <c r="K67" s="52">
        <v>335</v>
      </c>
      <c r="L67" s="25">
        <f t="shared" si="5"/>
        <v>20.77</v>
      </c>
      <c r="M67" s="51">
        <f t="shared" si="6"/>
        <v>4</v>
      </c>
      <c r="N67" s="52">
        <v>339</v>
      </c>
      <c r="O67" s="25">
        <f t="shared" si="7"/>
        <v>25.54</v>
      </c>
      <c r="P67" s="51">
        <f t="shared" si="8"/>
        <v>7</v>
      </c>
      <c r="Q67" s="52">
        <v>346</v>
      </c>
      <c r="R67" s="25">
        <f t="shared" si="9"/>
        <v>20.09</v>
      </c>
      <c r="S67" s="53">
        <f t="shared" si="10"/>
        <v>10</v>
      </c>
      <c r="T67" s="52">
        <v>356</v>
      </c>
      <c r="U67" s="25">
        <f t="shared" si="11"/>
        <v>29.8</v>
      </c>
      <c r="V67" s="53">
        <f t="shared" si="12"/>
        <v>9</v>
      </c>
      <c r="W67" s="54">
        <v>365</v>
      </c>
      <c r="X67" s="25">
        <f t="shared" si="13"/>
        <v>26.776800000000001</v>
      </c>
    </row>
    <row r="68" spans="1:24" x14ac:dyDescent="0.25">
      <c r="A68" s="17" t="s">
        <v>1990</v>
      </c>
      <c r="B68" s="51">
        <v>90</v>
      </c>
      <c r="C68" s="51">
        <f t="shared" si="0"/>
        <v>2</v>
      </c>
      <c r="D68" s="51">
        <v>92</v>
      </c>
      <c r="E68" s="51">
        <f t="shared" si="1"/>
        <v>1</v>
      </c>
      <c r="F68" s="51">
        <v>93</v>
      </c>
      <c r="G68" s="51">
        <f t="shared" si="2"/>
        <v>0</v>
      </c>
      <c r="H68" s="52">
        <v>93</v>
      </c>
      <c r="I68" s="25">
        <f t="shared" si="3"/>
        <v>0</v>
      </c>
      <c r="J68" s="51">
        <f t="shared" si="4"/>
        <v>1</v>
      </c>
      <c r="K68" s="52">
        <v>94</v>
      </c>
      <c r="L68" s="25">
        <f t="shared" si="5"/>
        <v>4.1500000000000004</v>
      </c>
      <c r="M68" s="51">
        <f t="shared" si="6"/>
        <v>1</v>
      </c>
      <c r="N68" s="52">
        <v>95</v>
      </c>
      <c r="O68" s="25">
        <f t="shared" si="7"/>
        <v>6.39</v>
      </c>
      <c r="P68" s="51">
        <f t="shared" si="8"/>
        <v>2</v>
      </c>
      <c r="Q68" s="52">
        <v>97</v>
      </c>
      <c r="R68" s="25">
        <f t="shared" si="9"/>
        <v>5.74</v>
      </c>
      <c r="S68" s="53">
        <f t="shared" si="10"/>
        <v>1</v>
      </c>
      <c r="T68" s="52">
        <v>98</v>
      </c>
      <c r="U68" s="25">
        <f t="shared" si="11"/>
        <v>2.98</v>
      </c>
      <c r="V68" s="53">
        <f t="shared" si="12"/>
        <v>3</v>
      </c>
      <c r="W68" s="54">
        <v>101</v>
      </c>
      <c r="X68" s="25">
        <f t="shared" si="13"/>
        <v>8.9255999999999993</v>
      </c>
    </row>
    <row r="69" spans="1:24" x14ac:dyDescent="0.25">
      <c r="A69" s="17" t="s">
        <v>1604</v>
      </c>
      <c r="B69" s="51">
        <v>180</v>
      </c>
      <c r="C69" s="51">
        <f t="shared" si="0"/>
        <v>3</v>
      </c>
      <c r="D69" s="51">
        <v>183</v>
      </c>
      <c r="E69" s="51">
        <f t="shared" si="1"/>
        <v>6</v>
      </c>
      <c r="F69" s="51">
        <v>189</v>
      </c>
      <c r="G69" s="51">
        <f t="shared" si="2"/>
        <v>7</v>
      </c>
      <c r="H69" s="52">
        <v>196</v>
      </c>
      <c r="I69" s="25">
        <f t="shared" si="3"/>
        <v>26.14</v>
      </c>
      <c r="J69" s="51">
        <f t="shared" si="4"/>
        <v>5</v>
      </c>
      <c r="K69" s="52">
        <v>201</v>
      </c>
      <c r="L69" s="25">
        <f t="shared" si="5"/>
        <v>20.77</v>
      </c>
      <c r="M69" s="51">
        <f t="shared" si="6"/>
        <v>5</v>
      </c>
      <c r="N69" s="52">
        <v>206</v>
      </c>
      <c r="O69" s="25">
        <f t="shared" si="7"/>
        <v>31.93</v>
      </c>
      <c r="P69" s="51">
        <f t="shared" si="8"/>
        <v>5</v>
      </c>
      <c r="Q69" s="52">
        <v>211</v>
      </c>
      <c r="R69" s="25">
        <f t="shared" si="9"/>
        <v>14.35</v>
      </c>
      <c r="S69" s="53">
        <f t="shared" si="10"/>
        <v>6</v>
      </c>
      <c r="T69" s="52">
        <v>217</v>
      </c>
      <c r="U69" s="25">
        <f t="shared" si="11"/>
        <v>17.88</v>
      </c>
      <c r="V69" s="53">
        <f t="shared" si="12"/>
        <v>7</v>
      </c>
      <c r="W69" s="54">
        <v>224</v>
      </c>
      <c r="X69" s="25">
        <f t="shared" si="13"/>
        <v>20.8264</v>
      </c>
    </row>
    <row r="70" spans="1:24" x14ac:dyDescent="0.25">
      <c r="A70" s="17" t="s">
        <v>1532</v>
      </c>
      <c r="B70" s="51">
        <v>273.87</v>
      </c>
      <c r="C70" s="51">
        <f t="shared" si="0"/>
        <v>10.060000000000002</v>
      </c>
      <c r="D70" s="51">
        <v>283.93</v>
      </c>
      <c r="E70" s="51">
        <f t="shared" si="1"/>
        <v>9.6200000000000045</v>
      </c>
      <c r="F70" s="51">
        <v>293.55</v>
      </c>
      <c r="G70" s="51">
        <f t="shared" si="2"/>
        <v>9.7609999999999673</v>
      </c>
      <c r="H70" s="52">
        <v>303.31099999999998</v>
      </c>
      <c r="I70" s="25">
        <f t="shared" si="3"/>
        <v>36.450000000000003</v>
      </c>
      <c r="J70" s="51">
        <f t="shared" si="4"/>
        <v>10.080000000000041</v>
      </c>
      <c r="K70" s="52">
        <v>313.39100000000002</v>
      </c>
      <c r="L70" s="25">
        <f t="shared" si="5"/>
        <v>41.88</v>
      </c>
      <c r="M70" s="51">
        <f t="shared" si="6"/>
        <v>6.1599999999999682</v>
      </c>
      <c r="N70" s="52">
        <v>319.55099999999999</v>
      </c>
      <c r="O70" s="25">
        <f t="shared" si="7"/>
        <v>39.340000000000003</v>
      </c>
      <c r="P70" s="51">
        <f t="shared" si="8"/>
        <v>7.4490000000000123</v>
      </c>
      <c r="Q70" s="52">
        <v>327</v>
      </c>
      <c r="R70" s="25">
        <f t="shared" si="9"/>
        <v>21.38</v>
      </c>
      <c r="S70" s="53">
        <f t="shared" si="10"/>
        <v>11.144999999999982</v>
      </c>
      <c r="T70" s="52">
        <v>338.14499999999998</v>
      </c>
      <c r="U70" s="25">
        <f t="shared" si="11"/>
        <v>33.21</v>
      </c>
      <c r="V70" s="53">
        <f t="shared" si="12"/>
        <v>8.8550000000000182</v>
      </c>
      <c r="W70" s="54">
        <v>347</v>
      </c>
      <c r="X70" s="25">
        <f t="shared" si="13"/>
        <v>26.345396000000054</v>
      </c>
    </row>
    <row r="71" spans="1:24" x14ac:dyDescent="0.25">
      <c r="A71" s="17" t="s">
        <v>1581</v>
      </c>
      <c r="B71" s="51">
        <v>107.27</v>
      </c>
      <c r="C71" s="51">
        <f t="shared" si="0"/>
        <v>2.3900000000000006</v>
      </c>
      <c r="D71" s="51">
        <v>109.66</v>
      </c>
      <c r="E71" s="51">
        <f t="shared" si="1"/>
        <v>2.7400000000000091</v>
      </c>
      <c r="F71" s="51">
        <v>112.4</v>
      </c>
      <c r="G71" s="51">
        <f t="shared" si="2"/>
        <v>6.0609999999999928</v>
      </c>
      <c r="H71" s="52">
        <v>118.461</v>
      </c>
      <c r="I71" s="25">
        <f t="shared" si="3"/>
        <v>22.63</v>
      </c>
      <c r="J71" s="51">
        <f t="shared" si="4"/>
        <v>6.4839999999999947</v>
      </c>
      <c r="K71" s="52">
        <v>124.94499999999999</v>
      </c>
      <c r="L71" s="25">
        <f t="shared" si="5"/>
        <v>26.94</v>
      </c>
      <c r="M71" s="51">
        <f t="shared" si="6"/>
        <v>5.8340000000000032</v>
      </c>
      <c r="N71" s="52">
        <v>130.779</v>
      </c>
      <c r="O71" s="25">
        <f t="shared" si="7"/>
        <v>37.25</v>
      </c>
      <c r="P71" s="51">
        <f t="shared" si="8"/>
        <v>6.2210000000000036</v>
      </c>
      <c r="Q71" s="52">
        <v>137</v>
      </c>
      <c r="R71" s="25">
        <f t="shared" si="9"/>
        <v>17.86</v>
      </c>
      <c r="S71" s="53">
        <f t="shared" si="10"/>
        <v>7.8100000000000023</v>
      </c>
      <c r="T71" s="52">
        <v>144.81</v>
      </c>
      <c r="U71" s="25">
        <f t="shared" si="11"/>
        <v>23.27</v>
      </c>
      <c r="V71" s="53">
        <f t="shared" si="12"/>
        <v>6.1899999999999977</v>
      </c>
      <c r="W71" s="54">
        <v>151</v>
      </c>
      <c r="X71" s="25">
        <f t="shared" si="13"/>
        <v>18.416487999999994</v>
      </c>
    </row>
    <row r="72" spans="1:24" x14ac:dyDescent="0.25">
      <c r="A72" s="17" t="s">
        <v>1519</v>
      </c>
      <c r="B72" s="51">
        <v>195.47</v>
      </c>
      <c r="C72" s="51">
        <f t="shared" si="0"/>
        <v>8.4799999999999898</v>
      </c>
      <c r="D72" s="51">
        <v>203.95</v>
      </c>
      <c r="E72" s="51">
        <f t="shared" si="1"/>
        <v>8.1899999999999977</v>
      </c>
      <c r="F72" s="51">
        <v>212.14</v>
      </c>
      <c r="G72" s="51">
        <f t="shared" si="2"/>
        <v>10.542000000000002</v>
      </c>
      <c r="H72" s="52">
        <v>222.68199999999999</v>
      </c>
      <c r="I72" s="25">
        <f t="shared" si="3"/>
        <v>39.369999999999997</v>
      </c>
      <c r="J72" s="51">
        <f t="shared" si="4"/>
        <v>9.217000000000013</v>
      </c>
      <c r="K72" s="52">
        <v>231.899</v>
      </c>
      <c r="L72" s="25">
        <f t="shared" si="5"/>
        <v>38.29</v>
      </c>
      <c r="M72" s="51">
        <f t="shared" si="6"/>
        <v>6.695999999999998</v>
      </c>
      <c r="N72" s="52">
        <v>238.595</v>
      </c>
      <c r="O72" s="25">
        <f t="shared" si="7"/>
        <v>42.76</v>
      </c>
      <c r="P72" s="51">
        <f t="shared" si="8"/>
        <v>7.4050000000000011</v>
      </c>
      <c r="Q72" s="52">
        <v>246</v>
      </c>
      <c r="R72" s="25">
        <f t="shared" si="9"/>
        <v>21.26</v>
      </c>
      <c r="S72" s="53">
        <f t="shared" si="10"/>
        <v>9.9209999999999923</v>
      </c>
      <c r="T72" s="52">
        <v>255.92099999999999</v>
      </c>
      <c r="U72" s="25">
        <f t="shared" si="11"/>
        <v>29.56</v>
      </c>
      <c r="V72" s="53">
        <f t="shared" si="12"/>
        <v>9.0790000000000077</v>
      </c>
      <c r="W72" s="54">
        <v>265</v>
      </c>
      <c r="X72" s="25">
        <f t="shared" si="13"/>
        <v>27.011840800000023</v>
      </c>
    </row>
    <row r="73" spans="1:24" x14ac:dyDescent="0.25">
      <c r="A73" s="17" t="s">
        <v>1682</v>
      </c>
      <c r="B73" s="51">
        <v>148</v>
      </c>
      <c r="C73" s="51">
        <f t="shared" ref="C73:C136" si="14">D73-B73</f>
        <v>5</v>
      </c>
      <c r="D73" s="51">
        <v>153</v>
      </c>
      <c r="E73" s="51">
        <f t="shared" ref="E73:G136" si="15">F73-D73</f>
        <v>5</v>
      </c>
      <c r="F73" s="51">
        <v>158</v>
      </c>
      <c r="G73" s="51">
        <f t="shared" ref="G73:G136" si="16">H73-F73</f>
        <v>4</v>
      </c>
      <c r="H73" s="52">
        <v>162</v>
      </c>
      <c r="I73" s="25">
        <f t="shared" ref="I73:I136" si="17">ROUND(G73*$I$3,2)</f>
        <v>14.94</v>
      </c>
      <c r="J73" s="51">
        <f t="shared" ref="J73:J136" si="18">K73-H73</f>
        <v>6</v>
      </c>
      <c r="K73" s="52">
        <v>168</v>
      </c>
      <c r="L73" s="25">
        <f t="shared" ref="L73:L136" si="19">ROUND(J73*$L$3,2)</f>
        <v>24.93</v>
      </c>
      <c r="M73" s="51">
        <f t="shared" ref="M73:M136" si="20">N73-K73</f>
        <v>5</v>
      </c>
      <c r="N73" s="52">
        <v>173</v>
      </c>
      <c r="O73" s="25">
        <f t="shared" ref="O73:O136" si="21">ROUND(M73*$O$3,2)</f>
        <v>31.93</v>
      </c>
      <c r="P73" s="51">
        <f t="shared" ref="P73:P136" si="22">Q73-N73</f>
        <v>4</v>
      </c>
      <c r="Q73" s="52">
        <v>177</v>
      </c>
      <c r="R73" s="25">
        <f t="shared" ref="R73:R136" si="23">ROUND(P73*$R$3,2)</f>
        <v>11.48</v>
      </c>
      <c r="S73" s="53">
        <f t="shared" ref="S73:S136" si="24">+T73-Q73</f>
        <v>6</v>
      </c>
      <c r="T73" s="52">
        <v>183</v>
      </c>
      <c r="U73" s="25">
        <f t="shared" ref="U73:U136" si="25">ROUND(S73*$U$3,2)</f>
        <v>17.88</v>
      </c>
      <c r="V73" s="53">
        <f t="shared" ref="V73:V136" si="26">+W73-T73</f>
        <v>10</v>
      </c>
      <c r="W73" s="54">
        <v>193</v>
      </c>
      <c r="X73" s="25">
        <f t="shared" ref="X73:X136" si="27">V73*$X$3</f>
        <v>29.752000000000002</v>
      </c>
    </row>
    <row r="74" spans="1:24" x14ac:dyDescent="0.25">
      <c r="A74" s="17" t="s">
        <v>1755</v>
      </c>
      <c r="B74" s="51">
        <v>37</v>
      </c>
      <c r="C74" s="51">
        <f t="shared" si="14"/>
        <v>1</v>
      </c>
      <c r="D74" s="51">
        <v>38</v>
      </c>
      <c r="E74" s="51">
        <f t="shared" si="15"/>
        <v>0</v>
      </c>
      <c r="F74" s="51">
        <v>38</v>
      </c>
      <c r="G74" s="51">
        <f t="shared" si="16"/>
        <v>0</v>
      </c>
      <c r="H74" s="52">
        <v>38</v>
      </c>
      <c r="I74" s="25">
        <f t="shared" si="17"/>
        <v>0</v>
      </c>
      <c r="J74" s="51">
        <f t="shared" si="18"/>
        <v>0</v>
      </c>
      <c r="K74" s="52">
        <v>38</v>
      </c>
      <c r="L74" s="25">
        <f t="shared" si="19"/>
        <v>0</v>
      </c>
      <c r="M74" s="51">
        <f t="shared" si="20"/>
        <v>0</v>
      </c>
      <c r="N74" s="52">
        <v>38</v>
      </c>
      <c r="O74" s="25">
        <f t="shared" si="21"/>
        <v>0</v>
      </c>
      <c r="P74" s="51">
        <f t="shared" si="22"/>
        <v>1</v>
      </c>
      <c r="Q74" s="52">
        <v>39</v>
      </c>
      <c r="R74" s="25">
        <f t="shared" si="23"/>
        <v>2.87</v>
      </c>
      <c r="S74" s="53">
        <f t="shared" si="24"/>
        <v>0</v>
      </c>
      <c r="T74" s="52">
        <v>39</v>
      </c>
      <c r="U74" s="25">
        <f t="shared" si="25"/>
        <v>0</v>
      </c>
      <c r="V74" s="53">
        <f t="shared" si="26"/>
        <v>1</v>
      </c>
      <c r="W74" s="54">
        <v>40</v>
      </c>
      <c r="X74" s="25">
        <f t="shared" si="27"/>
        <v>2.9752000000000001</v>
      </c>
    </row>
    <row r="75" spans="1:24" x14ac:dyDescent="0.25">
      <c r="A75" s="17" t="s">
        <v>1914</v>
      </c>
      <c r="B75" s="51">
        <v>26</v>
      </c>
      <c r="C75" s="51">
        <f t="shared" si="14"/>
        <v>4</v>
      </c>
      <c r="D75" s="51">
        <v>30</v>
      </c>
      <c r="E75" s="51">
        <f t="shared" si="15"/>
        <v>4</v>
      </c>
      <c r="F75" s="51">
        <v>34</v>
      </c>
      <c r="G75" s="51">
        <f t="shared" si="16"/>
        <v>5</v>
      </c>
      <c r="H75" s="52">
        <v>39</v>
      </c>
      <c r="I75" s="25">
        <f t="shared" si="17"/>
        <v>18.670000000000002</v>
      </c>
      <c r="J75" s="51">
        <f t="shared" si="18"/>
        <v>3</v>
      </c>
      <c r="K75" s="52">
        <v>42</v>
      </c>
      <c r="L75" s="25">
        <f t="shared" si="19"/>
        <v>12.46</v>
      </c>
      <c r="M75" s="51">
        <f t="shared" si="20"/>
        <v>3</v>
      </c>
      <c r="N75" s="52">
        <v>45</v>
      </c>
      <c r="O75" s="25">
        <f t="shared" si="21"/>
        <v>19.16</v>
      </c>
      <c r="P75" s="51">
        <f t="shared" si="22"/>
        <v>4</v>
      </c>
      <c r="Q75" s="52">
        <v>49</v>
      </c>
      <c r="R75" s="25">
        <f t="shared" si="23"/>
        <v>11.48</v>
      </c>
      <c r="S75" s="53">
        <f t="shared" si="24"/>
        <v>6</v>
      </c>
      <c r="T75" s="52">
        <v>55</v>
      </c>
      <c r="U75" s="25">
        <f t="shared" si="25"/>
        <v>17.88</v>
      </c>
      <c r="V75" s="53">
        <f t="shared" si="26"/>
        <v>5</v>
      </c>
      <c r="W75" s="54">
        <v>60</v>
      </c>
      <c r="X75" s="25">
        <f t="shared" si="27"/>
        <v>14.876000000000001</v>
      </c>
    </row>
    <row r="76" spans="1:24" x14ac:dyDescent="0.25">
      <c r="A76" s="17" t="s">
        <v>1800</v>
      </c>
      <c r="B76" s="51">
        <v>506.87</v>
      </c>
      <c r="C76" s="51">
        <f t="shared" si="14"/>
        <v>10.049999999999955</v>
      </c>
      <c r="D76" s="51">
        <v>516.91999999999996</v>
      </c>
      <c r="E76" s="51">
        <f t="shared" si="15"/>
        <v>9.9900000000000091</v>
      </c>
      <c r="F76" s="51">
        <v>526.91</v>
      </c>
      <c r="G76" s="51">
        <f t="shared" si="16"/>
        <v>10.125999999999976</v>
      </c>
      <c r="H76" s="52">
        <v>537.03599999999994</v>
      </c>
      <c r="I76" s="25">
        <f t="shared" si="17"/>
        <v>37.81</v>
      </c>
      <c r="J76" s="51">
        <f t="shared" si="18"/>
        <v>8.4920000000000755</v>
      </c>
      <c r="K76" s="52">
        <v>545.52800000000002</v>
      </c>
      <c r="L76" s="25">
        <f t="shared" si="19"/>
        <v>35.28</v>
      </c>
      <c r="M76" s="51">
        <f t="shared" si="20"/>
        <v>5.26400000000001</v>
      </c>
      <c r="N76" s="52">
        <v>550.79200000000003</v>
      </c>
      <c r="O76" s="25">
        <f t="shared" si="21"/>
        <v>33.61</v>
      </c>
      <c r="P76" s="51">
        <f t="shared" si="22"/>
        <v>7.20799999999997</v>
      </c>
      <c r="Q76" s="52">
        <v>558</v>
      </c>
      <c r="R76" s="25">
        <f t="shared" si="23"/>
        <v>20.69</v>
      </c>
      <c r="S76" s="53">
        <f t="shared" si="24"/>
        <v>10.342999999999961</v>
      </c>
      <c r="T76" s="52">
        <v>568.34299999999996</v>
      </c>
      <c r="U76" s="25">
        <f t="shared" si="25"/>
        <v>30.82</v>
      </c>
      <c r="V76" s="53">
        <f t="shared" si="26"/>
        <v>12.657000000000039</v>
      </c>
      <c r="W76" s="54">
        <v>581</v>
      </c>
      <c r="X76" s="25">
        <f t="shared" si="27"/>
        <v>37.657106400000117</v>
      </c>
    </row>
    <row r="77" spans="1:24" x14ac:dyDescent="0.25">
      <c r="A77" s="17" t="s">
        <v>2092</v>
      </c>
      <c r="B77" s="51">
        <v>197</v>
      </c>
      <c r="C77" s="51">
        <f t="shared" si="14"/>
        <v>4</v>
      </c>
      <c r="D77" s="51">
        <v>201</v>
      </c>
      <c r="E77" s="51">
        <f t="shared" si="15"/>
        <v>1</v>
      </c>
      <c r="F77" s="51">
        <v>202</v>
      </c>
      <c r="G77" s="51">
        <f t="shared" si="16"/>
        <v>5</v>
      </c>
      <c r="H77" s="52">
        <v>207</v>
      </c>
      <c r="I77" s="25">
        <f t="shared" si="17"/>
        <v>18.670000000000002</v>
      </c>
      <c r="J77" s="51">
        <f t="shared" si="18"/>
        <v>3</v>
      </c>
      <c r="K77" s="52">
        <v>210</v>
      </c>
      <c r="L77" s="25">
        <f t="shared" si="19"/>
        <v>12.46</v>
      </c>
      <c r="M77" s="51">
        <f t="shared" si="20"/>
        <v>2</v>
      </c>
      <c r="N77" s="52">
        <v>212</v>
      </c>
      <c r="O77" s="25">
        <f t="shared" si="21"/>
        <v>12.77</v>
      </c>
      <c r="P77" s="51">
        <f t="shared" si="22"/>
        <v>2</v>
      </c>
      <c r="Q77" s="52">
        <v>214</v>
      </c>
      <c r="R77" s="25">
        <f t="shared" si="23"/>
        <v>5.74</v>
      </c>
      <c r="S77" s="53">
        <f t="shared" si="24"/>
        <v>3</v>
      </c>
      <c r="T77" s="52">
        <v>217</v>
      </c>
      <c r="U77" s="25">
        <f t="shared" si="25"/>
        <v>8.94</v>
      </c>
      <c r="V77" s="53">
        <f t="shared" si="26"/>
        <v>4</v>
      </c>
      <c r="W77" s="54">
        <v>221</v>
      </c>
      <c r="X77" s="25">
        <f t="shared" si="27"/>
        <v>11.9008</v>
      </c>
    </row>
    <row r="78" spans="1:24" x14ac:dyDescent="0.25">
      <c r="A78" s="17" t="s">
        <v>1649</v>
      </c>
      <c r="B78" s="51">
        <v>272</v>
      </c>
      <c r="C78" s="51">
        <f t="shared" si="14"/>
        <v>7</v>
      </c>
      <c r="D78" s="51">
        <v>279</v>
      </c>
      <c r="E78" s="51">
        <f t="shared" si="15"/>
        <v>8</v>
      </c>
      <c r="F78" s="51">
        <v>287</v>
      </c>
      <c r="G78" s="51">
        <f t="shared" si="16"/>
        <v>14</v>
      </c>
      <c r="H78" s="52">
        <v>301</v>
      </c>
      <c r="I78" s="25">
        <f t="shared" si="17"/>
        <v>52.28</v>
      </c>
      <c r="J78" s="51">
        <f t="shared" si="18"/>
        <v>8</v>
      </c>
      <c r="K78" s="52">
        <v>309</v>
      </c>
      <c r="L78" s="25">
        <f t="shared" si="19"/>
        <v>33.24</v>
      </c>
      <c r="M78" s="51">
        <f t="shared" si="20"/>
        <v>6</v>
      </c>
      <c r="N78" s="52">
        <v>315</v>
      </c>
      <c r="O78" s="25">
        <f t="shared" si="21"/>
        <v>38.31</v>
      </c>
      <c r="P78" s="51">
        <f t="shared" si="22"/>
        <v>8</v>
      </c>
      <c r="Q78" s="52">
        <v>323</v>
      </c>
      <c r="R78" s="25">
        <f t="shared" si="23"/>
        <v>22.96</v>
      </c>
      <c r="S78" s="53">
        <f t="shared" si="24"/>
        <v>13</v>
      </c>
      <c r="T78" s="52">
        <v>336</v>
      </c>
      <c r="U78" s="25">
        <f t="shared" si="25"/>
        <v>38.74</v>
      </c>
      <c r="V78" s="53">
        <f t="shared" si="26"/>
        <v>10</v>
      </c>
      <c r="W78" s="54">
        <v>346</v>
      </c>
      <c r="X78" s="25">
        <f t="shared" si="27"/>
        <v>29.752000000000002</v>
      </c>
    </row>
    <row r="79" spans="1:24" x14ac:dyDescent="0.25">
      <c r="A79" s="17" t="s">
        <v>1881</v>
      </c>
      <c r="B79" s="51">
        <v>42</v>
      </c>
      <c r="C79" s="51">
        <f t="shared" si="14"/>
        <v>2</v>
      </c>
      <c r="D79" s="51">
        <v>44</v>
      </c>
      <c r="E79" s="51">
        <f t="shared" si="15"/>
        <v>2</v>
      </c>
      <c r="F79" s="51">
        <v>46</v>
      </c>
      <c r="G79" s="51">
        <f t="shared" si="16"/>
        <v>2</v>
      </c>
      <c r="H79" s="52">
        <v>48</v>
      </c>
      <c r="I79" s="25">
        <f t="shared" si="17"/>
        <v>7.47</v>
      </c>
      <c r="J79" s="51">
        <f t="shared" si="18"/>
        <v>2</v>
      </c>
      <c r="K79" s="52">
        <v>50</v>
      </c>
      <c r="L79" s="25">
        <f t="shared" si="19"/>
        <v>8.31</v>
      </c>
      <c r="M79" s="51">
        <f t="shared" si="20"/>
        <v>1</v>
      </c>
      <c r="N79" s="52">
        <v>51</v>
      </c>
      <c r="O79" s="25">
        <f t="shared" si="21"/>
        <v>6.39</v>
      </c>
      <c r="P79" s="51">
        <f t="shared" si="22"/>
        <v>1</v>
      </c>
      <c r="Q79" s="52">
        <v>52</v>
      </c>
      <c r="R79" s="25">
        <f t="shared" si="23"/>
        <v>2.87</v>
      </c>
      <c r="S79" s="53">
        <f t="shared" si="24"/>
        <v>2</v>
      </c>
      <c r="T79" s="52">
        <v>54</v>
      </c>
      <c r="U79" s="25">
        <f t="shared" si="25"/>
        <v>5.96</v>
      </c>
      <c r="V79" s="53">
        <f t="shared" si="26"/>
        <v>0</v>
      </c>
      <c r="W79" s="54">
        <v>54</v>
      </c>
      <c r="X79" s="25">
        <f t="shared" si="27"/>
        <v>0</v>
      </c>
    </row>
    <row r="80" spans="1:24" x14ac:dyDescent="0.25">
      <c r="A80" s="17" t="s">
        <v>1844</v>
      </c>
      <c r="B80" s="51">
        <v>150</v>
      </c>
      <c r="C80" s="51">
        <f t="shared" si="14"/>
        <v>4</v>
      </c>
      <c r="D80" s="51">
        <v>154</v>
      </c>
      <c r="E80" s="51">
        <f t="shared" si="15"/>
        <v>4</v>
      </c>
      <c r="F80" s="51">
        <v>158</v>
      </c>
      <c r="G80" s="51">
        <f t="shared" si="16"/>
        <v>4</v>
      </c>
      <c r="H80" s="52">
        <v>162</v>
      </c>
      <c r="I80" s="25">
        <f t="shared" si="17"/>
        <v>14.94</v>
      </c>
      <c r="J80" s="51">
        <f t="shared" si="18"/>
        <v>3</v>
      </c>
      <c r="K80" s="52">
        <v>165</v>
      </c>
      <c r="L80" s="25">
        <f t="shared" si="19"/>
        <v>12.46</v>
      </c>
      <c r="M80" s="51">
        <f t="shared" si="20"/>
        <v>3</v>
      </c>
      <c r="N80" s="52">
        <v>168</v>
      </c>
      <c r="O80" s="25">
        <f t="shared" si="21"/>
        <v>19.16</v>
      </c>
      <c r="P80" s="51">
        <f t="shared" si="22"/>
        <v>4</v>
      </c>
      <c r="Q80" s="52">
        <v>172</v>
      </c>
      <c r="R80" s="25">
        <f t="shared" si="23"/>
        <v>11.48</v>
      </c>
      <c r="S80" s="53">
        <f t="shared" si="24"/>
        <v>5</v>
      </c>
      <c r="T80" s="52">
        <v>177</v>
      </c>
      <c r="U80" s="25">
        <f t="shared" si="25"/>
        <v>14.9</v>
      </c>
      <c r="V80" s="53">
        <f t="shared" si="26"/>
        <v>4</v>
      </c>
      <c r="W80" s="54">
        <v>181</v>
      </c>
      <c r="X80" s="25">
        <f t="shared" si="27"/>
        <v>11.9008</v>
      </c>
    </row>
    <row r="81" spans="1:24" x14ac:dyDescent="0.25">
      <c r="A81" s="17" t="s">
        <v>1743</v>
      </c>
      <c r="B81" s="51">
        <v>294.33</v>
      </c>
      <c r="C81" s="51">
        <f t="shared" si="14"/>
        <v>10.650000000000034</v>
      </c>
      <c r="D81" s="51">
        <v>304.98</v>
      </c>
      <c r="E81" s="51">
        <f t="shared" si="15"/>
        <v>6.2199999999999704</v>
      </c>
      <c r="F81" s="51">
        <v>311.2</v>
      </c>
      <c r="G81" s="51">
        <f t="shared" si="16"/>
        <v>9.5889999999999986</v>
      </c>
      <c r="H81" s="52">
        <v>320.78899999999999</v>
      </c>
      <c r="I81" s="25">
        <f t="shared" si="17"/>
        <v>35.81</v>
      </c>
      <c r="J81" s="51">
        <f t="shared" si="18"/>
        <v>10.501000000000033</v>
      </c>
      <c r="K81" s="52">
        <v>331.29</v>
      </c>
      <c r="L81" s="25">
        <f t="shared" si="19"/>
        <v>43.63</v>
      </c>
      <c r="M81" s="51">
        <f t="shared" si="20"/>
        <v>5.9739999999999895</v>
      </c>
      <c r="N81" s="52">
        <v>337.26400000000001</v>
      </c>
      <c r="O81" s="25">
        <f t="shared" si="21"/>
        <v>38.15</v>
      </c>
      <c r="P81" s="51">
        <f t="shared" si="22"/>
        <v>7.73599999999999</v>
      </c>
      <c r="Q81" s="52">
        <v>345</v>
      </c>
      <c r="R81" s="25">
        <f t="shared" si="23"/>
        <v>22.21</v>
      </c>
      <c r="S81" s="53">
        <f t="shared" si="24"/>
        <v>9.3290000000000077</v>
      </c>
      <c r="T81" s="52">
        <v>354.32900000000001</v>
      </c>
      <c r="U81" s="25">
        <f t="shared" si="25"/>
        <v>27.8</v>
      </c>
      <c r="V81" s="53">
        <f t="shared" si="26"/>
        <v>6.6709999999999923</v>
      </c>
      <c r="W81" s="54">
        <v>361</v>
      </c>
      <c r="X81" s="25">
        <f t="shared" si="27"/>
        <v>19.847559199999978</v>
      </c>
    </row>
    <row r="82" spans="1:24" x14ac:dyDescent="0.25">
      <c r="A82" s="17" t="s">
        <v>1929</v>
      </c>
      <c r="B82" s="51">
        <v>137</v>
      </c>
      <c r="C82" s="51">
        <f t="shared" si="14"/>
        <v>3</v>
      </c>
      <c r="D82" s="51">
        <v>140</v>
      </c>
      <c r="E82" s="51">
        <f t="shared" si="15"/>
        <v>2</v>
      </c>
      <c r="F82" s="51">
        <v>142</v>
      </c>
      <c r="G82" s="51">
        <f t="shared" si="16"/>
        <v>4</v>
      </c>
      <c r="H82" s="52">
        <v>146</v>
      </c>
      <c r="I82" s="25">
        <f t="shared" si="17"/>
        <v>14.94</v>
      </c>
      <c r="J82" s="51">
        <f t="shared" si="18"/>
        <v>4</v>
      </c>
      <c r="K82" s="52">
        <v>150</v>
      </c>
      <c r="L82" s="25">
        <f t="shared" si="19"/>
        <v>16.62</v>
      </c>
      <c r="M82" s="51">
        <f t="shared" si="20"/>
        <v>1</v>
      </c>
      <c r="N82" s="52">
        <v>151</v>
      </c>
      <c r="O82" s="25">
        <f t="shared" si="21"/>
        <v>6.39</v>
      </c>
      <c r="P82" s="51">
        <f t="shared" si="22"/>
        <v>2</v>
      </c>
      <c r="Q82" s="52">
        <v>153</v>
      </c>
      <c r="R82" s="25">
        <f t="shared" si="23"/>
        <v>5.74</v>
      </c>
      <c r="S82" s="53">
        <f t="shared" si="24"/>
        <v>5</v>
      </c>
      <c r="T82" s="52">
        <v>158</v>
      </c>
      <c r="U82" s="25">
        <f t="shared" si="25"/>
        <v>14.9</v>
      </c>
      <c r="V82" s="53">
        <f t="shared" si="26"/>
        <v>4</v>
      </c>
      <c r="W82" s="54">
        <v>162</v>
      </c>
      <c r="X82" s="25">
        <f t="shared" si="27"/>
        <v>11.9008</v>
      </c>
    </row>
    <row r="83" spans="1:24" x14ac:dyDescent="0.25">
      <c r="A83" s="17" t="s">
        <v>1674</v>
      </c>
      <c r="B83" s="51">
        <v>292.86</v>
      </c>
      <c r="C83" s="51">
        <f t="shared" si="14"/>
        <v>7.9499999999999886</v>
      </c>
      <c r="D83" s="51">
        <v>300.81</v>
      </c>
      <c r="E83" s="51">
        <f t="shared" si="15"/>
        <v>9.1100000000000136</v>
      </c>
      <c r="F83" s="51">
        <v>309.92</v>
      </c>
      <c r="G83" s="51">
        <f t="shared" si="16"/>
        <v>9.1499999999999773</v>
      </c>
      <c r="H83" s="52">
        <v>319.07</v>
      </c>
      <c r="I83" s="25">
        <f t="shared" si="17"/>
        <v>34.17</v>
      </c>
      <c r="J83" s="51">
        <f t="shared" si="18"/>
        <v>8.8530000000000086</v>
      </c>
      <c r="K83" s="52">
        <v>327.923</v>
      </c>
      <c r="L83" s="25">
        <f t="shared" si="19"/>
        <v>36.78</v>
      </c>
      <c r="M83" s="51">
        <f t="shared" si="20"/>
        <v>4.8700000000000045</v>
      </c>
      <c r="N83" s="52">
        <v>332.79300000000001</v>
      </c>
      <c r="O83" s="25">
        <f t="shared" si="21"/>
        <v>31.1</v>
      </c>
      <c r="P83" s="51">
        <f t="shared" si="22"/>
        <v>6.2069999999999936</v>
      </c>
      <c r="Q83" s="52">
        <v>339</v>
      </c>
      <c r="R83" s="25">
        <f t="shared" si="23"/>
        <v>17.82</v>
      </c>
      <c r="S83" s="53">
        <f t="shared" si="24"/>
        <v>9.853999999999985</v>
      </c>
      <c r="T83" s="52">
        <v>348.85399999999998</v>
      </c>
      <c r="U83" s="25">
        <f t="shared" si="25"/>
        <v>29.36</v>
      </c>
      <c r="V83" s="53">
        <f t="shared" si="26"/>
        <v>9.146000000000015</v>
      </c>
      <c r="W83" s="54">
        <v>358</v>
      </c>
      <c r="X83" s="25">
        <f t="shared" si="27"/>
        <v>27.211179200000046</v>
      </c>
    </row>
    <row r="84" spans="1:24" x14ac:dyDescent="0.25">
      <c r="A84" s="17" t="s">
        <v>2093</v>
      </c>
      <c r="B84" s="51">
        <v>261</v>
      </c>
      <c r="C84" s="51">
        <f t="shared" si="14"/>
        <v>13</v>
      </c>
      <c r="D84" s="51">
        <v>274</v>
      </c>
      <c r="E84" s="51">
        <f t="shared" si="15"/>
        <v>8</v>
      </c>
      <c r="F84" s="51">
        <v>282</v>
      </c>
      <c r="G84" s="51">
        <f t="shared" si="16"/>
        <v>8</v>
      </c>
      <c r="H84" s="52">
        <v>290</v>
      </c>
      <c r="I84" s="25">
        <f t="shared" si="17"/>
        <v>29.87</v>
      </c>
      <c r="J84" s="51">
        <f t="shared" si="18"/>
        <v>4</v>
      </c>
      <c r="K84" s="52">
        <v>294</v>
      </c>
      <c r="L84" s="25">
        <f t="shared" si="19"/>
        <v>16.62</v>
      </c>
      <c r="M84" s="51">
        <f t="shared" si="20"/>
        <v>5</v>
      </c>
      <c r="N84" s="52">
        <v>299</v>
      </c>
      <c r="O84" s="25">
        <f t="shared" si="21"/>
        <v>31.93</v>
      </c>
      <c r="P84" s="51">
        <f t="shared" si="22"/>
        <v>7</v>
      </c>
      <c r="Q84" s="52">
        <v>306</v>
      </c>
      <c r="R84" s="25">
        <f t="shared" si="23"/>
        <v>20.09</v>
      </c>
      <c r="S84" s="53">
        <f t="shared" si="24"/>
        <v>7</v>
      </c>
      <c r="T84" s="52">
        <v>313</v>
      </c>
      <c r="U84" s="25">
        <f t="shared" si="25"/>
        <v>20.86</v>
      </c>
      <c r="V84" s="53">
        <f t="shared" si="26"/>
        <v>8</v>
      </c>
      <c r="W84" s="54">
        <v>321</v>
      </c>
      <c r="X84" s="25">
        <f t="shared" si="27"/>
        <v>23.801600000000001</v>
      </c>
    </row>
    <row r="85" spans="1:24" x14ac:dyDescent="0.25">
      <c r="A85" s="17" t="s">
        <v>1983</v>
      </c>
      <c r="B85" s="51">
        <v>117</v>
      </c>
      <c r="C85" s="51">
        <f t="shared" si="14"/>
        <v>8</v>
      </c>
      <c r="D85" s="51">
        <v>125</v>
      </c>
      <c r="E85" s="51">
        <f t="shared" si="15"/>
        <v>4</v>
      </c>
      <c r="F85" s="51">
        <v>129</v>
      </c>
      <c r="G85" s="51">
        <f t="shared" si="16"/>
        <v>4</v>
      </c>
      <c r="H85" s="52">
        <v>133</v>
      </c>
      <c r="I85" s="25">
        <f t="shared" si="17"/>
        <v>14.94</v>
      </c>
      <c r="J85" s="51">
        <f t="shared" si="18"/>
        <v>4</v>
      </c>
      <c r="K85" s="52">
        <v>137</v>
      </c>
      <c r="L85" s="25">
        <f t="shared" si="19"/>
        <v>16.62</v>
      </c>
      <c r="M85" s="51">
        <f t="shared" si="20"/>
        <v>2</v>
      </c>
      <c r="N85" s="52">
        <v>139</v>
      </c>
      <c r="O85" s="25">
        <f t="shared" si="21"/>
        <v>12.77</v>
      </c>
      <c r="P85" s="51">
        <f t="shared" si="22"/>
        <v>4</v>
      </c>
      <c r="Q85" s="52">
        <v>143</v>
      </c>
      <c r="R85" s="25">
        <f t="shared" si="23"/>
        <v>11.48</v>
      </c>
      <c r="S85" s="53">
        <f t="shared" si="24"/>
        <v>4</v>
      </c>
      <c r="T85" s="52">
        <v>147</v>
      </c>
      <c r="U85" s="25">
        <f t="shared" si="25"/>
        <v>11.92</v>
      </c>
      <c r="V85" s="53">
        <f t="shared" si="26"/>
        <v>4</v>
      </c>
      <c r="W85" s="54">
        <v>151</v>
      </c>
      <c r="X85" s="25">
        <f t="shared" si="27"/>
        <v>11.9008</v>
      </c>
    </row>
    <row r="86" spans="1:24" x14ac:dyDescent="0.25">
      <c r="A86" s="17" t="s">
        <v>1878</v>
      </c>
      <c r="B86" s="51">
        <v>207</v>
      </c>
      <c r="C86" s="51">
        <f t="shared" si="14"/>
        <v>0</v>
      </c>
      <c r="D86" s="51">
        <v>207</v>
      </c>
      <c r="E86" s="51">
        <f t="shared" si="15"/>
        <v>1</v>
      </c>
      <c r="F86" s="51">
        <v>208</v>
      </c>
      <c r="G86" s="51">
        <f t="shared" si="16"/>
        <v>3</v>
      </c>
      <c r="H86" s="52">
        <v>211</v>
      </c>
      <c r="I86" s="25">
        <f t="shared" si="17"/>
        <v>11.2</v>
      </c>
      <c r="J86" s="51">
        <f t="shared" si="18"/>
        <v>3</v>
      </c>
      <c r="K86" s="52">
        <v>214</v>
      </c>
      <c r="L86" s="25">
        <f t="shared" si="19"/>
        <v>12.46</v>
      </c>
      <c r="M86" s="51">
        <f t="shared" si="20"/>
        <v>3</v>
      </c>
      <c r="N86" s="52">
        <v>217</v>
      </c>
      <c r="O86" s="25">
        <f t="shared" si="21"/>
        <v>19.16</v>
      </c>
      <c r="P86" s="51">
        <f t="shared" si="22"/>
        <v>1</v>
      </c>
      <c r="Q86" s="52">
        <v>218</v>
      </c>
      <c r="R86" s="25">
        <f t="shared" si="23"/>
        <v>2.87</v>
      </c>
      <c r="S86" s="53">
        <f t="shared" si="24"/>
        <v>3</v>
      </c>
      <c r="T86" s="52">
        <v>221</v>
      </c>
      <c r="U86" s="25">
        <f t="shared" si="25"/>
        <v>8.94</v>
      </c>
      <c r="V86" s="53">
        <f t="shared" si="26"/>
        <v>5</v>
      </c>
      <c r="W86" s="54">
        <v>226</v>
      </c>
      <c r="X86" s="25">
        <f t="shared" si="27"/>
        <v>14.876000000000001</v>
      </c>
    </row>
    <row r="87" spans="1:24" x14ac:dyDescent="0.25">
      <c r="A87" s="17" t="s">
        <v>1542</v>
      </c>
      <c r="B87" s="51">
        <v>227</v>
      </c>
      <c r="C87" s="51">
        <f t="shared" si="14"/>
        <v>3</v>
      </c>
      <c r="D87" s="51">
        <v>230</v>
      </c>
      <c r="E87" s="51">
        <f t="shared" si="15"/>
        <v>2</v>
      </c>
      <c r="F87" s="51">
        <v>232</v>
      </c>
      <c r="G87" s="51">
        <f t="shared" si="16"/>
        <v>1</v>
      </c>
      <c r="H87" s="52">
        <v>233</v>
      </c>
      <c r="I87" s="25">
        <f t="shared" si="17"/>
        <v>3.73</v>
      </c>
      <c r="J87" s="51">
        <f t="shared" si="18"/>
        <v>2</v>
      </c>
      <c r="K87" s="52">
        <v>235</v>
      </c>
      <c r="L87" s="25">
        <f t="shared" si="19"/>
        <v>8.31</v>
      </c>
      <c r="M87" s="51">
        <f t="shared" si="20"/>
        <v>0</v>
      </c>
      <c r="N87" s="52">
        <v>235</v>
      </c>
      <c r="O87" s="25">
        <f t="shared" si="21"/>
        <v>0</v>
      </c>
      <c r="P87" s="51">
        <f t="shared" si="22"/>
        <v>1</v>
      </c>
      <c r="Q87" s="52">
        <v>236</v>
      </c>
      <c r="R87" s="25">
        <f t="shared" si="23"/>
        <v>2.87</v>
      </c>
      <c r="S87" s="53">
        <f t="shared" si="24"/>
        <v>1</v>
      </c>
      <c r="T87" s="52">
        <v>237</v>
      </c>
      <c r="U87" s="25">
        <f t="shared" si="25"/>
        <v>2.98</v>
      </c>
      <c r="V87" s="53">
        <f t="shared" si="26"/>
        <v>2</v>
      </c>
      <c r="W87" s="54">
        <v>239</v>
      </c>
      <c r="X87" s="25">
        <f t="shared" si="27"/>
        <v>5.9504000000000001</v>
      </c>
    </row>
    <row r="88" spans="1:24" x14ac:dyDescent="0.25">
      <c r="A88" s="17" t="s">
        <v>1791</v>
      </c>
      <c r="B88" s="51">
        <v>311.11</v>
      </c>
      <c r="C88" s="51">
        <f t="shared" si="14"/>
        <v>5.4599999999999795</v>
      </c>
      <c r="D88" s="51">
        <v>316.57</v>
      </c>
      <c r="E88" s="51">
        <f t="shared" si="15"/>
        <v>5.9700000000000273</v>
      </c>
      <c r="F88" s="51">
        <v>322.54000000000002</v>
      </c>
      <c r="G88" s="51">
        <f t="shared" si="16"/>
        <v>5.70799999999997</v>
      </c>
      <c r="H88" s="52">
        <v>328.24799999999999</v>
      </c>
      <c r="I88" s="25">
        <f t="shared" si="17"/>
        <v>21.31</v>
      </c>
      <c r="J88" s="51">
        <f t="shared" si="18"/>
        <v>6.5439999999999827</v>
      </c>
      <c r="K88" s="52">
        <v>334.79199999999997</v>
      </c>
      <c r="L88" s="25">
        <f t="shared" si="19"/>
        <v>27.19</v>
      </c>
      <c r="M88" s="51">
        <f t="shared" si="20"/>
        <v>4.0500000000000114</v>
      </c>
      <c r="N88" s="52">
        <v>338.84199999999998</v>
      </c>
      <c r="O88" s="25">
        <f t="shared" si="21"/>
        <v>25.86</v>
      </c>
      <c r="P88" s="51">
        <f t="shared" si="22"/>
        <v>4.1580000000000155</v>
      </c>
      <c r="Q88" s="52">
        <v>343</v>
      </c>
      <c r="R88" s="25">
        <f t="shared" si="23"/>
        <v>11.94</v>
      </c>
      <c r="S88" s="53">
        <f t="shared" si="24"/>
        <v>8.3790000000000191</v>
      </c>
      <c r="T88" s="52">
        <v>351.37900000000002</v>
      </c>
      <c r="U88" s="25">
        <f t="shared" si="25"/>
        <v>24.97</v>
      </c>
      <c r="V88" s="53">
        <f t="shared" si="26"/>
        <v>5.6209999999999809</v>
      </c>
      <c r="W88" s="54">
        <v>357</v>
      </c>
      <c r="X88" s="25">
        <f t="shared" si="27"/>
        <v>16.723599199999942</v>
      </c>
    </row>
    <row r="89" spans="1:24" x14ac:dyDescent="0.25">
      <c r="A89" s="17" t="s">
        <v>1893</v>
      </c>
      <c r="B89" s="51">
        <v>189</v>
      </c>
      <c r="C89" s="51">
        <f t="shared" si="14"/>
        <v>6</v>
      </c>
      <c r="D89" s="51">
        <v>195</v>
      </c>
      <c r="E89" s="51">
        <f t="shared" si="15"/>
        <v>5</v>
      </c>
      <c r="F89" s="51">
        <v>200</v>
      </c>
      <c r="G89" s="51">
        <f t="shared" si="16"/>
        <v>7</v>
      </c>
      <c r="H89" s="52">
        <v>207</v>
      </c>
      <c r="I89" s="25">
        <f t="shared" si="17"/>
        <v>26.14</v>
      </c>
      <c r="J89" s="51">
        <f t="shared" si="18"/>
        <v>4</v>
      </c>
      <c r="K89" s="52">
        <v>211</v>
      </c>
      <c r="L89" s="25">
        <f t="shared" si="19"/>
        <v>16.62</v>
      </c>
      <c r="M89" s="51">
        <f t="shared" si="20"/>
        <v>3</v>
      </c>
      <c r="N89" s="52">
        <v>214</v>
      </c>
      <c r="O89" s="25">
        <f t="shared" si="21"/>
        <v>19.16</v>
      </c>
      <c r="P89" s="51">
        <f t="shared" si="22"/>
        <v>5</v>
      </c>
      <c r="Q89" s="52">
        <v>219</v>
      </c>
      <c r="R89" s="25">
        <f t="shared" si="23"/>
        <v>14.35</v>
      </c>
      <c r="S89" s="53">
        <f t="shared" si="24"/>
        <v>5</v>
      </c>
      <c r="T89" s="52">
        <v>224</v>
      </c>
      <c r="U89" s="25">
        <f t="shared" si="25"/>
        <v>14.9</v>
      </c>
      <c r="V89" s="53">
        <f t="shared" si="26"/>
        <v>6</v>
      </c>
      <c r="W89" s="54">
        <v>230</v>
      </c>
      <c r="X89" s="25">
        <f t="shared" si="27"/>
        <v>17.851199999999999</v>
      </c>
    </row>
    <row r="90" spans="1:24" x14ac:dyDescent="0.25">
      <c r="A90" s="17" t="s">
        <v>1960</v>
      </c>
      <c r="B90" s="51">
        <v>312</v>
      </c>
      <c r="C90" s="51">
        <f t="shared" si="14"/>
        <v>9</v>
      </c>
      <c r="D90" s="51">
        <v>321</v>
      </c>
      <c r="E90" s="51">
        <f t="shared" si="15"/>
        <v>7</v>
      </c>
      <c r="F90" s="51">
        <v>328</v>
      </c>
      <c r="G90" s="51">
        <f t="shared" si="16"/>
        <v>3</v>
      </c>
      <c r="H90" s="52">
        <v>331</v>
      </c>
      <c r="I90" s="25">
        <f t="shared" si="17"/>
        <v>11.2</v>
      </c>
      <c r="J90" s="51">
        <f t="shared" si="18"/>
        <v>0</v>
      </c>
      <c r="K90" s="52">
        <v>331</v>
      </c>
      <c r="L90" s="25">
        <f t="shared" si="19"/>
        <v>0</v>
      </c>
      <c r="M90" s="51">
        <f t="shared" si="20"/>
        <v>0</v>
      </c>
      <c r="N90" s="52">
        <v>331</v>
      </c>
      <c r="O90" s="25">
        <f t="shared" si="21"/>
        <v>0</v>
      </c>
      <c r="P90" s="51">
        <f t="shared" si="22"/>
        <v>0</v>
      </c>
      <c r="Q90" s="52">
        <v>331</v>
      </c>
      <c r="R90" s="25">
        <f t="shared" si="23"/>
        <v>0</v>
      </c>
      <c r="S90" s="53">
        <f t="shared" si="24"/>
        <v>0</v>
      </c>
      <c r="T90" s="52">
        <v>331</v>
      </c>
      <c r="U90" s="25">
        <f t="shared" si="25"/>
        <v>0</v>
      </c>
      <c r="V90" s="53">
        <f t="shared" si="26"/>
        <v>0</v>
      </c>
      <c r="W90" s="54">
        <v>331</v>
      </c>
      <c r="X90" s="25">
        <f t="shared" si="27"/>
        <v>0</v>
      </c>
    </row>
    <row r="91" spans="1:24" x14ac:dyDescent="0.25">
      <c r="A91" s="17" t="s">
        <v>1985</v>
      </c>
      <c r="B91" s="51">
        <v>182</v>
      </c>
      <c r="C91" s="51">
        <f t="shared" si="14"/>
        <v>5</v>
      </c>
      <c r="D91" s="51">
        <v>187</v>
      </c>
      <c r="E91" s="51">
        <f t="shared" si="15"/>
        <v>6</v>
      </c>
      <c r="F91" s="51">
        <v>193</v>
      </c>
      <c r="G91" s="51">
        <f t="shared" si="16"/>
        <v>8</v>
      </c>
      <c r="H91" s="52">
        <v>201</v>
      </c>
      <c r="I91" s="25">
        <f t="shared" si="17"/>
        <v>29.87</v>
      </c>
      <c r="J91" s="51">
        <f t="shared" si="18"/>
        <v>9</v>
      </c>
      <c r="K91" s="52">
        <v>210</v>
      </c>
      <c r="L91" s="25">
        <f t="shared" si="19"/>
        <v>37.39</v>
      </c>
      <c r="M91" s="51">
        <f t="shared" si="20"/>
        <v>7</v>
      </c>
      <c r="N91" s="52">
        <v>217</v>
      </c>
      <c r="O91" s="25">
        <f t="shared" si="21"/>
        <v>44.7</v>
      </c>
      <c r="P91" s="51">
        <f t="shared" si="22"/>
        <v>5</v>
      </c>
      <c r="Q91" s="52">
        <v>222</v>
      </c>
      <c r="R91" s="25">
        <f t="shared" si="23"/>
        <v>14.35</v>
      </c>
      <c r="S91" s="53">
        <f t="shared" si="24"/>
        <v>6</v>
      </c>
      <c r="T91" s="52">
        <v>228</v>
      </c>
      <c r="U91" s="25">
        <f t="shared" si="25"/>
        <v>17.88</v>
      </c>
      <c r="V91" s="53">
        <f t="shared" si="26"/>
        <v>5</v>
      </c>
      <c r="W91" s="54">
        <v>233</v>
      </c>
      <c r="X91" s="25">
        <f t="shared" si="27"/>
        <v>14.876000000000001</v>
      </c>
    </row>
    <row r="92" spans="1:24" x14ac:dyDescent="0.25">
      <c r="A92" s="17" t="s">
        <v>1866</v>
      </c>
      <c r="B92" s="51">
        <v>190</v>
      </c>
      <c r="C92" s="51">
        <f t="shared" si="14"/>
        <v>5</v>
      </c>
      <c r="D92" s="51">
        <v>195</v>
      </c>
      <c r="E92" s="51">
        <f t="shared" si="15"/>
        <v>2</v>
      </c>
      <c r="F92" s="51">
        <v>197</v>
      </c>
      <c r="G92" s="51">
        <f t="shared" si="16"/>
        <v>5</v>
      </c>
      <c r="H92" s="52">
        <v>202</v>
      </c>
      <c r="I92" s="25">
        <f t="shared" si="17"/>
        <v>18.670000000000002</v>
      </c>
      <c r="J92" s="51">
        <f t="shared" si="18"/>
        <v>3</v>
      </c>
      <c r="K92" s="52">
        <v>205</v>
      </c>
      <c r="L92" s="25">
        <f t="shared" si="19"/>
        <v>12.46</v>
      </c>
      <c r="M92" s="51">
        <f t="shared" si="20"/>
        <v>2</v>
      </c>
      <c r="N92" s="52">
        <v>207</v>
      </c>
      <c r="O92" s="25">
        <f t="shared" si="21"/>
        <v>12.77</v>
      </c>
      <c r="P92" s="51">
        <f t="shared" si="22"/>
        <v>6</v>
      </c>
      <c r="Q92" s="52">
        <v>213</v>
      </c>
      <c r="R92" s="25">
        <f t="shared" si="23"/>
        <v>17.22</v>
      </c>
      <c r="S92" s="53">
        <f t="shared" si="24"/>
        <v>4</v>
      </c>
      <c r="T92" s="52">
        <v>217</v>
      </c>
      <c r="U92" s="25">
        <f t="shared" si="25"/>
        <v>11.92</v>
      </c>
      <c r="V92" s="53">
        <f t="shared" si="26"/>
        <v>2</v>
      </c>
      <c r="W92" s="54">
        <v>219</v>
      </c>
      <c r="X92" s="25">
        <f t="shared" si="27"/>
        <v>5.9504000000000001</v>
      </c>
    </row>
    <row r="93" spans="1:24" x14ac:dyDescent="0.25">
      <c r="A93" s="17" t="s">
        <v>1722</v>
      </c>
      <c r="B93" s="51">
        <v>539</v>
      </c>
      <c r="C93" s="51">
        <f t="shared" si="14"/>
        <v>15</v>
      </c>
      <c r="D93" s="51">
        <v>554</v>
      </c>
      <c r="E93" s="51">
        <f t="shared" si="15"/>
        <v>18</v>
      </c>
      <c r="F93" s="51">
        <v>572</v>
      </c>
      <c r="G93" s="51">
        <f t="shared" si="16"/>
        <v>12</v>
      </c>
      <c r="H93" s="52">
        <v>584</v>
      </c>
      <c r="I93" s="25">
        <f t="shared" si="17"/>
        <v>44.81</v>
      </c>
      <c r="J93" s="51">
        <f t="shared" si="18"/>
        <v>14</v>
      </c>
      <c r="K93" s="52">
        <v>598</v>
      </c>
      <c r="L93" s="25">
        <f t="shared" si="19"/>
        <v>58.17</v>
      </c>
      <c r="M93" s="51">
        <f t="shared" si="20"/>
        <v>10</v>
      </c>
      <c r="N93" s="52">
        <v>608</v>
      </c>
      <c r="O93" s="25">
        <f t="shared" si="21"/>
        <v>63.86</v>
      </c>
      <c r="P93" s="51">
        <f t="shared" si="22"/>
        <v>10</v>
      </c>
      <c r="Q93" s="52">
        <v>618</v>
      </c>
      <c r="R93" s="25">
        <f t="shared" si="23"/>
        <v>28.7</v>
      </c>
      <c r="S93" s="53">
        <f t="shared" si="24"/>
        <v>13</v>
      </c>
      <c r="T93" s="52">
        <v>631</v>
      </c>
      <c r="U93" s="25">
        <f t="shared" si="25"/>
        <v>38.74</v>
      </c>
      <c r="V93" s="53">
        <f t="shared" si="26"/>
        <v>14</v>
      </c>
      <c r="W93" s="54">
        <v>645</v>
      </c>
      <c r="X93" s="25">
        <f t="shared" si="27"/>
        <v>41.652799999999999</v>
      </c>
    </row>
    <row r="94" spans="1:24" x14ac:dyDescent="0.25">
      <c r="A94" s="17" t="s">
        <v>1522</v>
      </c>
      <c r="B94" s="51">
        <v>47.44</v>
      </c>
      <c r="C94" s="51">
        <f t="shared" si="14"/>
        <v>3.0000000000001137E-2</v>
      </c>
      <c r="D94" s="51">
        <v>47.47</v>
      </c>
      <c r="E94" s="51">
        <f t="shared" si="15"/>
        <v>0.41000000000000369</v>
      </c>
      <c r="F94" s="51">
        <v>47.88</v>
      </c>
      <c r="G94" s="51">
        <f t="shared" si="16"/>
        <v>2.1269999999999953</v>
      </c>
      <c r="H94" s="52">
        <v>50.006999999999998</v>
      </c>
      <c r="I94" s="25">
        <f t="shared" si="17"/>
        <v>7.94</v>
      </c>
      <c r="J94" s="51">
        <f t="shared" si="18"/>
        <v>2.1020000000000039</v>
      </c>
      <c r="K94" s="52">
        <v>52.109000000000002</v>
      </c>
      <c r="L94" s="25">
        <f t="shared" si="19"/>
        <v>8.73</v>
      </c>
      <c r="M94" s="51">
        <f t="shared" si="20"/>
        <v>1.1909999999999954</v>
      </c>
      <c r="N94" s="52">
        <v>53.3</v>
      </c>
      <c r="O94" s="25">
        <f t="shared" si="21"/>
        <v>7.61</v>
      </c>
      <c r="P94" s="51">
        <f t="shared" si="22"/>
        <v>0.70000000000000284</v>
      </c>
      <c r="Q94" s="52">
        <v>54</v>
      </c>
      <c r="R94" s="25">
        <f t="shared" si="23"/>
        <v>2.0099999999999998</v>
      </c>
      <c r="S94" s="53">
        <f t="shared" si="24"/>
        <v>2.9209999999999994</v>
      </c>
      <c r="T94" s="52">
        <v>56.920999999999999</v>
      </c>
      <c r="U94" s="25">
        <f t="shared" si="25"/>
        <v>8.6999999999999993</v>
      </c>
      <c r="V94" s="53">
        <f t="shared" si="26"/>
        <v>2.0790000000000006</v>
      </c>
      <c r="W94" s="54">
        <v>59</v>
      </c>
      <c r="X94" s="25">
        <f t="shared" si="27"/>
        <v>6.1854408000000021</v>
      </c>
    </row>
    <row r="95" spans="1:24" x14ac:dyDescent="0.25">
      <c r="A95" s="17" t="s">
        <v>1846</v>
      </c>
      <c r="B95" s="51">
        <v>440.52</v>
      </c>
      <c r="C95" s="51">
        <f t="shared" si="14"/>
        <v>12.009999999999991</v>
      </c>
      <c r="D95" s="51">
        <v>452.53</v>
      </c>
      <c r="E95" s="51">
        <f t="shared" si="15"/>
        <v>9.8100000000000023</v>
      </c>
      <c r="F95" s="51">
        <v>462.34</v>
      </c>
      <c r="G95" s="51">
        <f t="shared" si="16"/>
        <v>11.67900000000003</v>
      </c>
      <c r="H95" s="52">
        <v>474.01900000000001</v>
      </c>
      <c r="I95" s="25">
        <f t="shared" si="17"/>
        <v>43.61</v>
      </c>
      <c r="J95" s="51">
        <f t="shared" si="18"/>
        <v>11.63900000000001</v>
      </c>
      <c r="K95" s="52">
        <v>485.65800000000002</v>
      </c>
      <c r="L95" s="25">
        <f t="shared" si="19"/>
        <v>48.36</v>
      </c>
      <c r="M95" s="51">
        <f t="shared" si="20"/>
        <v>6.6719999999999686</v>
      </c>
      <c r="N95" s="52">
        <v>492.33</v>
      </c>
      <c r="O95" s="25">
        <f t="shared" si="21"/>
        <v>42.6</v>
      </c>
      <c r="P95" s="51">
        <f t="shared" si="22"/>
        <v>6.6700000000000159</v>
      </c>
      <c r="Q95" s="52">
        <v>499</v>
      </c>
      <c r="R95" s="25">
        <f t="shared" si="23"/>
        <v>19.149999999999999</v>
      </c>
      <c r="S95" s="53">
        <f t="shared" si="24"/>
        <v>8.0160000000000196</v>
      </c>
      <c r="T95" s="52">
        <v>507.01600000000002</v>
      </c>
      <c r="U95" s="25">
        <f t="shared" si="25"/>
        <v>23.89</v>
      </c>
      <c r="V95" s="53">
        <f t="shared" si="26"/>
        <v>8.9839999999999804</v>
      </c>
      <c r="W95" s="54">
        <v>516</v>
      </c>
      <c r="X95" s="25">
        <f t="shared" si="27"/>
        <v>26.729196799999944</v>
      </c>
    </row>
    <row r="96" spans="1:24" x14ac:dyDescent="0.25">
      <c r="A96" s="17" t="s">
        <v>1716</v>
      </c>
      <c r="B96" s="51">
        <v>303</v>
      </c>
      <c r="C96" s="51">
        <f t="shared" si="14"/>
        <v>4</v>
      </c>
      <c r="D96" s="51">
        <v>307</v>
      </c>
      <c r="E96" s="51">
        <f t="shared" si="15"/>
        <v>2</v>
      </c>
      <c r="F96" s="51">
        <v>309</v>
      </c>
      <c r="G96" s="51">
        <f t="shared" si="16"/>
        <v>9</v>
      </c>
      <c r="H96" s="52">
        <v>318</v>
      </c>
      <c r="I96" s="25">
        <f t="shared" si="17"/>
        <v>33.61</v>
      </c>
      <c r="J96" s="51">
        <f t="shared" si="18"/>
        <v>7</v>
      </c>
      <c r="K96" s="52">
        <v>325</v>
      </c>
      <c r="L96" s="25">
        <f t="shared" si="19"/>
        <v>29.08</v>
      </c>
      <c r="M96" s="51">
        <f t="shared" si="20"/>
        <v>3</v>
      </c>
      <c r="N96" s="52">
        <v>328</v>
      </c>
      <c r="O96" s="25">
        <f t="shared" si="21"/>
        <v>19.16</v>
      </c>
      <c r="P96" s="51">
        <f t="shared" si="22"/>
        <v>8</v>
      </c>
      <c r="Q96" s="52">
        <v>336</v>
      </c>
      <c r="R96" s="25">
        <f t="shared" si="23"/>
        <v>22.96</v>
      </c>
      <c r="S96" s="53">
        <f t="shared" si="24"/>
        <v>15</v>
      </c>
      <c r="T96" s="52">
        <v>351</v>
      </c>
      <c r="U96" s="25">
        <f t="shared" si="25"/>
        <v>44.7</v>
      </c>
      <c r="V96" s="53">
        <f t="shared" si="26"/>
        <v>14</v>
      </c>
      <c r="W96" s="54">
        <v>365</v>
      </c>
      <c r="X96" s="25">
        <f t="shared" si="27"/>
        <v>41.652799999999999</v>
      </c>
    </row>
    <row r="97" spans="1:24" x14ac:dyDescent="0.25">
      <c r="A97" s="17" t="s">
        <v>1525</v>
      </c>
      <c r="B97" s="51">
        <v>107</v>
      </c>
      <c r="C97" s="51">
        <f t="shared" si="14"/>
        <v>4</v>
      </c>
      <c r="D97" s="51">
        <v>111</v>
      </c>
      <c r="E97" s="51">
        <f t="shared" si="15"/>
        <v>5</v>
      </c>
      <c r="F97" s="51">
        <v>116</v>
      </c>
      <c r="G97" s="51">
        <f t="shared" si="16"/>
        <v>7</v>
      </c>
      <c r="H97" s="52">
        <v>123</v>
      </c>
      <c r="I97" s="25">
        <f t="shared" si="17"/>
        <v>26.14</v>
      </c>
      <c r="J97" s="51">
        <f t="shared" si="18"/>
        <v>5</v>
      </c>
      <c r="K97" s="52">
        <v>128</v>
      </c>
      <c r="L97" s="25">
        <f t="shared" si="19"/>
        <v>20.77</v>
      </c>
      <c r="M97" s="51">
        <f t="shared" si="20"/>
        <v>3</v>
      </c>
      <c r="N97" s="52">
        <v>131</v>
      </c>
      <c r="O97" s="25">
        <f t="shared" si="21"/>
        <v>19.16</v>
      </c>
      <c r="P97" s="51">
        <f t="shared" si="22"/>
        <v>5</v>
      </c>
      <c r="Q97" s="52">
        <v>136</v>
      </c>
      <c r="R97" s="25">
        <f t="shared" si="23"/>
        <v>14.35</v>
      </c>
      <c r="S97" s="53">
        <f t="shared" si="24"/>
        <v>6</v>
      </c>
      <c r="T97" s="52">
        <v>142</v>
      </c>
      <c r="U97" s="25">
        <f t="shared" si="25"/>
        <v>17.88</v>
      </c>
      <c r="V97" s="53">
        <f t="shared" si="26"/>
        <v>6</v>
      </c>
      <c r="W97" s="54">
        <v>148</v>
      </c>
      <c r="X97" s="25">
        <f t="shared" si="27"/>
        <v>17.851199999999999</v>
      </c>
    </row>
    <row r="98" spans="1:24" x14ac:dyDescent="0.25">
      <c r="A98" s="17" t="s">
        <v>1660</v>
      </c>
      <c r="B98" s="51">
        <v>39</v>
      </c>
      <c r="C98" s="51">
        <f t="shared" si="14"/>
        <v>2</v>
      </c>
      <c r="D98" s="51">
        <v>41</v>
      </c>
      <c r="E98" s="51">
        <f t="shared" si="15"/>
        <v>1</v>
      </c>
      <c r="F98" s="51">
        <v>42</v>
      </c>
      <c r="G98" s="51">
        <f t="shared" si="16"/>
        <v>4</v>
      </c>
      <c r="H98" s="52">
        <v>46</v>
      </c>
      <c r="I98" s="25">
        <f t="shared" si="17"/>
        <v>14.94</v>
      </c>
      <c r="J98" s="51">
        <f t="shared" si="18"/>
        <v>4</v>
      </c>
      <c r="K98" s="52">
        <v>50</v>
      </c>
      <c r="L98" s="25">
        <f t="shared" si="19"/>
        <v>16.62</v>
      </c>
      <c r="M98" s="51">
        <f t="shared" si="20"/>
        <v>1</v>
      </c>
      <c r="N98" s="52">
        <v>51</v>
      </c>
      <c r="O98" s="25">
        <f t="shared" si="21"/>
        <v>6.39</v>
      </c>
      <c r="P98" s="51">
        <f t="shared" si="22"/>
        <v>3</v>
      </c>
      <c r="Q98" s="52">
        <v>54</v>
      </c>
      <c r="R98" s="25">
        <f t="shared" si="23"/>
        <v>8.61</v>
      </c>
      <c r="S98" s="53">
        <f t="shared" si="24"/>
        <v>7</v>
      </c>
      <c r="T98" s="52">
        <v>61</v>
      </c>
      <c r="U98" s="25">
        <f t="shared" si="25"/>
        <v>20.86</v>
      </c>
      <c r="V98" s="53">
        <f t="shared" si="26"/>
        <v>5</v>
      </c>
      <c r="W98" s="54">
        <v>66</v>
      </c>
      <c r="X98" s="25">
        <f t="shared" si="27"/>
        <v>14.876000000000001</v>
      </c>
    </row>
    <row r="99" spans="1:24" x14ac:dyDescent="0.25">
      <c r="A99" s="17" t="s">
        <v>1641</v>
      </c>
      <c r="B99" s="51">
        <v>269</v>
      </c>
      <c r="C99" s="51">
        <f t="shared" si="14"/>
        <v>6</v>
      </c>
      <c r="D99" s="51">
        <v>275</v>
      </c>
      <c r="E99" s="51">
        <f t="shared" si="15"/>
        <v>8</v>
      </c>
      <c r="F99" s="51">
        <v>283</v>
      </c>
      <c r="G99" s="51">
        <f t="shared" si="16"/>
        <v>10</v>
      </c>
      <c r="H99" s="52">
        <v>293</v>
      </c>
      <c r="I99" s="25">
        <f t="shared" si="17"/>
        <v>37.340000000000003</v>
      </c>
      <c r="J99" s="51">
        <f t="shared" si="18"/>
        <v>3</v>
      </c>
      <c r="K99" s="52">
        <v>296</v>
      </c>
      <c r="L99" s="25">
        <f t="shared" si="19"/>
        <v>12.46</v>
      </c>
      <c r="M99" s="51">
        <f t="shared" si="20"/>
        <v>4</v>
      </c>
      <c r="N99" s="52">
        <v>300</v>
      </c>
      <c r="O99" s="25">
        <f t="shared" si="21"/>
        <v>25.54</v>
      </c>
      <c r="P99" s="51">
        <f t="shared" si="22"/>
        <v>7</v>
      </c>
      <c r="Q99" s="52">
        <v>307</v>
      </c>
      <c r="R99" s="25">
        <f t="shared" si="23"/>
        <v>20.09</v>
      </c>
      <c r="S99" s="53">
        <f t="shared" si="24"/>
        <v>7</v>
      </c>
      <c r="T99" s="52">
        <v>314</v>
      </c>
      <c r="U99" s="25">
        <f t="shared" si="25"/>
        <v>20.86</v>
      </c>
      <c r="V99" s="53">
        <f t="shared" si="26"/>
        <v>7</v>
      </c>
      <c r="W99" s="54">
        <v>321</v>
      </c>
      <c r="X99" s="25">
        <f t="shared" si="27"/>
        <v>20.8264</v>
      </c>
    </row>
    <row r="100" spans="1:24" x14ac:dyDescent="0.25">
      <c r="A100" s="17" t="s">
        <v>1829</v>
      </c>
      <c r="B100" s="51">
        <v>501.16</v>
      </c>
      <c r="C100" s="51">
        <f t="shared" si="14"/>
        <v>7.5299999999999727</v>
      </c>
      <c r="D100" s="51">
        <v>508.69</v>
      </c>
      <c r="E100" s="51">
        <f t="shared" si="15"/>
        <v>4.9799999999999613</v>
      </c>
      <c r="F100" s="51">
        <v>513.66999999999996</v>
      </c>
      <c r="G100" s="51">
        <f t="shared" si="16"/>
        <v>10.596000000000004</v>
      </c>
      <c r="H100" s="52">
        <v>524.26599999999996</v>
      </c>
      <c r="I100" s="25">
        <f t="shared" si="17"/>
        <v>39.57</v>
      </c>
      <c r="J100" s="51">
        <f t="shared" si="18"/>
        <v>6.7340000000000373</v>
      </c>
      <c r="K100" s="52">
        <v>531</v>
      </c>
      <c r="L100" s="25">
        <f t="shared" si="19"/>
        <v>27.98</v>
      </c>
      <c r="M100" s="51">
        <f t="shared" si="20"/>
        <v>4.9740000000000464</v>
      </c>
      <c r="N100" s="52">
        <v>535.97400000000005</v>
      </c>
      <c r="O100" s="25">
        <f t="shared" si="21"/>
        <v>31.76</v>
      </c>
      <c r="P100" s="51">
        <f t="shared" si="22"/>
        <v>7.0259999999999536</v>
      </c>
      <c r="Q100" s="52">
        <v>543</v>
      </c>
      <c r="R100" s="25">
        <f t="shared" si="23"/>
        <v>20.170000000000002</v>
      </c>
      <c r="S100" s="53">
        <f t="shared" si="24"/>
        <v>3.8529999999999518</v>
      </c>
      <c r="T100" s="52">
        <v>546.85299999999995</v>
      </c>
      <c r="U100" s="25">
        <f t="shared" si="25"/>
        <v>11.48</v>
      </c>
      <c r="V100" s="53">
        <f t="shared" si="26"/>
        <v>4.1470000000000482</v>
      </c>
      <c r="W100" s="54">
        <v>551</v>
      </c>
      <c r="X100" s="25">
        <f t="shared" si="27"/>
        <v>12.338154400000144</v>
      </c>
    </row>
    <row r="101" spans="1:24" x14ac:dyDescent="0.25">
      <c r="A101" s="17" t="s">
        <v>1926</v>
      </c>
      <c r="B101" s="51">
        <v>93</v>
      </c>
      <c r="C101" s="51">
        <f t="shared" si="14"/>
        <v>3</v>
      </c>
      <c r="D101" s="51">
        <v>96</v>
      </c>
      <c r="E101" s="51">
        <f t="shared" si="15"/>
        <v>2</v>
      </c>
      <c r="F101" s="51">
        <v>98</v>
      </c>
      <c r="G101" s="51">
        <f t="shared" si="16"/>
        <v>2</v>
      </c>
      <c r="H101" s="52">
        <v>100</v>
      </c>
      <c r="I101" s="25">
        <f t="shared" si="17"/>
        <v>7.47</v>
      </c>
      <c r="J101" s="51">
        <f t="shared" si="18"/>
        <v>2</v>
      </c>
      <c r="K101" s="52">
        <v>102</v>
      </c>
      <c r="L101" s="25">
        <f t="shared" si="19"/>
        <v>8.31</v>
      </c>
      <c r="M101" s="51">
        <f t="shared" si="20"/>
        <v>1</v>
      </c>
      <c r="N101" s="52">
        <v>103</v>
      </c>
      <c r="O101" s="25">
        <f t="shared" si="21"/>
        <v>6.39</v>
      </c>
      <c r="P101" s="51">
        <f t="shared" si="22"/>
        <v>1</v>
      </c>
      <c r="Q101" s="52">
        <v>104</v>
      </c>
      <c r="R101" s="25">
        <f t="shared" si="23"/>
        <v>2.87</v>
      </c>
      <c r="S101" s="53">
        <f t="shared" si="24"/>
        <v>0</v>
      </c>
      <c r="T101" s="52">
        <v>104</v>
      </c>
      <c r="U101" s="25">
        <f t="shared" si="25"/>
        <v>0</v>
      </c>
      <c r="V101" s="53">
        <f t="shared" si="26"/>
        <v>1</v>
      </c>
      <c r="W101" s="54">
        <v>105</v>
      </c>
      <c r="X101" s="25">
        <f t="shared" si="27"/>
        <v>2.9752000000000001</v>
      </c>
    </row>
    <row r="102" spans="1:24" x14ac:dyDescent="0.25">
      <c r="A102" s="17" t="s">
        <v>1595</v>
      </c>
      <c r="B102" s="51">
        <v>577</v>
      </c>
      <c r="C102" s="51">
        <f t="shared" si="14"/>
        <v>10</v>
      </c>
      <c r="D102" s="51">
        <v>587</v>
      </c>
      <c r="E102" s="51">
        <f t="shared" si="15"/>
        <v>20</v>
      </c>
      <c r="F102" s="51">
        <v>607</v>
      </c>
      <c r="G102" s="51">
        <f t="shared" si="16"/>
        <v>0</v>
      </c>
      <c r="H102" s="52">
        <v>607</v>
      </c>
      <c r="I102" s="25">
        <f t="shared" si="17"/>
        <v>0</v>
      </c>
      <c r="J102" s="51">
        <f t="shared" si="18"/>
        <v>0</v>
      </c>
      <c r="K102" s="52">
        <v>607</v>
      </c>
      <c r="L102" s="25">
        <f t="shared" si="19"/>
        <v>0</v>
      </c>
      <c r="M102" s="51">
        <f t="shared" si="20"/>
        <v>2</v>
      </c>
      <c r="N102" s="52">
        <v>609</v>
      </c>
      <c r="O102" s="25">
        <f t="shared" si="21"/>
        <v>12.77</v>
      </c>
      <c r="P102" s="51">
        <f t="shared" si="22"/>
        <v>0</v>
      </c>
      <c r="Q102" s="52">
        <v>609</v>
      </c>
      <c r="R102" s="25">
        <f t="shared" si="23"/>
        <v>0</v>
      </c>
      <c r="S102" s="53">
        <f t="shared" si="24"/>
        <v>7</v>
      </c>
      <c r="T102" s="52">
        <v>616</v>
      </c>
      <c r="U102" s="25">
        <f t="shared" si="25"/>
        <v>20.86</v>
      </c>
      <c r="V102" s="53">
        <f t="shared" si="26"/>
        <v>9</v>
      </c>
      <c r="W102" s="54">
        <v>625</v>
      </c>
      <c r="X102" s="25">
        <f t="shared" si="27"/>
        <v>26.776800000000001</v>
      </c>
    </row>
    <row r="103" spans="1:24" x14ac:dyDescent="0.25">
      <c r="A103" s="17" t="s">
        <v>1696</v>
      </c>
      <c r="B103" s="51">
        <v>220</v>
      </c>
      <c r="C103" s="51">
        <f t="shared" si="14"/>
        <v>3</v>
      </c>
      <c r="D103" s="51">
        <v>223</v>
      </c>
      <c r="E103" s="51">
        <f t="shared" si="15"/>
        <v>3</v>
      </c>
      <c r="F103" s="51">
        <v>226</v>
      </c>
      <c r="G103" s="51">
        <f t="shared" si="16"/>
        <v>6</v>
      </c>
      <c r="H103" s="52">
        <v>232</v>
      </c>
      <c r="I103" s="25">
        <f t="shared" si="17"/>
        <v>22.41</v>
      </c>
      <c r="J103" s="51">
        <f t="shared" si="18"/>
        <v>4</v>
      </c>
      <c r="K103" s="52">
        <v>236</v>
      </c>
      <c r="L103" s="25">
        <f t="shared" si="19"/>
        <v>16.62</v>
      </c>
      <c r="M103" s="51">
        <f t="shared" si="20"/>
        <v>2</v>
      </c>
      <c r="N103" s="52">
        <v>238</v>
      </c>
      <c r="O103" s="25">
        <f t="shared" si="21"/>
        <v>12.77</v>
      </c>
      <c r="P103" s="51">
        <f t="shared" si="22"/>
        <v>2</v>
      </c>
      <c r="Q103" s="52">
        <v>240</v>
      </c>
      <c r="R103" s="25">
        <f t="shared" si="23"/>
        <v>5.74</v>
      </c>
      <c r="S103" s="53">
        <f t="shared" si="24"/>
        <v>3</v>
      </c>
      <c r="T103" s="52">
        <v>243</v>
      </c>
      <c r="U103" s="25">
        <f t="shared" si="25"/>
        <v>8.94</v>
      </c>
      <c r="V103" s="53">
        <f t="shared" si="26"/>
        <v>3</v>
      </c>
      <c r="W103" s="54">
        <v>246</v>
      </c>
      <c r="X103" s="25">
        <f t="shared" si="27"/>
        <v>8.9255999999999993</v>
      </c>
    </row>
    <row r="104" spans="1:24" x14ac:dyDescent="0.25">
      <c r="A104" s="17" t="s">
        <v>1699</v>
      </c>
      <c r="B104" s="51">
        <v>251</v>
      </c>
      <c r="C104" s="51">
        <f t="shared" si="14"/>
        <v>3</v>
      </c>
      <c r="D104" s="51">
        <v>254</v>
      </c>
      <c r="E104" s="51">
        <f t="shared" si="15"/>
        <v>3</v>
      </c>
      <c r="F104" s="51">
        <v>257</v>
      </c>
      <c r="G104" s="51">
        <f t="shared" si="16"/>
        <v>4</v>
      </c>
      <c r="H104" s="52">
        <v>261</v>
      </c>
      <c r="I104" s="25">
        <f t="shared" si="17"/>
        <v>14.94</v>
      </c>
      <c r="J104" s="51">
        <f t="shared" si="18"/>
        <v>2</v>
      </c>
      <c r="K104" s="52">
        <v>263</v>
      </c>
      <c r="L104" s="25">
        <f t="shared" si="19"/>
        <v>8.31</v>
      </c>
      <c r="M104" s="51">
        <f t="shared" si="20"/>
        <v>2</v>
      </c>
      <c r="N104" s="52">
        <v>265</v>
      </c>
      <c r="O104" s="25">
        <f t="shared" si="21"/>
        <v>12.77</v>
      </c>
      <c r="P104" s="51">
        <f t="shared" si="22"/>
        <v>3</v>
      </c>
      <c r="Q104" s="52">
        <v>268</v>
      </c>
      <c r="R104" s="25">
        <f t="shared" si="23"/>
        <v>8.61</v>
      </c>
      <c r="S104" s="53">
        <f t="shared" si="24"/>
        <v>3</v>
      </c>
      <c r="T104" s="52">
        <v>271</v>
      </c>
      <c r="U104" s="25">
        <f t="shared" si="25"/>
        <v>8.94</v>
      </c>
      <c r="V104" s="53">
        <f t="shared" si="26"/>
        <v>3</v>
      </c>
      <c r="W104" s="54">
        <v>274</v>
      </c>
      <c r="X104" s="25">
        <f t="shared" si="27"/>
        <v>8.9255999999999993</v>
      </c>
    </row>
    <row r="105" spans="1:24" x14ac:dyDescent="0.25">
      <c r="A105" s="17" t="s">
        <v>1719</v>
      </c>
      <c r="B105" s="51">
        <v>287.27</v>
      </c>
      <c r="C105" s="51">
        <f t="shared" si="14"/>
        <v>12.189999999999998</v>
      </c>
      <c r="D105" s="51">
        <v>299.45999999999998</v>
      </c>
      <c r="E105" s="51">
        <f t="shared" si="15"/>
        <v>10.410000000000025</v>
      </c>
      <c r="F105" s="51">
        <v>309.87</v>
      </c>
      <c r="G105" s="51">
        <f t="shared" si="16"/>
        <v>10.987000000000023</v>
      </c>
      <c r="H105" s="52">
        <v>320.85700000000003</v>
      </c>
      <c r="I105" s="25">
        <f t="shared" si="17"/>
        <v>41.03</v>
      </c>
      <c r="J105" s="51">
        <f t="shared" si="18"/>
        <v>11.907999999999959</v>
      </c>
      <c r="K105" s="52">
        <v>332.76499999999999</v>
      </c>
      <c r="L105" s="25">
        <f t="shared" si="19"/>
        <v>49.47</v>
      </c>
      <c r="M105" s="51">
        <f t="shared" si="20"/>
        <v>10.093999999999994</v>
      </c>
      <c r="N105" s="52">
        <v>342.85899999999998</v>
      </c>
      <c r="O105" s="25">
        <f t="shared" si="21"/>
        <v>64.459999999999994</v>
      </c>
      <c r="P105" s="51">
        <f t="shared" si="22"/>
        <v>12.14100000000002</v>
      </c>
      <c r="Q105" s="52">
        <v>355</v>
      </c>
      <c r="R105" s="25">
        <f t="shared" si="23"/>
        <v>34.85</v>
      </c>
      <c r="S105" s="53">
        <f t="shared" si="24"/>
        <v>17.795000000000016</v>
      </c>
      <c r="T105" s="52">
        <v>372.79500000000002</v>
      </c>
      <c r="U105" s="25">
        <f t="shared" si="25"/>
        <v>53.03</v>
      </c>
      <c r="V105" s="53">
        <f t="shared" si="26"/>
        <v>15.204999999999984</v>
      </c>
      <c r="W105" s="54">
        <v>388</v>
      </c>
      <c r="X105" s="25">
        <f t="shared" si="27"/>
        <v>45.237915999999956</v>
      </c>
    </row>
    <row r="106" spans="1:24" x14ac:dyDescent="0.25">
      <c r="A106" s="17" t="s">
        <v>1948</v>
      </c>
      <c r="B106" s="51">
        <v>68.400000000000006</v>
      </c>
      <c r="C106" s="51">
        <f t="shared" si="14"/>
        <v>1.1899999999999977</v>
      </c>
      <c r="D106" s="51">
        <v>69.59</v>
      </c>
      <c r="E106" s="51">
        <f t="shared" si="15"/>
        <v>9.9999999999909051E-3</v>
      </c>
      <c r="F106" s="51">
        <v>69.599999999999994</v>
      </c>
      <c r="G106" s="51">
        <f t="shared" si="16"/>
        <v>0.13000000000000966</v>
      </c>
      <c r="H106" s="52">
        <v>69.73</v>
      </c>
      <c r="I106" s="25">
        <f t="shared" si="17"/>
        <v>0.49</v>
      </c>
      <c r="J106" s="51">
        <f t="shared" si="18"/>
        <v>0.32599999999999341</v>
      </c>
      <c r="K106" s="52">
        <v>70.055999999999997</v>
      </c>
      <c r="L106" s="25">
        <f t="shared" si="19"/>
        <v>1.35</v>
      </c>
      <c r="M106" s="51">
        <f t="shared" si="20"/>
        <v>0.20100000000000762</v>
      </c>
      <c r="N106" s="52">
        <v>70.257000000000005</v>
      </c>
      <c r="O106" s="25">
        <f t="shared" si="21"/>
        <v>1.28</v>
      </c>
      <c r="P106" s="51">
        <f t="shared" si="22"/>
        <v>0</v>
      </c>
      <c r="Q106" s="52">
        <v>70.257000000000005</v>
      </c>
      <c r="R106" s="25">
        <f t="shared" si="23"/>
        <v>0</v>
      </c>
      <c r="S106" s="53">
        <f t="shared" si="24"/>
        <v>0.28600000000000136</v>
      </c>
      <c r="T106" s="52">
        <v>70.543000000000006</v>
      </c>
      <c r="U106" s="25">
        <f t="shared" si="25"/>
        <v>0.85</v>
      </c>
      <c r="V106" s="53">
        <f t="shared" si="26"/>
        <v>0.45699999999999363</v>
      </c>
      <c r="W106" s="54">
        <v>71</v>
      </c>
      <c r="X106" s="25">
        <f t="shared" si="27"/>
        <v>1.3596663999999812</v>
      </c>
    </row>
    <row r="107" spans="1:24" x14ac:dyDescent="0.25">
      <c r="A107" s="17" t="s">
        <v>1831</v>
      </c>
      <c r="B107" s="51">
        <v>226</v>
      </c>
      <c r="C107" s="51">
        <f t="shared" si="14"/>
        <v>5</v>
      </c>
      <c r="D107" s="51">
        <v>231</v>
      </c>
      <c r="E107" s="51">
        <f t="shared" si="15"/>
        <v>6</v>
      </c>
      <c r="F107" s="51">
        <v>237</v>
      </c>
      <c r="G107" s="51">
        <f t="shared" si="16"/>
        <v>5</v>
      </c>
      <c r="H107" s="52">
        <v>242</v>
      </c>
      <c r="I107" s="25">
        <f t="shared" si="17"/>
        <v>18.670000000000002</v>
      </c>
      <c r="J107" s="51">
        <f t="shared" si="18"/>
        <v>5</v>
      </c>
      <c r="K107" s="52">
        <v>247</v>
      </c>
      <c r="L107" s="25">
        <f t="shared" si="19"/>
        <v>20.77</v>
      </c>
      <c r="M107" s="51">
        <f t="shared" si="20"/>
        <v>4</v>
      </c>
      <c r="N107" s="52">
        <v>251</v>
      </c>
      <c r="O107" s="25">
        <f t="shared" si="21"/>
        <v>25.54</v>
      </c>
      <c r="P107" s="51">
        <f t="shared" si="22"/>
        <v>5</v>
      </c>
      <c r="Q107" s="52">
        <v>256</v>
      </c>
      <c r="R107" s="25">
        <f t="shared" si="23"/>
        <v>14.35</v>
      </c>
      <c r="S107" s="53">
        <f t="shared" si="24"/>
        <v>6</v>
      </c>
      <c r="T107" s="52">
        <v>262</v>
      </c>
      <c r="U107" s="25">
        <f t="shared" si="25"/>
        <v>17.88</v>
      </c>
      <c r="V107" s="53">
        <f t="shared" si="26"/>
        <v>5</v>
      </c>
      <c r="W107" s="54">
        <v>267</v>
      </c>
      <c r="X107" s="25">
        <f t="shared" si="27"/>
        <v>14.876000000000001</v>
      </c>
    </row>
    <row r="108" spans="1:24" x14ac:dyDescent="0.25">
      <c r="A108" s="17" t="s">
        <v>1529</v>
      </c>
      <c r="B108" s="51">
        <v>267</v>
      </c>
      <c r="C108" s="51">
        <f t="shared" si="14"/>
        <v>0</v>
      </c>
      <c r="D108" s="51">
        <v>267</v>
      </c>
      <c r="E108" s="51">
        <f t="shared" si="15"/>
        <v>0</v>
      </c>
      <c r="F108" s="51">
        <v>267</v>
      </c>
      <c r="G108" s="51">
        <f t="shared" si="16"/>
        <v>1</v>
      </c>
      <c r="H108" s="52">
        <v>268</v>
      </c>
      <c r="I108" s="25">
        <f t="shared" si="17"/>
        <v>3.73</v>
      </c>
      <c r="J108" s="51">
        <f t="shared" si="18"/>
        <v>0</v>
      </c>
      <c r="K108" s="52">
        <v>268</v>
      </c>
      <c r="L108" s="25">
        <f t="shared" si="19"/>
        <v>0</v>
      </c>
      <c r="M108" s="51">
        <f t="shared" si="20"/>
        <v>0</v>
      </c>
      <c r="N108" s="52">
        <v>268</v>
      </c>
      <c r="O108" s="25">
        <f t="shared" si="21"/>
        <v>0</v>
      </c>
      <c r="P108" s="51">
        <f t="shared" si="22"/>
        <v>0</v>
      </c>
      <c r="Q108" s="52">
        <v>268</v>
      </c>
      <c r="R108" s="25">
        <f t="shared" si="23"/>
        <v>0</v>
      </c>
      <c r="S108" s="53">
        <f t="shared" si="24"/>
        <v>1</v>
      </c>
      <c r="T108" s="52">
        <v>269</v>
      </c>
      <c r="U108" s="25">
        <f t="shared" si="25"/>
        <v>2.98</v>
      </c>
      <c r="V108" s="53">
        <f t="shared" si="26"/>
        <v>1</v>
      </c>
      <c r="W108" s="54">
        <v>270</v>
      </c>
      <c r="X108" s="25">
        <f t="shared" si="27"/>
        <v>2.9752000000000001</v>
      </c>
    </row>
    <row r="109" spans="1:24" x14ac:dyDescent="0.25">
      <c r="A109" s="17" t="s">
        <v>1587</v>
      </c>
      <c r="B109" s="51">
        <v>485</v>
      </c>
      <c r="C109" s="51">
        <f t="shared" si="14"/>
        <v>17</v>
      </c>
      <c r="D109" s="51">
        <v>502</v>
      </c>
      <c r="E109" s="51">
        <f t="shared" si="15"/>
        <v>13</v>
      </c>
      <c r="F109" s="51">
        <v>515</v>
      </c>
      <c r="G109" s="51">
        <f t="shared" si="16"/>
        <v>13</v>
      </c>
      <c r="H109" s="52">
        <v>528</v>
      </c>
      <c r="I109" s="25">
        <f t="shared" si="17"/>
        <v>48.54</v>
      </c>
      <c r="J109" s="51">
        <f t="shared" si="18"/>
        <v>13</v>
      </c>
      <c r="K109" s="52">
        <v>541</v>
      </c>
      <c r="L109" s="25">
        <f t="shared" si="19"/>
        <v>54.01</v>
      </c>
      <c r="M109" s="51">
        <f t="shared" si="20"/>
        <v>8</v>
      </c>
      <c r="N109" s="52">
        <v>549</v>
      </c>
      <c r="O109" s="25">
        <f t="shared" si="21"/>
        <v>51.08</v>
      </c>
      <c r="P109" s="51">
        <f t="shared" si="22"/>
        <v>12</v>
      </c>
      <c r="Q109" s="52">
        <v>561</v>
      </c>
      <c r="R109" s="25">
        <f t="shared" si="23"/>
        <v>34.44</v>
      </c>
      <c r="S109" s="53">
        <f t="shared" si="24"/>
        <v>13</v>
      </c>
      <c r="T109" s="52">
        <v>574</v>
      </c>
      <c r="U109" s="25">
        <f t="shared" si="25"/>
        <v>38.74</v>
      </c>
      <c r="V109" s="53">
        <f t="shared" si="26"/>
        <v>14</v>
      </c>
      <c r="W109" s="54">
        <v>588</v>
      </c>
      <c r="X109" s="25">
        <f t="shared" si="27"/>
        <v>41.652799999999999</v>
      </c>
    </row>
    <row r="110" spans="1:24" x14ac:dyDescent="0.25">
      <c r="A110" s="17" t="s">
        <v>1676</v>
      </c>
      <c r="B110" s="51">
        <v>242</v>
      </c>
      <c r="C110" s="51">
        <f t="shared" si="14"/>
        <v>7</v>
      </c>
      <c r="D110" s="51">
        <v>249</v>
      </c>
      <c r="E110" s="51">
        <f t="shared" si="15"/>
        <v>3</v>
      </c>
      <c r="F110" s="51">
        <v>252</v>
      </c>
      <c r="G110" s="51">
        <f t="shared" si="16"/>
        <v>5</v>
      </c>
      <c r="H110" s="52">
        <v>257</v>
      </c>
      <c r="I110" s="25">
        <f t="shared" si="17"/>
        <v>18.670000000000002</v>
      </c>
      <c r="J110" s="51">
        <f t="shared" si="18"/>
        <v>6</v>
      </c>
      <c r="K110" s="52">
        <v>263</v>
      </c>
      <c r="L110" s="25">
        <f t="shared" si="19"/>
        <v>24.93</v>
      </c>
      <c r="M110" s="51">
        <f t="shared" si="20"/>
        <v>2</v>
      </c>
      <c r="N110" s="52">
        <v>265</v>
      </c>
      <c r="O110" s="25">
        <f t="shared" si="21"/>
        <v>12.77</v>
      </c>
      <c r="P110" s="51">
        <f t="shared" si="22"/>
        <v>4</v>
      </c>
      <c r="Q110" s="52">
        <v>269</v>
      </c>
      <c r="R110" s="25">
        <f t="shared" si="23"/>
        <v>11.48</v>
      </c>
      <c r="S110" s="53">
        <f t="shared" si="24"/>
        <v>6</v>
      </c>
      <c r="T110" s="52">
        <v>275</v>
      </c>
      <c r="U110" s="25">
        <f t="shared" si="25"/>
        <v>17.88</v>
      </c>
      <c r="V110" s="53">
        <f t="shared" si="26"/>
        <v>6</v>
      </c>
      <c r="W110" s="54">
        <v>281</v>
      </c>
      <c r="X110" s="25">
        <f t="shared" si="27"/>
        <v>17.851199999999999</v>
      </c>
    </row>
    <row r="111" spans="1:24" x14ac:dyDescent="0.25">
      <c r="A111" s="17" t="s">
        <v>1652</v>
      </c>
      <c r="B111" s="51">
        <v>170</v>
      </c>
      <c r="C111" s="51">
        <f t="shared" si="14"/>
        <v>3</v>
      </c>
      <c r="D111" s="51">
        <v>173</v>
      </c>
      <c r="E111" s="51">
        <f t="shared" si="15"/>
        <v>3</v>
      </c>
      <c r="F111" s="51">
        <v>176</v>
      </c>
      <c r="G111" s="51">
        <f t="shared" si="16"/>
        <v>8</v>
      </c>
      <c r="H111" s="52">
        <v>184</v>
      </c>
      <c r="I111" s="25">
        <f t="shared" si="17"/>
        <v>29.87</v>
      </c>
      <c r="J111" s="51">
        <f t="shared" si="18"/>
        <v>11</v>
      </c>
      <c r="K111" s="52">
        <v>195</v>
      </c>
      <c r="L111" s="25">
        <f t="shared" si="19"/>
        <v>45.7</v>
      </c>
      <c r="M111" s="51">
        <f t="shared" si="20"/>
        <v>7</v>
      </c>
      <c r="N111" s="52">
        <v>202</v>
      </c>
      <c r="O111" s="25">
        <f t="shared" si="21"/>
        <v>44.7</v>
      </c>
      <c r="P111" s="51">
        <f t="shared" si="22"/>
        <v>7</v>
      </c>
      <c r="Q111" s="52">
        <v>209</v>
      </c>
      <c r="R111" s="25">
        <f t="shared" si="23"/>
        <v>20.09</v>
      </c>
      <c r="S111" s="53">
        <f t="shared" si="24"/>
        <v>10</v>
      </c>
      <c r="T111" s="52">
        <v>219</v>
      </c>
      <c r="U111" s="25">
        <f t="shared" si="25"/>
        <v>29.8</v>
      </c>
      <c r="V111" s="53">
        <f t="shared" si="26"/>
        <v>9</v>
      </c>
      <c r="W111" s="54">
        <v>228</v>
      </c>
      <c r="X111" s="25">
        <f t="shared" si="27"/>
        <v>26.776800000000001</v>
      </c>
    </row>
    <row r="112" spans="1:24" x14ac:dyDescent="0.25">
      <c r="A112" s="17" t="s">
        <v>1854</v>
      </c>
      <c r="B112" s="51">
        <v>174.58</v>
      </c>
      <c r="C112" s="51">
        <f t="shared" si="14"/>
        <v>0.72999999999998977</v>
      </c>
      <c r="D112" s="51">
        <v>175.31</v>
      </c>
      <c r="E112" s="51">
        <f t="shared" si="15"/>
        <v>1.6399999999999864</v>
      </c>
      <c r="F112" s="51">
        <v>176.95</v>
      </c>
      <c r="G112" s="51">
        <f t="shared" si="16"/>
        <v>4.0190000000000055</v>
      </c>
      <c r="H112" s="52">
        <v>180.96899999999999</v>
      </c>
      <c r="I112" s="25">
        <f t="shared" si="17"/>
        <v>15.01</v>
      </c>
      <c r="J112" s="51">
        <f t="shared" si="18"/>
        <v>3.5100000000000193</v>
      </c>
      <c r="K112" s="52">
        <v>184.47900000000001</v>
      </c>
      <c r="L112" s="25">
        <f t="shared" si="19"/>
        <v>14.58</v>
      </c>
      <c r="M112" s="51">
        <f t="shared" si="20"/>
        <v>2.2459999999999809</v>
      </c>
      <c r="N112" s="52">
        <v>186.72499999999999</v>
      </c>
      <c r="O112" s="25">
        <f t="shared" si="21"/>
        <v>14.34</v>
      </c>
      <c r="P112" s="51">
        <f t="shared" si="22"/>
        <v>2.2750000000000057</v>
      </c>
      <c r="Q112" s="52">
        <v>189</v>
      </c>
      <c r="R112" s="25">
        <f t="shared" si="23"/>
        <v>6.53</v>
      </c>
      <c r="S112" s="53">
        <f t="shared" si="24"/>
        <v>2.0829999999999984</v>
      </c>
      <c r="T112" s="52">
        <v>191.083</v>
      </c>
      <c r="U112" s="25">
        <f t="shared" si="25"/>
        <v>6.21</v>
      </c>
      <c r="V112" s="53">
        <f t="shared" si="26"/>
        <v>3.9170000000000016</v>
      </c>
      <c r="W112" s="54">
        <v>195</v>
      </c>
      <c r="X112" s="25">
        <f t="shared" si="27"/>
        <v>11.653858400000004</v>
      </c>
    </row>
    <row r="113" spans="1:26" x14ac:dyDescent="0.25">
      <c r="A113" s="17" t="s">
        <v>1553</v>
      </c>
      <c r="B113" s="51">
        <v>204</v>
      </c>
      <c r="C113" s="51">
        <f t="shared" si="14"/>
        <v>3</v>
      </c>
      <c r="D113" s="51">
        <v>207</v>
      </c>
      <c r="E113" s="51">
        <f t="shared" si="15"/>
        <v>3</v>
      </c>
      <c r="F113" s="51">
        <v>210</v>
      </c>
      <c r="G113" s="51">
        <f t="shared" si="16"/>
        <v>5</v>
      </c>
      <c r="H113" s="52">
        <v>215</v>
      </c>
      <c r="I113" s="25">
        <f t="shared" si="17"/>
        <v>18.670000000000002</v>
      </c>
      <c r="J113" s="51">
        <f t="shared" si="18"/>
        <v>3</v>
      </c>
      <c r="K113" s="52">
        <v>218</v>
      </c>
      <c r="L113" s="25">
        <f t="shared" si="19"/>
        <v>12.46</v>
      </c>
      <c r="M113" s="51">
        <f t="shared" si="20"/>
        <v>2</v>
      </c>
      <c r="N113" s="52">
        <v>220</v>
      </c>
      <c r="O113" s="25">
        <f t="shared" si="21"/>
        <v>12.77</v>
      </c>
      <c r="P113" s="51">
        <f t="shared" si="22"/>
        <v>5</v>
      </c>
      <c r="Q113" s="52">
        <v>225</v>
      </c>
      <c r="R113" s="25">
        <f t="shared" si="23"/>
        <v>14.35</v>
      </c>
      <c r="S113" s="53">
        <f t="shared" si="24"/>
        <v>3</v>
      </c>
      <c r="T113" s="52">
        <v>228</v>
      </c>
      <c r="U113" s="25">
        <f t="shared" si="25"/>
        <v>8.94</v>
      </c>
      <c r="V113" s="53">
        <f t="shared" si="26"/>
        <v>3</v>
      </c>
      <c r="W113" s="54">
        <v>231</v>
      </c>
      <c r="X113" s="25">
        <f t="shared" si="27"/>
        <v>8.9255999999999993</v>
      </c>
    </row>
    <row r="114" spans="1:26" x14ac:dyDescent="0.25">
      <c r="A114" s="17" t="s">
        <v>1760</v>
      </c>
      <c r="B114" s="51">
        <v>251</v>
      </c>
      <c r="C114" s="51">
        <f t="shared" si="14"/>
        <v>5</v>
      </c>
      <c r="D114" s="51">
        <v>256</v>
      </c>
      <c r="E114" s="51">
        <f t="shared" si="15"/>
        <v>8</v>
      </c>
      <c r="F114" s="51">
        <v>264</v>
      </c>
      <c r="G114" s="51">
        <f t="shared" si="16"/>
        <v>6</v>
      </c>
      <c r="H114" s="52">
        <v>270</v>
      </c>
      <c r="I114" s="25">
        <f t="shared" si="17"/>
        <v>22.41</v>
      </c>
      <c r="J114" s="51">
        <f t="shared" si="18"/>
        <v>6</v>
      </c>
      <c r="K114" s="52">
        <v>276</v>
      </c>
      <c r="L114" s="25">
        <f t="shared" si="19"/>
        <v>24.93</v>
      </c>
      <c r="M114" s="51">
        <f t="shared" si="20"/>
        <v>5</v>
      </c>
      <c r="N114" s="52">
        <v>281</v>
      </c>
      <c r="O114" s="25">
        <f t="shared" si="21"/>
        <v>31.93</v>
      </c>
      <c r="P114" s="51">
        <f t="shared" si="22"/>
        <v>6</v>
      </c>
      <c r="Q114" s="52">
        <v>287</v>
      </c>
      <c r="R114" s="25">
        <f t="shared" si="23"/>
        <v>17.22</v>
      </c>
      <c r="S114" s="53">
        <f t="shared" si="24"/>
        <v>5</v>
      </c>
      <c r="T114" s="52">
        <v>292</v>
      </c>
      <c r="U114" s="25">
        <f t="shared" si="25"/>
        <v>14.9</v>
      </c>
      <c r="V114" s="53">
        <f t="shared" si="26"/>
        <v>3</v>
      </c>
      <c r="W114" s="54">
        <v>295</v>
      </c>
      <c r="X114" s="25">
        <f t="shared" si="27"/>
        <v>8.9255999999999993</v>
      </c>
    </row>
    <row r="115" spans="1:26" x14ac:dyDescent="0.25">
      <c r="A115" s="17" t="s">
        <v>1848</v>
      </c>
      <c r="B115" s="51">
        <v>112</v>
      </c>
      <c r="C115" s="51">
        <f t="shared" si="14"/>
        <v>5</v>
      </c>
      <c r="D115" s="51">
        <v>117</v>
      </c>
      <c r="E115" s="51">
        <f t="shared" si="15"/>
        <v>2</v>
      </c>
      <c r="F115" s="51">
        <v>119</v>
      </c>
      <c r="G115" s="51">
        <f t="shared" si="16"/>
        <v>5</v>
      </c>
      <c r="H115" s="52">
        <v>124</v>
      </c>
      <c r="I115" s="25">
        <f t="shared" si="17"/>
        <v>18.670000000000002</v>
      </c>
      <c r="J115" s="51">
        <f t="shared" si="18"/>
        <v>3</v>
      </c>
      <c r="K115" s="52">
        <v>127</v>
      </c>
      <c r="L115" s="25">
        <f t="shared" si="19"/>
        <v>12.46</v>
      </c>
      <c r="M115" s="51">
        <f t="shared" si="20"/>
        <v>3</v>
      </c>
      <c r="N115" s="52">
        <v>130</v>
      </c>
      <c r="O115" s="25">
        <f t="shared" si="21"/>
        <v>19.16</v>
      </c>
      <c r="P115" s="51">
        <f t="shared" si="22"/>
        <v>4</v>
      </c>
      <c r="Q115" s="52">
        <v>134</v>
      </c>
      <c r="R115" s="25">
        <f t="shared" si="23"/>
        <v>11.48</v>
      </c>
      <c r="S115" s="53">
        <f t="shared" si="24"/>
        <v>0</v>
      </c>
      <c r="T115" s="52">
        <v>134</v>
      </c>
      <c r="U115" s="25">
        <f t="shared" si="25"/>
        <v>0</v>
      </c>
      <c r="V115" s="53">
        <f t="shared" si="26"/>
        <v>0</v>
      </c>
      <c r="W115" s="54">
        <v>134</v>
      </c>
      <c r="X115" s="25">
        <f t="shared" si="27"/>
        <v>0</v>
      </c>
    </row>
    <row r="116" spans="1:26" x14ac:dyDescent="0.25">
      <c r="A116" s="17" t="s">
        <v>1766</v>
      </c>
      <c r="B116" s="51">
        <v>98</v>
      </c>
      <c r="C116" s="51">
        <f t="shared" si="14"/>
        <v>3</v>
      </c>
      <c r="D116" s="51">
        <v>101</v>
      </c>
      <c r="E116" s="51">
        <f t="shared" si="15"/>
        <v>3</v>
      </c>
      <c r="F116" s="51">
        <v>104</v>
      </c>
      <c r="G116" s="51">
        <f t="shared" si="16"/>
        <v>5</v>
      </c>
      <c r="H116" s="52">
        <v>109</v>
      </c>
      <c r="I116" s="25">
        <f t="shared" si="17"/>
        <v>18.670000000000002</v>
      </c>
      <c r="J116" s="51">
        <f t="shared" si="18"/>
        <v>5</v>
      </c>
      <c r="K116" s="52">
        <v>114</v>
      </c>
      <c r="L116" s="25">
        <f t="shared" si="19"/>
        <v>20.77</v>
      </c>
      <c r="M116" s="51">
        <f t="shared" si="20"/>
        <v>3</v>
      </c>
      <c r="N116" s="52">
        <v>117</v>
      </c>
      <c r="O116" s="25">
        <f t="shared" si="21"/>
        <v>19.16</v>
      </c>
      <c r="P116" s="51">
        <f t="shared" si="22"/>
        <v>3</v>
      </c>
      <c r="Q116" s="52">
        <v>120</v>
      </c>
      <c r="R116" s="25">
        <f t="shared" si="23"/>
        <v>8.61</v>
      </c>
      <c r="S116" s="53">
        <f t="shared" si="24"/>
        <v>2</v>
      </c>
      <c r="T116" s="52">
        <v>122</v>
      </c>
      <c r="U116" s="25">
        <f t="shared" si="25"/>
        <v>5.96</v>
      </c>
      <c r="V116" s="53">
        <f t="shared" si="26"/>
        <v>2</v>
      </c>
      <c r="W116" s="54">
        <v>124</v>
      </c>
      <c r="X116" s="25">
        <f t="shared" si="27"/>
        <v>5.9504000000000001</v>
      </c>
    </row>
    <row r="117" spans="1:26" x14ac:dyDescent="0.25">
      <c r="A117" s="17" t="s">
        <v>1822</v>
      </c>
      <c r="B117" s="51">
        <v>567</v>
      </c>
      <c r="C117" s="51">
        <f t="shared" si="14"/>
        <v>11</v>
      </c>
      <c r="D117" s="51">
        <v>578</v>
      </c>
      <c r="E117" s="51">
        <f t="shared" si="15"/>
        <v>12</v>
      </c>
      <c r="F117" s="51">
        <v>590</v>
      </c>
      <c r="G117" s="51">
        <f t="shared" si="16"/>
        <v>14</v>
      </c>
      <c r="H117" s="52">
        <v>604</v>
      </c>
      <c r="I117" s="25">
        <f t="shared" si="17"/>
        <v>52.28</v>
      </c>
      <c r="J117" s="51">
        <f t="shared" si="18"/>
        <v>13</v>
      </c>
      <c r="K117" s="52">
        <v>617</v>
      </c>
      <c r="L117" s="25">
        <f t="shared" si="19"/>
        <v>54.01</v>
      </c>
      <c r="M117" s="51">
        <f t="shared" si="20"/>
        <v>9</v>
      </c>
      <c r="N117" s="52">
        <v>626</v>
      </c>
      <c r="O117" s="25">
        <f t="shared" si="21"/>
        <v>57.47</v>
      </c>
      <c r="P117" s="51">
        <f t="shared" si="22"/>
        <v>9</v>
      </c>
      <c r="Q117" s="52">
        <v>635</v>
      </c>
      <c r="R117" s="25">
        <f t="shared" si="23"/>
        <v>25.83</v>
      </c>
      <c r="S117" s="53">
        <f t="shared" si="24"/>
        <v>12</v>
      </c>
      <c r="T117" s="52">
        <v>647</v>
      </c>
      <c r="U117" s="25">
        <f t="shared" si="25"/>
        <v>35.76</v>
      </c>
      <c r="V117" s="53">
        <f t="shared" si="26"/>
        <v>9</v>
      </c>
      <c r="W117" s="54">
        <v>656</v>
      </c>
      <c r="X117" s="25">
        <f t="shared" si="27"/>
        <v>26.776800000000001</v>
      </c>
    </row>
    <row r="118" spans="1:26" x14ac:dyDescent="0.25">
      <c r="A118" s="17" t="s">
        <v>1613</v>
      </c>
      <c r="B118" s="51">
        <v>75.540000000000006</v>
      </c>
      <c r="C118" s="51">
        <f t="shared" si="14"/>
        <v>0.28999999999999204</v>
      </c>
      <c r="D118" s="51">
        <v>75.83</v>
      </c>
      <c r="E118" s="51">
        <f t="shared" si="15"/>
        <v>0</v>
      </c>
      <c r="F118" s="51">
        <v>75.83</v>
      </c>
      <c r="G118" s="51">
        <f t="shared" si="16"/>
        <v>1.8889999999999958</v>
      </c>
      <c r="H118" s="52">
        <v>77.718999999999994</v>
      </c>
      <c r="I118" s="25">
        <f t="shared" si="17"/>
        <v>7.05</v>
      </c>
      <c r="J118" s="51">
        <f t="shared" si="18"/>
        <v>3.304000000000002</v>
      </c>
      <c r="K118" s="52">
        <v>81.022999999999996</v>
      </c>
      <c r="L118" s="25">
        <f t="shared" si="19"/>
        <v>13.73</v>
      </c>
      <c r="M118" s="51">
        <f t="shared" si="20"/>
        <v>2.3980000000000103</v>
      </c>
      <c r="N118" s="52">
        <v>83.421000000000006</v>
      </c>
      <c r="O118" s="25">
        <f t="shared" si="21"/>
        <v>15.31</v>
      </c>
      <c r="P118" s="51">
        <f t="shared" si="22"/>
        <v>2.5789999999999935</v>
      </c>
      <c r="Q118" s="52">
        <v>86</v>
      </c>
      <c r="R118" s="25">
        <f t="shared" si="23"/>
        <v>7.4</v>
      </c>
      <c r="S118" s="53">
        <f t="shared" si="24"/>
        <v>3.8829999999999956</v>
      </c>
      <c r="T118" s="52">
        <v>89.882999999999996</v>
      </c>
      <c r="U118" s="25">
        <f t="shared" si="25"/>
        <v>11.57</v>
      </c>
      <c r="V118" s="53">
        <f t="shared" si="26"/>
        <v>3.1170000000000044</v>
      </c>
      <c r="W118" s="54">
        <v>93</v>
      </c>
      <c r="X118" s="25">
        <f t="shared" si="27"/>
        <v>9.2736984000000131</v>
      </c>
    </row>
    <row r="119" spans="1:26" x14ac:dyDescent="0.25">
      <c r="A119" s="17" t="s">
        <v>1980</v>
      </c>
      <c r="B119" s="51">
        <v>269.62</v>
      </c>
      <c r="C119" s="51">
        <f t="shared" si="14"/>
        <v>7.589999999999975</v>
      </c>
      <c r="D119" s="51">
        <v>277.20999999999998</v>
      </c>
      <c r="E119" s="51">
        <f t="shared" si="15"/>
        <v>6.5400000000000205</v>
      </c>
      <c r="F119" s="51">
        <v>283.75</v>
      </c>
      <c r="G119" s="51">
        <f t="shared" si="16"/>
        <v>6.6689999999999827</v>
      </c>
      <c r="H119" s="52">
        <v>290.41899999999998</v>
      </c>
      <c r="I119" s="25">
        <f t="shared" si="17"/>
        <v>24.9</v>
      </c>
      <c r="J119" s="51">
        <f t="shared" si="18"/>
        <v>6.75</v>
      </c>
      <c r="K119" s="52">
        <v>297.16899999999998</v>
      </c>
      <c r="L119" s="25">
        <f t="shared" si="19"/>
        <v>28.04</v>
      </c>
      <c r="M119" s="51">
        <f t="shared" si="20"/>
        <v>4.8190000000000168</v>
      </c>
      <c r="N119" s="52">
        <v>301.988</v>
      </c>
      <c r="O119" s="25">
        <f t="shared" si="21"/>
        <v>30.77</v>
      </c>
      <c r="P119" s="51">
        <f t="shared" si="22"/>
        <v>5.0120000000000005</v>
      </c>
      <c r="Q119" s="52">
        <v>307</v>
      </c>
      <c r="R119" s="25">
        <f t="shared" si="23"/>
        <v>14.39</v>
      </c>
      <c r="S119" s="53">
        <f t="shared" si="24"/>
        <v>7.2080000000000268</v>
      </c>
      <c r="T119" s="52">
        <v>314.20800000000003</v>
      </c>
      <c r="U119" s="25">
        <f t="shared" si="25"/>
        <v>21.48</v>
      </c>
      <c r="V119" s="53">
        <f t="shared" si="26"/>
        <v>6.7919999999999732</v>
      </c>
      <c r="W119" s="54">
        <v>321</v>
      </c>
      <c r="X119" s="25">
        <f t="shared" si="27"/>
        <v>20.207558399999922</v>
      </c>
    </row>
    <row r="120" spans="1:26" x14ac:dyDescent="0.25">
      <c r="A120" s="17" t="s">
        <v>1550</v>
      </c>
      <c r="B120" s="51">
        <v>128</v>
      </c>
      <c r="C120" s="51">
        <f t="shared" si="14"/>
        <v>0</v>
      </c>
      <c r="D120" s="51">
        <v>128</v>
      </c>
      <c r="E120" s="51">
        <f t="shared" si="15"/>
        <v>0</v>
      </c>
      <c r="F120" s="51">
        <v>128</v>
      </c>
      <c r="G120" s="51">
        <f t="shared" si="16"/>
        <v>0</v>
      </c>
      <c r="H120" s="52">
        <v>128</v>
      </c>
      <c r="I120" s="25">
        <f t="shared" si="17"/>
        <v>0</v>
      </c>
      <c r="J120" s="51">
        <f t="shared" si="18"/>
        <v>0</v>
      </c>
      <c r="K120" s="52">
        <v>128</v>
      </c>
      <c r="L120" s="25">
        <f t="shared" si="19"/>
        <v>0</v>
      </c>
      <c r="M120" s="51">
        <f t="shared" si="20"/>
        <v>0</v>
      </c>
      <c r="N120" s="52">
        <v>128</v>
      </c>
      <c r="O120" s="25">
        <f t="shared" si="21"/>
        <v>0</v>
      </c>
      <c r="P120" s="51">
        <f t="shared" si="22"/>
        <v>0</v>
      </c>
      <c r="Q120" s="52">
        <v>128</v>
      </c>
      <c r="R120" s="25">
        <f t="shared" si="23"/>
        <v>0</v>
      </c>
      <c r="S120" s="53">
        <f t="shared" si="24"/>
        <v>0</v>
      </c>
      <c r="T120" s="52">
        <v>128</v>
      </c>
      <c r="U120" s="25">
        <f t="shared" si="25"/>
        <v>0</v>
      </c>
      <c r="V120" s="53">
        <f t="shared" si="26"/>
        <v>0</v>
      </c>
      <c r="W120" s="54">
        <v>128</v>
      </c>
      <c r="X120" s="25">
        <f t="shared" si="27"/>
        <v>0</v>
      </c>
    </row>
    <row r="121" spans="1:26" x14ac:dyDescent="0.25">
      <c r="A121" s="17" t="s">
        <v>1646</v>
      </c>
      <c r="B121" s="51">
        <v>204</v>
      </c>
      <c r="C121" s="51">
        <f t="shared" si="14"/>
        <v>7</v>
      </c>
      <c r="D121" s="51">
        <v>211</v>
      </c>
      <c r="E121" s="51">
        <f t="shared" si="15"/>
        <v>6</v>
      </c>
      <c r="F121" s="51">
        <v>217</v>
      </c>
      <c r="G121" s="51">
        <f t="shared" si="16"/>
        <v>7</v>
      </c>
      <c r="H121" s="52">
        <v>224</v>
      </c>
      <c r="I121" s="25">
        <f t="shared" si="17"/>
        <v>26.14</v>
      </c>
      <c r="J121" s="51">
        <f t="shared" si="18"/>
        <v>6</v>
      </c>
      <c r="K121" s="52">
        <v>230</v>
      </c>
      <c r="L121" s="25">
        <f t="shared" si="19"/>
        <v>24.93</v>
      </c>
      <c r="M121" s="51">
        <f t="shared" si="20"/>
        <v>4</v>
      </c>
      <c r="N121" s="52">
        <v>234</v>
      </c>
      <c r="O121" s="25">
        <f t="shared" si="21"/>
        <v>25.54</v>
      </c>
      <c r="P121" s="51">
        <f t="shared" si="22"/>
        <v>5</v>
      </c>
      <c r="Q121" s="52">
        <v>239</v>
      </c>
      <c r="R121" s="25">
        <f t="shared" si="23"/>
        <v>14.35</v>
      </c>
      <c r="S121" s="53">
        <f t="shared" si="24"/>
        <v>5</v>
      </c>
      <c r="T121" s="52">
        <v>244</v>
      </c>
      <c r="U121" s="25">
        <f t="shared" si="25"/>
        <v>14.9</v>
      </c>
      <c r="V121" s="53">
        <f t="shared" si="26"/>
        <v>6</v>
      </c>
      <c r="W121" s="54">
        <v>250</v>
      </c>
      <c r="X121" s="25">
        <f t="shared" si="27"/>
        <v>17.851199999999999</v>
      </c>
    </row>
    <row r="122" spans="1:26" x14ac:dyDescent="0.25">
      <c r="A122" s="17" t="s">
        <v>1780</v>
      </c>
      <c r="B122" s="51">
        <v>210</v>
      </c>
      <c r="C122" s="51">
        <f t="shared" si="14"/>
        <v>4</v>
      </c>
      <c r="D122" s="51">
        <v>214</v>
      </c>
      <c r="E122" s="51">
        <f t="shared" si="15"/>
        <v>4</v>
      </c>
      <c r="F122" s="51">
        <v>218</v>
      </c>
      <c r="G122" s="51">
        <f t="shared" si="16"/>
        <v>9</v>
      </c>
      <c r="H122" s="52">
        <v>227</v>
      </c>
      <c r="I122" s="25">
        <f t="shared" si="17"/>
        <v>33.61</v>
      </c>
      <c r="J122" s="51">
        <f t="shared" si="18"/>
        <v>3</v>
      </c>
      <c r="K122" s="52">
        <v>230</v>
      </c>
      <c r="L122" s="25">
        <f t="shared" si="19"/>
        <v>12.46</v>
      </c>
      <c r="M122" s="51">
        <f t="shared" si="20"/>
        <v>2</v>
      </c>
      <c r="N122" s="52">
        <v>232</v>
      </c>
      <c r="O122" s="25">
        <f t="shared" si="21"/>
        <v>12.77</v>
      </c>
      <c r="P122" s="51">
        <f t="shared" si="22"/>
        <v>4</v>
      </c>
      <c r="Q122" s="52">
        <v>236</v>
      </c>
      <c r="R122" s="25">
        <f t="shared" si="23"/>
        <v>11.48</v>
      </c>
      <c r="S122" s="53">
        <f t="shared" si="24"/>
        <v>5</v>
      </c>
      <c r="T122" s="52">
        <v>241</v>
      </c>
      <c r="U122" s="25">
        <f t="shared" si="25"/>
        <v>14.9</v>
      </c>
      <c r="V122" s="53">
        <f t="shared" si="26"/>
        <v>10</v>
      </c>
      <c r="W122" s="54">
        <v>251</v>
      </c>
      <c r="X122" s="25">
        <f t="shared" si="27"/>
        <v>29.752000000000002</v>
      </c>
    </row>
    <row r="123" spans="1:26" x14ac:dyDescent="0.25">
      <c r="A123" s="57" t="s">
        <v>1769</v>
      </c>
      <c r="B123" s="51">
        <v>298</v>
      </c>
      <c r="C123" s="51">
        <f t="shared" si="14"/>
        <v>5</v>
      </c>
      <c r="D123" s="51">
        <v>303</v>
      </c>
      <c r="E123" s="51">
        <f t="shared" si="15"/>
        <v>4</v>
      </c>
      <c r="F123" s="51">
        <v>307</v>
      </c>
      <c r="G123" s="58">
        <v>5</v>
      </c>
      <c r="H123" s="52">
        <v>62</v>
      </c>
      <c r="I123" s="25">
        <f t="shared" si="17"/>
        <v>18.670000000000002</v>
      </c>
      <c r="J123" s="51">
        <f t="shared" si="18"/>
        <v>13</v>
      </c>
      <c r="K123" s="52">
        <v>75</v>
      </c>
      <c r="L123" s="25">
        <f t="shared" si="19"/>
        <v>54.01</v>
      </c>
      <c r="M123" s="51">
        <f t="shared" si="20"/>
        <v>9</v>
      </c>
      <c r="N123" s="52">
        <v>84</v>
      </c>
      <c r="O123" s="25">
        <f t="shared" si="21"/>
        <v>57.47</v>
      </c>
      <c r="P123" s="51">
        <f t="shared" si="22"/>
        <v>11</v>
      </c>
      <c r="Q123" s="52">
        <v>95</v>
      </c>
      <c r="R123" s="25">
        <f t="shared" si="23"/>
        <v>31.57</v>
      </c>
      <c r="S123" s="53">
        <f t="shared" si="24"/>
        <v>12</v>
      </c>
      <c r="T123" s="52">
        <v>107</v>
      </c>
      <c r="U123" s="25">
        <f t="shared" si="25"/>
        <v>35.76</v>
      </c>
      <c r="V123" s="53">
        <f t="shared" si="26"/>
        <v>12</v>
      </c>
      <c r="W123" s="54">
        <v>119</v>
      </c>
      <c r="X123" s="25">
        <f t="shared" si="27"/>
        <v>35.702399999999997</v>
      </c>
      <c r="Z123" t="s">
        <v>2094</v>
      </c>
    </row>
    <row r="124" spans="1:26" x14ac:dyDescent="0.25">
      <c r="A124" s="17" t="s">
        <v>1923</v>
      </c>
      <c r="B124" s="51">
        <v>380.08</v>
      </c>
      <c r="C124" s="51">
        <f t="shared" si="14"/>
        <v>10.819999999999993</v>
      </c>
      <c r="D124" s="51">
        <v>390.9</v>
      </c>
      <c r="E124" s="51">
        <f t="shared" si="15"/>
        <v>9.6299999999999955</v>
      </c>
      <c r="F124" s="51">
        <v>400.53</v>
      </c>
      <c r="G124" s="51">
        <f t="shared" si="16"/>
        <v>11.706000000000017</v>
      </c>
      <c r="H124" s="52">
        <v>412.23599999999999</v>
      </c>
      <c r="I124" s="25">
        <f t="shared" si="17"/>
        <v>43.71</v>
      </c>
      <c r="J124" s="51">
        <f t="shared" si="18"/>
        <v>12.276999999999987</v>
      </c>
      <c r="K124" s="52">
        <v>424.51299999999998</v>
      </c>
      <c r="L124" s="25">
        <f t="shared" si="19"/>
        <v>51.01</v>
      </c>
      <c r="M124" s="51">
        <f t="shared" si="20"/>
        <v>8.0380000000000109</v>
      </c>
      <c r="N124" s="52">
        <v>432.55099999999999</v>
      </c>
      <c r="O124" s="25">
        <f t="shared" si="21"/>
        <v>51.33</v>
      </c>
      <c r="P124" s="51">
        <f t="shared" si="22"/>
        <v>7.4490000000000123</v>
      </c>
      <c r="Q124" s="52">
        <v>440</v>
      </c>
      <c r="R124" s="25">
        <f t="shared" si="23"/>
        <v>21.38</v>
      </c>
      <c r="S124" s="53">
        <f t="shared" si="24"/>
        <v>12.668999999999983</v>
      </c>
      <c r="T124" s="52">
        <v>452.66899999999998</v>
      </c>
      <c r="U124" s="25">
        <f t="shared" si="25"/>
        <v>37.75</v>
      </c>
      <c r="V124" s="53">
        <f t="shared" si="26"/>
        <v>9.3310000000000173</v>
      </c>
      <c r="W124" s="54">
        <v>462</v>
      </c>
      <c r="X124" s="25">
        <f t="shared" si="27"/>
        <v>27.761591200000051</v>
      </c>
    </row>
    <row r="125" spans="1:26" x14ac:dyDescent="0.25">
      <c r="A125" s="17" t="s">
        <v>1920</v>
      </c>
      <c r="B125" s="51">
        <v>35</v>
      </c>
      <c r="C125" s="51">
        <f t="shared" si="14"/>
        <v>1</v>
      </c>
      <c r="D125" s="51">
        <v>36</v>
      </c>
      <c r="E125" s="51">
        <f t="shared" si="15"/>
        <v>0</v>
      </c>
      <c r="F125" s="51">
        <v>36</v>
      </c>
      <c r="G125" s="51">
        <f t="shared" si="16"/>
        <v>1</v>
      </c>
      <c r="H125" s="52">
        <v>37</v>
      </c>
      <c r="I125" s="25">
        <f t="shared" si="17"/>
        <v>3.73</v>
      </c>
      <c r="J125" s="51">
        <f t="shared" si="18"/>
        <v>0</v>
      </c>
      <c r="K125" s="52">
        <v>37</v>
      </c>
      <c r="L125" s="25">
        <f t="shared" si="19"/>
        <v>0</v>
      </c>
      <c r="M125" s="51">
        <f t="shared" si="20"/>
        <v>0</v>
      </c>
      <c r="N125" s="52">
        <v>37</v>
      </c>
      <c r="O125" s="25">
        <f t="shared" si="21"/>
        <v>0</v>
      </c>
      <c r="P125" s="51">
        <f t="shared" si="22"/>
        <v>1</v>
      </c>
      <c r="Q125" s="52">
        <v>38</v>
      </c>
      <c r="R125" s="25">
        <f t="shared" si="23"/>
        <v>2.87</v>
      </c>
      <c r="S125" s="53">
        <f t="shared" si="24"/>
        <v>0</v>
      </c>
      <c r="T125" s="52">
        <v>38</v>
      </c>
      <c r="U125" s="25">
        <f t="shared" si="25"/>
        <v>0</v>
      </c>
      <c r="V125" s="53">
        <f t="shared" si="26"/>
        <v>0</v>
      </c>
      <c r="W125" s="54">
        <v>38</v>
      </c>
      <c r="X125" s="25">
        <f t="shared" si="27"/>
        <v>0</v>
      </c>
    </row>
    <row r="126" spans="1:26" x14ac:dyDescent="0.25">
      <c r="A126" s="17" t="s">
        <v>1573</v>
      </c>
      <c r="B126" s="51">
        <v>288</v>
      </c>
      <c r="C126" s="51">
        <f t="shared" si="14"/>
        <v>5</v>
      </c>
      <c r="D126" s="51">
        <v>293</v>
      </c>
      <c r="E126" s="51">
        <f t="shared" si="15"/>
        <v>9</v>
      </c>
      <c r="F126" s="51">
        <v>302</v>
      </c>
      <c r="G126" s="51">
        <f t="shared" si="16"/>
        <v>8</v>
      </c>
      <c r="H126" s="52">
        <v>310</v>
      </c>
      <c r="I126" s="25">
        <f t="shared" si="17"/>
        <v>29.87</v>
      </c>
      <c r="J126" s="51">
        <f t="shared" si="18"/>
        <v>8</v>
      </c>
      <c r="K126" s="52">
        <v>318</v>
      </c>
      <c r="L126" s="25">
        <f t="shared" si="19"/>
        <v>33.24</v>
      </c>
      <c r="M126" s="51">
        <f t="shared" si="20"/>
        <v>3</v>
      </c>
      <c r="N126" s="52">
        <v>321</v>
      </c>
      <c r="O126" s="25">
        <f t="shared" si="21"/>
        <v>19.16</v>
      </c>
      <c r="P126" s="51">
        <f t="shared" si="22"/>
        <v>5</v>
      </c>
      <c r="Q126" s="52">
        <v>326</v>
      </c>
      <c r="R126" s="25">
        <f t="shared" si="23"/>
        <v>14.35</v>
      </c>
      <c r="S126" s="53">
        <f t="shared" si="24"/>
        <v>9</v>
      </c>
      <c r="T126" s="52">
        <v>335</v>
      </c>
      <c r="U126" s="25">
        <f t="shared" si="25"/>
        <v>26.82</v>
      </c>
      <c r="V126" s="53">
        <f t="shared" si="26"/>
        <v>8</v>
      </c>
      <c r="W126" s="54">
        <v>343</v>
      </c>
      <c r="X126" s="25">
        <f t="shared" si="27"/>
        <v>23.801600000000001</v>
      </c>
    </row>
    <row r="127" spans="1:26" x14ac:dyDescent="0.25">
      <c r="A127" s="17" t="s">
        <v>1794</v>
      </c>
      <c r="B127" s="51">
        <v>137</v>
      </c>
      <c r="C127" s="51">
        <f t="shared" si="14"/>
        <v>2</v>
      </c>
      <c r="D127" s="51">
        <v>139</v>
      </c>
      <c r="E127" s="51">
        <f t="shared" si="15"/>
        <v>3</v>
      </c>
      <c r="F127" s="51">
        <v>142</v>
      </c>
      <c r="G127" s="51">
        <f t="shared" si="16"/>
        <v>5</v>
      </c>
      <c r="H127" s="52">
        <v>147</v>
      </c>
      <c r="I127" s="25">
        <f t="shared" si="17"/>
        <v>18.670000000000002</v>
      </c>
      <c r="J127" s="51">
        <f t="shared" si="18"/>
        <v>2</v>
      </c>
      <c r="K127" s="52">
        <v>149</v>
      </c>
      <c r="L127" s="25">
        <f t="shared" si="19"/>
        <v>8.31</v>
      </c>
      <c r="M127" s="51">
        <f t="shared" si="20"/>
        <v>2</v>
      </c>
      <c r="N127" s="52">
        <v>151</v>
      </c>
      <c r="O127" s="25">
        <f t="shared" si="21"/>
        <v>12.77</v>
      </c>
      <c r="P127" s="51">
        <f t="shared" si="22"/>
        <v>3</v>
      </c>
      <c r="Q127" s="52">
        <v>154</v>
      </c>
      <c r="R127" s="25">
        <f t="shared" si="23"/>
        <v>8.61</v>
      </c>
      <c r="S127" s="53">
        <f t="shared" si="24"/>
        <v>3</v>
      </c>
      <c r="T127" s="52">
        <v>157</v>
      </c>
      <c r="U127" s="25">
        <f t="shared" si="25"/>
        <v>8.94</v>
      </c>
      <c r="V127" s="53">
        <f t="shared" si="26"/>
        <v>3</v>
      </c>
      <c r="W127" s="54">
        <v>160</v>
      </c>
      <c r="X127" s="25">
        <f t="shared" si="27"/>
        <v>8.9255999999999993</v>
      </c>
    </row>
    <row r="128" spans="1:26" x14ac:dyDescent="0.25">
      <c r="A128" s="17" t="s">
        <v>1951</v>
      </c>
      <c r="B128" s="51">
        <v>199</v>
      </c>
      <c r="C128" s="51">
        <f t="shared" si="14"/>
        <v>4</v>
      </c>
      <c r="D128" s="51">
        <v>203</v>
      </c>
      <c r="E128" s="51">
        <f t="shared" si="15"/>
        <v>3</v>
      </c>
      <c r="F128" s="51">
        <v>206</v>
      </c>
      <c r="G128" s="51">
        <f t="shared" si="16"/>
        <v>5</v>
      </c>
      <c r="H128" s="52">
        <v>211</v>
      </c>
      <c r="I128" s="25">
        <f t="shared" si="17"/>
        <v>18.670000000000002</v>
      </c>
      <c r="J128" s="51">
        <f t="shared" si="18"/>
        <v>4</v>
      </c>
      <c r="K128" s="52">
        <v>215</v>
      </c>
      <c r="L128" s="25">
        <f t="shared" si="19"/>
        <v>16.62</v>
      </c>
      <c r="M128" s="51">
        <f t="shared" si="20"/>
        <v>3</v>
      </c>
      <c r="N128" s="52">
        <v>218</v>
      </c>
      <c r="O128" s="25">
        <f t="shared" si="21"/>
        <v>19.16</v>
      </c>
      <c r="P128" s="51">
        <f t="shared" si="22"/>
        <v>3</v>
      </c>
      <c r="Q128" s="52">
        <v>221</v>
      </c>
      <c r="R128" s="25">
        <f t="shared" si="23"/>
        <v>8.61</v>
      </c>
      <c r="S128" s="53">
        <f t="shared" si="24"/>
        <v>4</v>
      </c>
      <c r="T128" s="52">
        <v>225</v>
      </c>
      <c r="U128" s="25">
        <f t="shared" si="25"/>
        <v>11.92</v>
      </c>
      <c r="V128" s="53">
        <f t="shared" si="26"/>
        <v>2</v>
      </c>
      <c r="W128" s="54">
        <v>227</v>
      </c>
      <c r="X128" s="25">
        <f t="shared" si="27"/>
        <v>5.9504000000000001</v>
      </c>
    </row>
    <row r="129" spans="1:26" x14ac:dyDescent="0.25">
      <c r="A129" s="17" t="s">
        <v>1905</v>
      </c>
      <c r="B129" s="51">
        <v>278.12</v>
      </c>
      <c r="C129" s="51">
        <f t="shared" si="14"/>
        <v>5.1299999999999955</v>
      </c>
      <c r="D129" s="51">
        <v>283.25</v>
      </c>
      <c r="E129" s="51">
        <f t="shared" si="15"/>
        <v>6.0500000000000114</v>
      </c>
      <c r="F129" s="51">
        <v>289.3</v>
      </c>
      <c r="G129" s="51">
        <f t="shared" si="16"/>
        <v>7.1499999999999773</v>
      </c>
      <c r="H129" s="52">
        <v>296.45</v>
      </c>
      <c r="I129" s="25">
        <f t="shared" si="17"/>
        <v>26.7</v>
      </c>
      <c r="J129" s="51">
        <f t="shared" si="18"/>
        <v>5.853999999999985</v>
      </c>
      <c r="K129" s="52">
        <v>302.30399999999997</v>
      </c>
      <c r="L129" s="25">
        <f t="shared" si="19"/>
        <v>24.32</v>
      </c>
      <c r="M129" s="51">
        <f t="shared" si="20"/>
        <v>4.3040000000000305</v>
      </c>
      <c r="N129" s="52">
        <v>306.608</v>
      </c>
      <c r="O129" s="25">
        <f t="shared" si="21"/>
        <v>27.48</v>
      </c>
      <c r="P129" s="51">
        <f t="shared" si="22"/>
        <v>4.3919999999999959</v>
      </c>
      <c r="Q129" s="52">
        <v>311</v>
      </c>
      <c r="R129" s="25">
        <f t="shared" si="23"/>
        <v>12.61</v>
      </c>
      <c r="S129" s="53">
        <f t="shared" si="24"/>
        <v>7.3079999999999927</v>
      </c>
      <c r="T129" s="52">
        <v>318.30799999999999</v>
      </c>
      <c r="U129" s="25">
        <f t="shared" si="25"/>
        <v>21.78</v>
      </c>
      <c r="V129" s="53">
        <f t="shared" si="26"/>
        <v>4.6920000000000073</v>
      </c>
      <c r="W129" s="54">
        <v>323</v>
      </c>
      <c r="X129" s="25">
        <f t="shared" si="27"/>
        <v>13.959638400000022</v>
      </c>
    </row>
    <row r="130" spans="1:26" x14ac:dyDescent="0.25">
      <c r="A130" s="17" t="s">
        <v>1601</v>
      </c>
      <c r="B130" s="51">
        <v>141.87</v>
      </c>
      <c r="C130" s="51">
        <f t="shared" si="14"/>
        <v>7</v>
      </c>
      <c r="D130" s="51">
        <v>148.87</v>
      </c>
      <c r="E130" s="51">
        <f t="shared" si="15"/>
        <v>6.3499999999999943</v>
      </c>
      <c r="F130" s="51">
        <v>155.22</v>
      </c>
      <c r="G130" s="51">
        <f t="shared" si="16"/>
        <v>6.5819999999999936</v>
      </c>
      <c r="H130" s="52">
        <v>161.80199999999999</v>
      </c>
      <c r="I130" s="25">
        <f t="shared" si="17"/>
        <v>24.58</v>
      </c>
      <c r="J130" s="51">
        <f t="shared" si="18"/>
        <v>6.0580000000000211</v>
      </c>
      <c r="K130" s="52">
        <v>167.86</v>
      </c>
      <c r="L130" s="25">
        <f t="shared" si="19"/>
        <v>25.17</v>
      </c>
      <c r="M130" s="51">
        <f t="shared" si="20"/>
        <v>4.0319999999999823</v>
      </c>
      <c r="N130" s="52">
        <v>171.892</v>
      </c>
      <c r="O130" s="25">
        <f t="shared" si="21"/>
        <v>25.75</v>
      </c>
      <c r="P130" s="51">
        <f t="shared" si="22"/>
        <v>5.1080000000000041</v>
      </c>
      <c r="Q130" s="52">
        <v>177</v>
      </c>
      <c r="R130" s="25">
        <f t="shared" si="23"/>
        <v>14.66</v>
      </c>
      <c r="S130" s="53">
        <f t="shared" si="24"/>
        <v>6.5879999999999939</v>
      </c>
      <c r="T130" s="52">
        <v>183.58799999999999</v>
      </c>
      <c r="U130" s="25">
        <f t="shared" si="25"/>
        <v>19.63</v>
      </c>
      <c r="V130" s="53">
        <f t="shared" si="26"/>
        <v>6.4120000000000061</v>
      </c>
      <c r="W130" s="54">
        <v>190</v>
      </c>
      <c r="X130" s="25">
        <f t="shared" si="27"/>
        <v>19.07698240000002</v>
      </c>
    </row>
    <row r="131" spans="1:26" x14ac:dyDescent="0.25">
      <c r="A131" s="17" t="s">
        <v>1997</v>
      </c>
      <c r="B131" s="51">
        <v>239</v>
      </c>
      <c r="C131" s="51">
        <f t="shared" si="14"/>
        <v>18</v>
      </c>
      <c r="D131" s="51">
        <v>257</v>
      </c>
      <c r="E131" s="51">
        <f t="shared" si="15"/>
        <v>7</v>
      </c>
      <c r="F131" s="51">
        <v>264</v>
      </c>
      <c r="G131" s="51">
        <f t="shared" si="16"/>
        <v>13</v>
      </c>
      <c r="H131" s="52">
        <v>277</v>
      </c>
      <c r="I131" s="25">
        <f t="shared" si="17"/>
        <v>48.54</v>
      </c>
      <c r="J131" s="51">
        <f t="shared" si="18"/>
        <v>9</v>
      </c>
      <c r="K131" s="52">
        <v>286</v>
      </c>
      <c r="L131" s="25">
        <f t="shared" si="19"/>
        <v>37.39</v>
      </c>
      <c r="M131" s="51">
        <f t="shared" si="20"/>
        <v>7</v>
      </c>
      <c r="N131" s="52">
        <v>293</v>
      </c>
      <c r="O131" s="25">
        <f t="shared" si="21"/>
        <v>44.7</v>
      </c>
      <c r="P131" s="51">
        <f t="shared" si="22"/>
        <v>8</v>
      </c>
      <c r="Q131" s="52">
        <v>301</v>
      </c>
      <c r="R131" s="25">
        <f t="shared" si="23"/>
        <v>22.96</v>
      </c>
      <c r="S131" s="53">
        <f t="shared" si="24"/>
        <v>10</v>
      </c>
      <c r="T131" s="52">
        <v>311</v>
      </c>
      <c r="U131" s="25">
        <f t="shared" si="25"/>
        <v>29.8</v>
      </c>
      <c r="V131" s="53">
        <f t="shared" si="26"/>
        <v>8</v>
      </c>
      <c r="W131" s="54">
        <v>319</v>
      </c>
      <c r="X131" s="25">
        <f t="shared" si="27"/>
        <v>23.801600000000001</v>
      </c>
    </row>
    <row r="132" spans="1:26" x14ac:dyDescent="0.25">
      <c r="A132" s="57" t="s">
        <v>1576</v>
      </c>
      <c r="B132" s="51">
        <v>617</v>
      </c>
      <c r="C132" s="51">
        <f t="shared" si="14"/>
        <v>12</v>
      </c>
      <c r="D132" s="51">
        <v>629</v>
      </c>
      <c r="E132" s="51">
        <f t="shared" si="15"/>
        <v>20</v>
      </c>
      <c r="F132" s="51">
        <v>649</v>
      </c>
      <c r="G132" s="51">
        <f t="shared" si="15"/>
        <v>22</v>
      </c>
      <c r="H132" s="52">
        <f>496+175</f>
        <v>671</v>
      </c>
      <c r="I132" s="25">
        <f t="shared" si="17"/>
        <v>82.15</v>
      </c>
      <c r="J132" s="51">
        <f t="shared" si="18"/>
        <v>20</v>
      </c>
      <c r="K132" s="52">
        <f>511+180</f>
        <v>691</v>
      </c>
      <c r="L132" s="25">
        <f t="shared" si="19"/>
        <v>83.09</v>
      </c>
      <c r="M132" s="51">
        <f t="shared" si="20"/>
        <v>15</v>
      </c>
      <c r="N132" s="52">
        <f>522+184</f>
        <v>706</v>
      </c>
      <c r="O132" s="25">
        <f t="shared" si="21"/>
        <v>95.78</v>
      </c>
      <c r="P132" s="51">
        <f t="shared" si="22"/>
        <v>17</v>
      </c>
      <c r="Q132" s="52">
        <f>535+188</f>
        <v>723</v>
      </c>
      <c r="R132" s="25">
        <f t="shared" si="23"/>
        <v>48.8</v>
      </c>
      <c r="S132" s="53">
        <f t="shared" si="24"/>
        <v>22</v>
      </c>
      <c r="T132" s="52">
        <f>552+193</f>
        <v>745</v>
      </c>
      <c r="U132" s="25">
        <f t="shared" si="25"/>
        <v>65.56</v>
      </c>
      <c r="V132" s="53">
        <f t="shared" si="26"/>
        <v>21</v>
      </c>
      <c r="W132" s="54">
        <f>567+199</f>
        <v>766</v>
      </c>
      <c r="X132" s="25">
        <f t="shared" si="27"/>
        <v>62.479199999999999</v>
      </c>
    </row>
    <row r="133" spans="1:26" x14ac:dyDescent="0.25">
      <c r="A133" s="17" t="s">
        <v>1589</v>
      </c>
      <c r="B133" s="51">
        <v>113</v>
      </c>
      <c r="C133" s="51">
        <f t="shared" si="14"/>
        <v>7</v>
      </c>
      <c r="D133" s="51">
        <v>120</v>
      </c>
      <c r="E133" s="51">
        <f t="shared" si="15"/>
        <v>6</v>
      </c>
      <c r="F133" s="51">
        <v>126</v>
      </c>
      <c r="G133" s="51">
        <f t="shared" si="16"/>
        <v>7</v>
      </c>
      <c r="H133" s="52">
        <v>133</v>
      </c>
      <c r="I133" s="25">
        <f t="shared" si="17"/>
        <v>26.14</v>
      </c>
      <c r="J133" s="51">
        <f t="shared" si="18"/>
        <v>6</v>
      </c>
      <c r="K133" s="52">
        <v>139</v>
      </c>
      <c r="L133" s="25">
        <f t="shared" si="19"/>
        <v>24.93</v>
      </c>
      <c r="M133" s="51">
        <f t="shared" si="20"/>
        <v>5</v>
      </c>
      <c r="N133" s="52">
        <v>144</v>
      </c>
      <c r="O133" s="25">
        <f t="shared" si="21"/>
        <v>31.93</v>
      </c>
      <c r="P133" s="51">
        <f t="shared" si="22"/>
        <v>6</v>
      </c>
      <c r="Q133" s="52">
        <v>150</v>
      </c>
      <c r="R133" s="25">
        <f t="shared" si="23"/>
        <v>17.22</v>
      </c>
      <c r="S133" s="53">
        <f t="shared" si="24"/>
        <v>9</v>
      </c>
      <c r="T133" s="52">
        <v>159</v>
      </c>
      <c r="U133" s="25">
        <f t="shared" si="25"/>
        <v>26.82</v>
      </c>
      <c r="V133" s="53">
        <f t="shared" si="26"/>
        <v>8</v>
      </c>
      <c r="W133" s="54">
        <v>167</v>
      </c>
      <c r="X133" s="25">
        <f t="shared" si="27"/>
        <v>23.801600000000001</v>
      </c>
      <c r="Y133" s="59" t="s">
        <v>2095</v>
      </c>
      <c r="Z133" s="60"/>
    </row>
    <row r="134" spans="1:26" x14ac:dyDescent="0.25">
      <c r="A134" s="57" t="s">
        <v>1527</v>
      </c>
      <c r="B134" s="51">
        <v>438</v>
      </c>
      <c r="C134" s="51">
        <f t="shared" si="14"/>
        <v>8</v>
      </c>
      <c r="D134" s="51">
        <v>446</v>
      </c>
      <c r="E134" s="51">
        <f t="shared" si="15"/>
        <v>9</v>
      </c>
      <c r="F134" s="51">
        <v>455</v>
      </c>
      <c r="G134" s="58">
        <v>9</v>
      </c>
      <c r="H134" s="52">
        <v>91</v>
      </c>
      <c r="I134" s="25">
        <f t="shared" si="17"/>
        <v>33.61</v>
      </c>
      <c r="J134" s="51">
        <f t="shared" si="18"/>
        <v>13</v>
      </c>
      <c r="K134" s="52">
        <v>104</v>
      </c>
      <c r="L134" s="25">
        <f t="shared" si="19"/>
        <v>54.01</v>
      </c>
      <c r="M134" s="51">
        <f t="shared" si="20"/>
        <v>9</v>
      </c>
      <c r="N134" s="52">
        <v>113</v>
      </c>
      <c r="O134" s="25">
        <f t="shared" si="21"/>
        <v>57.47</v>
      </c>
      <c r="P134" s="51">
        <f t="shared" si="22"/>
        <v>13</v>
      </c>
      <c r="Q134" s="52">
        <v>126</v>
      </c>
      <c r="R134" s="25">
        <f t="shared" si="23"/>
        <v>37.32</v>
      </c>
      <c r="S134" s="53">
        <f t="shared" si="24"/>
        <v>15</v>
      </c>
      <c r="T134" s="52">
        <v>141</v>
      </c>
      <c r="U134" s="25">
        <f t="shared" si="25"/>
        <v>44.7</v>
      </c>
      <c r="V134" s="53">
        <f t="shared" si="26"/>
        <v>17</v>
      </c>
      <c r="W134" s="54">
        <v>158</v>
      </c>
      <c r="X134" s="25">
        <f t="shared" si="27"/>
        <v>50.578400000000002</v>
      </c>
      <c r="Y134" s="60"/>
      <c r="Z134" s="60" t="s">
        <v>2094</v>
      </c>
    </row>
    <row r="135" spans="1:26" x14ac:dyDescent="0.25">
      <c r="A135" s="17" t="s">
        <v>1725</v>
      </c>
      <c r="B135" s="51">
        <v>83</v>
      </c>
      <c r="C135" s="51">
        <f t="shared" si="14"/>
        <v>0</v>
      </c>
      <c r="D135" s="51">
        <v>83</v>
      </c>
      <c r="E135" s="51">
        <f t="shared" si="15"/>
        <v>1</v>
      </c>
      <c r="F135" s="51">
        <v>84</v>
      </c>
      <c r="G135" s="51">
        <f t="shared" si="16"/>
        <v>0</v>
      </c>
      <c r="H135" s="52">
        <v>84</v>
      </c>
      <c r="I135" s="25">
        <f t="shared" si="17"/>
        <v>0</v>
      </c>
      <c r="J135" s="51">
        <f t="shared" si="18"/>
        <v>0</v>
      </c>
      <c r="K135" s="52">
        <v>84</v>
      </c>
      <c r="L135" s="25">
        <f t="shared" si="19"/>
        <v>0</v>
      </c>
      <c r="M135" s="51">
        <f t="shared" si="20"/>
        <v>1</v>
      </c>
      <c r="N135" s="52">
        <v>85</v>
      </c>
      <c r="O135" s="25">
        <f t="shared" si="21"/>
        <v>6.39</v>
      </c>
      <c r="P135" s="51">
        <f t="shared" si="22"/>
        <v>0</v>
      </c>
      <c r="Q135" s="52">
        <v>85</v>
      </c>
      <c r="R135" s="25">
        <f t="shared" si="23"/>
        <v>0</v>
      </c>
      <c r="S135" s="53">
        <f t="shared" si="24"/>
        <v>1</v>
      </c>
      <c r="T135" s="52">
        <v>86</v>
      </c>
      <c r="U135" s="25">
        <f t="shared" si="25"/>
        <v>2.98</v>
      </c>
      <c r="V135" s="53">
        <f t="shared" si="26"/>
        <v>2</v>
      </c>
      <c r="W135" s="54">
        <v>88</v>
      </c>
      <c r="X135" s="25">
        <f t="shared" si="27"/>
        <v>5.9504000000000001</v>
      </c>
    </row>
    <row r="136" spans="1:26" x14ac:dyDescent="0.25">
      <c r="A136" s="17" t="s">
        <v>1962</v>
      </c>
      <c r="B136" s="51">
        <v>152</v>
      </c>
      <c r="C136" s="51">
        <f t="shared" si="14"/>
        <v>6</v>
      </c>
      <c r="D136" s="51">
        <v>158</v>
      </c>
      <c r="E136" s="51">
        <f t="shared" si="15"/>
        <v>7</v>
      </c>
      <c r="F136" s="51">
        <v>165</v>
      </c>
      <c r="G136" s="51">
        <f t="shared" si="16"/>
        <v>8</v>
      </c>
      <c r="H136" s="52">
        <v>173</v>
      </c>
      <c r="I136" s="25">
        <f t="shared" si="17"/>
        <v>29.87</v>
      </c>
      <c r="J136" s="51">
        <f t="shared" si="18"/>
        <v>8</v>
      </c>
      <c r="K136" s="52">
        <v>181</v>
      </c>
      <c r="L136" s="25">
        <f t="shared" si="19"/>
        <v>33.24</v>
      </c>
      <c r="M136" s="51">
        <f t="shared" si="20"/>
        <v>4</v>
      </c>
      <c r="N136" s="52">
        <v>185</v>
      </c>
      <c r="O136" s="25">
        <f t="shared" si="21"/>
        <v>25.54</v>
      </c>
      <c r="P136" s="51">
        <f t="shared" si="22"/>
        <v>5</v>
      </c>
      <c r="Q136" s="52">
        <v>190</v>
      </c>
      <c r="R136" s="25">
        <f t="shared" si="23"/>
        <v>14.35</v>
      </c>
      <c r="S136" s="53">
        <f t="shared" si="24"/>
        <v>3</v>
      </c>
      <c r="T136" s="52">
        <v>193</v>
      </c>
      <c r="U136" s="25">
        <f t="shared" si="25"/>
        <v>8.94</v>
      </c>
      <c r="V136" s="53">
        <f t="shared" si="26"/>
        <v>3</v>
      </c>
      <c r="W136" s="54">
        <v>196</v>
      </c>
      <c r="X136" s="25">
        <f t="shared" si="27"/>
        <v>8.9255999999999993</v>
      </c>
    </row>
    <row r="137" spans="1:26" x14ac:dyDescent="0.25">
      <c r="A137" s="17" t="s">
        <v>1732</v>
      </c>
      <c r="B137" s="51">
        <v>114</v>
      </c>
      <c r="C137" s="51">
        <f t="shared" ref="C137:C200" si="28">D137-B137</f>
        <v>0</v>
      </c>
      <c r="D137" s="51">
        <v>114</v>
      </c>
      <c r="E137" s="51">
        <f t="shared" ref="E137:E200" si="29">F137-D137</f>
        <v>2</v>
      </c>
      <c r="F137" s="51">
        <v>116</v>
      </c>
      <c r="G137" s="51">
        <f t="shared" ref="G137:G200" si="30">H137-F137</f>
        <v>1</v>
      </c>
      <c r="H137" s="52">
        <v>117</v>
      </c>
      <c r="I137" s="25">
        <f t="shared" ref="I137:I200" si="31">ROUND(G137*$I$3,2)</f>
        <v>3.73</v>
      </c>
      <c r="J137" s="51">
        <f t="shared" ref="J137:J200" si="32">K137-H137</f>
        <v>1</v>
      </c>
      <c r="K137" s="52">
        <v>118</v>
      </c>
      <c r="L137" s="25">
        <f t="shared" ref="L137:L200" si="33">ROUND(J137*$L$3,2)</f>
        <v>4.1500000000000004</v>
      </c>
      <c r="M137" s="51">
        <f t="shared" ref="M137:M200" si="34">N137-K137</f>
        <v>1</v>
      </c>
      <c r="N137" s="52">
        <v>119</v>
      </c>
      <c r="O137" s="25">
        <f t="shared" ref="O137:O200" si="35">ROUND(M137*$O$3,2)</f>
        <v>6.39</v>
      </c>
      <c r="P137" s="51">
        <f t="shared" ref="P137:P200" si="36">Q137-N137</f>
        <v>2</v>
      </c>
      <c r="Q137" s="52">
        <v>121</v>
      </c>
      <c r="R137" s="25">
        <f t="shared" ref="R137:R200" si="37">ROUND(P137*$R$3,2)</f>
        <v>5.74</v>
      </c>
      <c r="S137" s="53">
        <f t="shared" ref="S137:S200" si="38">+T137-Q137</f>
        <v>1</v>
      </c>
      <c r="T137" s="52">
        <v>122</v>
      </c>
      <c r="U137" s="25">
        <f t="shared" ref="U137:U200" si="39">ROUND(S137*$U$3,2)</f>
        <v>2.98</v>
      </c>
      <c r="V137" s="53">
        <f t="shared" ref="V137:V200" si="40">+W137-T137</f>
        <v>2</v>
      </c>
      <c r="W137" s="54">
        <v>124</v>
      </c>
      <c r="X137" s="25">
        <f t="shared" ref="X137:X200" si="41">V137*$X$3</f>
        <v>5.9504000000000001</v>
      </c>
    </row>
    <row r="138" spans="1:26" x14ac:dyDescent="0.25">
      <c r="A138" s="17" t="s">
        <v>1808</v>
      </c>
      <c r="B138" s="51">
        <v>108</v>
      </c>
      <c r="C138" s="51">
        <f t="shared" si="28"/>
        <v>5</v>
      </c>
      <c r="D138" s="51">
        <v>113</v>
      </c>
      <c r="E138" s="51">
        <f t="shared" si="29"/>
        <v>10</v>
      </c>
      <c r="F138" s="51">
        <v>123</v>
      </c>
      <c r="G138" s="51">
        <f t="shared" si="30"/>
        <v>3</v>
      </c>
      <c r="H138" s="52">
        <v>126</v>
      </c>
      <c r="I138" s="25">
        <f t="shared" si="31"/>
        <v>11.2</v>
      </c>
      <c r="J138" s="51">
        <f t="shared" si="32"/>
        <v>2</v>
      </c>
      <c r="K138" s="52">
        <v>128</v>
      </c>
      <c r="L138" s="25">
        <f t="shared" si="33"/>
        <v>8.31</v>
      </c>
      <c r="M138" s="51">
        <f t="shared" si="34"/>
        <v>3</v>
      </c>
      <c r="N138" s="52">
        <v>131</v>
      </c>
      <c r="O138" s="25">
        <f t="shared" si="35"/>
        <v>19.16</v>
      </c>
      <c r="P138" s="51">
        <f t="shared" si="36"/>
        <v>4</v>
      </c>
      <c r="Q138" s="52">
        <v>135</v>
      </c>
      <c r="R138" s="25">
        <f t="shared" si="37"/>
        <v>11.48</v>
      </c>
      <c r="S138" s="53">
        <f t="shared" si="38"/>
        <v>3</v>
      </c>
      <c r="T138" s="52">
        <v>138</v>
      </c>
      <c r="U138" s="25">
        <f t="shared" si="39"/>
        <v>8.94</v>
      </c>
      <c r="V138" s="53">
        <f t="shared" si="40"/>
        <v>4</v>
      </c>
      <c r="W138" s="54">
        <v>142</v>
      </c>
      <c r="X138" s="25">
        <f t="shared" si="41"/>
        <v>11.9008</v>
      </c>
    </row>
    <row r="139" spans="1:26" x14ac:dyDescent="0.25">
      <c r="A139" s="17" t="s">
        <v>1639</v>
      </c>
      <c r="B139" s="51">
        <v>283.29000000000002</v>
      </c>
      <c r="C139" s="51">
        <f t="shared" si="28"/>
        <v>6.7099999999999795</v>
      </c>
      <c r="D139" s="51">
        <v>290</v>
      </c>
      <c r="E139" s="51">
        <f t="shared" si="29"/>
        <v>5.7300000000000182</v>
      </c>
      <c r="F139" s="51">
        <v>295.73</v>
      </c>
      <c r="G139" s="51">
        <f t="shared" si="30"/>
        <v>8.714999999999975</v>
      </c>
      <c r="H139" s="52">
        <v>304.44499999999999</v>
      </c>
      <c r="I139" s="25">
        <f t="shared" si="31"/>
        <v>32.54</v>
      </c>
      <c r="J139" s="51">
        <f t="shared" si="32"/>
        <v>9.4549999999999841</v>
      </c>
      <c r="K139" s="52">
        <v>313.89999999999998</v>
      </c>
      <c r="L139" s="25">
        <f t="shared" si="33"/>
        <v>39.28</v>
      </c>
      <c r="M139" s="51">
        <f t="shared" si="34"/>
        <v>5.4190000000000396</v>
      </c>
      <c r="N139" s="52">
        <v>319.31900000000002</v>
      </c>
      <c r="O139" s="25">
        <f t="shared" si="35"/>
        <v>34.6</v>
      </c>
      <c r="P139" s="51">
        <f t="shared" si="36"/>
        <v>6.6809999999999832</v>
      </c>
      <c r="Q139" s="52">
        <v>326</v>
      </c>
      <c r="R139" s="25">
        <f t="shared" si="37"/>
        <v>19.18</v>
      </c>
      <c r="S139" s="53">
        <f t="shared" si="38"/>
        <v>9.1170000000000186</v>
      </c>
      <c r="T139" s="52">
        <v>335.11700000000002</v>
      </c>
      <c r="U139" s="25">
        <f t="shared" si="39"/>
        <v>27.17</v>
      </c>
      <c r="V139" s="53">
        <f t="shared" si="40"/>
        <v>8.8829999999999814</v>
      </c>
      <c r="W139" s="54">
        <v>344</v>
      </c>
      <c r="X139" s="25">
        <f t="shared" si="41"/>
        <v>26.428701599999947</v>
      </c>
    </row>
    <row r="140" spans="1:26" x14ac:dyDescent="0.25">
      <c r="A140" s="17" t="s">
        <v>1863</v>
      </c>
      <c r="B140" s="51">
        <v>166.09</v>
      </c>
      <c r="C140" s="51">
        <f t="shared" si="28"/>
        <v>1.4699999999999989</v>
      </c>
      <c r="D140" s="51">
        <v>167.56</v>
      </c>
      <c r="E140" s="51">
        <f t="shared" si="29"/>
        <v>1.8700000000000045</v>
      </c>
      <c r="F140" s="51">
        <v>169.43</v>
      </c>
      <c r="G140" s="51">
        <f t="shared" si="30"/>
        <v>1.6490000000000009</v>
      </c>
      <c r="H140" s="52">
        <v>171.07900000000001</v>
      </c>
      <c r="I140" s="25">
        <f t="shared" si="31"/>
        <v>6.16</v>
      </c>
      <c r="J140" s="51">
        <f t="shared" si="32"/>
        <v>2.3909999999999911</v>
      </c>
      <c r="K140" s="52">
        <v>173.47</v>
      </c>
      <c r="L140" s="25">
        <f t="shared" si="33"/>
        <v>9.93</v>
      </c>
      <c r="M140" s="51">
        <f t="shared" si="34"/>
        <v>1.8340000000000032</v>
      </c>
      <c r="N140" s="52">
        <v>175.304</v>
      </c>
      <c r="O140" s="25">
        <f t="shared" si="35"/>
        <v>11.71</v>
      </c>
      <c r="P140" s="51">
        <f t="shared" si="36"/>
        <v>1.695999999999998</v>
      </c>
      <c r="Q140" s="52">
        <v>177</v>
      </c>
      <c r="R140" s="25">
        <f t="shared" si="37"/>
        <v>4.87</v>
      </c>
      <c r="S140" s="53">
        <f t="shared" si="38"/>
        <v>3.8789999999999907</v>
      </c>
      <c r="T140" s="52">
        <v>180.87899999999999</v>
      </c>
      <c r="U140" s="25">
        <f t="shared" si="39"/>
        <v>11.56</v>
      </c>
      <c r="V140" s="53">
        <f t="shared" si="40"/>
        <v>2.1210000000000093</v>
      </c>
      <c r="W140" s="54">
        <v>183</v>
      </c>
      <c r="X140" s="25">
        <f t="shared" si="41"/>
        <v>6.3103992000000275</v>
      </c>
    </row>
    <row r="141" spans="1:26" x14ac:dyDescent="0.25">
      <c r="A141" s="17" t="s">
        <v>1752</v>
      </c>
      <c r="B141" s="51">
        <v>152</v>
      </c>
      <c r="C141" s="51">
        <f t="shared" si="28"/>
        <v>0</v>
      </c>
      <c r="D141" s="51">
        <v>152</v>
      </c>
      <c r="E141" s="51">
        <f t="shared" si="29"/>
        <v>0</v>
      </c>
      <c r="F141" s="51">
        <v>152</v>
      </c>
      <c r="G141" s="51">
        <f t="shared" si="30"/>
        <v>2</v>
      </c>
      <c r="H141" s="52">
        <v>154</v>
      </c>
      <c r="I141" s="25">
        <f t="shared" si="31"/>
        <v>7.47</v>
      </c>
      <c r="J141" s="51">
        <f t="shared" si="32"/>
        <v>7</v>
      </c>
      <c r="K141" s="52">
        <v>161</v>
      </c>
      <c r="L141" s="25">
        <f t="shared" si="33"/>
        <v>29.08</v>
      </c>
      <c r="M141" s="51">
        <f t="shared" si="34"/>
        <v>9</v>
      </c>
      <c r="N141" s="52">
        <v>170</v>
      </c>
      <c r="O141" s="25">
        <f t="shared" si="35"/>
        <v>57.47</v>
      </c>
      <c r="P141" s="51">
        <f t="shared" si="36"/>
        <v>11</v>
      </c>
      <c r="Q141" s="52">
        <v>181</v>
      </c>
      <c r="R141" s="25">
        <f t="shared" si="37"/>
        <v>31.57</v>
      </c>
      <c r="S141" s="53">
        <f t="shared" si="38"/>
        <v>15</v>
      </c>
      <c r="T141" s="52">
        <v>196</v>
      </c>
      <c r="U141" s="25">
        <f t="shared" si="39"/>
        <v>44.7</v>
      </c>
      <c r="V141" s="53">
        <f t="shared" si="40"/>
        <v>16</v>
      </c>
      <c r="W141" s="54">
        <v>212</v>
      </c>
      <c r="X141" s="25">
        <f t="shared" si="41"/>
        <v>47.603200000000001</v>
      </c>
    </row>
    <row r="142" spans="1:26" x14ac:dyDescent="0.25">
      <c r="A142" s="17" t="s">
        <v>1783</v>
      </c>
      <c r="B142" s="51">
        <v>96</v>
      </c>
      <c r="C142" s="51">
        <f t="shared" si="28"/>
        <v>1</v>
      </c>
      <c r="D142" s="51">
        <v>97</v>
      </c>
      <c r="E142" s="51">
        <f t="shared" si="29"/>
        <v>2</v>
      </c>
      <c r="F142" s="51">
        <v>99</v>
      </c>
      <c r="G142" s="51">
        <f t="shared" si="30"/>
        <v>2</v>
      </c>
      <c r="H142" s="52">
        <v>101</v>
      </c>
      <c r="I142" s="25">
        <f t="shared" si="31"/>
        <v>7.47</v>
      </c>
      <c r="J142" s="51">
        <f t="shared" si="32"/>
        <v>2</v>
      </c>
      <c r="K142" s="52">
        <v>103</v>
      </c>
      <c r="L142" s="25">
        <f t="shared" si="33"/>
        <v>8.31</v>
      </c>
      <c r="M142" s="51">
        <f t="shared" si="34"/>
        <v>1</v>
      </c>
      <c r="N142" s="52">
        <v>104</v>
      </c>
      <c r="O142" s="25">
        <f t="shared" si="35"/>
        <v>6.39</v>
      </c>
      <c r="P142" s="51">
        <f t="shared" si="36"/>
        <v>3</v>
      </c>
      <c r="Q142" s="52">
        <v>107</v>
      </c>
      <c r="R142" s="25">
        <f t="shared" si="37"/>
        <v>8.61</v>
      </c>
      <c r="S142" s="53">
        <f t="shared" si="38"/>
        <v>2</v>
      </c>
      <c r="T142" s="52">
        <v>109</v>
      </c>
      <c r="U142" s="25">
        <f t="shared" si="39"/>
        <v>5.96</v>
      </c>
      <c r="V142" s="53">
        <f t="shared" si="40"/>
        <v>3</v>
      </c>
      <c r="W142" s="54">
        <v>112</v>
      </c>
      <c r="X142" s="25">
        <f t="shared" si="41"/>
        <v>8.9255999999999993</v>
      </c>
    </row>
    <row r="143" spans="1:26" x14ac:dyDescent="0.25">
      <c r="A143" s="17" t="s">
        <v>1713</v>
      </c>
      <c r="B143" s="51">
        <v>145</v>
      </c>
      <c r="C143" s="51">
        <f t="shared" si="28"/>
        <v>7</v>
      </c>
      <c r="D143" s="51">
        <v>152</v>
      </c>
      <c r="E143" s="51">
        <f t="shared" si="29"/>
        <v>6</v>
      </c>
      <c r="F143" s="51">
        <v>158</v>
      </c>
      <c r="G143" s="51">
        <f t="shared" si="30"/>
        <v>7</v>
      </c>
      <c r="H143" s="52">
        <v>165</v>
      </c>
      <c r="I143" s="25">
        <f t="shared" si="31"/>
        <v>26.14</v>
      </c>
      <c r="J143" s="51">
        <f t="shared" si="32"/>
        <v>10</v>
      </c>
      <c r="K143" s="52">
        <v>175</v>
      </c>
      <c r="L143" s="25">
        <f t="shared" si="33"/>
        <v>41.55</v>
      </c>
      <c r="M143" s="51">
        <f t="shared" si="34"/>
        <v>2</v>
      </c>
      <c r="N143" s="52">
        <v>177</v>
      </c>
      <c r="O143" s="25">
        <f t="shared" si="35"/>
        <v>12.77</v>
      </c>
      <c r="P143" s="51">
        <f t="shared" si="36"/>
        <v>6</v>
      </c>
      <c r="Q143" s="52">
        <v>183</v>
      </c>
      <c r="R143" s="25">
        <f t="shared" si="37"/>
        <v>17.22</v>
      </c>
      <c r="S143" s="53">
        <f t="shared" si="38"/>
        <v>8</v>
      </c>
      <c r="T143" s="52">
        <v>191</v>
      </c>
      <c r="U143" s="25">
        <f t="shared" si="39"/>
        <v>23.84</v>
      </c>
      <c r="V143" s="53">
        <f t="shared" si="40"/>
        <v>8</v>
      </c>
      <c r="W143" s="54">
        <v>199</v>
      </c>
      <c r="X143" s="25">
        <f t="shared" si="41"/>
        <v>23.801600000000001</v>
      </c>
    </row>
    <row r="144" spans="1:26" x14ac:dyDescent="0.25">
      <c r="A144" s="17" t="s">
        <v>1738</v>
      </c>
      <c r="B144" s="51">
        <v>178</v>
      </c>
      <c r="C144" s="51">
        <f t="shared" si="28"/>
        <v>4</v>
      </c>
      <c r="D144" s="51">
        <v>182</v>
      </c>
      <c r="E144" s="51">
        <f t="shared" si="29"/>
        <v>4</v>
      </c>
      <c r="F144" s="51">
        <v>186</v>
      </c>
      <c r="G144" s="51">
        <f t="shared" si="30"/>
        <v>4</v>
      </c>
      <c r="H144" s="52">
        <v>190</v>
      </c>
      <c r="I144" s="25">
        <f t="shared" si="31"/>
        <v>14.94</v>
      </c>
      <c r="J144" s="51">
        <f t="shared" si="32"/>
        <v>2</v>
      </c>
      <c r="K144" s="52">
        <v>192</v>
      </c>
      <c r="L144" s="25">
        <f t="shared" si="33"/>
        <v>8.31</v>
      </c>
      <c r="M144" s="51">
        <f t="shared" si="34"/>
        <v>0</v>
      </c>
      <c r="N144" s="52">
        <v>192</v>
      </c>
      <c r="O144" s="25">
        <f t="shared" si="35"/>
        <v>0</v>
      </c>
      <c r="P144" s="51">
        <f t="shared" si="36"/>
        <v>2</v>
      </c>
      <c r="Q144" s="52">
        <v>194</v>
      </c>
      <c r="R144" s="25">
        <f t="shared" si="37"/>
        <v>5.74</v>
      </c>
      <c r="S144" s="53">
        <f t="shared" si="38"/>
        <v>1</v>
      </c>
      <c r="T144" s="52">
        <v>195</v>
      </c>
      <c r="U144" s="25">
        <f t="shared" si="39"/>
        <v>2.98</v>
      </c>
      <c r="V144" s="53">
        <f t="shared" si="40"/>
        <v>1</v>
      </c>
      <c r="W144" s="54">
        <v>196</v>
      </c>
      <c r="X144" s="25">
        <f t="shared" si="41"/>
        <v>2.9752000000000001</v>
      </c>
    </row>
    <row r="145" spans="1:26" x14ac:dyDescent="0.25">
      <c r="A145" s="17" t="s">
        <v>1774</v>
      </c>
      <c r="B145" s="51">
        <v>284</v>
      </c>
      <c r="C145" s="51">
        <f t="shared" si="28"/>
        <v>2</v>
      </c>
      <c r="D145" s="51">
        <v>286</v>
      </c>
      <c r="E145" s="51">
        <f t="shared" si="29"/>
        <v>3</v>
      </c>
      <c r="F145" s="51">
        <v>289</v>
      </c>
      <c r="G145" s="58">
        <f t="shared" si="30"/>
        <v>0</v>
      </c>
      <c r="H145" s="52">
        <v>289</v>
      </c>
      <c r="I145" s="25">
        <f t="shared" si="31"/>
        <v>0</v>
      </c>
      <c r="J145" s="51">
        <f t="shared" si="32"/>
        <v>1</v>
      </c>
      <c r="K145" s="52">
        <v>290</v>
      </c>
      <c r="L145" s="25">
        <f t="shared" si="33"/>
        <v>4.1500000000000004</v>
      </c>
      <c r="M145" s="51">
        <f t="shared" si="34"/>
        <v>2</v>
      </c>
      <c r="N145" s="52">
        <v>292</v>
      </c>
      <c r="O145" s="25">
        <f t="shared" si="35"/>
        <v>12.77</v>
      </c>
      <c r="P145" s="51">
        <f t="shared" si="36"/>
        <v>5</v>
      </c>
      <c r="Q145" s="52">
        <v>297</v>
      </c>
      <c r="R145" s="25">
        <f t="shared" si="37"/>
        <v>14.35</v>
      </c>
      <c r="S145" s="53">
        <f t="shared" si="38"/>
        <v>10</v>
      </c>
      <c r="T145" s="52">
        <v>307</v>
      </c>
      <c r="U145" s="25">
        <f t="shared" si="39"/>
        <v>29.8</v>
      </c>
      <c r="V145" s="53">
        <f t="shared" si="40"/>
        <v>5</v>
      </c>
      <c r="W145" s="54">
        <v>312</v>
      </c>
      <c r="X145" s="25">
        <f t="shared" si="41"/>
        <v>14.876000000000001</v>
      </c>
    </row>
    <row r="146" spans="1:26" x14ac:dyDescent="0.25">
      <c r="A146" s="17" t="s">
        <v>1860</v>
      </c>
      <c r="B146" s="51">
        <v>329.91</v>
      </c>
      <c r="C146" s="51">
        <f t="shared" si="28"/>
        <v>14.849999999999966</v>
      </c>
      <c r="D146" s="51">
        <v>344.76</v>
      </c>
      <c r="E146" s="51">
        <f t="shared" si="29"/>
        <v>12.560000000000002</v>
      </c>
      <c r="F146" s="51">
        <v>357.32</v>
      </c>
      <c r="G146" s="51">
        <f t="shared" si="30"/>
        <v>13.692999999999984</v>
      </c>
      <c r="H146" s="52">
        <v>371.01299999999998</v>
      </c>
      <c r="I146" s="25">
        <f t="shared" si="31"/>
        <v>51.13</v>
      </c>
      <c r="J146" s="51">
        <f t="shared" si="32"/>
        <v>11.689000000000021</v>
      </c>
      <c r="K146" s="52">
        <v>382.702</v>
      </c>
      <c r="L146" s="25">
        <f t="shared" si="33"/>
        <v>48.56</v>
      </c>
      <c r="M146" s="51">
        <f t="shared" si="34"/>
        <v>8.2019999999999982</v>
      </c>
      <c r="N146" s="52">
        <v>390.904</v>
      </c>
      <c r="O146" s="25">
        <f t="shared" si="35"/>
        <v>52.37</v>
      </c>
      <c r="P146" s="51">
        <f t="shared" si="36"/>
        <v>9.0960000000000036</v>
      </c>
      <c r="Q146" s="52">
        <v>400</v>
      </c>
      <c r="R146" s="25">
        <f t="shared" si="37"/>
        <v>26.11</v>
      </c>
      <c r="S146" s="53">
        <f t="shared" si="38"/>
        <v>14.660000000000025</v>
      </c>
      <c r="T146" s="52">
        <v>414.66</v>
      </c>
      <c r="U146" s="25">
        <f t="shared" si="39"/>
        <v>43.68</v>
      </c>
      <c r="V146" s="53">
        <f t="shared" si="40"/>
        <v>14.339999999999975</v>
      </c>
      <c r="W146" s="54">
        <v>429</v>
      </c>
      <c r="X146" s="25">
        <f t="shared" si="41"/>
        <v>42.664367999999925</v>
      </c>
    </row>
    <row r="147" spans="1:26" x14ac:dyDescent="0.25">
      <c r="A147" s="17" t="s">
        <v>1578</v>
      </c>
      <c r="B147" s="51">
        <v>9</v>
      </c>
      <c r="C147" s="51">
        <f t="shared" si="28"/>
        <v>0</v>
      </c>
      <c r="D147" s="51">
        <v>9</v>
      </c>
      <c r="E147" s="51">
        <f t="shared" si="29"/>
        <v>0</v>
      </c>
      <c r="F147" s="51">
        <v>9</v>
      </c>
      <c r="G147" s="51">
        <f t="shared" si="30"/>
        <v>0</v>
      </c>
      <c r="H147" s="52">
        <v>9</v>
      </c>
      <c r="I147" s="25">
        <f t="shared" si="31"/>
        <v>0</v>
      </c>
      <c r="J147" s="51">
        <f t="shared" si="32"/>
        <v>0</v>
      </c>
      <c r="K147" s="52">
        <v>9</v>
      </c>
      <c r="L147" s="25">
        <f t="shared" si="33"/>
        <v>0</v>
      </c>
      <c r="M147" s="51">
        <f t="shared" si="34"/>
        <v>0</v>
      </c>
      <c r="N147" s="52">
        <v>9</v>
      </c>
      <c r="O147" s="25">
        <f t="shared" si="35"/>
        <v>0</v>
      </c>
      <c r="P147" s="51">
        <f t="shared" si="36"/>
        <v>0</v>
      </c>
      <c r="Q147" s="52">
        <v>9</v>
      </c>
      <c r="R147" s="25">
        <f t="shared" si="37"/>
        <v>0</v>
      </c>
      <c r="S147" s="53">
        <f t="shared" si="38"/>
        <v>0</v>
      </c>
      <c r="T147" s="52">
        <v>9</v>
      </c>
      <c r="U147" s="25">
        <f t="shared" si="39"/>
        <v>0</v>
      </c>
      <c r="V147" s="53">
        <f t="shared" si="40"/>
        <v>1</v>
      </c>
      <c r="W147" s="54">
        <v>10</v>
      </c>
      <c r="X147" s="25">
        <f t="shared" si="41"/>
        <v>2.9752000000000001</v>
      </c>
    </row>
    <row r="148" spans="1:26" x14ac:dyDescent="0.25">
      <c r="A148" s="17" t="s">
        <v>2000</v>
      </c>
      <c r="B148" s="51">
        <v>204</v>
      </c>
      <c r="C148" s="51">
        <f t="shared" si="28"/>
        <v>3</v>
      </c>
      <c r="D148" s="51">
        <v>207</v>
      </c>
      <c r="E148" s="51">
        <f t="shared" si="29"/>
        <v>5</v>
      </c>
      <c r="F148" s="51">
        <v>212</v>
      </c>
      <c r="G148" s="51">
        <f t="shared" si="30"/>
        <v>5</v>
      </c>
      <c r="H148" s="52">
        <v>217</v>
      </c>
      <c r="I148" s="25">
        <f t="shared" si="31"/>
        <v>18.670000000000002</v>
      </c>
      <c r="J148" s="51">
        <f t="shared" si="32"/>
        <v>5</v>
      </c>
      <c r="K148" s="52">
        <v>222</v>
      </c>
      <c r="L148" s="25">
        <f t="shared" si="33"/>
        <v>20.77</v>
      </c>
      <c r="M148" s="51">
        <f t="shared" si="34"/>
        <v>4</v>
      </c>
      <c r="N148" s="52">
        <v>226</v>
      </c>
      <c r="O148" s="25">
        <f t="shared" si="35"/>
        <v>25.54</v>
      </c>
      <c r="P148" s="51">
        <f t="shared" si="36"/>
        <v>7</v>
      </c>
      <c r="Q148" s="52">
        <v>233</v>
      </c>
      <c r="R148" s="25">
        <f t="shared" si="37"/>
        <v>20.09</v>
      </c>
      <c r="S148" s="53">
        <f t="shared" si="38"/>
        <v>3</v>
      </c>
      <c r="T148" s="52">
        <v>236</v>
      </c>
      <c r="U148" s="25">
        <f t="shared" si="39"/>
        <v>8.94</v>
      </c>
      <c r="V148" s="53">
        <f t="shared" si="40"/>
        <v>3</v>
      </c>
      <c r="W148" s="54">
        <v>239</v>
      </c>
      <c r="X148" s="25">
        <f t="shared" si="41"/>
        <v>8.9255999999999993</v>
      </c>
    </row>
    <row r="149" spans="1:26" x14ac:dyDescent="0.25">
      <c r="A149" s="17" t="s">
        <v>2024</v>
      </c>
      <c r="B149" s="51">
        <v>37</v>
      </c>
      <c r="C149" s="51">
        <f t="shared" si="28"/>
        <v>2</v>
      </c>
      <c r="D149" s="51">
        <v>39</v>
      </c>
      <c r="E149" s="51">
        <f t="shared" si="29"/>
        <v>0</v>
      </c>
      <c r="F149" s="51">
        <v>39</v>
      </c>
      <c r="G149" s="51">
        <f t="shared" si="30"/>
        <v>0</v>
      </c>
      <c r="H149" s="52">
        <v>39</v>
      </c>
      <c r="I149" s="25">
        <f t="shared" si="31"/>
        <v>0</v>
      </c>
      <c r="J149" s="51">
        <f t="shared" si="32"/>
        <v>0</v>
      </c>
      <c r="K149" s="52">
        <v>39</v>
      </c>
      <c r="L149" s="25">
        <f t="shared" si="33"/>
        <v>0</v>
      </c>
      <c r="M149" s="51">
        <f t="shared" si="34"/>
        <v>1</v>
      </c>
      <c r="N149" s="52">
        <v>40</v>
      </c>
      <c r="O149" s="25">
        <f t="shared" si="35"/>
        <v>6.39</v>
      </c>
      <c r="P149" s="51">
        <f t="shared" si="36"/>
        <v>2</v>
      </c>
      <c r="Q149" s="52">
        <v>42</v>
      </c>
      <c r="R149" s="25">
        <f t="shared" si="37"/>
        <v>5.74</v>
      </c>
      <c r="S149" s="53">
        <f t="shared" si="38"/>
        <v>0</v>
      </c>
      <c r="T149" s="52">
        <v>42</v>
      </c>
      <c r="U149" s="25">
        <f t="shared" si="39"/>
        <v>0</v>
      </c>
      <c r="V149" s="53">
        <f t="shared" si="40"/>
        <v>0</v>
      </c>
      <c r="W149" s="54">
        <v>42</v>
      </c>
      <c r="X149" s="25">
        <f t="shared" si="41"/>
        <v>0</v>
      </c>
    </row>
    <row r="150" spans="1:26" x14ac:dyDescent="0.25">
      <c r="A150" s="17" t="s">
        <v>1757</v>
      </c>
      <c r="B150" s="51">
        <v>236</v>
      </c>
      <c r="C150" s="51">
        <f t="shared" si="28"/>
        <v>7</v>
      </c>
      <c r="D150" s="51">
        <v>243</v>
      </c>
      <c r="E150" s="51">
        <f t="shared" si="29"/>
        <v>6</v>
      </c>
      <c r="F150" s="51">
        <v>249</v>
      </c>
      <c r="G150" s="51">
        <f t="shared" si="30"/>
        <v>3</v>
      </c>
      <c r="H150" s="52">
        <v>252</v>
      </c>
      <c r="I150" s="25">
        <f t="shared" si="31"/>
        <v>11.2</v>
      </c>
      <c r="J150" s="51">
        <f t="shared" si="32"/>
        <v>2</v>
      </c>
      <c r="K150" s="52">
        <v>254</v>
      </c>
      <c r="L150" s="25">
        <f t="shared" si="33"/>
        <v>8.31</v>
      </c>
      <c r="M150" s="51">
        <f t="shared" si="34"/>
        <v>4</v>
      </c>
      <c r="N150" s="52">
        <v>258</v>
      </c>
      <c r="O150" s="25">
        <f t="shared" si="35"/>
        <v>25.54</v>
      </c>
      <c r="P150" s="51">
        <f t="shared" si="36"/>
        <v>1</v>
      </c>
      <c r="Q150" s="52">
        <v>259</v>
      </c>
      <c r="R150" s="25">
        <f t="shared" si="37"/>
        <v>2.87</v>
      </c>
      <c r="S150" s="53">
        <f t="shared" si="38"/>
        <v>2</v>
      </c>
      <c r="T150" s="52">
        <v>261</v>
      </c>
      <c r="U150" s="25">
        <f t="shared" si="39"/>
        <v>5.96</v>
      </c>
      <c r="V150" s="53">
        <f t="shared" si="40"/>
        <v>2</v>
      </c>
      <c r="W150" s="54">
        <v>263</v>
      </c>
      <c r="X150" s="25">
        <f t="shared" si="41"/>
        <v>5.9504000000000001</v>
      </c>
    </row>
    <row r="151" spans="1:26" x14ac:dyDescent="0.25">
      <c r="A151" s="17" t="s">
        <v>1569</v>
      </c>
      <c r="B151" s="51">
        <v>160.32</v>
      </c>
      <c r="C151" s="51">
        <f t="shared" si="28"/>
        <v>3.9699999999999989</v>
      </c>
      <c r="D151" s="51">
        <v>164.29</v>
      </c>
      <c r="E151" s="51">
        <f t="shared" si="29"/>
        <v>3.9399999999999977</v>
      </c>
      <c r="F151" s="51">
        <v>168.23</v>
      </c>
      <c r="G151" s="51">
        <f t="shared" si="30"/>
        <v>3.3320000000000221</v>
      </c>
      <c r="H151" s="52">
        <v>171.56200000000001</v>
      </c>
      <c r="I151" s="25">
        <f t="shared" si="31"/>
        <v>12.44</v>
      </c>
      <c r="J151" s="51">
        <f t="shared" si="32"/>
        <v>4.7049999999999841</v>
      </c>
      <c r="K151" s="52">
        <v>176.267</v>
      </c>
      <c r="L151" s="25">
        <f t="shared" si="33"/>
        <v>19.55</v>
      </c>
      <c r="M151" s="51">
        <f t="shared" si="34"/>
        <v>2.632000000000005</v>
      </c>
      <c r="N151" s="52">
        <v>178.899</v>
      </c>
      <c r="O151" s="25">
        <f t="shared" si="35"/>
        <v>16.809999999999999</v>
      </c>
      <c r="P151" s="51">
        <f t="shared" si="36"/>
        <v>3.1009999999999991</v>
      </c>
      <c r="Q151" s="52">
        <v>182</v>
      </c>
      <c r="R151" s="25">
        <f t="shared" si="37"/>
        <v>8.9</v>
      </c>
      <c r="S151" s="53">
        <f t="shared" si="38"/>
        <v>5.7350000000000136</v>
      </c>
      <c r="T151" s="52">
        <v>187.73500000000001</v>
      </c>
      <c r="U151" s="25">
        <f t="shared" si="39"/>
        <v>17.09</v>
      </c>
      <c r="V151" s="53">
        <f t="shared" si="40"/>
        <v>4.2649999999999864</v>
      </c>
      <c r="W151" s="54">
        <v>192</v>
      </c>
      <c r="X151" s="25">
        <f t="shared" si="41"/>
        <v>12.689227999999959</v>
      </c>
    </row>
    <row r="152" spans="1:26" x14ac:dyDescent="0.25">
      <c r="A152" s="17" t="s">
        <v>1537</v>
      </c>
      <c r="B152" s="51">
        <v>100.63</v>
      </c>
      <c r="C152" s="51">
        <f t="shared" si="28"/>
        <v>3</v>
      </c>
      <c r="D152" s="51">
        <v>103.63</v>
      </c>
      <c r="E152" s="51">
        <f t="shared" si="29"/>
        <v>3.0799999999999983</v>
      </c>
      <c r="F152" s="51">
        <v>106.71</v>
      </c>
      <c r="G152" s="51">
        <f t="shared" si="30"/>
        <v>4.4640000000000128</v>
      </c>
      <c r="H152" s="52">
        <v>111.17400000000001</v>
      </c>
      <c r="I152" s="25">
        <f t="shared" si="31"/>
        <v>16.670000000000002</v>
      </c>
      <c r="J152" s="51">
        <f t="shared" si="32"/>
        <v>3.0659999999999883</v>
      </c>
      <c r="K152" s="52">
        <v>114.24</v>
      </c>
      <c r="L152" s="25">
        <f t="shared" si="33"/>
        <v>12.74</v>
      </c>
      <c r="M152" s="51">
        <f t="shared" si="34"/>
        <v>1.9140000000000015</v>
      </c>
      <c r="N152" s="52">
        <v>116.154</v>
      </c>
      <c r="O152" s="25">
        <f t="shared" si="35"/>
        <v>12.22</v>
      </c>
      <c r="P152" s="51">
        <f t="shared" si="36"/>
        <v>1.8460000000000036</v>
      </c>
      <c r="Q152" s="52">
        <v>118</v>
      </c>
      <c r="R152" s="25">
        <f t="shared" si="37"/>
        <v>5.3</v>
      </c>
      <c r="S152" s="53">
        <f t="shared" si="38"/>
        <v>3.7609999999999957</v>
      </c>
      <c r="T152" s="52">
        <v>121.761</v>
      </c>
      <c r="U152" s="25">
        <f t="shared" si="39"/>
        <v>11.21</v>
      </c>
      <c r="V152" s="53">
        <f t="shared" si="40"/>
        <v>1.2390000000000043</v>
      </c>
      <c r="W152" s="54">
        <v>123</v>
      </c>
      <c r="X152" s="25">
        <f t="shared" si="41"/>
        <v>3.6862728000000131</v>
      </c>
    </row>
    <row r="153" spans="1:26" x14ac:dyDescent="0.25">
      <c r="A153" s="17" t="s">
        <v>1598</v>
      </c>
      <c r="B153" s="51">
        <v>229</v>
      </c>
      <c r="C153" s="51">
        <f t="shared" si="28"/>
        <v>10</v>
      </c>
      <c r="D153" s="51">
        <v>239</v>
      </c>
      <c r="E153" s="51">
        <f t="shared" si="29"/>
        <v>11</v>
      </c>
      <c r="F153" s="51">
        <v>250</v>
      </c>
      <c r="G153" s="51">
        <f t="shared" si="30"/>
        <v>10</v>
      </c>
      <c r="H153" s="52">
        <v>260</v>
      </c>
      <c r="I153" s="25">
        <f t="shared" si="31"/>
        <v>37.340000000000003</v>
      </c>
      <c r="J153" s="51">
        <f t="shared" si="32"/>
        <v>9</v>
      </c>
      <c r="K153" s="52">
        <v>269</v>
      </c>
      <c r="L153" s="25">
        <f t="shared" si="33"/>
        <v>37.39</v>
      </c>
      <c r="M153" s="51">
        <f t="shared" si="34"/>
        <v>7</v>
      </c>
      <c r="N153" s="52">
        <v>276</v>
      </c>
      <c r="O153" s="25">
        <f t="shared" si="35"/>
        <v>44.7</v>
      </c>
      <c r="P153" s="51">
        <f t="shared" si="36"/>
        <v>8</v>
      </c>
      <c r="Q153" s="52">
        <v>284</v>
      </c>
      <c r="R153" s="25">
        <f t="shared" si="37"/>
        <v>22.96</v>
      </c>
      <c r="S153" s="53">
        <f t="shared" si="38"/>
        <v>12</v>
      </c>
      <c r="T153" s="52">
        <v>296</v>
      </c>
      <c r="U153" s="25">
        <f t="shared" si="39"/>
        <v>35.76</v>
      </c>
      <c r="V153" s="53">
        <f t="shared" si="40"/>
        <v>12</v>
      </c>
      <c r="W153" s="54">
        <v>308</v>
      </c>
      <c r="X153" s="25">
        <f t="shared" si="41"/>
        <v>35.702399999999997</v>
      </c>
    </row>
    <row r="154" spans="1:26" x14ac:dyDescent="0.25">
      <c r="A154" s="17" t="s">
        <v>1562</v>
      </c>
      <c r="B154" s="51">
        <v>173</v>
      </c>
      <c r="C154" s="51">
        <f t="shared" si="28"/>
        <v>4</v>
      </c>
      <c r="D154" s="51">
        <v>177</v>
      </c>
      <c r="E154" s="51">
        <f t="shared" si="29"/>
        <v>3</v>
      </c>
      <c r="F154" s="51">
        <v>180</v>
      </c>
      <c r="G154" s="51">
        <f t="shared" si="30"/>
        <v>5</v>
      </c>
      <c r="H154" s="52">
        <v>185</v>
      </c>
      <c r="I154" s="25">
        <f t="shared" si="31"/>
        <v>18.670000000000002</v>
      </c>
      <c r="J154" s="51">
        <f t="shared" si="32"/>
        <v>3</v>
      </c>
      <c r="K154" s="52">
        <v>188</v>
      </c>
      <c r="L154" s="25">
        <f t="shared" si="33"/>
        <v>12.46</v>
      </c>
      <c r="M154" s="51">
        <f t="shared" si="34"/>
        <v>2</v>
      </c>
      <c r="N154" s="52">
        <v>190</v>
      </c>
      <c r="O154" s="25">
        <f t="shared" si="35"/>
        <v>12.77</v>
      </c>
      <c r="P154" s="51">
        <f t="shared" si="36"/>
        <v>3</v>
      </c>
      <c r="Q154" s="52">
        <v>193</v>
      </c>
      <c r="R154" s="25">
        <f t="shared" si="37"/>
        <v>8.61</v>
      </c>
      <c r="S154" s="53">
        <f t="shared" si="38"/>
        <v>3</v>
      </c>
      <c r="T154" s="52">
        <v>196</v>
      </c>
      <c r="U154" s="25">
        <f t="shared" si="39"/>
        <v>8.94</v>
      </c>
      <c r="V154" s="53">
        <f t="shared" si="40"/>
        <v>2</v>
      </c>
      <c r="W154" s="54">
        <v>198</v>
      </c>
      <c r="X154" s="25">
        <f t="shared" si="41"/>
        <v>5.9504000000000001</v>
      </c>
    </row>
    <row r="155" spans="1:26" x14ac:dyDescent="0.25">
      <c r="A155" s="17" t="s">
        <v>1669</v>
      </c>
      <c r="B155" s="51">
        <v>245</v>
      </c>
      <c r="C155" s="51">
        <f t="shared" si="28"/>
        <v>11</v>
      </c>
      <c r="D155" s="51">
        <v>256</v>
      </c>
      <c r="E155" s="51">
        <f t="shared" si="29"/>
        <v>8</v>
      </c>
      <c r="F155" s="51">
        <v>264</v>
      </c>
      <c r="G155" s="51">
        <f t="shared" si="30"/>
        <v>10</v>
      </c>
      <c r="H155" s="52">
        <v>274</v>
      </c>
      <c r="I155" s="25">
        <f t="shared" si="31"/>
        <v>37.340000000000003</v>
      </c>
      <c r="J155" s="51">
        <f t="shared" si="32"/>
        <v>10</v>
      </c>
      <c r="K155" s="52">
        <v>284</v>
      </c>
      <c r="L155" s="25">
        <f t="shared" si="33"/>
        <v>41.55</v>
      </c>
      <c r="M155" s="51">
        <f t="shared" si="34"/>
        <v>4</v>
      </c>
      <c r="N155" s="52">
        <v>288</v>
      </c>
      <c r="O155" s="25">
        <f t="shared" si="35"/>
        <v>25.54</v>
      </c>
      <c r="P155" s="51">
        <f t="shared" si="36"/>
        <v>7</v>
      </c>
      <c r="Q155" s="52">
        <v>295</v>
      </c>
      <c r="R155" s="25">
        <f t="shared" si="37"/>
        <v>20.09</v>
      </c>
      <c r="S155" s="53">
        <f t="shared" si="38"/>
        <v>10</v>
      </c>
      <c r="T155" s="52">
        <v>305</v>
      </c>
      <c r="U155" s="25">
        <f t="shared" si="39"/>
        <v>29.8</v>
      </c>
      <c r="V155" s="53">
        <f t="shared" si="40"/>
        <v>9</v>
      </c>
      <c r="W155" s="54">
        <v>314</v>
      </c>
      <c r="X155" s="25">
        <f t="shared" si="41"/>
        <v>26.776800000000001</v>
      </c>
    </row>
    <row r="156" spans="1:26" x14ac:dyDescent="0.25">
      <c r="A156" s="17" t="s">
        <v>1591</v>
      </c>
      <c r="B156" s="51">
        <v>314</v>
      </c>
      <c r="C156" s="51">
        <f t="shared" si="28"/>
        <v>8</v>
      </c>
      <c r="D156" s="51">
        <v>322</v>
      </c>
      <c r="E156" s="51">
        <f t="shared" si="29"/>
        <v>6</v>
      </c>
      <c r="F156" s="51">
        <v>328</v>
      </c>
      <c r="G156" s="51">
        <f t="shared" si="30"/>
        <v>11</v>
      </c>
      <c r="H156" s="52">
        <v>339</v>
      </c>
      <c r="I156" s="25">
        <f t="shared" si="31"/>
        <v>41.08</v>
      </c>
      <c r="J156" s="51">
        <f t="shared" si="32"/>
        <v>9</v>
      </c>
      <c r="K156" s="52">
        <v>348</v>
      </c>
      <c r="L156" s="25">
        <f t="shared" si="33"/>
        <v>37.39</v>
      </c>
      <c r="M156" s="51">
        <f t="shared" si="34"/>
        <v>7</v>
      </c>
      <c r="N156" s="52">
        <v>355</v>
      </c>
      <c r="O156" s="25">
        <f t="shared" si="35"/>
        <v>44.7</v>
      </c>
      <c r="P156" s="51">
        <f t="shared" si="36"/>
        <v>8</v>
      </c>
      <c r="Q156" s="52">
        <v>363</v>
      </c>
      <c r="R156" s="25">
        <f t="shared" si="37"/>
        <v>22.96</v>
      </c>
      <c r="S156" s="53">
        <f t="shared" si="38"/>
        <v>8</v>
      </c>
      <c r="T156" s="52">
        <v>371</v>
      </c>
      <c r="U156" s="25">
        <f t="shared" si="39"/>
        <v>23.84</v>
      </c>
      <c r="V156" s="53">
        <f t="shared" si="40"/>
        <v>10</v>
      </c>
      <c r="W156" s="54">
        <v>381</v>
      </c>
      <c r="X156" s="25">
        <f t="shared" si="41"/>
        <v>29.752000000000002</v>
      </c>
    </row>
    <row r="157" spans="1:26" x14ac:dyDescent="0.25">
      <c r="A157" s="17" t="s">
        <v>1937</v>
      </c>
      <c r="B157" s="51">
        <v>166</v>
      </c>
      <c r="C157" s="51">
        <f t="shared" si="28"/>
        <v>12</v>
      </c>
      <c r="D157" s="51">
        <v>178</v>
      </c>
      <c r="E157" s="51">
        <f t="shared" si="29"/>
        <v>11</v>
      </c>
      <c r="F157" s="51">
        <v>189</v>
      </c>
      <c r="G157" s="51">
        <f t="shared" si="30"/>
        <v>9</v>
      </c>
      <c r="H157" s="52">
        <v>198</v>
      </c>
      <c r="I157" s="25">
        <f t="shared" si="31"/>
        <v>33.61</v>
      </c>
      <c r="J157" s="51">
        <f t="shared" si="32"/>
        <v>14</v>
      </c>
      <c r="K157" s="52">
        <v>212</v>
      </c>
      <c r="L157" s="25">
        <f t="shared" si="33"/>
        <v>58.17</v>
      </c>
      <c r="M157" s="51">
        <f t="shared" si="34"/>
        <v>5</v>
      </c>
      <c r="N157" s="52">
        <v>217</v>
      </c>
      <c r="O157" s="25">
        <f t="shared" si="35"/>
        <v>31.93</v>
      </c>
      <c r="P157" s="51">
        <f t="shared" si="36"/>
        <v>2</v>
      </c>
      <c r="Q157" s="52">
        <v>219</v>
      </c>
      <c r="R157" s="25">
        <f t="shared" si="37"/>
        <v>5.74</v>
      </c>
      <c r="S157" s="53">
        <f t="shared" si="38"/>
        <v>0</v>
      </c>
      <c r="T157" s="52">
        <v>219</v>
      </c>
      <c r="U157" s="25">
        <f t="shared" si="39"/>
        <v>0</v>
      </c>
      <c r="V157" s="53">
        <f t="shared" si="40"/>
        <v>0</v>
      </c>
      <c r="W157" s="54">
        <v>219</v>
      </c>
      <c r="X157" s="25">
        <f t="shared" si="41"/>
        <v>0</v>
      </c>
    </row>
    <row r="158" spans="1:26" x14ac:dyDescent="0.25">
      <c r="A158" s="17" t="s">
        <v>1819</v>
      </c>
      <c r="B158" s="51">
        <v>129.72</v>
      </c>
      <c r="C158" s="51">
        <f t="shared" si="28"/>
        <v>4.4399999999999977</v>
      </c>
      <c r="D158" s="51">
        <v>134.16</v>
      </c>
      <c r="E158" s="51">
        <f t="shared" si="29"/>
        <v>5.039999999999992</v>
      </c>
      <c r="F158" s="51">
        <v>139.19999999999999</v>
      </c>
      <c r="G158" s="51">
        <f t="shared" si="30"/>
        <v>-0.19999999999998863</v>
      </c>
      <c r="H158" s="52">
        <v>139</v>
      </c>
      <c r="I158" s="25">
        <f t="shared" si="31"/>
        <v>-0.75</v>
      </c>
      <c r="J158" s="51">
        <f t="shared" si="32"/>
        <v>1.4190000000000111</v>
      </c>
      <c r="K158" s="52">
        <v>140.41900000000001</v>
      </c>
      <c r="L158" s="25">
        <f t="shared" si="33"/>
        <v>5.9</v>
      </c>
      <c r="M158" s="51">
        <f t="shared" si="34"/>
        <v>1.4509999999999934</v>
      </c>
      <c r="N158" s="52">
        <v>141.87</v>
      </c>
      <c r="O158" s="25">
        <f t="shared" si="35"/>
        <v>9.27</v>
      </c>
      <c r="P158" s="51">
        <f t="shared" si="36"/>
        <v>1.1299999999999955</v>
      </c>
      <c r="Q158" s="52">
        <v>143</v>
      </c>
      <c r="R158" s="25">
        <f t="shared" si="37"/>
        <v>3.24</v>
      </c>
      <c r="S158" s="53">
        <f t="shared" si="38"/>
        <v>1.5529999999999973</v>
      </c>
      <c r="T158" s="52">
        <v>144.553</v>
      </c>
      <c r="U158" s="25">
        <f t="shared" si="39"/>
        <v>4.63</v>
      </c>
      <c r="V158" s="53">
        <f t="shared" si="40"/>
        <v>1.4470000000000027</v>
      </c>
      <c r="W158" s="54">
        <v>146</v>
      </c>
      <c r="X158" s="25">
        <f t="shared" si="41"/>
        <v>4.3051144000000079</v>
      </c>
    </row>
    <row r="159" spans="1:26" x14ac:dyDescent="0.25">
      <c r="A159" s="57" t="s">
        <v>1763</v>
      </c>
      <c r="B159" s="51">
        <v>155</v>
      </c>
      <c r="C159" s="51">
        <f t="shared" si="28"/>
        <v>1</v>
      </c>
      <c r="D159" s="51">
        <v>156</v>
      </c>
      <c r="E159" s="51">
        <f t="shared" si="29"/>
        <v>2</v>
      </c>
      <c r="F159" s="51">
        <v>158</v>
      </c>
      <c r="G159" s="58">
        <v>2</v>
      </c>
      <c r="H159" s="52">
        <v>16</v>
      </c>
      <c r="I159" s="25">
        <f t="shared" si="31"/>
        <v>7.47</v>
      </c>
      <c r="J159" s="51">
        <f t="shared" si="32"/>
        <v>2</v>
      </c>
      <c r="K159" s="52">
        <v>18</v>
      </c>
      <c r="L159" s="25">
        <f t="shared" si="33"/>
        <v>8.31</v>
      </c>
      <c r="M159" s="51">
        <f t="shared" si="34"/>
        <v>0</v>
      </c>
      <c r="N159" s="52">
        <v>18</v>
      </c>
      <c r="O159" s="25">
        <f t="shared" si="35"/>
        <v>0</v>
      </c>
      <c r="P159" s="51">
        <f t="shared" si="36"/>
        <v>4</v>
      </c>
      <c r="Q159" s="52">
        <v>22</v>
      </c>
      <c r="R159" s="25">
        <f t="shared" si="37"/>
        <v>11.48</v>
      </c>
      <c r="S159" s="53">
        <f t="shared" si="38"/>
        <v>0</v>
      </c>
      <c r="T159" s="52">
        <v>22</v>
      </c>
      <c r="U159" s="25">
        <f t="shared" si="39"/>
        <v>0</v>
      </c>
      <c r="V159" s="53">
        <f t="shared" si="40"/>
        <v>0</v>
      </c>
      <c r="W159" s="54">
        <v>22</v>
      </c>
      <c r="X159" s="25">
        <f t="shared" si="41"/>
        <v>0</v>
      </c>
      <c r="Z159" t="s">
        <v>2094</v>
      </c>
    </row>
    <row r="160" spans="1:26" x14ac:dyDescent="0.25">
      <c r="A160" s="17" t="s">
        <v>2031</v>
      </c>
      <c r="B160" s="51">
        <v>210</v>
      </c>
      <c r="C160" s="51">
        <f t="shared" si="28"/>
        <v>5</v>
      </c>
      <c r="D160" s="51">
        <v>215</v>
      </c>
      <c r="E160" s="51">
        <f t="shared" si="29"/>
        <v>4</v>
      </c>
      <c r="F160" s="51">
        <v>219</v>
      </c>
      <c r="G160" s="51">
        <f t="shared" si="30"/>
        <v>5</v>
      </c>
      <c r="H160" s="52">
        <v>224</v>
      </c>
      <c r="I160" s="25">
        <f t="shared" si="31"/>
        <v>18.670000000000002</v>
      </c>
      <c r="J160" s="51">
        <f t="shared" si="32"/>
        <v>5</v>
      </c>
      <c r="K160" s="52">
        <v>229</v>
      </c>
      <c r="L160" s="25">
        <f t="shared" si="33"/>
        <v>20.77</v>
      </c>
      <c r="M160" s="51">
        <f t="shared" si="34"/>
        <v>3</v>
      </c>
      <c r="N160" s="52">
        <v>232</v>
      </c>
      <c r="O160" s="25">
        <f t="shared" si="35"/>
        <v>19.16</v>
      </c>
      <c r="P160" s="51">
        <f t="shared" si="36"/>
        <v>3</v>
      </c>
      <c r="Q160" s="52">
        <v>235</v>
      </c>
      <c r="R160" s="25">
        <f t="shared" si="37"/>
        <v>8.61</v>
      </c>
      <c r="S160" s="53">
        <f t="shared" si="38"/>
        <v>3</v>
      </c>
      <c r="T160" s="52">
        <v>238</v>
      </c>
      <c r="U160" s="25">
        <f t="shared" si="39"/>
        <v>8.94</v>
      </c>
      <c r="V160" s="53">
        <f t="shared" si="40"/>
        <v>5</v>
      </c>
      <c r="W160" s="54">
        <v>243</v>
      </c>
      <c r="X160" s="25">
        <f t="shared" si="41"/>
        <v>14.876000000000001</v>
      </c>
    </row>
    <row r="161" spans="1:26" x14ac:dyDescent="0.25">
      <c r="A161" s="57" t="s">
        <v>1971</v>
      </c>
      <c r="B161" s="51">
        <v>98.6</v>
      </c>
      <c r="C161" s="51">
        <f t="shared" si="28"/>
        <v>1.2000000000000028</v>
      </c>
      <c r="D161" s="51">
        <v>99.8</v>
      </c>
      <c r="E161" s="51">
        <f t="shared" si="29"/>
        <v>1.2000000000000028</v>
      </c>
      <c r="F161" s="51">
        <v>101</v>
      </c>
      <c r="G161" s="58">
        <v>1</v>
      </c>
      <c r="H161" s="52">
        <v>27</v>
      </c>
      <c r="I161" s="25">
        <f t="shared" si="31"/>
        <v>3.73</v>
      </c>
      <c r="J161" s="51">
        <f t="shared" si="32"/>
        <v>3</v>
      </c>
      <c r="K161" s="52">
        <v>30</v>
      </c>
      <c r="L161" s="25">
        <f t="shared" si="33"/>
        <v>12.46</v>
      </c>
      <c r="M161" s="51">
        <f t="shared" si="34"/>
        <v>3</v>
      </c>
      <c r="N161" s="52">
        <v>33</v>
      </c>
      <c r="O161" s="25">
        <f t="shared" si="35"/>
        <v>19.16</v>
      </c>
      <c r="P161" s="51">
        <f t="shared" si="36"/>
        <v>4</v>
      </c>
      <c r="Q161" s="52">
        <v>37</v>
      </c>
      <c r="R161" s="25">
        <f t="shared" si="37"/>
        <v>11.48</v>
      </c>
      <c r="S161" s="53">
        <f t="shared" si="38"/>
        <v>4</v>
      </c>
      <c r="T161" s="52">
        <v>41</v>
      </c>
      <c r="U161" s="25">
        <f t="shared" si="39"/>
        <v>11.92</v>
      </c>
      <c r="V161" s="53">
        <f t="shared" si="40"/>
        <v>4</v>
      </c>
      <c r="W161" s="54">
        <v>45</v>
      </c>
      <c r="X161" s="25">
        <f t="shared" si="41"/>
        <v>11.9008</v>
      </c>
      <c r="Z161" t="s">
        <v>2094</v>
      </c>
    </row>
    <row r="162" spans="1:26" x14ac:dyDescent="0.25">
      <c r="A162" s="17" t="s">
        <v>1817</v>
      </c>
      <c r="B162" s="51">
        <v>168</v>
      </c>
      <c r="C162" s="51">
        <f t="shared" si="28"/>
        <v>5</v>
      </c>
      <c r="D162" s="51">
        <v>173</v>
      </c>
      <c r="E162" s="51">
        <f t="shared" si="29"/>
        <v>3</v>
      </c>
      <c r="F162" s="51">
        <v>176</v>
      </c>
      <c r="G162" s="51">
        <f t="shared" si="30"/>
        <v>6</v>
      </c>
      <c r="H162" s="52">
        <v>182</v>
      </c>
      <c r="I162" s="25">
        <f t="shared" si="31"/>
        <v>22.41</v>
      </c>
      <c r="J162" s="51">
        <f t="shared" si="32"/>
        <v>5</v>
      </c>
      <c r="K162" s="52">
        <v>187</v>
      </c>
      <c r="L162" s="25">
        <f t="shared" si="33"/>
        <v>20.77</v>
      </c>
      <c r="M162" s="51">
        <f t="shared" si="34"/>
        <v>2</v>
      </c>
      <c r="N162" s="52">
        <v>189</v>
      </c>
      <c r="O162" s="25">
        <f t="shared" si="35"/>
        <v>12.77</v>
      </c>
      <c r="P162" s="51">
        <f t="shared" si="36"/>
        <v>1</v>
      </c>
      <c r="Q162" s="52">
        <v>190</v>
      </c>
      <c r="R162" s="25">
        <f t="shared" si="37"/>
        <v>2.87</v>
      </c>
      <c r="S162" s="53">
        <f t="shared" si="38"/>
        <v>1</v>
      </c>
      <c r="T162" s="52">
        <v>191</v>
      </c>
      <c r="U162" s="25">
        <f t="shared" si="39"/>
        <v>2.98</v>
      </c>
      <c r="V162" s="53">
        <f t="shared" si="40"/>
        <v>3</v>
      </c>
      <c r="W162" s="54">
        <v>194</v>
      </c>
      <c r="X162" s="25">
        <f t="shared" si="41"/>
        <v>8.9255999999999993</v>
      </c>
    </row>
    <row r="163" spans="1:26" x14ac:dyDescent="0.25">
      <c r="A163" s="17" t="s">
        <v>1935</v>
      </c>
      <c r="B163" s="51">
        <v>477.26</v>
      </c>
      <c r="C163" s="51">
        <f t="shared" si="28"/>
        <v>11.139999999999986</v>
      </c>
      <c r="D163" s="51">
        <v>488.4</v>
      </c>
      <c r="E163" s="51">
        <f t="shared" si="29"/>
        <v>11.600000000000023</v>
      </c>
      <c r="F163" s="51">
        <v>500</v>
      </c>
      <c r="G163" s="51">
        <f t="shared" si="30"/>
        <v>12.123000000000047</v>
      </c>
      <c r="H163" s="52">
        <v>512.12300000000005</v>
      </c>
      <c r="I163" s="25">
        <f t="shared" si="31"/>
        <v>45.27</v>
      </c>
      <c r="J163" s="51">
        <f t="shared" si="32"/>
        <v>10.270999999999958</v>
      </c>
      <c r="K163" s="52">
        <v>522.39400000000001</v>
      </c>
      <c r="L163" s="25">
        <f t="shared" si="33"/>
        <v>42.67</v>
      </c>
      <c r="M163" s="51">
        <f t="shared" si="34"/>
        <v>8.54099999999994</v>
      </c>
      <c r="N163" s="52">
        <v>530.93499999999995</v>
      </c>
      <c r="O163" s="25">
        <f t="shared" si="35"/>
        <v>54.54</v>
      </c>
      <c r="P163" s="51">
        <f t="shared" si="36"/>
        <v>8.0650000000000546</v>
      </c>
      <c r="Q163" s="52">
        <v>539</v>
      </c>
      <c r="R163" s="25">
        <f t="shared" si="37"/>
        <v>23.15</v>
      </c>
      <c r="S163" s="53">
        <f t="shared" si="38"/>
        <v>11.423999999999978</v>
      </c>
      <c r="T163" s="52">
        <v>550.42399999999998</v>
      </c>
      <c r="U163" s="25">
        <f t="shared" si="39"/>
        <v>34.04</v>
      </c>
      <c r="V163" s="53">
        <f t="shared" si="40"/>
        <v>12.576000000000022</v>
      </c>
      <c r="W163" s="54">
        <v>563</v>
      </c>
      <c r="X163" s="25">
        <f t="shared" si="41"/>
        <v>37.416115200000064</v>
      </c>
    </row>
    <row r="164" spans="1:26" x14ac:dyDescent="0.25">
      <c r="A164" s="17" t="s">
        <v>2034</v>
      </c>
      <c r="B164" s="51">
        <v>139.19999999999999</v>
      </c>
      <c r="C164" s="51">
        <f t="shared" si="28"/>
        <v>2.6000000000000227</v>
      </c>
      <c r="D164" s="51">
        <v>141.80000000000001</v>
      </c>
      <c r="E164" s="51">
        <f t="shared" si="29"/>
        <v>1.2099999999999795</v>
      </c>
      <c r="F164" s="51">
        <v>143.01</v>
      </c>
      <c r="G164" s="58">
        <v>2</v>
      </c>
      <c r="H164" s="52">
        <v>134.38800000000001</v>
      </c>
      <c r="I164" s="25">
        <f t="shared" si="31"/>
        <v>7.47</v>
      </c>
      <c r="J164" s="51">
        <f t="shared" si="32"/>
        <v>0.46500000000000341</v>
      </c>
      <c r="K164" s="52">
        <v>134.85300000000001</v>
      </c>
      <c r="L164" s="25">
        <f t="shared" si="33"/>
        <v>1.93</v>
      </c>
      <c r="M164" s="51">
        <f t="shared" si="34"/>
        <v>1.070999999999998</v>
      </c>
      <c r="N164" s="52">
        <v>135.92400000000001</v>
      </c>
      <c r="O164" s="25">
        <f t="shared" si="35"/>
        <v>6.84</v>
      </c>
      <c r="P164" s="51">
        <f t="shared" si="36"/>
        <v>7.5999999999993406E-2</v>
      </c>
      <c r="Q164" s="52">
        <v>136</v>
      </c>
      <c r="R164" s="25">
        <f t="shared" si="37"/>
        <v>0.22</v>
      </c>
      <c r="S164" s="53">
        <f t="shared" si="38"/>
        <v>2.2319999999999993</v>
      </c>
      <c r="T164" s="52">
        <v>138.232</v>
      </c>
      <c r="U164" s="25">
        <f t="shared" si="39"/>
        <v>6.65</v>
      </c>
      <c r="V164" s="53">
        <f t="shared" si="40"/>
        <v>1.7680000000000007</v>
      </c>
      <c r="W164" s="54">
        <v>140</v>
      </c>
      <c r="X164" s="25">
        <f t="shared" si="41"/>
        <v>5.2601536000000024</v>
      </c>
    </row>
    <row r="165" spans="1:26" x14ac:dyDescent="0.25">
      <c r="A165" s="17" t="s">
        <v>2039</v>
      </c>
      <c r="B165" s="51">
        <v>519</v>
      </c>
      <c r="C165" s="51">
        <f t="shared" si="28"/>
        <v>10</v>
      </c>
      <c r="D165" s="51">
        <v>529</v>
      </c>
      <c r="E165" s="51">
        <f t="shared" si="29"/>
        <v>13</v>
      </c>
      <c r="F165" s="51">
        <v>542</v>
      </c>
      <c r="G165" s="51">
        <f t="shared" si="30"/>
        <v>14</v>
      </c>
      <c r="H165" s="52">
        <v>556</v>
      </c>
      <c r="I165" s="25">
        <f t="shared" si="31"/>
        <v>52.28</v>
      </c>
      <c r="J165" s="51">
        <f t="shared" si="32"/>
        <v>11</v>
      </c>
      <c r="K165" s="52">
        <v>567</v>
      </c>
      <c r="L165" s="25">
        <f t="shared" si="33"/>
        <v>45.7</v>
      </c>
      <c r="M165" s="51">
        <f t="shared" si="34"/>
        <v>9</v>
      </c>
      <c r="N165" s="52">
        <v>576</v>
      </c>
      <c r="O165" s="25">
        <f t="shared" si="35"/>
        <v>57.47</v>
      </c>
      <c r="P165" s="51">
        <f t="shared" si="36"/>
        <v>11</v>
      </c>
      <c r="Q165" s="52">
        <v>587</v>
      </c>
      <c r="R165" s="25">
        <f t="shared" si="37"/>
        <v>31.57</v>
      </c>
      <c r="S165" s="53">
        <f t="shared" si="38"/>
        <v>10</v>
      </c>
      <c r="T165" s="52">
        <v>597</v>
      </c>
      <c r="U165" s="25">
        <f t="shared" si="39"/>
        <v>29.8</v>
      </c>
      <c r="V165" s="53">
        <f t="shared" si="40"/>
        <v>2</v>
      </c>
      <c r="W165" s="54">
        <v>599</v>
      </c>
      <c r="X165" s="25">
        <f t="shared" si="41"/>
        <v>5.9504000000000001</v>
      </c>
    </row>
    <row r="166" spans="1:26" x14ac:dyDescent="0.25">
      <c r="A166" s="17" t="s">
        <v>1785</v>
      </c>
      <c r="B166" s="51">
        <v>65</v>
      </c>
      <c r="C166" s="51">
        <f t="shared" si="28"/>
        <v>2</v>
      </c>
      <c r="D166" s="51">
        <v>67</v>
      </c>
      <c r="E166" s="51">
        <f t="shared" si="29"/>
        <v>1</v>
      </c>
      <c r="F166" s="51">
        <v>68</v>
      </c>
      <c r="G166" s="51">
        <f t="shared" si="30"/>
        <v>1</v>
      </c>
      <c r="H166" s="52">
        <v>69</v>
      </c>
      <c r="I166" s="25">
        <f t="shared" si="31"/>
        <v>3.73</v>
      </c>
      <c r="J166" s="51">
        <f t="shared" si="32"/>
        <v>0</v>
      </c>
      <c r="K166" s="52">
        <v>69</v>
      </c>
      <c r="L166" s="25">
        <f t="shared" si="33"/>
        <v>0</v>
      </c>
      <c r="M166" s="51">
        <f t="shared" si="34"/>
        <v>0</v>
      </c>
      <c r="N166" s="52">
        <v>69</v>
      </c>
      <c r="O166" s="25">
        <f t="shared" si="35"/>
        <v>0</v>
      </c>
      <c r="P166" s="51">
        <f t="shared" si="36"/>
        <v>1</v>
      </c>
      <c r="Q166" s="52">
        <v>70</v>
      </c>
      <c r="R166" s="25">
        <f t="shared" si="37"/>
        <v>2.87</v>
      </c>
      <c r="S166" s="53">
        <f t="shared" si="38"/>
        <v>2</v>
      </c>
      <c r="T166" s="52">
        <v>72</v>
      </c>
      <c r="U166" s="25">
        <f t="shared" si="39"/>
        <v>5.96</v>
      </c>
      <c r="V166" s="53">
        <f t="shared" si="40"/>
        <v>10</v>
      </c>
      <c r="W166" s="54">
        <v>82</v>
      </c>
      <c r="X166" s="25">
        <f t="shared" si="41"/>
        <v>29.752000000000002</v>
      </c>
    </row>
    <row r="167" spans="1:26" x14ac:dyDescent="0.25">
      <c r="A167" s="17" t="s">
        <v>1663</v>
      </c>
      <c r="B167" s="51">
        <v>225</v>
      </c>
      <c r="C167" s="51">
        <f t="shared" si="28"/>
        <v>14</v>
      </c>
      <c r="D167" s="51">
        <v>239</v>
      </c>
      <c r="E167" s="51">
        <f t="shared" si="29"/>
        <v>11</v>
      </c>
      <c r="F167" s="51">
        <v>250</v>
      </c>
      <c r="G167" s="51">
        <f t="shared" si="30"/>
        <v>6</v>
      </c>
      <c r="H167" s="52">
        <v>256</v>
      </c>
      <c r="I167" s="25">
        <f t="shared" si="31"/>
        <v>22.41</v>
      </c>
      <c r="J167" s="51">
        <f t="shared" si="32"/>
        <v>4</v>
      </c>
      <c r="K167" s="52">
        <v>260</v>
      </c>
      <c r="L167" s="25">
        <f t="shared" si="33"/>
        <v>16.62</v>
      </c>
      <c r="M167" s="51">
        <f t="shared" si="34"/>
        <v>15</v>
      </c>
      <c r="N167" s="52">
        <v>275</v>
      </c>
      <c r="O167" s="25">
        <f t="shared" si="35"/>
        <v>95.78</v>
      </c>
      <c r="P167" s="51">
        <f t="shared" si="36"/>
        <v>8</v>
      </c>
      <c r="Q167" s="52">
        <v>283</v>
      </c>
      <c r="R167" s="25">
        <f t="shared" si="37"/>
        <v>22.96</v>
      </c>
      <c r="S167" s="53">
        <f t="shared" si="38"/>
        <v>8</v>
      </c>
      <c r="T167" s="52">
        <v>291</v>
      </c>
      <c r="U167" s="25">
        <f t="shared" si="39"/>
        <v>23.84</v>
      </c>
      <c r="V167" s="53">
        <f t="shared" si="40"/>
        <v>7</v>
      </c>
      <c r="W167" s="54">
        <v>298</v>
      </c>
      <c r="X167" s="25">
        <f t="shared" si="41"/>
        <v>20.8264</v>
      </c>
    </row>
    <row r="168" spans="1:26" x14ac:dyDescent="0.25">
      <c r="A168" s="17" t="s">
        <v>1992</v>
      </c>
      <c r="B168" s="51">
        <v>338</v>
      </c>
      <c r="C168" s="51">
        <f t="shared" si="28"/>
        <v>9</v>
      </c>
      <c r="D168" s="51">
        <v>347</v>
      </c>
      <c r="E168" s="51">
        <f t="shared" si="29"/>
        <v>6</v>
      </c>
      <c r="F168" s="51">
        <v>353</v>
      </c>
      <c r="G168" s="51">
        <f t="shared" si="30"/>
        <v>9</v>
      </c>
      <c r="H168" s="52">
        <v>362</v>
      </c>
      <c r="I168" s="25">
        <f t="shared" si="31"/>
        <v>33.61</v>
      </c>
      <c r="J168" s="51">
        <f t="shared" si="32"/>
        <v>7</v>
      </c>
      <c r="K168" s="52">
        <v>369</v>
      </c>
      <c r="L168" s="25">
        <f t="shared" si="33"/>
        <v>29.08</v>
      </c>
      <c r="M168" s="51">
        <f t="shared" si="34"/>
        <v>5</v>
      </c>
      <c r="N168" s="52">
        <v>374</v>
      </c>
      <c r="O168" s="25">
        <f t="shared" si="35"/>
        <v>31.93</v>
      </c>
      <c r="P168" s="51">
        <f t="shared" si="36"/>
        <v>6</v>
      </c>
      <c r="Q168" s="52">
        <v>380</v>
      </c>
      <c r="R168" s="25">
        <f t="shared" si="37"/>
        <v>17.22</v>
      </c>
      <c r="S168" s="53">
        <f t="shared" si="38"/>
        <v>6</v>
      </c>
      <c r="T168" s="52">
        <v>386</v>
      </c>
      <c r="U168" s="25">
        <f t="shared" si="39"/>
        <v>17.88</v>
      </c>
      <c r="V168" s="53">
        <f t="shared" si="40"/>
        <v>9</v>
      </c>
      <c r="W168" s="54">
        <v>395</v>
      </c>
      <c r="X168" s="25">
        <f t="shared" si="41"/>
        <v>26.776800000000001</v>
      </c>
    </row>
    <row r="169" spans="1:26" x14ac:dyDescent="0.25">
      <c r="A169" s="17" t="s">
        <v>1564</v>
      </c>
      <c r="B169" s="51">
        <v>231</v>
      </c>
      <c r="C169" s="51">
        <f t="shared" si="28"/>
        <v>3</v>
      </c>
      <c r="D169" s="51">
        <v>234</v>
      </c>
      <c r="E169" s="51">
        <f t="shared" si="29"/>
        <v>4</v>
      </c>
      <c r="F169" s="51">
        <v>238</v>
      </c>
      <c r="G169" s="51">
        <f t="shared" si="30"/>
        <v>2</v>
      </c>
      <c r="H169" s="52">
        <v>240</v>
      </c>
      <c r="I169" s="25">
        <f t="shared" si="31"/>
        <v>7.47</v>
      </c>
      <c r="J169" s="51">
        <f t="shared" si="32"/>
        <v>2</v>
      </c>
      <c r="K169" s="52">
        <v>242</v>
      </c>
      <c r="L169" s="25">
        <f t="shared" si="33"/>
        <v>8.31</v>
      </c>
      <c r="M169" s="51">
        <f t="shared" si="34"/>
        <v>2</v>
      </c>
      <c r="N169" s="52">
        <v>244</v>
      </c>
      <c r="O169" s="25">
        <f t="shared" si="35"/>
        <v>12.77</v>
      </c>
      <c r="P169" s="51">
        <f t="shared" si="36"/>
        <v>3</v>
      </c>
      <c r="Q169" s="52">
        <v>247</v>
      </c>
      <c r="R169" s="25">
        <f t="shared" si="37"/>
        <v>8.61</v>
      </c>
      <c r="S169" s="53">
        <f t="shared" si="38"/>
        <v>0</v>
      </c>
      <c r="T169" s="52">
        <v>247</v>
      </c>
      <c r="U169" s="25">
        <f t="shared" si="39"/>
        <v>0</v>
      </c>
      <c r="V169" s="53">
        <f t="shared" si="40"/>
        <v>3</v>
      </c>
      <c r="W169" s="54">
        <v>250</v>
      </c>
      <c r="X169" s="25">
        <f t="shared" si="41"/>
        <v>8.9255999999999993</v>
      </c>
    </row>
    <row r="170" spans="1:26" x14ac:dyDescent="0.25">
      <c r="A170" s="17" t="s">
        <v>1772</v>
      </c>
      <c r="B170" s="51">
        <v>321.39</v>
      </c>
      <c r="C170" s="51">
        <f t="shared" si="28"/>
        <v>12.379999999999995</v>
      </c>
      <c r="D170" s="51">
        <v>333.77</v>
      </c>
      <c r="E170" s="51">
        <f t="shared" si="29"/>
        <v>9.6500000000000341</v>
      </c>
      <c r="F170" s="51">
        <v>343.42</v>
      </c>
      <c r="G170" s="51">
        <f t="shared" si="30"/>
        <v>7.5430000000000064</v>
      </c>
      <c r="H170" s="52">
        <v>350.96300000000002</v>
      </c>
      <c r="I170" s="25">
        <f t="shared" si="31"/>
        <v>28.17</v>
      </c>
      <c r="J170" s="51">
        <f t="shared" si="32"/>
        <v>6.0369999999999777</v>
      </c>
      <c r="K170" s="52">
        <v>357</v>
      </c>
      <c r="L170" s="25">
        <f t="shared" si="33"/>
        <v>25.08</v>
      </c>
      <c r="M170" s="51">
        <f t="shared" si="34"/>
        <v>1.5989999999999895</v>
      </c>
      <c r="N170" s="52">
        <v>358.59899999999999</v>
      </c>
      <c r="O170" s="25">
        <f t="shared" si="35"/>
        <v>10.210000000000001</v>
      </c>
      <c r="P170" s="51">
        <f t="shared" si="36"/>
        <v>0.40100000000001046</v>
      </c>
      <c r="Q170" s="52">
        <v>359</v>
      </c>
      <c r="R170" s="25">
        <f t="shared" si="37"/>
        <v>1.1499999999999999</v>
      </c>
      <c r="S170" s="53">
        <f t="shared" si="38"/>
        <v>0.82100000000002638</v>
      </c>
      <c r="T170" s="52">
        <v>359.82100000000003</v>
      </c>
      <c r="U170" s="25">
        <f t="shared" si="39"/>
        <v>2.4500000000000002</v>
      </c>
      <c r="V170" s="53">
        <f t="shared" si="40"/>
        <v>0.17899999999997362</v>
      </c>
      <c r="W170" s="54">
        <v>360</v>
      </c>
      <c r="X170" s="25">
        <f t="shared" si="41"/>
        <v>0.53256079999992156</v>
      </c>
    </row>
    <row r="171" spans="1:26" x14ac:dyDescent="0.25">
      <c r="A171" s="17" t="s">
        <v>1957</v>
      </c>
      <c r="B171" s="51">
        <v>227</v>
      </c>
      <c r="C171" s="51">
        <f t="shared" si="28"/>
        <v>3</v>
      </c>
      <c r="D171" s="51">
        <v>230</v>
      </c>
      <c r="E171" s="51">
        <f t="shared" si="29"/>
        <v>4</v>
      </c>
      <c r="F171" s="51">
        <v>234</v>
      </c>
      <c r="G171" s="51">
        <f t="shared" si="30"/>
        <v>5</v>
      </c>
      <c r="H171" s="52">
        <v>239</v>
      </c>
      <c r="I171" s="25">
        <f t="shared" si="31"/>
        <v>18.670000000000002</v>
      </c>
      <c r="J171" s="51">
        <f t="shared" si="32"/>
        <v>3</v>
      </c>
      <c r="K171" s="52">
        <v>242</v>
      </c>
      <c r="L171" s="25">
        <f t="shared" si="33"/>
        <v>12.46</v>
      </c>
      <c r="M171" s="51">
        <f t="shared" si="34"/>
        <v>2</v>
      </c>
      <c r="N171" s="52">
        <v>244</v>
      </c>
      <c r="O171" s="25">
        <f t="shared" si="35"/>
        <v>12.77</v>
      </c>
      <c r="P171" s="51">
        <f t="shared" si="36"/>
        <v>2</v>
      </c>
      <c r="Q171" s="52">
        <v>246</v>
      </c>
      <c r="R171" s="25">
        <f t="shared" si="37"/>
        <v>5.74</v>
      </c>
      <c r="S171" s="53">
        <f t="shared" si="38"/>
        <v>2</v>
      </c>
      <c r="T171" s="52">
        <v>248</v>
      </c>
      <c r="U171" s="25">
        <f t="shared" si="39"/>
        <v>5.96</v>
      </c>
      <c r="V171" s="53">
        <f t="shared" si="40"/>
        <v>4</v>
      </c>
      <c r="W171" s="54">
        <v>252</v>
      </c>
      <c r="X171" s="25">
        <f t="shared" si="41"/>
        <v>11.9008</v>
      </c>
    </row>
    <row r="172" spans="1:26" x14ac:dyDescent="0.25">
      <c r="A172" s="17" t="s">
        <v>1911</v>
      </c>
      <c r="B172" s="51">
        <v>368</v>
      </c>
      <c r="C172" s="51">
        <f t="shared" si="28"/>
        <v>12</v>
      </c>
      <c r="D172" s="51">
        <v>380</v>
      </c>
      <c r="E172" s="51">
        <f t="shared" si="29"/>
        <v>13</v>
      </c>
      <c r="F172" s="51">
        <v>393</v>
      </c>
      <c r="G172" s="51">
        <f t="shared" si="30"/>
        <v>14</v>
      </c>
      <c r="H172" s="52">
        <v>407</v>
      </c>
      <c r="I172" s="25">
        <f t="shared" si="31"/>
        <v>52.28</v>
      </c>
      <c r="J172" s="51">
        <f t="shared" si="32"/>
        <v>13</v>
      </c>
      <c r="K172" s="52">
        <v>420</v>
      </c>
      <c r="L172" s="25">
        <f t="shared" si="33"/>
        <v>54.01</v>
      </c>
      <c r="M172" s="51">
        <f t="shared" si="34"/>
        <v>7</v>
      </c>
      <c r="N172" s="52">
        <v>427</v>
      </c>
      <c r="O172" s="25">
        <f t="shared" si="35"/>
        <v>44.7</v>
      </c>
      <c r="P172" s="51">
        <f t="shared" si="36"/>
        <v>11</v>
      </c>
      <c r="Q172" s="52">
        <v>438</v>
      </c>
      <c r="R172" s="25">
        <f t="shared" si="37"/>
        <v>31.57</v>
      </c>
      <c r="S172" s="53">
        <f t="shared" si="38"/>
        <v>12</v>
      </c>
      <c r="T172" s="52">
        <v>450</v>
      </c>
      <c r="U172" s="25">
        <f t="shared" si="39"/>
        <v>35.76</v>
      </c>
      <c r="V172" s="53">
        <f t="shared" si="40"/>
        <v>14</v>
      </c>
      <c r="W172" s="54">
        <v>464</v>
      </c>
      <c r="X172" s="25">
        <f t="shared" si="41"/>
        <v>41.652799999999999</v>
      </c>
    </row>
    <row r="173" spans="1:26" x14ac:dyDescent="0.25">
      <c r="A173" s="17" t="s">
        <v>1974</v>
      </c>
      <c r="B173" s="51">
        <v>168</v>
      </c>
      <c r="C173" s="51">
        <f t="shared" si="28"/>
        <v>4</v>
      </c>
      <c r="D173" s="51">
        <v>172</v>
      </c>
      <c r="E173" s="51">
        <f t="shared" si="29"/>
        <v>3</v>
      </c>
      <c r="F173" s="51">
        <v>175</v>
      </c>
      <c r="G173" s="51">
        <f t="shared" si="30"/>
        <v>3</v>
      </c>
      <c r="H173" s="52">
        <v>178</v>
      </c>
      <c r="I173" s="25">
        <f t="shared" si="31"/>
        <v>11.2</v>
      </c>
      <c r="J173" s="51">
        <f t="shared" si="32"/>
        <v>1</v>
      </c>
      <c r="K173" s="52">
        <v>179</v>
      </c>
      <c r="L173" s="25">
        <f t="shared" si="33"/>
        <v>4.1500000000000004</v>
      </c>
      <c r="M173" s="51">
        <f t="shared" si="34"/>
        <v>2</v>
      </c>
      <c r="N173" s="52">
        <v>181</v>
      </c>
      <c r="O173" s="25">
        <f t="shared" si="35"/>
        <v>12.77</v>
      </c>
      <c r="P173" s="51">
        <f t="shared" si="36"/>
        <v>4</v>
      </c>
      <c r="Q173" s="52">
        <v>185</v>
      </c>
      <c r="R173" s="25">
        <f t="shared" si="37"/>
        <v>11.48</v>
      </c>
      <c r="S173" s="53">
        <f t="shared" si="38"/>
        <v>1</v>
      </c>
      <c r="T173" s="52">
        <v>186</v>
      </c>
      <c r="U173" s="25">
        <f t="shared" si="39"/>
        <v>2.98</v>
      </c>
      <c r="V173" s="53">
        <f t="shared" si="40"/>
        <v>3</v>
      </c>
      <c r="W173" s="54">
        <v>189</v>
      </c>
      <c r="X173" s="25">
        <f t="shared" si="41"/>
        <v>8.9255999999999993</v>
      </c>
    </row>
    <row r="174" spans="1:26" x14ac:dyDescent="0.25">
      <c r="A174" s="17" t="s">
        <v>1634</v>
      </c>
      <c r="B174" s="51">
        <v>125</v>
      </c>
      <c r="C174" s="51">
        <f t="shared" si="28"/>
        <v>7</v>
      </c>
      <c r="D174" s="51">
        <v>132</v>
      </c>
      <c r="E174" s="51">
        <f t="shared" si="29"/>
        <v>5</v>
      </c>
      <c r="F174" s="51">
        <v>137</v>
      </c>
      <c r="G174" s="51">
        <f t="shared" si="30"/>
        <v>6</v>
      </c>
      <c r="H174" s="52">
        <v>143</v>
      </c>
      <c r="I174" s="25">
        <f t="shared" si="31"/>
        <v>22.41</v>
      </c>
      <c r="J174" s="51">
        <f t="shared" si="32"/>
        <v>5</v>
      </c>
      <c r="K174" s="52">
        <v>148</v>
      </c>
      <c r="L174" s="25">
        <f t="shared" si="33"/>
        <v>20.77</v>
      </c>
      <c r="M174" s="51">
        <f t="shared" si="34"/>
        <v>3</v>
      </c>
      <c r="N174" s="52">
        <v>151</v>
      </c>
      <c r="O174" s="25">
        <f t="shared" si="35"/>
        <v>19.16</v>
      </c>
      <c r="P174" s="51">
        <f t="shared" si="36"/>
        <v>5</v>
      </c>
      <c r="Q174" s="52">
        <v>156</v>
      </c>
      <c r="R174" s="25">
        <f t="shared" si="37"/>
        <v>14.35</v>
      </c>
      <c r="S174" s="53">
        <f t="shared" si="38"/>
        <v>4</v>
      </c>
      <c r="T174" s="52">
        <v>160</v>
      </c>
      <c r="U174" s="25">
        <f t="shared" si="39"/>
        <v>11.92</v>
      </c>
      <c r="V174" s="53">
        <f t="shared" si="40"/>
        <v>1</v>
      </c>
      <c r="W174" s="54">
        <v>161</v>
      </c>
      <c r="X174" s="25">
        <f t="shared" si="41"/>
        <v>2.9752000000000001</v>
      </c>
    </row>
    <row r="175" spans="1:26" x14ac:dyDescent="0.25">
      <c r="A175" s="17" t="s">
        <v>2029</v>
      </c>
      <c r="B175" s="51">
        <v>214.34</v>
      </c>
      <c r="C175" s="51">
        <f t="shared" si="28"/>
        <v>6.5699999999999932</v>
      </c>
      <c r="D175" s="51">
        <v>220.91</v>
      </c>
      <c r="E175" s="51">
        <f t="shared" si="29"/>
        <v>6.9099999999999966</v>
      </c>
      <c r="F175" s="51">
        <v>227.82</v>
      </c>
      <c r="G175" s="51">
        <f t="shared" si="30"/>
        <v>5.210000000000008</v>
      </c>
      <c r="H175" s="52">
        <v>233.03</v>
      </c>
      <c r="I175" s="25">
        <f t="shared" si="31"/>
        <v>19.46</v>
      </c>
      <c r="J175" s="51">
        <f t="shared" si="32"/>
        <v>7.3640000000000043</v>
      </c>
      <c r="K175" s="52">
        <v>240.39400000000001</v>
      </c>
      <c r="L175" s="25">
        <f t="shared" si="33"/>
        <v>30.6</v>
      </c>
      <c r="M175" s="51">
        <f t="shared" si="34"/>
        <v>5.9710000000000036</v>
      </c>
      <c r="N175" s="52">
        <v>246.36500000000001</v>
      </c>
      <c r="O175" s="25">
        <f t="shared" si="35"/>
        <v>38.130000000000003</v>
      </c>
      <c r="P175" s="51">
        <f t="shared" si="36"/>
        <v>5.6349999999999909</v>
      </c>
      <c r="Q175" s="52">
        <v>252</v>
      </c>
      <c r="R175" s="25">
        <f t="shared" si="37"/>
        <v>16.170000000000002</v>
      </c>
      <c r="S175" s="53">
        <f t="shared" si="38"/>
        <v>8.4730000000000132</v>
      </c>
      <c r="T175" s="52">
        <v>260.47300000000001</v>
      </c>
      <c r="U175" s="25">
        <f t="shared" si="39"/>
        <v>25.25</v>
      </c>
      <c r="V175" s="53">
        <f t="shared" si="40"/>
        <v>16.526999999999987</v>
      </c>
      <c r="W175" s="54">
        <v>277</v>
      </c>
      <c r="X175" s="25">
        <f t="shared" si="41"/>
        <v>49.17113039999996</v>
      </c>
    </row>
    <row r="176" spans="1:26" x14ac:dyDescent="0.25">
      <c r="A176" s="17" t="s">
        <v>1730</v>
      </c>
      <c r="B176" s="51">
        <v>95.56</v>
      </c>
      <c r="C176" s="51">
        <f t="shared" si="28"/>
        <v>2.1799999999999926</v>
      </c>
      <c r="D176" s="51">
        <v>97.74</v>
      </c>
      <c r="E176" s="51">
        <f t="shared" si="29"/>
        <v>2.5799999999999983</v>
      </c>
      <c r="F176" s="51">
        <v>100.32</v>
      </c>
      <c r="G176" s="51">
        <f t="shared" si="30"/>
        <v>2.8790000000000049</v>
      </c>
      <c r="H176" s="52">
        <v>103.199</v>
      </c>
      <c r="I176" s="25">
        <f t="shared" si="31"/>
        <v>10.75</v>
      </c>
      <c r="J176" s="51">
        <f t="shared" si="32"/>
        <v>2.0760000000000076</v>
      </c>
      <c r="K176" s="52">
        <v>105.27500000000001</v>
      </c>
      <c r="L176" s="25">
        <f t="shared" si="33"/>
        <v>8.6300000000000008</v>
      </c>
      <c r="M176" s="51">
        <f t="shared" si="34"/>
        <v>1.1849999999999881</v>
      </c>
      <c r="N176" s="52">
        <v>106.46</v>
      </c>
      <c r="O176" s="25">
        <f t="shared" si="35"/>
        <v>7.57</v>
      </c>
      <c r="P176" s="51">
        <f t="shared" si="36"/>
        <v>1.5400000000000063</v>
      </c>
      <c r="Q176" s="52">
        <v>108</v>
      </c>
      <c r="R176" s="25">
        <f t="shared" si="37"/>
        <v>4.42</v>
      </c>
      <c r="S176" s="53">
        <f t="shared" si="38"/>
        <v>1.921999999999997</v>
      </c>
      <c r="T176" s="52">
        <v>109.922</v>
      </c>
      <c r="U176" s="25">
        <f t="shared" si="39"/>
        <v>5.73</v>
      </c>
      <c r="V176" s="53">
        <f t="shared" si="40"/>
        <v>1.078000000000003</v>
      </c>
      <c r="W176" s="54">
        <v>111</v>
      </c>
      <c r="X176" s="25">
        <f t="shared" si="41"/>
        <v>3.2072656000000088</v>
      </c>
    </row>
    <row r="177" spans="1:26" x14ac:dyDescent="0.25">
      <c r="A177" s="17" t="s">
        <v>1851</v>
      </c>
      <c r="B177" s="51">
        <v>1691</v>
      </c>
      <c r="C177" s="51">
        <f t="shared" si="28"/>
        <v>52</v>
      </c>
      <c r="D177" s="51">
        <v>1743</v>
      </c>
      <c r="E177" s="51">
        <f t="shared" si="29"/>
        <v>46</v>
      </c>
      <c r="F177" s="51">
        <v>1789</v>
      </c>
      <c r="G177" s="51">
        <f t="shared" si="30"/>
        <v>57</v>
      </c>
      <c r="H177" s="52">
        <v>1846</v>
      </c>
      <c r="I177" s="25">
        <f t="shared" si="31"/>
        <v>212.85</v>
      </c>
      <c r="J177" s="51">
        <f t="shared" si="32"/>
        <v>41</v>
      </c>
      <c r="K177" s="52">
        <v>1887</v>
      </c>
      <c r="L177" s="25">
        <f t="shared" si="33"/>
        <v>170.34</v>
      </c>
      <c r="M177" s="51">
        <f t="shared" si="34"/>
        <v>36</v>
      </c>
      <c r="N177" s="52">
        <v>1923</v>
      </c>
      <c r="O177" s="25">
        <f t="shared" si="35"/>
        <v>229.88</v>
      </c>
      <c r="P177" s="51">
        <f t="shared" si="36"/>
        <v>42</v>
      </c>
      <c r="Q177" s="52">
        <v>1965</v>
      </c>
      <c r="R177" s="25">
        <f t="shared" si="37"/>
        <v>120.56</v>
      </c>
      <c r="S177" s="53">
        <f t="shared" si="38"/>
        <v>56</v>
      </c>
      <c r="T177" s="52">
        <v>2021</v>
      </c>
      <c r="U177" s="25">
        <f t="shared" si="39"/>
        <v>166.87</v>
      </c>
      <c r="V177" s="53">
        <f t="shared" si="40"/>
        <v>51</v>
      </c>
      <c r="W177" s="54">
        <v>2072</v>
      </c>
      <c r="X177" s="25">
        <f t="shared" si="41"/>
        <v>151.73519999999999</v>
      </c>
    </row>
    <row r="178" spans="1:26" x14ac:dyDescent="0.25">
      <c r="A178" s="17" t="s">
        <v>1883</v>
      </c>
      <c r="B178" s="51">
        <v>463</v>
      </c>
      <c r="C178" s="51">
        <f t="shared" si="28"/>
        <v>7</v>
      </c>
      <c r="D178" s="51">
        <v>470</v>
      </c>
      <c r="E178" s="51">
        <f t="shared" si="29"/>
        <v>23</v>
      </c>
      <c r="F178" s="51">
        <v>493</v>
      </c>
      <c r="G178" s="51">
        <f t="shared" si="30"/>
        <v>16</v>
      </c>
      <c r="H178" s="52">
        <v>509</v>
      </c>
      <c r="I178" s="25">
        <f t="shared" si="31"/>
        <v>59.75</v>
      </c>
      <c r="J178" s="51">
        <f t="shared" si="32"/>
        <v>13</v>
      </c>
      <c r="K178" s="52">
        <v>522</v>
      </c>
      <c r="L178" s="25">
        <f t="shared" si="33"/>
        <v>54.01</v>
      </c>
      <c r="M178" s="51">
        <f t="shared" si="34"/>
        <v>8</v>
      </c>
      <c r="N178" s="52">
        <v>530</v>
      </c>
      <c r="O178" s="25">
        <f t="shared" si="35"/>
        <v>51.08</v>
      </c>
      <c r="P178" s="51">
        <f t="shared" si="36"/>
        <v>3</v>
      </c>
      <c r="Q178" s="52">
        <v>533</v>
      </c>
      <c r="R178" s="25">
        <f t="shared" si="37"/>
        <v>8.61</v>
      </c>
      <c r="S178" s="53">
        <f t="shared" si="38"/>
        <v>3</v>
      </c>
      <c r="T178" s="52">
        <v>536</v>
      </c>
      <c r="U178" s="25">
        <f t="shared" si="39"/>
        <v>8.94</v>
      </c>
      <c r="V178" s="53">
        <f t="shared" si="40"/>
        <v>15</v>
      </c>
      <c r="W178" s="54">
        <v>551</v>
      </c>
      <c r="X178" s="25">
        <f t="shared" si="41"/>
        <v>44.628</v>
      </c>
    </row>
    <row r="179" spans="1:26" x14ac:dyDescent="0.25">
      <c r="A179" s="17" t="s">
        <v>1544</v>
      </c>
      <c r="B179" s="51">
        <v>67</v>
      </c>
      <c r="C179" s="51">
        <f t="shared" si="28"/>
        <v>1</v>
      </c>
      <c r="D179" s="51">
        <v>68</v>
      </c>
      <c r="E179" s="51">
        <f t="shared" si="29"/>
        <v>1</v>
      </c>
      <c r="F179" s="51">
        <v>69</v>
      </c>
      <c r="G179" s="51">
        <f t="shared" si="30"/>
        <v>1</v>
      </c>
      <c r="H179" s="52">
        <v>70</v>
      </c>
      <c r="I179" s="25">
        <f t="shared" si="31"/>
        <v>3.73</v>
      </c>
      <c r="J179" s="51">
        <f t="shared" si="32"/>
        <v>1</v>
      </c>
      <c r="K179" s="52">
        <v>71</v>
      </c>
      <c r="L179" s="25">
        <f t="shared" si="33"/>
        <v>4.1500000000000004</v>
      </c>
      <c r="M179" s="51">
        <f t="shared" si="34"/>
        <v>0</v>
      </c>
      <c r="N179" s="52">
        <v>71</v>
      </c>
      <c r="O179" s="25">
        <f t="shared" si="35"/>
        <v>0</v>
      </c>
      <c r="P179" s="51">
        <f t="shared" si="36"/>
        <v>2</v>
      </c>
      <c r="Q179" s="52">
        <v>73</v>
      </c>
      <c r="R179" s="25">
        <f t="shared" si="37"/>
        <v>5.74</v>
      </c>
      <c r="S179" s="53">
        <f t="shared" si="38"/>
        <v>0</v>
      </c>
      <c r="T179" s="52">
        <v>73</v>
      </c>
      <c r="U179" s="25">
        <f t="shared" si="39"/>
        <v>0</v>
      </c>
      <c r="V179" s="53">
        <f t="shared" si="40"/>
        <v>3</v>
      </c>
      <c r="W179" s="54">
        <v>76</v>
      </c>
      <c r="X179" s="25">
        <f t="shared" si="41"/>
        <v>8.9255999999999993</v>
      </c>
    </row>
    <row r="180" spans="1:26" x14ac:dyDescent="0.25">
      <c r="A180" s="17" t="s">
        <v>1710</v>
      </c>
      <c r="B180" s="51">
        <v>133</v>
      </c>
      <c r="C180" s="51">
        <f t="shared" si="28"/>
        <v>3</v>
      </c>
      <c r="D180" s="51">
        <v>136</v>
      </c>
      <c r="E180" s="51">
        <f t="shared" si="29"/>
        <v>3</v>
      </c>
      <c r="F180" s="51">
        <v>139</v>
      </c>
      <c r="G180" s="51">
        <f t="shared" si="30"/>
        <v>4</v>
      </c>
      <c r="H180" s="52">
        <v>143</v>
      </c>
      <c r="I180" s="25">
        <f t="shared" si="31"/>
        <v>14.94</v>
      </c>
      <c r="J180" s="51">
        <f t="shared" si="32"/>
        <v>2</v>
      </c>
      <c r="K180" s="52">
        <v>145</v>
      </c>
      <c r="L180" s="25">
        <f t="shared" si="33"/>
        <v>8.31</v>
      </c>
      <c r="M180" s="51">
        <f t="shared" si="34"/>
        <v>2</v>
      </c>
      <c r="N180" s="52">
        <v>147</v>
      </c>
      <c r="O180" s="25">
        <f t="shared" si="35"/>
        <v>12.77</v>
      </c>
      <c r="P180" s="51">
        <f t="shared" si="36"/>
        <v>3</v>
      </c>
      <c r="Q180" s="52">
        <v>150</v>
      </c>
      <c r="R180" s="25">
        <f t="shared" si="37"/>
        <v>8.61</v>
      </c>
      <c r="S180" s="53">
        <f t="shared" si="38"/>
        <v>3</v>
      </c>
      <c r="T180" s="52">
        <v>153</v>
      </c>
      <c r="U180" s="25">
        <f t="shared" si="39"/>
        <v>8.94</v>
      </c>
      <c r="V180" s="53">
        <f t="shared" si="40"/>
        <v>3</v>
      </c>
      <c r="W180" s="54">
        <v>156</v>
      </c>
      <c r="X180" s="25">
        <f t="shared" si="41"/>
        <v>8.9255999999999993</v>
      </c>
    </row>
    <row r="181" spans="1:26" x14ac:dyDescent="0.25">
      <c r="A181" s="17" t="s">
        <v>1746</v>
      </c>
      <c r="B181" s="51">
        <v>154</v>
      </c>
      <c r="C181" s="51">
        <f t="shared" si="28"/>
        <v>2</v>
      </c>
      <c r="D181" s="51">
        <v>156</v>
      </c>
      <c r="E181" s="51">
        <f t="shared" si="29"/>
        <v>6</v>
      </c>
      <c r="F181" s="51">
        <v>162</v>
      </c>
      <c r="G181" s="51">
        <f t="shared" si="30"/>
        <v>4</v>
      </c>
      <c r="H181" s="52">
        <v>166</v>
      </c>
      <c r="I181" s="25">
        <f t="shared" si="31"/>
        <v>14.94</v>
      </c>
      <c r="J181" s="51">
        <f t="shared" si="32"/>
        <v>5</v>
      </c>
      <c r="K181" s="52">
        <v>171</v>
      </c>
      <c r="L181" s="25">
        <f t="shared" si="33"/>
        <v>20.77</v>
      </c>
      <c r="M181" s="51">
        <f t="shared" si="34"/>
        <v>3</v>
      </c>
      <c r="N181" s="52">
        <v>174</v>
      </c>
      <c r="O181" s="25">
        <f t="shared" si="35"/>
        <v>19.16</v>
      </c>
      <c r="P181" s="51">
        <f t="shared" si="36"/>
        <v>7</v>
      </c>
      <c r="Q181" s="52">
        <v>181</v>
      </c>
      <c r="R181" s="25">
        <f t="shared" si="37"/>
        <v>20.09</v>
      </c>
      <c r="S181" s="53">
        <f t="shared" si="38"/>
        <v>1</v>
      </c>
      <c r="T181" s="52">
        <v>182</v>
      </c>
      <c r="U181" s="25">
        <f t="shared" si="39"/>
        <v>2.98</v>
      </c>
      <c r="V181" s="53">
        <f t="shared" si="40"/>
        <v>2</v>
      </c>
      <c r="W181" s="54">
        <v>184</v>
      </c>
      <c r="X181" s="25">
        <f t="shared" si="41"/>
        <v>5.9504000000000001</v>
      </c>
    </row>
    <row r="182" spans="1:26" x14ac:dyDescent="0.25">
      <c r="A182" s="17" t="s">
        <v>1516</v>
      </c>
      <c r="B182" s="51">
        <v>105.16</v>
      </c>
      <c r="C182" s="51">
        <f t="shared" si="28"/>
        <v>4.2000000000000028</v>
      </c>
      <c r="D182" s="51">
        <v>109.36</v>
      </c>
      <c r="E182" s="51">
        <f t="shared" si="29"/>
        <v>3.2999999999999972</v>
      </c>
      <c r="F182" s="51">
        <v>112.66</v>
      </c>
      <c r="G182" s="51">
        <f t="shared" si="30"/>
        <v>3.9540000000000077</v>
      </c>
      <c r="H182" s="52">
        <v>116.614</v>
      </c>
      <c r="I182" s="25">
        <f t="shared" si="31"/>
        <v>14.77</v>
      </c>
      <c r="J182" s="51">
        <f t="shared" si="32"/>
        <v>3.1039999999999992</v>
      </c>
      <c r="K182" s="52">
        <v>119.718</v>
      </c>
      <c r="L182" s="25">
        <f t="shared" si="33"/>
        <v>12.9</v>
      </c>
      <c r="M182" s="51">
        <f t="shared" si="34"/>
        <v>1.7669999999999959</v>
      </c>
      <c r="N182" s="52">
        <v>121.485</v>
      </c>
      <c r="O182" s="25">
        <f t="shared" si="35"/>
        <v>11.28</v>
      </c>
      <c r="P182" s="51">
        <f t="shared" si="36"/>
        <v>1.5150000000000006</v>
      </c>
      <c r="Q182" s="52">
        <v>123</v>
      </c>
      <c r="R182" s="25">
        <f t="shared" si="37"/>
        <v>4.3499999999999996</v>
      </c>
      <c r="S182" s="53">
        <f t="shared" si="38"/>
        <v>3.7390000000000043</v>
      </c>
      <c r="T182" s="52">
        <v>126.739</v>
      </c>
      <c r="U182" s="25">
        <f t="shared" si="39"/>
        <v>11.14</v>
      </c>
      <c r="V182" s="53">
        <f t="shared" si="40"/>
        <v>2.2609999999999957</v>
      </c>
      <c r="W182" s="54">
        <v>129</v>
      </c>
      <c r="X182" s="25">
        <f t="shared" si="41"/>
        <v>6.7269271999999871</v>
      </c>
    </row>
    <row r="183" spans="1:26" x14ac:dyDescent="0.25">
      <c r="A183" s="17" t="s">
        <v>1987</v>
      </c>
      <c r="B183" s="51">
        <v>65</v>
      </c>
      <c r="C183" s="51">
        <f t="shared" si="28"/>
        <v>1</v>
      </c>
      <c r="D183" s="51">
        <v>66</v>
      </c>
      <c r="E183" s="51">
        <f t="shared" si="29"/>
        <v>2</v>
      </c>
      <c r="F183" s="51">
        <v>68</v>
      </c>
      <c r="G183" s="51">
        <f t="shared" si="30"/>
        <v>2</v>
      </c>
      <c r="H183" s="52">
        <v>70</v>
      </c>
      <c r="I183" s="25">
        <f t="shared" si="31"/>
        <v>7.47</v>
      </c>
      <c r="J183" s="51">
        <f t="shared" si="32"/>
        <v>2</v>
      </c>
      <c r="K183" s="52">
        <v>72</v>
      </c>
      <c r="L183" s="25">
        <f t="shared" si="33"/>
        <v>8.31</v>
      </c>
      <c r="M183" s="51">
        <f t="shared" si="34"/>
        <v>0</v>
      </c>
      <c r="N183" s="52">
        <v>72</v>
      </c>
      <c r="O183" s="25">
        <f t="shared" si="35"/>
        <v>0</v>
      </c>
      <c r="P183" s="51">
        <f t="shared" si="36"/>
        <v>2</v>
      </c>
      <c r="Q183" s="52">
        <v>74</v>
      </c>
      <c r="R183" s="25">
        <f t="shared" si="37"/>
        <v>5.74</v>
      </c>
      <c r="S183" s="53">
        <f t="shared" si="38"/>
        <v>1</v>
      </c>
      <c r="T183" s="52">
        <v>75</v>
      </c>
      <c r="U183" s="25">
        <f t="shared" si="39"/>
        <v>2.98</v>
      </c>
      <c r="V183" s="53">
        <f t="shared" si="40"/>
        <v>3</v>
      </c>
      <c r="W183" s="54">
        <v>78</v>
      </c>
      <c r="X183" s="25">
        <f t="shared" si="41"/>
        <v>8.9255999999999993</v>
      </c>
    </row>
    <row r="184" spans="1:26" x14ac:dyDescent="0.25">
      <c r="A184" s="17" t="s">
        <v>1571</v>
      </c>
      <c r="B184" s="51">
        <v>296</v>
      </c>
      <c r="C184" s="51">
        <f t="shared" si="28"/>
        <v>6</v>
      </c>
      <c r="D184" s="51">
        <v>302</v>
      </c>
      <c r="E184" s="51">
        <f t="shared" si="29"/>
        <v>9</v>
      </c>
      <c r="F184" s="51">
        <v>311</v>
      </c>
      <c r="G184" s="51">
        <f t="shared" si="30"/>
        <v>12</v>
      </c>
      <c r="H184" s="52">
        <v>323</v>
      </c>
      <c r="I184" s="25">
        <f t="shared" si="31"/>
        <v>44.81</v>
      </c>
      <c r="J184" s="51">
        <f t="shared" si="32"/>
        <v>8</v>
      </c>
      <c r="K184" s="52">
        <v>331</v>
      </c>
      <c r="L184" s="25">
        <f t="shared" si="33"/>
        <v>33.24</v>
      </c>
      <c r="M184" s="51">
        <f t="shared" si="34"/>
        <v>6</v>
      </c>
      <c r="N184" s="52">
        <v>337</v>
      </c>
      <c r="O184" s="25">
        <f t="shared" si="35"/>
        <v>38.31</v>
      </c>
      <c r="P184" s="51">
        <f t="shared" si="36"/>
        <v>8</v>
      </c>
      <c r="Q184" s="52">
        <v>345</v>
      </c>
      <c r="R184" s="25">
        <f t="shared" si="37"/>
        <v>22.96</v>
      </c>
      <c r="S184" s="53">
        <f t="shared" si="38"/>
        <v>8</v>
      </c>
      <c r="T184" s="52">
        <v>353</v>
      </c>
      <c r="U184" s="25">
        <f t="shared" si="39"/>
        <v>23.84</v>
      </c>
      <c r="V184" s="53">
        <f t="shared" si="40"/>
        <v>9</v>
      </c>
      <c r="W184" s="54">
        <v>362</v>
      </c>
      <c r="X184" s="25">
        <f t="shared" si="41"/>
        <v>26.776800000000001</v>
      </c>
    </row>
    <row r="185" spans="1:26" x14ac:dyDescent="0.25">
      <c r="A185" s="17" t="s">
        <v>1842</v>
      </c>
      <c r="B185" s="51">
        <v>122</v>
      </c>
      <c r="C185" s="51">
        <f t="shared" si="28"/>
        <v>1</v>
      </c>
      <c r="D185" s="51">
        <v>123</v>
      </c>
      <c r="E185" s="51">
        <f t="shared" si="29"/>
        <v>1</v>
      </c>
      <c r="F185" s="51">
        <v>124</v>
      </c>
      <c r="G185" s="51">
        <f t="shared" si="30"/>
        <v>1</v>
      </c>
      <c r="H185" s="52">
        <v>125</v>
      </c>
      <c r="I185" s="25">
        <f t="shared" si="31"/>
        <v>3.73</v>
      </c>
      <c r="J185" s="51">
        <f t="shared" si="32"/>
        <v>2</v>
      </c>
      <c r="K185" s="52">
        <v>127</v>
      </c>
      <c r="L185" s="25">
        <f t="shared" si="33"/>
        <v>8.31</v>
      </c>
      <c r="M185" s="51">
        <f t="shared" si="34"/>
        <v>0</v>
      </c>
      <c r="N185" s="52">
        <v>127</v>
      </c>
      <c r="O185" s="25">
        <f t="shared" si="35"/>
        <v>0</v>
      </c>
      <c r="P185" s="51">
        <f t="shared" si="36"/>
        <v>2</v>
      </c>
      <c r="Q185" s="52">
        <v>129</v>
      </c>
      <c r="R185" s="25">
        <f t="shared" si="37"/>
        <v>5.74</v>
      </c>
      <c r="S185" s="53">
        <f t="shared" si="38"/>
        <v>1</v>
      </c>
      <c r="T185" s="52">
        <v>130</v>
      </c>
      <c r="U185" s="25">
        <f t="shared" si="39"/>
        <v>2.98</v>
      </c>
      <c r="V185" s="53">
        <f t="shared" si="40"/>
        <v>1</v>
      </c>
      <c r="W185" s="54">
        <v>131</v>
      </c>
      <c r="X185" s="25">
        <f t="shared" si="41"/>
        <v>2.9752000000000001</v>
      </c>
    </row>
    <row r="186" spans="1:26" x14ac:dyDescent="0.25">
      <c r="A186" s="17" t="s">
        <v>1559</v>
      </c>
      <c r="B186" s="51">
        <v>320</v>
      </c>
      <c r="C186" s="58">
        <f t="shared" si="28"/>
        <v>10</v>
      </c>
      <c r="D186" s="51">
        <v>330</v>
      </c>
      <c r="E186" s="58">
        <f t="shared" si="29"/>
        <v>11</v>
      </c>
      <c r="F186" s="51">
        <v>341</v>
      </c>
      <c r="G186" s="58">
        <v>11</v>
      </c>
      <c r="H186" s="52">
        <v>138</v>
      </c>
      <c r="I186" s="25">
        <f t="shared" si="31"/>
        <v>41.08</v>
      </c>
      <c r="J186" s="58">
        <f t="shared" si="32"/>
        <v>11</v>
      </c>
      <c r="K186" s="52">
        <v>149</v>
      </c>
      <c r="L186" s="25">
        <f t="shared" si="33"/>
        <v>45.7</v>
      </c>
      <c r="M186" s="58">
        <f t="shared" si="34"/>
        <v>9</v>
      </c>
      <c r="N186" s="52">
        <v>158</v>
      </c>
      <c r="O186" s="25">
        <f t="shared" si="35"/>
        <v>57.47</v>
      </c>
      <c r="P186" s="51">
        <f t="shared" si="36"/>
        <v>11</v>
      </c>
      <c r="Q186" s="52">
        <v>169</v>
      </c>
      <c r="R186" s="25">
        <f t="shared" si="37"/>
        <v>31.57</v>
      </c>
      <c r="S186" s="53">
        <f t="shared" si="38"/>
        <v>13</v>
      </c>
      <c r="T186" s="52">
        <v>182</v>
      </c>
      <c r="U186" s="25">
        <f t="shared" si="39"/>
        <v>38.74</v>
      </c>
      <c r="V186" s="53">
        <f t="shared" si="40"/>
        <v>13</v>
      </c>
      <c r="W186" s="54">
        <v>195</v>
      </c>
      <c r="X186" s="25">
        <f t="shared" si="41"/>
        <v>38.677599999999998</v>
      </c>
      <c r="Z186" t="s">
        <v>2094</v>
      </c>
    </row>
    <row r="187" spans="1:26" x14ac:dyDescent="0.25">
      <c r="A187" s="17" t="s">
        <v>1618</v>
      </c>
      <c r="B187" s="51">
        <v>247.37</v>
      </c>
      <c r="C187" s="51">
        <f t="shared" si="28"/>
        <v>5.289999999999992</v>
      </c>
      <c r="D187" s="51">
        <v>252.66</v>
      </c>
      <c r="E187" s="51">
        <f t="shared" si="29"/>
        <v>8.7399999999999807</v>
      </c>
      <c r="F187" s="51">
        <v>261.39999999999998</v>
      </c>
      <c r="G187" s="51">
        <f t="shared" si="30"/>
        <v>5.6830000000000496</v>
      </c>
      <c r="H187" s="52">
        <v>267.08300000000003</v>
      </c>
      <c r="I187" s="25">
        <f t="shared" si="31"/>
        <v>21.22</v>
      </c>
      <c r="J187" s="51">
        <f t="shared" si="32"/>
        <v>8.8149999999999977</v>
      </c>
      <c r="K187" s="52">
        <v>275.89800000000002</v>
      </c>
      <c r="L187" s="25">
        <f t="shared" si="33"/>
        <v>36.619999999999997</v>
      </c>
      <c r="M187" s="51">
        <f t="shared" si="34"/>
        <v>5.5249999999999773</v>
      </c>
      <c r="N187" s="52">
        <v>281.423</v>
      </c>
      <c r="O187" s="25">
        <f t="shared" si="35"/>
        <v>35.28</v>
      </c>
      <c r="P187" s="51">
        <f t="shared" si="36"/>
        <v>4.5769999999999982</v>
      </c>
      <c r="Q187" s="52">
        <v>286</v>
      </c>
      <c r="R187" s="25">
        <f t="shared" si="37"/>
        <v>13.14</v>
      </c>
      <c r="S187" s="53">
        <f t="shared" si="38"/>
        <v>8.2169999999999845</v>
      </c>
      <c r="T187" s="52">
        <v>294.21699999999998</v>
      </c>
      <c r="U187" s="25">
        <f t="shared" si="39"/>
        <v>24.49</v>
      </c>
      <c r="V187" s="53">
        <f t="shared" si="40"/>
        <v>6.7830000000000155</v>
      </c>
      <c r="W187" s="54">
        <v>301</v>
      </c>
      <c r="X187" s="25">
        <f t="shared" si="41"/>
        <v>20.180781600000046</v>
      </c>
    </row>
    <row r="188" spans="1:26" x14ac:dyDescent="0.25">
      <c r="A188" s="17" t="s">
        <v>1965</v>
      </c>
      <c r="B188" s="51">
        <v>125.9</v>
      </c>
      <c r="C188" s="51">
        <f t="shared" si="28"/>
        <v>0.62999999999999545</v>
      </c>
      <c r="D188" s="51">
        <v>126.53</v>
      </c>
      <c r="E188" s="51">
        <f t="shared" si="29"/>
        <v>0.34000000000000341</v>
      </c>
      <c r="F188" s="51">
        <v>126.87</v>
      </c>
      <c r="G188" s="51">
        <f t="shared" si="30"/>
        <v>8.8999999999998636E-2</v>
      </c>
      <c r="H188" s="52">
        <v>126.959</v>
      </c>
      <c r="I188" s="25">
        <f t="shared" si="31"/>
        <v>0.33</v>
      </c>
      <c r="J188" s="51">
        <f t="shared" si="32"/>
        <v>2.7160000000000082</v>
      </c>
      <c r="K188" s="52">
        <v>129.67500000000001</v>
      </c>
      <c r="L188" s="25">
        <f t="shared" si="33"/>
        <v>11.28</v>
      </c>
      <c r="M188" s="51">
        <f t="shared" si="34"/>
        <v>1.6529999999999916</v>
      </c>
      <c r="N188" s="52">
        <v>131.328</v>
      </c>
      <c r="O188" s="25">
        <f t="shared" si="35"/>
        <v>10.56</v>
      </c>
      <c r="P188" s="51">
        <f t="shared" si="36"/>
        <v>1.671999999999997</v>
      </c>
      <c r="Q188" s="52">
        <v>133</v>
      </c>
      <c r="R188" s="25">
        <f t="shared" si="37"/>
        <v>4.8</v>
      </c>
      <c r="S188" s="53">
        <f t="shared" si="38"/>
        <v>2.7410000000000139</v>
      </c>
      <c r="T188" s="52">
        <v>135.74100000000001</v>
      </c>
      <c r="U188" s="25">
        <f t="shared" si="39"/>
        <v>8.17</v>
      </c>
      <c r="V188" s="53">
        <f t="shared" si="40"/>
        <v>4.2589999999999861</v>
      </c>
      <c r="W188" s="54">
        <v>140</v>
      </c>
      <c r="X188" s="25">
        <f t="shared" si="41"/>
        <v>12.671376799999958</v>
      </c>
    </row>
    <row r="189" spans="1:26" x14ac:dyDescent="0.25">
      <c r="A189" s="17" t="s">
        <v>1658</v>
      </c>
      <c r="B189" s="51">
        <v>440</v>
      </c>
      <c r="C189" s="51">
        <f t="shared" si="28"/>
        <v>12</v>
      </c>
      <c r="D189" s="51">
        <v>452</v>
      </c>
      <c r="E189" s="51">
        <f t="shared" si="29"/>
        <v>10</v>
      </c>
      <c r="F189" s="51">
        <v>462</v>
      </c>
      <c r="G189" s="51">
        <f t="shared" si="30"/>
        <v>12</v>
      </c>
      <c r="H189" s="52">
        <v>474</v>
      </c>
      <c r="I189" s="25">
        <f t="shared" si="31"/>
        <v>44.81</v>
      </c>
      <c r="J189" s="51">
        <f t="shared" si="32"/>
        <v>8</v>
      </c>
      <c r="K189" s="52">
        <v>482</v>
      </c>
      <c r="L189" s="25">
        <f t="shared" si="33"/>
        <v>33.24</v>
      </c>
      <c r="M189" s="51">
        <f t="shared" si="34"/>
        <v>7</v>
      </c>
      <c r="N189" s="52">
        <v>489</v>
      </c>
      <c r="O189" s="25">
        <f t="shared" si="35"/>
        <v>44.7</v>
      </c>
      <c r="P189" s="51">
        <f t="shared" si="36"/>
        <v>9</v>
      </c>
      <c r="Q189" s="52">
        <v>498</v>
      </c>
      <c r="R189" s="25">
        <f t="shared" si="37"/>
        <v>25.83</v>
      </c>
      <c r="S189" s="53">
        <f t="shared" si="38"/>
        <v>7</v>
      </c>
      <c r="T189" s="52">
        <v>505</v>
      </c>
      <c r="U189" s="25">
        <f t="shared" si="39"/>
        <v>20.86</v>
      </c>
      <c r="V189" s="53">
        <f t="shared" si="40"/>
        <v>9</v>
      </c>
      <c r="W189" s="54">
        <v>514</v>
      </c>
      <c r="X189" s="25">
        <f t="shared" si="41"/>
        <v>26.776800000000001</v>
      </c>
    </row>
    <row r="190" spans="1:26" x14ac:dyDescent="0.25">
      <c r="A190" s="17" t="s">
        <v>2012</v>
      </c>
      <c r="B190" s="51">
        <v>295</v>
      </c>
      <c r="C190" s="51">
        <f t="shared" si="28"/>
        <v>5</v>
      </c>
      <c r="D190" s="51">
        <v>300</v>
      </c>
      <c r="E190" s="51">
        <f t="shared" si="29"/>
        <v>3</v>
      </c>
      <c r="F190" s="51">
        <v>303</v>
      </c>
      <c r="G190" s="51">
        <f t="shared" si="30"/>
        <v>5</v>
      </c>
      <c r="H190" s="52">
        <v>308</v>
      </c>
      <c r="I190" s="25">
        <f t="shared" si="31"/>
        <v>18.670000000000002</v>
      </c>
      <c r="J190" s="51">
        <f t="shared" si="32"/>
        <v>1</v>
      </c>
      <c r="K190" s="52">
        <v>309</v>
      </c>
      <c r="L190" s="25">
        <f t="shared" si="33"/>
        <v>4.1500000000000004</v>
      </c>
      <c r="M190" s="51">
        <f t="shared" si="34"/>
        <v>0</v>
      </c>
      <c r="N190" s="52">
        <v>309</v>
      </c>
      <c r="O190" s="25">
        <f t="shared" si="35"/>
        <v>0</v>
      </c>
      <c r="P190" s="51">
        <f t="shared" si="36"/>
        <v>4</v>
      </c>
      <c r="Q190" s="52">
        <v>313</v>
      </c>
      <c r="R190" s="25">
        <f t="shared" si="37"/>
        <v>11.48</v>
      </c>
      <c r="S190" s="53">
        <f t="shared" si="38"/>
        <v>1</v>
      </c>
      <c r="T190" s="52">
        <v>314</v>
      </c>
      <c r="U190" s="25">
        <f t="shared" si="39"/>
        <v>2.98</v>
      </c>
      <c r="V190" s="53">
        <f t="shared" si="40"/>
        <v>4</v>
      </c>
      <c r="W190" s="54">
        <v>318</v>
      </c>
      <c r="X190" s="25">
        <f t="shared" si="41"/>
        <v>11.9008</v>
      </c>
    </row>
    <row r="191" spans="1:26" x14ac:dyDescent="0.25">
      <c r="A191" s="17" t="s">
        <v>2026</v>
      </c>
      <c r="B191" s="51">
        <v>182</v>
      </c>
      <c r="C191" s="51">
        <f t="shared" si="28"/>
        <v>0</v>
      </c>
      <c r="D191" s="51">
        <v>182</v>
      </c>
      <c r="E191" s="51">
        <f t="shared" si="29"/>
        <v>0</v>
      </c>
      <c r="F191" s="51">
        <v>182</v>
      </c>
      <c r="G191" s="51">
        <f t="shared" si="30"/>
        <v>0</v>
      </c>
      <c r="H191" s="52">
        <v>182</v>
      </c>
      <c r="I191" s="25">
        <f t="shared" si="31"/>
        <v>0</v>
      </c>
      <c r="J191" s="51">
        <f t="shared" si="32"/>
        <v>0</v>
      </c>
      <c r="K191" s="52">
        <v>182</v>
      </c>
      <c r="L191" s="25">
        <f t="shared" si="33"/>
        <v>0</v>
      </c>
      <c r="M191" s="51">
        <f t="shared" si="34"/>
        <v>0</v>
      </c>
      <c r="N191" s="52">
        <v>182</v>
      </c>
      <c r="O191" s="25">
        <f t="shared" si="35"/>
        <v>0</v>
      </c>
      <c r="P191" s="51">
        <f t="shared" si="36"/>
        <v>0</v>
      </c>
      <c r="Q191" s="52">
        <v>182</v>
      </c>
      <c r="R191" s="25">
        <f t="shared" si="37"/>
        <v>0</v>
      </c>
      <c r="S191" s="53">
        <f t="shared" si="38"/>
        <v>0</v>
      </c>
      <c r="T191" s="52">
        <v>182</v>
      </c>
      <c r="U191" s="25">
        <f t="shared" si="39"/>
        <v>0</v>
      </c>
      <c r="V191" s="53">
        <f t="shared" si="40"/>
        <v>0</v>
      </c>
      <c r="W191" s="54">
        <v>182</v>
      </c>
      <c r="X191" s="25">
        <f t="shared" si="41"/>
        <v>0</v>
      </c>
    </row>
    <row r="192" spans="1:26" x14ac:dyDescent="0.25">
      <c r="A192" s="17" t="s">
        <v>1556</v>
      </c>
      <c r="B192" s="51">
        <v>188</v>
      </c>
      <c r="C192" s="51">
        <f t="shared" si="28"/>
        <v>8</v>
      </c>
      <c r="D192" s="51">
        <v>196</v>
      </c>
      <c r="E192" s="51">
        <f t="shared" si="29"/>
        <v>9</v>
      </c>
      <c r="F192" s="51">
        <v>205</v>
      </c>
      <c r="G192" s="51">
        <f t="shared" si="30"/>
        <v>11</v>
      </c>
      <c r="H192" s="52">
        <v>216</v>
      </c>
      <c r="I192" s="25">
        <f t="shared" si="31"/>
        <v>41.08</v>
      </c>
      <c r="J192" s="51">
        <f t="shared" si="32"/>
        <v>4</v>
      </c>
      <c r="K192" s="52">
        <v>220</v>
      </c>
      <c r="L192" s="25">
        <f t="shared" si="33"/>
        <v>16.62</v>
      </c>
      <c r="M192" s="51">
        <f t="shared" si="34"/>
        <v>2</v>
      </c>
      <c r="N192" s="52">
        <v>222</v>
      </c>
      <c r="O192" s="25">
        <f t="shared" si="35"/>
        <v>12.77</v>
      </c>
      <c r="P192" s="51">
        <f t="shared" si="36"/>
        <v>3</v>
      </c>
      <c r="Q192" s="52">
        <v>225</v>
      </c>
      <c r="R192" s="25">
        <f t="shared" si="37"/>
        <v>8.61</v>
      </c>
      <c r="S192" s="53">
        <f t="shared" si="38"/>
        <v>2</v>
      </c>
      <c r="T192" s="52">
        <v>227</v>
      </c>
      <c r="U192" s="25">
        <f t="shared" si="39"/>
        <v>5.96</v>
      </c>
      <c r="V192" s="53">
        <f t="shared" si="40"/>
        <v>5</v>
      </c>
      <c r="W192" s="54">
        <v>232</v>
      </c>
      <c r="X192" s="25">
        <f t="shared" si="41"/>
        <v>14.876000000000001</v>
      </c>
    </row>
    <row r="193" spans="1:24" x14ac:dyDescent="0.25">
      <c r="A193" s="17" t="s">
        <v>2048</v>
      </c>
      <c r="B193" s="51">
        <v>268</v>
      </c>
      <c r="C193" s="51">
        <f t="shared" si="28"/>
        <v>11</v>
      </c>
      <c r="D193" s="51">
        <v>279</v>
      </c>
      <c r="E193" s="51">
        <f t="shared" si="29"/>
        <v>9</v>
      </c>
      <c r="F193" s="51">
        <v>288</v>
      </c>
      <c r="G193" s="51">
        <f t="shared" si="30"/>
        <v>5</v>
      </c>
      <c r="H193" s="52">
        <v>293</v>
      </c>
      <c r="I193" s="25">
        <f t="shared" si="31"/>
        <v>18.670000000000002</v>
      </c>
      <c r="J193" s="51">
        <f t="shared" si="32"/>
        <v>3</v>
      </c>
      <c r="K193" s="52">
        <v>296</v>
      </c>
      <c r="L193" s="25">
        <f t="shared" si="33"/>
        <v>12.46</v>
      </c>
      <c r="M193" s="51">
        <f t="shared" si="34"/>
        <v>3</v>
      </c>
      <c r="N193" s="52">
        <v>299</v>
      </c>
      <c r="O193" s="25">
        <f t="shared" si="35"/>
        <v>19.16</v>
      </c>
      <c r="P193" s="51">
        <f t="shared" si="36"/>
        <v>5</v>
      </c>
      <c r="Q193" s="52">
        <v>304</v>
      </c>
      <c r="R193" s="25">
        <f t="shared" si="37"/>
        <v>14.35</v>
      </c>
      <c r="S193" s="53">
        <f t="shared" si="38"/>
        <v>7</v>
      </c>
      <c r="T193" s="52">
        <v>311</v>
      </c>
      <c r="U193" s="25">
        <f t="shared" si="39"/>
        <v>20.86</v>
      </c>
      <c r="V193" s="53">
        <f t="shared" si="40"/>
        <v>9</v>
      </c>
      <c r="W193" s="54">
        <v>320</v>
      </c>
      <c r="X193" s="25">
        <f t="shared" si="41"/>
        <v>26.776800000000001</v>
      </c>
    </row>
    <row r="194" spans="1:24" x14ac:dyDescent="0.25">
      <c r="A194" s="17" t="s">
        <v>1735</v>
      </c>
      <c r="B194" s="51">
        <v>192.26</v>
      </c>
      <c r="C194" s="51">
        <f t="shared" si="28"/>
        <v>5.0700000000000216</v>
      </c>
      <c r="D194" s="51">
        <v>197.33</v>
      </c>
      <c r="E194" s="51">
        <f t="shared" si="29"/>
        <v>5.2199999999999989</v>
      </c>
      <c r="F194" s="51">
        <v>202.55</v>
      </c>
      <c r="G194" s="51">
        <f t="shared" si="30"/>
        <v>6.518999999999977</v>
      </c>
      <c r="H194" s="52">
        <v>209.06899999999999</v>
      </c>
      <c r="I194" s="25">
        <f t="shared" si="31"/>
        <v>24.34</v>
      </c>
      <c r="J194" s="51">
        <f t="shared" si="32"/>
        <v>10.792000000000002</v>
      </c>
      <c r="K194" s="52">
        <v>219.86099999999999</v>
      </c>
      <c r="L194" s="25">
        <f t="shared" si="33"/>
        <v>44.84</v>
      </c>
      <c r="M194" s="51">
        <f t="shared" si="34"/>
        <v>7.7010000000000218</v>
      </c>
      <c r="N194" s="52">
        <v>227.56200000000001</v>
      </c>
      <c r="O194" s="25">
        <f t="shared" si="35"/>
        <v>49.18</v>
      </c>
      <c r="P194" s="51">
        <f t="shared" si="36"/>
        <v>9.4379999999999882</v>
      </c>
      <c r="Q194" s="52">
        <v>237</v>
      </c>
      <c r="R194" s="25">
        <f t="shared" si="37"/>
        <v>27.09</v>
      </c>
      <c r="S194" s="53">
        <f t="shared" si="38"/>
        <v>12.126000000000005</v>
      </c>
      <c r="T194" s="52">
        <v>249.126</v>
      </c>
      <c r="U194" s="25">
        <f t="shared" si="39"/>
        <v>36.130000000000003</v>
      </c>
      <c r="V194" s="53">
        <f t="shared" si="40"/>
        <v>10.873999999999995</v>
      </c>
      <c r="W194" s="54">
        <v>260</v>
      </c>
      <c r="X194" s="25">
        <f t="shared" si="41"/>
        <v>32.352324799999984</v>
      </c>
    </row>
    <row r="195" spans="1:24" x14ac:dyDescent="0.25">
      <c r="A195" s="17" t="s">
        <v>2042</v>
      </c>
      <c r="B195" s="51">
        <v>141</v>
      </c>
      <c r="C195" s="51">
        <f t="shared" si="28"/>
        <v>1</v>
      </c>
      <c r="D195" s="51">
        <v>142</v>
      </c>
      <c r="E195" s="51">
        <f t="shared" si="29"/>
        <v>2</v>
      </c>
      <c r="F195" s="51">
        <v>144</v>
      </c>
      <c r="G195" s="51">
        <f t="shared" si="30"/>
        <v>2</v>
      </c>
      <c r="H195" s="52">
        <v>146</v>
      </c>
      <c r="I195" s="25">
        <f t="shared" si="31"/>
        <v>7.47</v>
      </c>
      <c r="J195" s="51">
        <f t="shared" si="32"/>
        <v>0</v>
      </c>
      <c r="K195" s="52">
        <v>146</v>
      </c>
      <c r="L195" s="25">
        <f t="shared" si="33"/>
        <v>0</v>
      </c>
      <c r="M195" s="51">
        <f t="shared" si="34"/>
        <v>6</v>
      </c>
      <c r="N195" s="52">
        <v>152</v>
      </c>
      <c r="O195" s="25">
        <f t="shared" si="35"/>
        <v>38.31</v>
      </c>
      <c r="P195" s="51">
        <f t="shared" si="36"/>
        <v>6</v>
      </c>
      <c r="Q195" s="52">
        <v>158</v>
      </c>
      <c r="R195" s="25">
        <f t="shared" si="37"/>
        <v>17.22</v>
      </c>
      <c r="S195" s="53">
        <f t="shared" si="38"/>
        <v>4</v>
      </c>
      <c r="T195" s="52">
        <v>162</v>
      </c>
      <c r="U195" s="25">
        <f t="shared" si="39"/>
        <v>11.92</v>
      </c>
      <c r="V195" s="53">
        <f t="shared" si="40"/>
        <v>4</v>
      </c>
      <c r="W195" s="54">
        <v>166</v>
      </c>
      <c r="X195" s="25">
        <f t="shared" si="41"/>
        <v>11.9008</v>
      </c>
    </row>
    <row r="196" spans="1:24" x14ac:dyDescent="0.25">
      <c r="A196" s="17" t="s">
        <v>1945</v>
      </c>
      <c r="B196" s="51">
        <v>179</v>
      </c>
      <c r="C196" s="51">
        <f t="shared" si="28"/>
        <v>8</v>
      </c>
      <c r="D196" s="51">
        <v>187</v>
      </c>
      <c r="E196" s="51">
        <f t="shared" si="29"/>
        <v>4</v>
      </c>
      <c r="F196" s="51">
        <v>191</v>
      </c>
      <c r="G196" s="51">
        <f t="shared" si="30"/>
        <v>7</v>
      </c>
      <c r="H196" s="52">
        <v>198</v>
      </c>
      <c r="I196" s="25">
        <f t="shared" si="31"/>
        <v>26.14</v>
      </c>
      <c r="J196" s="51">
        <f t="shared" si="32"/>
        <v>5</v>
      </c>
      <c r="K196" s="52">
        <v>203</v>
      </c>
      <c r="L196" s="25">
        <f t="shared" si="33"/>
        <v>20.77</v>
      </c>
      <c r="M196" s="51">
        <f t="shared" si="34"/>
        <v>4</v>
      </c>
      <c r="N196" s="52">
        <v>207</v>
      </c>
      <c r="O196" s="25">
        <f t="shared" si="35"/>
        <v>25.54</v>
      </c>
      <c r="P196" s="51">
        <f t="shared" si="36"/>
        <v>4</v>
      </c>
      <c r="Q196" s="52">
        <v>211</v>
      </c>
      <c r="R196" s="25">
        <f t="shared" si="37"/>
        <v>11.48</v>
      </c>
      <c r="S196" s="53">
        <f t="shared" si="38"/>
        <v>5</v>
      </c>
      <c r="T196" s="52">
        <v>216</v>
      </c>
      <c r="U196" s="25">
        <f t="shared" si="39"/>
        <v>14.9</v>
      </c>
      <c r="V196" s="53">
        <f t="shared" si="40"/>
        <v>2</v>
      </c>
      <c r="W196" s="54">
        <v>218</v>
      </c>
      <c r="X196" s="25">
        <f t="shared" si="41"/>
        <v>5.9504000000000001</v>
      </c>
    </row>
    <row r="197" spans="1:24" x14ac:dyDescent="0.25">
      <c r="A197" s="17" t="s">
        <v>2015</v>
      </c>
      <c r="B197" s="51">
        <v>59</v>
      </c>
      <c r="C197" s="51">
        <f t="shared" si="28"/>
        <v>2</v>
      </c>
      <c r="D197" s="51">
        <v>61</v>
      </c>
      <c r="E197" s="51">
        <f t="shared" si="29"/>
        <v>0</v>
      </c>
      <c r="F197" s="51">
        <v>61</v>
      </c>
      <c r="G197" s="51">
        <f t="shared" si="30"/>
        <v>21</v>
      </c>
      <c r="H197" s="52">
        <v>82</v>
      </c>
      <c r="I197" s="25">
        <f t="shared" si="31"/>
        <v>78.42</v>
      </c>
      <c r="J197" s="51">
        <f t="shared" si="32"/>
        <v>0</v>
      </c>
      <c r="K197" s="52">
        <v>82</v>
      </c>
      <c r="L197" s="25">
        <f t="shared" si="33"/>
        <v>0</v>
      </c>
      <c r="M197" s="51">
        <f t="shared" si="34"/>
        <v>0</v>
      </c>
      <c r="N197" s="52">
        <v>82</v>
      </c>
      <c r="O197" s="25">
        <f t="shared" si="35"/>
        <v>0</v>
      </c>
      <c r="P197" s="51">
        <f t="shared" si="36"/>
        <v>0</v>
      </c>
      <c r="Q197" s="52">
        <v>82</v>
      </c>
      <c r="R197" s="25">
        <f t="shared" si="37"/>
        <v>0</v>
      </c>
      <c r="S197" s="53">
        <f t="shared" si="38"/>
        <v>0</v>
      </c>
      <c r="T197" s="52">
        <v>82</v>
      </c>
      <c r="U197" s="25">
        <f t="shared" si="39"/>
        <v>0</v>
      </c>
      <c r="V197" s="53">
        <f t="shared" si="40"/>
        <v>0</v>
      </c>
      <c r="W197" s="54">
        <v>82</v>
      </c>
      <c r="X197" s="25">
        <f t="shared" si="41"/>
        <v>0</v>
      </c>
    </row>
    <row r="198" spans="1:24" x14ac:dyDescent="0.25">
      <c r="A198" s="17" t="s">
        <v>1797</v>
      </c>
      <c r="B198" s="51">
        <v>277</v>
      </c>
      <c r="C198" s="51">
        <f t="shared" si="28"/>
        <v>3</v>
      </c>
      <c r="D198" s="51">
        <v>280</v>
      </c>
      <c r="E198" s="51">
        <f t="shared" si="29"/>
        <v>3</v>
      </c>
      <c r="F198" s="51">
        <v>283</v>
      </c>
      <c r="G198" s="51">
        <f t="shared" si="30"/>
        <v>5</v>
      </c>
      <c r="H198" s="52">
        <v>288</v>
      </c>
      <c r="I198" s="25">
        <f t="shared" si="31"/>
        <v>18.670000000000002</v>
      </c>
      <c r="J198" s="51">
        <f t="shared" si="32"/>
        <v>3</v>
      </c>
      <c r="K198" s="52">
        <v>291</v>
      </c>
      <c r="L198" s="25">
        <f t="shared" si="33"/>
        <v>12.46</v>
      </c>
      <c r="M198" s="51">
        <f t="shared" si="34"/>
        <v>2</v>
      </c>
      <c r="N198" s="52">
        <v>293</v>
      </c>
      <c r="O198" s="25">
        <f t="shared" si="35"/>
        <v>12.77</v>
      </c>
      <c r="P198" s="51">
        <f t="shared" si="36"/>
        <v>4</v>
      </c>
      <c r="Q198" s="52">
        <v>297</v>
      </c>
      <c r="R198" s="25">
        <f t="shared" si="37"/>
        <v>11.48</v>
      </c>
      <c r="S198" s="53">
        <f t="shared" si="38"/>
        <v>3</v>
      </c>
      <c r="T198" s="52">
        <v>300</v>
      </c>
      <c r="U198" s="25">
        <f t="shared" si="39"/>
        <v>8.94</v>
      </c>
      <c r="V198" s="53">
        <f t="shared" si="40"/>
        <v>4</v>
      </c>
      <c r="W198" s="54">
        <v>304</v>
      </c>
      <c r="X198" s="25">
        <f t="shared" si="41"/>
        <v>11.9008</v>
      </c>
    </row>
    <row r="199" spans="1:24" x14ac:dyDescent="0.25">
      <c r="A199" s="17" t="s">
        <v>1567</v>
      </c>
      <c r="B199" s="51">
        <v>710.55</v>
      </c>
      <c r="C199" s="51">
        <f t="shared" si="28"/>
        <v>16.680000000000064</v>
      </c>
      <c r="D199" s="51">
        <v>727.23</v>
      </c>
      <c r="E199" s="51">
        <f t="shared" si="29"/>
        <v>13.779999999999973</v>
      </c>
      <c r="F199" s="51">
        <v>741.01</v>
      </c>
      <c r="G199" s="51">
        <f t="shared" si="30"/>
        <v>15.618000000000052</v>
      </c>
      <c r="H199" s="52">
        <v>756.62800000000004</v>
      </c>
      <c r="I199" s="25">
        <f t="shared" si="31"/>
        <v>58.32</v>
      </c>
      <c r="J199" s="51">
        <f t="shared" si="32"/>
        <v>16.617999999999938</v>
      </c>
      <c r="K199" s="52">
        <v>773.24599999999998</v>
      </c>
      <c r="L199" s="25">
        <f t="shared" si="33"/>
        <v>69.040000000000006</v>
      </c>
      <c r="M199" s="51">
        <f t="shared" si="34"/>
        <v>10.755999999999972</v>
      </c>
      <c r="N199" s="52">
        <v>784.00199999999995</v>
      </c>
      <c r="O199" s="25">
        <f t="shared" si="35"/>
        <v>68.680000000000007</v>
      </c>
      <c r="P199" s="51">
        <f t="shared" si="36"/>
        <v>12.998000000000047</v>
      </c>
      <c r="Q199" s="52">
        <v>797</v>
      </c>
      <c r="R199" s="25">
        <f t="shared" si="37"/>
        <v>37.31</v>
      </c>
      <c r="S199" s="53">
        <f t="shared" si="38"/>
        <v>17.597999999999956</v>
      </c>
      <c r="T199" s="52">
        <v>814.59799999999996</v>
      </c>
      <c r="U199" s="25">
        <f t="shared" si="39"/>
        <v>52.44</v>
      </c>
      <c r="V199" s="53">
        <f t="shared" si="40"/>
        <v>19.402000000000044</v>
      </c>
      <c r="W199" s="54">
        <v>834</v>
      </c>
      <c r="X199" s="25">
        <f t="shared" si="41"/>
        <v>57.72483040000013</v>
      </c>
    </row>
    <row r="200" spans="1:24" x14ac:dyDescent="0.25">
      <c r="A200" s="17" t="s">
        <v>1788</v>
      </c>
      <c r="B200" s="51">
        <v>312.38</v>
      </c>
      <c r="C200" s="51">
        <f t="shared" si="28"/>
        <v>0</v>
      </c>
      <c r="D200" s="51">
        <v>312.38</v>
      </c>
      <c r="E200" s="51">
        <f t="shared" si="29"/>
        <v>0</v>
      </c>
      <c r="F200" s="51">
        <v>312.38</v>
      </c>
      <c r="G200" s="51">
        <f t="shared" si="30"/>
        <v>2.8369999999999891</v>
      </c>
      <c r="H200" s="52">
        <v>315.21699999999998</v>
      </c>
      <c r="I200" s="25">
        <f t="shared" si="31"/>
        <v>10.59</v>
      </c>
      <c r="J200" s="51">
        <f t="shared" si="32"/>
        <v>0.58300000000002683</v>
      </c>
      <c r="K200" s="52">
        <v>315.8</v>
      </c>
      <c r="L200" s="25">
        <f t="shared" si="33"/>
        <v>2.42</v>
      </c>
      <c r="M200" s="51">
        <f t="shared" si="34"/>
        <v>0</v>
      </c>
      <c r="N200" s="52">
        <v>315.8</v>
      </c>
      <c r="O200" s="25">
        <f t="shared" si="35"/>
        <v>0</v>
      </c>
      <c r="P200" s="51">
        <f t="shared" si="36"/>
        <v>0</v>
      </c>
      <c r="Q200" s="52">
        <v>315.8</v>
      </c>
      <c r="R200" s="25">
        <f t="shared" si="37"/>
        <v>0</v>
      </c>
      <c r="S200" s="53">
        <f t="shared" si="38"/>
        <v>0</v>
      </c>
      <c r="T200" s="52">
        <v>315.8</v>
      </c>
      <c r="U200" s="25">
        <f t="shared" si="39"/>
        <v>0</v>
      </c>
      <c r="V200" s="53">
        <f t="shared" si="40"/>
        <v>0.19999999999998863</v>
      </c>
      <c r="W200" s="54">
        <v>316</v>
      </c>
      <c r="X200" s="25">
        <f t="shared" si="41"/>
        <v>0.59503999999996615</v>
      </c>
    </row>
    <row r="201" spans="1:24" x14ac:dyDescent="0.25">
      <c r="A201" s="17" t="s">
        <v>1777</v>
      </c>
      <c r="B201" s="51">
        <v>244</v>
      </c>
      <c r="C201" s="51">
        <f t="shared" ref="C201" si="42">D201-B201</f>
        <v>5</v>
      </c>
      <c r="D201" s="51">
        <v>249</v>
      </c>
      <c r="E201" s="51">
        <f t="shared" ref="E201" si="43">F201-D201</f>
        <v>5</v>
      </c>
      <c r="F201" s="51">
        <v>254</v>
      </c>
      <c r="G201" s="51">
        <f t="shared" ref="G201" si="44">H201-F201</f>
        <v>6</v>
      </c>
      <c r="H201" s="52">
        <v>260</v>
      </c>
      <c r="I201" s="25">
        <f t="shared" ref="I201" si="45">ROUND(G201*$I$3,2)</f>
        <v>22.41</v>
      </c>
      <c r="J201" s="51">
        <f t="shared" ref="J201" si="46">K201-H201</f>
        <v>5</v>
      </c>
      <c r="K201" s="52">
        <v>265</v>
      </c>
      <c r="L201" s="25">
        <f t="shared" ref="L201" si="47">ROUND(J201*$L$3,2)</f>
        <v>20.77</v>
      </c>
      <c r="M201" s="51">
        <f t="shared" ref="M201:M202" si="48">N201-K201</f>
        <v>3</v>
      </c>
      <c r="N201" s="52">
        <v>268</v>
      </c>
      <c r="O201" s="25">
        <f t="shared" ref="O201:O202" si="49">ROUND(M201*$O$3,2)</f>
        <v>19.16</v>
      </c>
      <c r="P201" s="51">
        <f t="shared" ref="P201:P202" si="50">Q201-N201</f>
        <v>6</v>
      </c>
      <c r="Q201" s="52">
        <v>274</v>
      </c>
      <c r="R201" s="25">
        <f t="shared" ref="R201:R202" si="51">ROUND(P201*$R$3,2)</f>
        <v>17.22</v>
      </c>
      <c r="S201" s="53">
        <f t="shared" ref="S201:S202" si="52">+T201-Q201</f>
        <v>5</v>
      </c>
      <c r="T201" s="52">
        <v>279</v>
      </c>
      <c r="U201" s="25">
        <f t="shared" ref="U201:U202" si="53">ROUND(S201*$U$3,2)</f>
        <v>14.9</v>
      </c>
      <c r="V201" s="53">
        <f t="shared" ref="V201:V202" si="54">+W201-T201</f>
        <v>7</v>
      </c>
      <c r="W201" s="54">
        <v>286</v>
      </c>
      <c r="X201" s="25">
        <f t="shared" ref="X201:X202" si="55">V201*$X$3</f>
        <v>20.8264</v>
      </c>
    </row>
    <row r="202" spans="1:24" x14ac:dyDescent="0.25">
      <c r="A202" s="14" t="s">
        <v>2064</v>
      </c>
      <c r="B202" s="61"/>
      <c r="C202" s="61"/>
      <c r="D202" s="61"/>
      <c r="E202" s="61"/>
      <c r="F202" s="61"/>
      <c r="G202" s="61"/>
      <c r="H202" s="62"/>
      <c r="I202" s="63"/>
      <c r="J202" s="51"/>
      <c r="K202" s="52">
        <v>1571</v>
      </c>
      <c r="L202" s="63"/>
      <c r="M202" s="51">
        <f t="shared" si="48"/>
        <v>36</v>
      </c>
      <c r="N202" s="52">
        <v>1607</v>
      </c>
      <c r="O202" s="25">
        <f t="shared" si="49"/>
        <v>229.88</v>
      </c>
      <c r="P202" s="51">
        <f t="shared" si="50"/>
        <v>44</v>
      </c>
      <c r="Q202" s="52">
        <v>1651</v>
      </c>
      <c r="R202" s="25">
        <f t="shared" si="51"/>
        <v>126.3</v>
      </c>
      <c r="S202" s="53">
        <f t="shared" si="52"/>
        <v>37</v>
      </c>
      <c r="T202" s="52">
        <v>1688</v>
      </c>
      <c r="U202" s="25">
        <f t="shared" si="53"/>
        <v>110.25</v>
      </c>
      <c r="V202" s="53">
        <f t="shared" si="54"/>
        <v>48</v>
      </c>
      <c r="W202" s="54">
        <v>1736</v>
      </c>
      <c r="X202" s="25">
        <f t="shared" si="55"/>
        <v>142.80959999999999</v>
      </c>
    </row>
    <row r="203" spans="1:24" x14ac:dyDescent="0.25">
      <c r="B203" s="35">
        <f>SUM(B7:B201)</f>
        <v>43735.030000000006</v>
      </c>
      <c r="C203" s="35">
        <f t="shared" ref="C203:L203" si="56">SUM(C7:C201)</f>
        <v>1151.3499999999999</v>
      </c>
      <c r="D203" s="35">
        <f t="shared" si="56"/>
        <v>44886.380000000012</v>
      </c>
      <c r="E203" s="35">
        <f t="shared" si="56"/>
        <v>1109.8900000000003</v>
      </c>
      <c r="F203" s="35">
        <f t="shared" si="56"/>
        <v>45996.270000000004</v>
      </c>
      <c r="G203" s="35">
        <f t="shared" si="56"/>
        <v>1262.2289999999998</v>
      </c>
      <c r="H203" s="35">
        <f t="shared" si="56"/>
        <v>46191.877000000008</v>
      </c>
      <c r="I203" s="9">
        <f t="shared" si="56"/>
        <v>4713.380000000001</v>
      </c>
      <c r="J203" s="51">
        <f t="shared" si="56"/>
        <v>1115.9609999999998</v>
      </c>
      <c r="K203" s="51"/>
      <c r="L203" s="9">
        <f t="shared" si="56"/>
        <v>4636.29</v>
      </c>
      <c r="M203" s="64">
        <f t="shared" ref="M203" si="57">SUM(M7:M202)</f>
        <v>824.77900000000022</v>
      </c>
      <c r="N203" s="64"/>
      <c r="O203" s="9">
        <f>SUM(O7:O202)</f>
        <v>5266.7999999999993</v>
      </c>
      <c r="P203" s="65">
        <f t="shared" ref="P203:V203" si="58">SUM(P7:P202)</f>
        <v>1035.538</v>
      </c>
      <c r="Q203" s="64"/>
      <c r="R203" s="9">
        <f>SUM(R7:R202)</f>
        <v>2972.2099999999987</v>
      </c>
      <c r="S203" s="65">
        <f t="shared" si="58"/>
        <v>1272.95</v>
      </c>
      <c r="T203" s="64"/>
      <c r="U203" s="9">
        <f>SUM(U7:U202)</f>
        <v>3793.3100000000054</v>
      </c>
      <c r="V203" s="65">
        <f t="shared" si="58"/>
        <v>1302.895</v>
      </c>
      <c r="W203" s="66"/>
      <c r="X203" s="9">
        <f>SUM(X7:X202)</f>
        <v>3876.3732040000018</v>
      </c>
    </row>
    <row r="204" spans="1:24" x14ac:dyDescent="0.25">
      <c r="H204" s="64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2A78-C82B-42E4-8725-F7CC88FF560D}">
  <dimension ref="A3:E209"/>
  <sheetViews>
    <sheetView workbookViewId="0">
      <selection activeCell="G4" sqref="G4"/>
    </sheetView>
  </sheetViews>
  <sheetFormatPr baseColWidth="10" defaultRowHeight="15" x14ac:dyDescent="0.25"/>
  <cols>
    <col min="1" max="1" width="12.5703125" bestFit="1" customWidth="1"/>
    <col min="2" max="2" width="81.42578125" bestFit="1" customWidth="1"/>
    <col min="3" max="3" width="24.5703125" bestFit="1" customWidth="1"/>
    <col min="4" max="4" width="14.28515625" bestFit="1" customWidth="1"/>
  </cols>
  <sheetData>
    <row r="3" spans="1:5" x14ac:dyDescent="0.25">
      <c r="C3" s="96" t="s">
        <v>2308</v>
      </c>
    </row>
    <row r="4" spans="1:5" s="98" customFormat="1" ht="30" x14ac:dyDescent="0.25">
      <c r="A4" s="99" t="s">
        <v>1509</v>
      </c>
      <c r="B4" s="99" t="s">
        <v>1510</v>
      </c>
      <c r="C4" s="98" t="s">
        <v>2300</v>
      </c>
      <c r="D4" s="98" t="s">
        <v>2301</v>
      </c>
      <c r="E4" s="98" t="s">
        <v>2302</v>
      </c>
    </row>
    <row r="5" spans="1:5" x14ac:dyDescent="0.25">
      <c r="A5" t="s">
        <v>1512</v>
      </c>
      <c r="B5" t="s">
        <v>1513</v>
      </c>
      <c r="C5" s="97">
        <v>171.3306</v>
      </c>
      <c r="D5" s="97">
        <v>0</v>
      </c>
      <c r="E5" s="97">
        <v>171.3306</v>
      </c>
    </row>
    <row r="6" spans="1:5" x14ac:dyDescent="0.25">
      <c r="A6" t="s">
        <v>1501</v>
      </c>
      <c r="B6" t="s">
        <v>1515</v>
      </c>
      <c r="C6" s="97">
        <v>346.65290240000002</v>
      </c>
      <c r="D6" s="97">
        <v>6.7269271999999871</v>
      </c>
      <c r="E6" s="97">
        <v>353.37982959999999</v>
      </c>
    </row>
    <row r="7" spans="1:5" x14ac:dyDescent="0.25">
      <c r="A7" t="s">
        <v>1517</v>
      </c>
      <c r="B7" t="s">
        <v>1518</v>
      </c>
      <c r="C7" s="97">
        <v>346.65290240000002</v>
      </c>
      <c r="D7" s="97">
        <v>27.011840800000023</v>
      </c>
      <c r="E7" s="97">
        <v>373.66474319999998</v>
      </c>
    </row>
    <row r="8" spans="1:5" x14ac:dyDescent="0.25">
      <c r="A8" t="s">
        <v>1520</v>
      </c>
      <c r="B8" t="s">
        <v>1521</v>
      </c>
      <c r="C8" s="97">
        <v>161.94649240000001</v>
      </c>
      <c r="D8" s="97">
        <v>6.1854408000000021</v>
      </c>
      <c r="E8" s="97">
        <v>168.13193320000002</v>
      </c>
    </row>
    <row r="9" spans="1:5" x14ac:dyDescent="0.25">
      <c r="A9" t="s">
        <v>1523</v>
      </c>
      <c r="B9" t="s">
        <v>1524</v>
      </c>
      <c r="C9" s="97">
        <v>346.65290240000002</v>
      </c>
      <c r="D9" s="97">
        <v>17.851199999999999</v>
      </c>
      <c r="E9" s="97">
        <v>364.50410239999997</v>
      </c>
    </row>
    <row r="10" spans="1:5" x14ac:dyDescent="0.25">
      <c r="A10" t="s">
        <v>1526</v>
      </c>
      <c r="B10" t="s">
        <v>1294</v>
      </c>
      <c r="C10" s="97">
        <v>346.65290240000002</v>
      </c>
      <c r="D10" s="97">
        <v>50.578400000000002</v>
      </c>
      <c r="E10" s="97">
        <v>397.2313024</v>
      </c>
    </row>
    <row r="11" spans="1:5" x14ac:dyDescent="0.25">
      <c r="A11" t="s">
        <v>1528</v>
      </c>
      <c r="B11" t="s">
        <v>1422</v>
      </c>
      <c r="C11" s="97">
        <v>503.2430592</v>
      </c>
      <c r="D11" s="97">
        <v>2.9752000000000001</v>
      </c>
      <c r="E11" s="97">
        <v>506.21825919999998</v>
      </c>
    </row>
    <row r="12" spans="1:5" x14ac:dyDescent="0.25">
      <c r="A12" t="s">
        <v>1530</v>
      </c>
      <c r="B12" t="s">
        <v>1531</v>
      </c>
      <c r="C12" s="97">
        <v>270.36569839999999</v>
      </c>
      <c r="D12" s="97">
        <v>26.345396000000054</v>
      </c>
      <c r="E12" s="97">
        <v>296.71109440000004</v>
      </c>
    </row>
    <row r="13" spans="1:5" x14ac:dyDescent="0.25">
      <c r="A13" t="s">
        <v>1533</v>
      </c>
      <c r="B13" t="s">
        <v>1427</v>
      </c>
      <c r="C13" s="97">
        <v>238.23369640000001</v>
      </c>
      <c r="D13" s="97">
        <v>5.9504000000000001</v>
      </c>
      <c r="E13" s="97">
        <v>244.18409640000002</v>
      </c>
    </row>
    <row r="14" spans="1:5" x14ac:dyDescent="0.25">
      <c r="A14" t="s">
        <v>1535</v>
      </c>
      <c r="B14" t="s">
        <v>1536</v>
      </c>
      <c r="C14" s="97">
        <v>161.94649240000001</v>
      </c>
      <c r="D14" s="97">
        <v>3.6862728000000131</v>
      </c>
      <c r="E14" s="97">
        <v>165.63276520000002</v>
      </c>
    </row>
    <row r="15" spans="1:5" x14ac:dyDescent="0.25">
      <c r="A15" t="s">
        <v>1538</v>
      </c>
      <c r="B15" t="s">
        <v>1539</v>
      </c>
      <c r="C15" s="97">
        <v>76.287204000000003</v>
      </c>
      <c r="D15" s="97">
        <v>0</v>
      </c>
      <c r="E15" s="97">
        <v>76.287204000000003</v>
      </c>
    </row>
    <row r="16" spans="1:5" x14ac:dyDescent="0.25">
      <c r="A16" t="s">
        <v>1502</v>
      </c>
      <c r="B16" t="s">
        <v>1541</v>
      </c>
      <c r="C16" s="97">
        <v>346.65290240000002</v>
      </c>
      <c r="D16" s="97">
        <v>5.9504000000000001</v>
      </c>
      <c r="E16" s="97">
        <v>352.60330239999996</v>
      </c>
    </row>
    <row r="17" spans="1:5" x14ac:dyDescent="0.25">
      <c r="A17" t="s">
        <v>1543</v>
      </c>
      <c r="B17" t="s">
        <v>1393</v>
      </c>
      <c r="C17" s="97">
        <v>346.65290240000002</v>
      </c>
      <c r="D17" s="97">
        <v>8.9255999999999993</v>
      </c>
      <c r="E17" s="97">
        <v>355.57850239999993</v>
      </c>
    </row>
    <row r="18" spans="1:5" x14ac:dyDescent="0.25">
      <c r="A18" t="s">
        <v>1545</v>
      </c>
      <c r="B18" t="s">
        <v>1546</v>
      </c>
      <c r="C18" s="97">
        <v>530.01271399999996</v>
      </c>
      <c r="D18" s="97">
        <v>71.404799999999994</v>
      </c>
      <c r="E18" s="97">
        <v>601.41751399999998</v>
      </c>
    </row>
    <row r="19" spans="1:5" x14ac:dyDescent="0.25">
      <c r="A19" t="s">
        <v>1548</v>
      </c>
      <c r="B19" t="s">
        <v>1549</v>
      </c>
      <c r="C19" s="97">
        <v>417.58377080000002</v>
      </c>
      <c r="D19" s="97">
        <v>0</v>
      </c>
      <c r="E19" s="97">
        <v>417.58377080000002</v>
      </c>
    </row>
    <row r="20" spans="1:5" x14ac:dyDescent="0.25">
      <c r="A20" t="s">
        <v>1551</v>
      </c>
      <c r="B20" t="s">
        <v>1552</v>
      </c>
      <c r="C20" s="97">
        <v>400.1801888</v>
      </c>
      <c r="D20" s="97">
        <v>20.8264</v>
      </c>
      <c r="E20" s="97">
        <v>421.00658880000003</v>
      </c>
    </row>
    <row r="21" spans="1:5" x14ac:dyDescent="0.25">
      <c r="A21" t="s">
        <v>1554</v>
      </c>
      <c r="B21" t="s">
        <v>1555</v>
      </c>
      <c r="C21" s="97">
        <v>1033.2377383999999</v>
      </c>
      <c r="D21" s="97">
        <v>14.876000000000001</v>
      </c>
      <c r="E21" s="97">
        <v>1048.1137383999999</v>
      </c>
    </row>
    <row r="22" spans="1:5" x14ac:dyDescent="0.25">
      <c r="A22" t="s">
        <v>1557</v>
      </c>
      <c r="B22" t="s">
        <v>1558</v>
      </c>
      <c r="C22" s="97">
        <v>260.32632639999997</v>
      </c>
      <c r="D22" s="97">
        <v>38.677599999999998</v>
      </c>
      <c r="E22" s="97">
        <v>299.00392639999995</v>
      </c>
    </row>
    <row r="23" spans="1:5" x14ac:dyDescent="0.25">
      <c r="A23" t="s">
        <v>1560</v>
      </c>
      <c r="B23" t="s">
        <v>1561</v>
      </c>
      <c r="C23" s="97">
        <v>417.58377080000002</v>
      </c>
      <c r="D23" s="97">
        <v>5.9504000000000001</v>
      </c>
      <c r="E23" s="97">
        <v>423.53417079999997</v>
      </c>
    </row>
    <row r="24" spans="1:5" x14ac:dyDescent="0.25">
      <c r="A24" t="s">
        <v>1563</v>
      </c>
      <c r="B24" t="s">
        <v>1300</v>
      </c>
      <c r="C24" s="97">
        <v>346.65290240000002</v>
      </c>
      <c r="D24" s="97">
        <v>8.9255999999999993</v>
      </c>
      <c r="E24" s="97">
        <v>355.57850239999993</v>
      </c>
    </row>
    <row r="25" spans="1:5" x14ac:dyDescent="0.25">
      <c r="A25" t="s">
        <v>1565</v>
      </c>
      <c r="B25" t="s">
        <v>1566</v>
      </c>
      <c r="C25" s="97">
        <v>346.65290240000002</v>
      </c>
      <c r="D25" s="97">
        <v>57.72483040000013</v>
      </c>
      <c r="E25" s="97">
        <v>404.3777328000001</v>
      </c>
    </row>
    <row r="26" spans="1:5" x14ac:dyDescent="0.25">
      <c r="A26" t="s">
        <v>1505</v>
      </c>
      <c r="B26" t="s">
        <v>1568</v>
      </c>
      <c r="C26" s="97">
        <v>346.65290240000002</v>
      </c>
      <c r="D26" s="97">
        <v>12.689227999999959</v>
      </c>
      <c r="E26" s="97">
        <v>359.34213039999997</v>
      </c>
    </row>
    <row r="27" spans="1:5" x14ac:dyDescent="0.25">
      <c r="A27" t="s">
        <v>1570</v>
      </c>
      <c r="B27" t="s">
        <v>1213</v>
      </c>
      <c r="C27" s="97">
        <v>292.45832839999997</v>
      </c>
      <c r="D27" s="97">
        <v>26.776800000000001</v>
      </c>
      <c r="E27" s="97">
        <v>319.23512839999995</v>
      </c>
    </row>
    <row r="28" spans="1:5" x14ac:dyDescent="0.25">
      <c r="A28" t="s">
        <v>1572</v>
      </c>
      <c r="B28" t="s">
        <v>1268</v>
      </c>
      <c r="C28" s="97">
        <v>292.45832839999997</v>
      </c>
      <c r="D28" s="97">
        <v>23.801600000000001</v>
      </c>
      <c r="E28" s="97">
        <v>316.25992839999998</v>
      </c>
    </row>
    <row r="29" spans="1:5" x14ac:dyDescent="0.25">
      <c r="A29" t="s">
        <v>1574</v>
      </c>
      <c r="B29" t="s">
        <v>1575</v>
      </c>
      <c r="C29" s="97">
        <v>851.90984759999992</v>
      </c>
      <c r="D29" s="97">
        <v>62.479199999999999</v>
      </c>
      <c r="E29" s="97">
        <v>914.38904759999991</v>
      </c>
    </row>
    <row r="30" spans="1:5" x14ac:dyDescent="0.25">
      <c r="A30" t="s">
        <v>1577</v>
      </c>
      <c r="B30" t="s">
        <v>1440</v>
      </c>
      <c r="C30" s="97">
        <v>238.23369640000001</v>
      </c>
      <c r="D30" s="97">
        <v>2.9752000000000001</v>
      </c>
      <c r="E30" s="97">
        <v>241.20889640000001</v>
      </c>
    </row>
    <row r="31" spans="1:5" x14ac:dyDescent="0.25">
      <c r="A31" t="s">
        <v>1579</v>
      </c>
      <c r="B31" t="s">
        <v>1580</v>
      </c>
      <c r="C31" s="97">
        <v>161.94649240000001</v>
      </c>
      <c r="D31" s="97">
        <v>18.416487999999994</v>
      </c>
      <c r="E31" s="97">
        <v>180.3629804</v>
      </c>
    </row>
    <row r="32" spans="1:5" x14ac:dyDescent="0.25">
      <c r="A32" t="s">
        <v>1582</v>
      </c>
      <c r="B32" t="s">
        <v>1583</v>
      </c>
      <c r="C32" s="97">
        <v>76.287204000000003</v>
      </c>
      <c r="D32" s="97">
        <v>0</v>
      </c>
      <c r="E32" s="97">
        <v>76.287204000000003</v>
      </c>
    </row>
    <row r="33" spans="1:5" x14ac:dyDescent="0.25">
      <c r="A33" t="s">
        <v>1585</v>
      </c>
      <c r="B33" t="s">
        <v>2140</v>
      </c>
      <c r="C33" s="97">
        <v>346.65290240000002</v>
      </c>
      <c r="D33" s="97">
        <v>41.652799999999999</v>
      </c>
      <c r="E33" s="97">
        <v>388.30570239999997</v>
      </c>
    </row>
    <row r="34" spans="1:5" x14ac:dyDescent="0.25">
      <c r="A34" t="s">
        <v>1588</v>
      </c>
      <c r="B34" t="s">
        <v>1327</v>
      </c>
      <c r="C34" s="97">
        <v>346.65290240000002</v>
      </c>
      <c r="D34" s="97">
        <v>23.801600000000001</v>
      </c>
      <c r="E34" s="97">
        <v>370.45450240000002</v>
      </c>
    </row>
    <row r="35" spans="1:5" x14ac:dyDescent="0.25">
      <c r="A35" t="s">
        <v>1590</v>
      </c>
      <c r="B35" t="s">
        <v>1462</v>
      </c>
      <c r="C35" s="97">
        <v>346.65290240000002</v>
      </c>
      <c r="D35" s="97">
        <v>29.752000000000002</v>
      </c>
      <c r="E35" s="97">
        <v>376.40490239999997</v>
      </c>
    </row>
    <row r="36" spans="1:5" x14ac:dyDescent="0.25">
      <c r="A36" t="s">
        <v>1503</v>
      </c>
      <c r="B36" t="s">
        <v>1287</v>
      </c>
      <c r="C36" s="97">
        <v>346.65290240000002</v>
      </c>
      <c r="D36" s="97">
        <v>32.727200000000003</v>
      </c>
      <c r="E36" s="97">
        <v>379.38010239999994</v>
      </c>
    </row>
    <row r="37" spans="1:5" x14ac:dyDescent="0.25">
      <c r="A37" t="s">
        <v>1593</v>
      </c>
      <c r="B37" t="s">
        <v>1594</v>
      </c>
      <c r="C37" s="97">
        <v>270.36569839999999</v>
      </c>
      <c r="D37" s="97">
        <v>26.776800000000001</v>
      </c>
      <c r="E37" s="97">
        <v>297.14249839999997</v>
      </c>
    </row>
    <row r="38" spans="1:5" x14ac:dyDescent="0.25">
      <c r="A38" t="s">
        <v>1596</v>
      </c>
      <c r="B38" t="s">
        <v>1597</v>
      </c>
      <c r="C38" s="97">
        <v>270.36569839999999</v>
      </c>
      <c r="D38" s="97">
        <v>35.702399999999997</v>
      </c>
      <c r="E38" s="97">
        <v>306.0680984</v>
      </c>
    </row>
    <row r="39" spans="1:5" x14ac:dyDescent="0.25">
      <c r="A39" t="s">
        <v>1599</v>
      </c>
      <c r="B39" t="s">
        <v>1600</v>
      </c>
      <c r="C39" s="97">
        <v>161.94649240000001</v>
      </c>
      <c r="D39" s="97">
        <v>19.07698240000002</v>
      </c>
      <c r="E39" s="97">
        <v>181.02347480000003</v>
      </c>
    </row>
    <row r="40" spans="1:5" x14ac:dyDescent="0.25">
      <c r="A40" t="s">
        <v>1602</v>
      </c>
      <c r="B40" t="s">
        <v>1603</v>
      </c>
      <c r="C40" s="97">
        <v>161.94649240000001</v>
      </c>
      <c r="D40" s="97">
        <v>20.8264</v>
      </c>
      <c r="E40" s="97">
        <v>182.77289240000002</v>
      </c>
    </row>
    <row r="41" spans="1:5" x14ac:dyDescent="0.25">
      <c r="A41" t="s">
        <v>1605</v>
      </c>
      <c r="B41" t="s">
        <v>1606</v>
      </c>
      <c r="C41" s="97">
        <v>270.36569839999999</v>
      </c>
      <c r="D41" s="97">
        <v>8.8601456000000258</v>
      </c>
      <c r="E41" s="97">
        <v>279.225844</v>
      </c>
    </row>
    <row r="42" spans="1:5" x14ac:dyDescent="0.25">
      <c r="A42" t="s">
        <v>1608</v>
      </c>
      <c r="B42" t="s">
        <v>1609</v>
      </c>
      <c r="C42" s="97">
        <v>270.36569839999999</v>
      </c>
      <c r="D42" s="97">
        <v>17.851199999999999</v>
      </c>
      <c r="E42" s="97">
        <v>288.21689839999999</v>
      </c>
    </row>
    <row r="43" spans="1:5" x14ac:dyDescent="0.25">
      <c r="A43" t="s">
        <v>1611</v>
      </c>
      <c r="B43" t="s">
        <v>1612</v>
      </c>
      <c r="C43" s="97">
        <v>161.94649240000001</v>
      </c>
      <c r="D43" s="97">
        <v>9.2736984000000131</v>
      </c>
      <c r="E43" s="97">
        <v>171.22019080000001</v>
      </c>
    </row>
    <row r="44" spans="1:5" x14ac:dyDescent="0.25">
      <c r="A44" t="s">
        <v>1614</v>
      </c>
      <c r="B44" t="s">
        <v>1615</v>
      </c>
      <c r="C44" s="97">
        <v>22.09263</v>
      </c>
      <c r="D44" s="97">
        <v>0</v>
      </c>
      <c r="E44" s="97">
        <v>22.09263</v>
      </c>
    </row>
    <row r="45" spans="1:5" x14ac:dyDescent="0.25">
      <c r="A45" t="s">
        <v>1617</v>
      </c>
      <c r="B45" t="s">
        <v>1234</v>
      </c>
      <c r="C45" s="97">
        <v>346.65290240000002</v>
      </c>
      <c r="D45" s="97">
        <v>20.180781600000046</v>
      </c>
      <c r="E45" s="97">
        <v>366.83368400000006</v>
      </c>
    </row>
    <row r="46" spans="1:5" x14ac:dyDescent="0.25">
      <c r="A46" t="s">
        <v>1504</v>
      </c>
      <c r="B46" t="s">
        <v>1619</v>
      </c>
      <c r="C46" s="97">
        <v>346.65290240000002</v>
      </c>
      <c r="D46" s="97">
        <v>35.702399999999997</v>
      </c>
      <c r="E46" s="97">
        <v>382.35530240000003</v>
      </c>
    </row>
    <row r="47" spans="1:5" x14ac:dyDescent="0.25">
      <c r="A47" t="s">
        <v>1621</v>
      </c>
      <c r="B47" t="s">
        <v>1622</v>
      </c>
      <c r="C47" s="97">
        <v>346.65290240000002</v>
      </c>
      <c r="D47" s="97">
        <v>20.8264</v>
      </c>
      <c r="E47" s="97">
        <v>367.47930239999994</v>
      </c>
    </row>
    <row r="48" spans="1:5" x14ac:dyDescent="0.25">
      <c r="A48" t="s">
        <v>1624</v>
      </c>
      <c r="B48" t="s">
        <v>1466</v>
      </c>
      <c r="C48" s="97">
        <v>800.37841239999989</v>
      </c>
      <c r="D48" s="97">
        <v>83.162790400000006</v>
      </c>
      <c r="E48" s="97">
        <v>883.54120279999995</v>
      </c>
    </row>
    <row r="49" spans="1:5" x14ac:dyDescent="0.25">
      <c r="A49" t="s">
        <v>1626</v>
      </c>
      <c r="B49" t="s">
        <v>1627</v>
      </c>
      <c r="C49" s="97">
        <v>346.65290240000002</v>
      </c>
      <c r="D49" s="97">
        <v>16.330872799999927</v>
      </c>
      <c r="E49" s="97">
        <v>362.98377519999997</v>
      </c>
    </row>
    <row r="50" spans="1:5" x14ac:dyDescent="0.25">
      <c r="A50" t="s">
        <v>1629</v>
      </c>
      <c r="B50" t="s">
        <v>1222</v>
      </c>
      <c r="C50" s="97">
        <v>346.65290240000002</v>
      </c>
      <c r="D50" s="97">
        <v>26.776800000000001</v>
      </c>
      <c r="E50" s="97">
        <v>373.4297024</v>
      </c>
    </row>
    <row r="51" spans="1:5" x14ac:dyDescent="0.25">
      <c r="A51" t="s">
        <v>1632</v>
      </c>
      <c r="B51" t="s">
        <v>1633</v>
      </c>
      <c r="C51" s="97">
        <v>238.23369640000001</v>
      </c>
      <c r="D51" s="97">
        <v>2.9752000000000001</v>
      </c>
      <c r="E51" s="97">
        <v>241.20889640000001</v>
      </c>
    </row>
    <row r="52" spans="1:5" x14ac:dyDescent="0.25">
      <c r="A52" t="s">
        <v>1635</v>
      </c>
      <c r="B52" t="s">
        <v>1636</v>
      </c>
      <c r="C52" s="97">
        <v>346.65290240000002</v>
      </c>
      <c r="D52" s="97">
        <v>11.9008</v>
      </c>
      <c r="E52" s="97">
        <v>358.55370240000002</v>
      </c>
    </row>
    <row r="53" spans="1:5" x14ac:dyDescent="0.25">
      <c r="A53" t="s">
        <v>1638</v>
      </c>
      <c r="B53" t="s">
        <v>1356</v>
      </c>
      <c r="C53" s="97">
        <v>270.36569839999999</v>
      </c>
      <c r="D53" s="97">
        <v>26.428701599999947</v>
      </c>
      <c r="E53" s="97">
        <v>296.79439999999994</v>
      </c>
    </row>
    <row r="54" spans="1:5" x14ac:dyDescent="0.25">
      <c r="A54" t="s">
        <v>1640</v>
      </c>
      <c r="B54" t="s">
        <v>1349</v>
      </c>
      <c r="C54" s="97">
        <v>368.7455324</v>
      </c>
      <c r="D54" s="97">
        <v>20.8264</v>
      </c>
      <c r="E54" s="97">
        <v>389.57193239999992</v>
      </c>
    </row>
    <row r="55" spans="1:5" x14ac:dyDescent="0.25">
      <c r="A55" t="s">
        <v>1642</v>
      </c>
      <c r="B55" t="s">
        <v>1643</v>
      </c>
      <c r="C55" s="97">
        <v>161.94649240000001</v>
      </c>
      <c r="D55" s="97">
        <v>2.9752000000000001</v>
      </c>
      <c r="E55" s="97">
        <v>164.92169240000001</v>
      </c>
    </row>
    <row r="56" spans="1:5" x14ac:dyDescent="0.25">
      <c r="A56" t="s">
        <v>1507</v>
      </c>
      <c r="B56" t="s">
        <v>1645</v>
      </c>
      <c r="C56" s="97">
        <v>270.36569839999999</v>
      </c>
      <c r="D56" s="97">
        <v>17.851199999999999</v>
      </c>
      <c r="E56" s="97">
        <v>288.21689839999999</v>
      </c>
    </row>
    <row r="57" spans="1:5" x14ac:dyDescent="0.25">
      <c r="A57" t="s">
        <v>1647</v>
      </c>
      <c r="B57" t="s">
        <v>1648</v>
      </c>
      <c r="C57" s="97">
        <v>270.36569839999999</v>
      </c>
      <c r="D57" s="97">
        <v>29.752000000000002</v>
      </c>
      <c r="E57" s="97">
        <v>300.11769839999999</v>
      </c>
    </row>
    <row r="58" spans="1:5" x14ac:dyDescent="0.25">
      <c r="A58" t="s">
        <v>1650</v>
      </c>
      <c r="B58" t="s">
        <v>1651</v>
      </c>
      <c r="C58" s="97">
        <v>346.65290240000002</v>
      </c>
      <c r="D58" s="97">
        <v>26.776800000000001</v>
      </c>
      <c r="E58" s="97">
        <v>373.4297024</v>
      </c>
    </row>
    <row r="59" spans="1:5" x14ac:dyDescent="0.25">
      <c r="A59" t="s">
        <v>1653</v>
      </c>
      <c r="B59" t="s">
        <v>1654</v>
      </c>
      <c r="C59" s="97">
        <v>346.65290240000002</v>
      </c>
      <c r="D59" s="97">
        <v>23.801600000000001</v>
      </c>
      <c r="E59" s="97">
        <v>370.45450240000002</v>
      </c>
    </row>
    <row r="60" spans="1:5" x14ac:dyDescent="0.25">
      <c r="A60" t="s">
        <v>1656</v>
      </c>
      <c r="B60" t="s">
        <v>1657</v>
      </c>
      <c r="C60" s="97">
        <v>346.65290240000002</v>
      </c>
      <c r="D60" s="97">
        <v>26.776800000000001</v>
      </c>
      <c r="E60" s="97">
        <v>373.4297024</v>
      </c>
    </row>
    <row r="61" spans="1:5" x14ac:dyDescent="0.25">
      <c r="A61" t="s">
        <v>1659</v>
      </c>
      <c r="B61" t="s">
        <v>1319</v>
      </c>
      <c r="C61" s="97">
        <v>346.65290240000002</v>
      </c>
      <c r="D61" s="97">
        <v>14.876000000000001</v>
      </c>
      <c r="E61" s="97">
        <v>361.52890239999999</v>
      </c>
    </row>
    <row r="62" spans="1:5" x14ac:dyDescent="0.25">
      <c r="A62" t="s">
        <v>1661</v>
      </c>
      <c r="B62" t="s">
        <v>1662</v>
      </c>
      <c r="C62" s="97">
        <v>270.36569839999999</v>
      </c>
      <c r="D62" s="97">
        <v>20.8264</v>
      </c>
      <c r="E62" s="97">
        <v>291.19209839999996</v>
      </c>
    </row>
    <row r="63" spans="1:5" x14ac:dyDescent="0.25">
      <c r="A63" t="s">
        <v>1664</v>
      </c>
      <c r="B63" t="s">
        <v>1665</v>
      </c>
      <c r="C63" s="97">
        <v>417.58377080000002</v>
      </c>
      <c r="D63" s="97">
        <v>11.9008</v>
      </c>
      <c r="E63" s="97">
        <v>429.48457080000003</v>
      </c>
    </row>
    <row r="64" spans="1:5" x14ac:dyDescent="0.25">
      <c r="A64" t="s">
        <v>1667</v>
      </c>
      <c r="B64" t="s">
        <v>1668</v>
      </c>
      <c r="C64" s="97">
        <v>422.94010639999999</v>
      </c>
      <c r="D64" s="97">
        <v>26.776800000000001</v>
      </c>
      <c r="E64" s="97">
        <v>449.71690639999997</v>
      </c>
    </row>
    <row r="65" spans="1:5" x14ac:dyDescent="0.25">
      <c r="A65" t="s">
        <v>1670</v>
      </c>
      <c r="B65" t="s">
        <v>1671</v>
      </c>
      <c r="C65" s="97">
        <v>76.287204000000003</v>
      </c>
      <c r="D65" s="97">
        <v>0</v>
      </c>
      <c r="E65" s="97">
        <v>76.287204000000003</v>
      </c>
    </row>
    <row r="66" spans="1:5" x14ac:dyDescent="0.25">
      <c r="A66" t="s">
        <v>1506</v>
      </c>
      <c r="B66" t="s">
        <v>1673</v>
      </c>
      <c r="C66" s="97">
        <v>346.65290240000002</v>
      </c>
      <c r="D66" s="97">
        <v>27.211179200000046</v>
      </c>
      <c r="E66" s="97">
        <v>373.86408160000008</v>
      </c>
    </row>
    <row r="67" spans="1:5" x14ac:dyDescent="0.25">
      <c r="A67" t="s">
        <v>1675</v>
      </c>
      <c r="B67" t="s">
        <v>1270</v>
      </c>
      <c r="C67" s="97">
        <v>346.65290240000002</v>
      </c>
      <c r="D67" s="97">
        <v>17.851199999999999</v>
      </c>
      <c r="E67" s="97">
        <v>364.50410239999997</v>
      </c>
    </row>
    <row r="68" spans="1:5" x14ac:dyDescent="0.25">
      <c r="A68" t="s">
        <v>1677</v>
      </c>
      <c r="B68" t="s">
        <v>1678</v>
      </c>
      <c r="C68" s="97">
        <v>346.65290240000002</v>
      </c>
      <c r="D68" s="97">
        <v>8.9255999999999993</v>
      </c>
      <c r="E68" s="97">
        <v>355.57850239999993</v>
      </c>
    </row>
    <row r="69" spans="1:5" x14ac:dyDescent="0.25">
      <c r="A69" t="s">
        <v>1680</v>
      </c>
      <c r="B69" t="s">
        <v>1681</v>
      </c>
      <c r="C69" s="97">
        <v>699.32942800000001</v>
      </c>
      <c r="D69" s="97">
        <v>29.752000000000002</v>
      </c>
      <c r="E69" s="97">
        <v>729.08142799999996</v>
      </c>
    </row>
    <row r="70" spans="1:5" x14ac:dyDescent="0.25">
      <c r="A70" t="s">
        <v>1683</v>
      </c>
      <c r="B70" t="s">
        <v>1446</v>
      </c>
      <c r="C70" s="97">
        <v>346.65290240000002</v>
      </c>
      <c r="D70" s="97">
        <v>14.876000000000001</v>
      </c>
      <c r="E70" s="97">
        <v>361.52890239999999</v>
      </c>
    </row>
    <row r="71" spans="1:5" x14ac:dyDescent="0.25">
      <c r="A71" t="s">
        <v>1685</v>
      </c>
      <c r="B71" t="s">
        <v>1686</v>
      </c>
      <c r="C71" s="97">
        <v>346.65290240000002</v>
      </c>
      <c r="D71" s="97">
        <v>39.757597599999997</v>
      </c>
      <c r="E71" s="97">
        <v>386.41049999999996</v>
      </c>
    </row>
    <row r="72" spans="1:5" x14ac:dyDescent="0.25">
      <c r="A72" t="s">
        <v>1688</v>
      </c>
      <c r="B72" t="s">
        <v>1689</v>
      </c>
      <c r="C72" s="97">
        <v>238.23369640000001</v>
      </c>
      <c r="D72" s="97">
        <v>5.9504000000000001</v>
      </c>
      <c r="E72" s="97">
        <v>244.18409640000002</v>
      </c>
    </row>
    <row r="73" spans="1:5" x14ac:dyDescent="0.25">
      <c r="A73" t="s">
        <v>1691</v>
      </c>
      <c r="B73" t="s">
        <v>1692</v>
      </c>
      <c r="C73" s="97">
        <v>270.36569839999999</v>
      </c>
      <c r="D73" s="97">
        <v>29.752000000000002</v>
      </c>
      <c r="E73" s="97">
        <v>300.11769839999999</v>
      </c>
    </row>
    <row r="74" spans="1:5" x14ac:dyDescent="0.25">
      <c r="A74" t="s">
        <v>1694</v>
      </c>
      <c r="B74" t="s">
        <v>1695</v>
      </c>
      <c r="C74" s="97">
        <v>161.94649240000001</v>
      </c>
      <c r="D74" s="97">
        <v>8.9255999999999993</v>
      </c>
      <c r="E74" s="97">
        <v>170.87209240000001</v>
      </c>
    </row>
    <row r="75" spans="1:5" x14ac:dyDescent="0.25">
      <c r="A75" t="s">
        <v>1697</v>
      </c>
      <c r="B75" t="s">
        <v>1698</v>
      </c>
      <c r="C75" s="97">
        <v>161.94649240000001</v>
      </c>
      <c r="D75" s="97">
        <v>8.9255999999999993</v>
      </c>
      <c r="E75" s="97">
        <v>170.87209240000001</v>
      </c>
    </row>
    <row r="76" spans="1:5" x14ac:dyDescent="0.25">
      <c r="A76" t="s">
        <v>1700</v>
      </c>
      <c r="B76" t="s">
        <v>1701</v>
      </c>
      <c r="C76" s="97">
        <v>270.36569839999999</v>
      </c>
      <c r="D76" s="97">
        <v>32.727200000000003</v>
      </c>
      <c r="E76" s="97">
        <v>303.09289839999997</v>
      </c>
    </row>
    <row r="77" spans="1:5" x14ac:dyDescent="0.25">
      <c r="A77" t="s">
        <v>1703</v>
      </c>
      <c r="B77" t="s">
        <v>2171</v>
      </c>
      <c r="C77" s="97">
        <v>346.65290240000002</v>
      </c>
      <c r="D77" s="97">
        <v>20.8264</v>
      </c>
      <c r="E77" s="97">
        <v>367.47930239999994</v>
      </c>
    </row>
    <row r="78" spans="1:5" x14ac:dyDescent="0.25">
      <c r="A78" t="s">
        <v>1706</v>
      </c>
      <c r="B78" t="s">
        <v>1707</v>
      </c>
      <c r="C78" s="97">
        <v>161.94649240000001</v>
      </c>
      <c r="D78" s="97">
        <v>0</v>
      </c>
      <c r="E78" s="97">
        <v>161.94649240000001</v>
      </c>
    </row>
    <row r="79" spans="1:5" x14ac:dyDescent="0.25">
      <c r="A79" t="s">
        <v>1709</v>
      </c>
      <c r="B79" t="s">
        <v>1263</v>
      </c>
      <c r="C79" s="97">
        <v>346.65290240000002</v>
      </c>
      <c r="D79" s="97">
        <v>8.9255999999999993</v>
      </c>
      <c r="E79" s="97">
        <v>355.57850239999993</v>
      </c>
    </row>
    <row r="80" spans="1:5" x14ac:dyDescent="0.25">
      <c r="A80" t="s">
        <v>1711</v>
      </c>
      <c r="B80" t="s">
        <v>1712</v>
      </c>
      <c r="C80" s="97">
        <v>467.12536639999996</v>
      </c>
      <c r="D80" s="97">
        <v>23.801600000000001</v>
      </c>
      <c r="E80" s="97">
        <v>490.92696639999997</v>
      </c>
    </row>
    <row r="81" spans="1:5" x14ac:dyDescent="0.25">
      <c r="A81" t="s">
        <v>1714</v>
      </c>
      <c r="B81" t="s">
        <v>1715</v>
      </c>
      <c r="C81" s="97">
        <v>417.58377080000002</v>
      </c>
      <c r="D81" s="97">
        <v>41.652799999999999</v>
      </c>
      <c r="E81" s="97">
        <v>459.23657079999998</v>
      </c>
    </row>
    <row r="82" spans="1:5" x14ac:dyDescent="0.25">
      <c r="A82" t="s">
        <v>1717</v>
      </c>
      <c r="B82" t="s">
        <v>1718</v>
      </c>
      <c r="C82" s="97">
        <v>346.65290240000002</v>
      </c>
      <c r="D82" s="97">
        <v>45.237915999999956</v>
      </c>
      <c r="E82" s="97">
        <v>391.89081839999994</v>
      </c>
    </row>
    <row r="83" spans="1:5" x14ac:dyDescent="0.25">
      <c r="A83" t="s">
        <v>1720</v>
      </c>
      <c r="B83" t="s">
        <v>1721</v>
      </c>
      <c r="C83" s="97">
        <v>346.65290240000002</v>
      </c>
      <c r="D83" s="97">
        <v>41.652799999999999</v>
      </c>
      <c r="E83" s="97">
        <v>388.30570239999997</v>
      </c>
    </row>
    <row r="84" spans="1:5" x14ac:dyDescent="0.25">
      <c r="A84" t="s">
        <v>1723</v>
      </c>
      <c r="B84" t="s">
        <v>1724</v>
      </c>
      <c r="C84" s="97">
        <v>260.32632639999997</v>
      </c>
      <c r="D84" s="97">
        <v>5.9504000000000001</v>
      </c>
      <c r="E84" s="97">
        <v>266.27672640000003</v>
      </c>
    </row>
    <row r="85" spans="1:5" x14ac:dyDescent="0.25">
      <c r="A85" t="s">
        <v>1726</v>
      </c>
      <c r="B85" t="s">
        <v>1223</v>
      </c>
      <c r="C85" s="97">
        <v>346.65290240000002</v>
      </c>
      <c r="D85" s="97">
        <v>9.4522103999999771</v>
      </c>
      <c r="E85" s="97">
        <v>356.10511279999992</v>
      </c>
    </row>
    <row r="86" spans="1:5" x14ac:dyDescent="0.25">
      <c r="A86" t="s">
        <v>1728</v>
      </c>
      <c r="B86" t="s">
        <v>1729</v>
      </c>
      <c r="C86" s="97">
        <v>161.94649240000001</v>
      </c>
      <c r="D86" s="97">
        <v>3.2072656000000088</v>
      </c>
      <c r="E86" s="97">
        <v>165.15375800000001</v>
      </c>
    </row>
    <row r="87" spans="1:5" x14ac:dyDescent="0.25">
      <c r="A87" t="s">
        <v>1731</v>
      </c>
      <c r="B87" t="s">
        <v>1217</v>
      </c>
      <c r="C87" s="97">
        <v>161.94649240000001</v>
      </c>
      <c r="D87" s="97">
        <v>5.9504000000000001</v>
      </c>
      <c r="E87" s="97">
        <v>167.89689240000001</v>
      </c>
    </row>
    <row r="88" spans="1:5" x14ac:dyDescent="0.25">
      <c r="A88" t="s">
        <v>1733</v>
      </c>
      <c r="B88" t="s">
        <v>1734</v>
      </c>
      <c r="C88" s="97">
        <v>346.65290240000002</v>
      </c>
      <c r="D88" s="97">
        <v>32.352324799999984</v>
      </c>
      <c r="E88" s="97">
        <v>379.00522719999992</v>
      </c>
    </row>
    <row r="89" spans="1:5" x14ac:dyDescent="0.25">
      <c r="A89" t="s">
        <v>1736</v>
      </c>
      <c r="B89" t="s">
        <v>1737</v>
      </c>
      <c r="C89" s="97">
        <v>346.65290240000002</v>
      </c>
      <c r="D89" s="97">
        <v>2.9752000000000001</v>
      </c>
      <c r="E89" s="97">
        <v>349.62810239999999</v>
      </c>
    </row>
    <row r="90" spans="1:5" x14ac:dyDescent="0.25">
      <c r="A90" t="s">
        <v>1739</v>
      </c>
      <c r="B90" t="s">
        <v>1740</v>
      </c>
      <c r="C90" s="97">
        <v>346.65290240000002</v>
      </c>
      <c r="D90" s="97">
        <v>39.204210400000065</v>
      </c>
      <c r="E90" s="97">
        <v>385.8571128000001</v>
      </c>
    </row>
    <row r="91" spans="1:5" x14ac:dyDescent="0.25">
      <c r="A91" t="s">
        <v>1742</v>
      </c>
      <c r="B91" t="s">
        <v>1278</v>
      </c>
      <c r="C91" s="97">
        <v>346.65290240000002</v>
      </c>
      <c r="D91" s="97">
        <v>19.847559199999978</v>
      </c>
      <c r="E91" s="97">
        <v>366.50046159999999</v>
      </c>
    </row>
    <row r="92" spans="1:5" x14ac:dyDescent="0.25">
      <c r="A92" t="s">
        <v>1744</v>
      </c>
      <c r="B92" t="s">
        <v>1745</v>
      </c>
      <c r="C92" s="97">
        <v>346.65290240000002</v>
      </c>
      <c r="D92" s="97">
        <v>5.9504000000000001</v>
      </c>
      <c r="E92" s="97">
        <v>352.60330239999996</v>
      </c>
    </row>
    <row r="93" spans="1:5" x14ac:dyDescent="0.25">
      <c r="A93" t="s">
        <v>1747</v>
      </c>
      <c r="B93" t="s">
        <v>1748</v>
      </c>
      <c r="C93" s="97">
        <v>184.0391224</v>
      </c>
      <c r="D93" s="97">
        <v>0</v>
      </c>
      <c r="E93" s="97">
        <v>184.0391224</v>
      </c>
    </row>
    <row r="94" spans="1:5" x14ac:dyDescent="0.25">
      <c r="A94" t="s">
        <v>1750</v>
      </c>
      <c r="B94" t="s">
        <v>1751</v>
      </c>
      <c r="C94" s="97">
        <v>346.65290240000002</v>
      </c>
      <c r="D94" s="97">
        <v>47.603200000000001</v>
      </c>
      <c r="E94" s="97">
        <v>394.25610240000003</v>
      </c>
    </row>
    <row r="95" spans="1:5" x14ac:dyDescent="0.25">
      <c r="A95" t="s">
        <v>1753</v>
      </c>
      <c r="B95" t="s">
        <v>1754</v>
      </c>
      <c r="C95" s="97">
        <v>270.36569839999999</v>
      </c>
      <c r="D95" s="97">
        <v>2.9752000000000001</v>
      </c>
      <c r="E95" s="97">
        <v>273.34089839999996</v>
      </c>
    </row>
    <row r="96" spans="1:5" x14ac:dyDescent="0.25">
      <c r="A96" t="s">
        <v>1756</v>
      </c>
      <c r="B96" t="s">
        <v>1439</v>
      </c>
      <c r="C96" s="97">
        <v>238.23369640000001</v>
      </c>
      <c r="D96" s="97">
        <v>5.9504000000000001</v>
      </c>
      <c r="E96" s="97">
        <v>244.18409640000002</v>
      </c>
    </row>
    <row r="97" spans="1:5" x14ac:dyDescent="0.25">
      <c r="A97" t="s">
        <v>1758</v>
      </c>
      <c r="B97" t="s">
        <v>1759</v>
      </c>
      <c r="C97" s="97">
        <v>346.65290240000002</v>
      </c>
      <c r="D97" s="97">
        <v>8.9255999999999993</v>
      </c>
      <c r="E97" s="97">
        <v>355.57850239999993</v>
      </c>
    </row>
    <row r="98" spans="1:5" x14ac:dyDescent="0.25">
      <c r="A98" t="s">
        <v>1761</v>
      </c>
      <c r="B98" t="s">
        <v>1762</v>
      </c>
      <c r="C98" s="97">
        <v>238.23369640000001</v>
      </c>
      <c r="D98" s="97">
        <v>0</v>
      </c>
      <c r="E98" s="97">
        <v>238.23369640000001</v>
      </c>
    </row>
    <row r="99" spans="1:5" x14ac:dyDescent="0.25">
      <c r="A99" t="s">
        <v>1764</v>
      </c>
      <c r="B99" t="s">
        <v>1765</v>
      </c>
      <c r="C99" s="97">
        <v>238.23369640000001</v>
      </c>
      <c r="D99" s="97">
        <v>5.9504000000000001</v>
      </c>
      <c r="E99" s="97">
        <v>244.18409640000002</v>
      </c>
    </row>
    <row r="100" spans="1:5" x14ac:dyDescent="0.25">
      <c r="A100" t="s">
        <v>1767</v>
      </c>
      <c r="B100" t="s">
        <v>1768</v>
      </c>
      <c r="C100" s="97">
        <v>270.36569839999999</v>
      </c>
      <c r="D100" s="97">
        <v>35.702399999999997</v>
      </c>
      <c r="E100" s="97">
        <v>306.0680984</v>
      </c>
    </row>
    <row r="101" spans="1:5" x14ac:dyDescent="0.25">
      <c r="A101" t="s">
        <v>1770</v>
      </c>
      <c r="B101" t="s">
        <v>1771</v>
      </c>
      <c r="C101" s="97">
        <v>346.65290240000002</v>
      </c>
      <c r="D101" s="97">
        <v>0.53256079999992156</v>
      </c>
      <c r="E101" s="97">
        <v>347.18546319999996</v>
      </c>
    </row>
    <row r="102" spans="1:5" x14ac:dyDescent="0.25">
      <c r="A102" t="s">
        <v>1773</v>
      </c>
      <c r="B102" t="s">
        <v>1358</v>
      </c>
      <c r="C102" s="97">
        <v>606.97922879999999</v>
      </c>
      <c r="D102" s="97">
        <v>26.776800000000001</v>
      </c>
      <c r="E102" s="97">
        <v>633.75602879999997</v>
      </c>
    </row>
    <row r="103" spans="1:5" x14ac:dyDescent="0.25">
      <c r="A103" t="s">
        <v>1775</v>
      </c>
      <c r="B103" t="s">
        <v>1776</v>
      </c>
      <c r="C103" s="97">
        <v>270.36569839999999</v>
      </c>
      <c r="D103" s="97">
        <v>20.8264</v>
      </c>
      <c r="E103" s="97">
        <v>291.19209839999996</v>
      </c>
    </row>
    <row r="104" spans="1:5" x14ac:dyDescent="0.25">
      <c r="A104" t="s">
        <v>1778</v>
      </c>
      <c r="B104" t="s">
        <v>1779</v>
      </c>
      <c r="C104" s="97">
        <v>346.65290240000002</v>
      </c>
      <c r="D104" s="97">
        <v>29.752000000000002</v>
      </c>
      <c r="E104" s="97">
        <v>376.40490239999997</v>
      </c>
    </row>
    <row r="105" spans="1:5" x14ac:dyDescent="0.25">
      <c r="A105" t="s">
        <v>1781</v>
      </c>
      <c r="B105" t="s">
        <v>1782</v>
      </c>
      <c r="C105" s="97">
        <v>579.53026320000004</v>
      </c>
      <c r="D105" s="97">
        <v>8.9255999999999993</v>
      </c>
      <c r="E105" s="97">
        <v>588.45586319999995</v>
      </c>
    </row>
    <row r="106" spans="1:5" x14ac:dyDescent="0.25">
      <c r="A106" t="s">
        <v>1784</v>
      </c>
      <c r="B106" t="s">
        <v>1274</v>
      </c>
      <c r="C106" s="97">
        <v>493.8709748</v>
      </c>
      <c r="D106" s="97">
        <v>29.752000000000002</v>
      </c>
      <c r="E106" s="97">
        <v>523.62297479999995</v>
      </c>
    </row>
    <row r="107" spans="1:5" x14ac:dyDescent="0.25">
      <c r="A107" t="s">
        <v>1786</v>
      </c>
      <c r="B107" t="s">
        <v>1787</v>
      </c>
      <c r="C107" s="97">
        <v>161.94649240000001</v>
      </c>
      <c r="D107" s="97">
        <v>0.59503999999996615</v>
      </c>
      <c r="E107" s="97">
        <v>162.54153239999997</v>
      </c>
    </row>
    <row r="108" spans="1:5" x14ac:dyDescent="0.25">
      <c r="A108" t="s">
        <v>1789</v>
      </c>
      <c r="B108" t="s">
        <v>1790</v>
      </c>
      <c r="C108" s="97">
        <v>346.65290240000002</v>
      </c>
      <c r="D108" s="97">
        <v>16.723599199999942</v>
      </c>
      <c r="E108" s="97">
        <v>363.37650159999998</v>
      </c>
    </row>
    <row r="109" spans="1:5" x14ac:dyDescent="0.25">
      <c r="A109" t="s">
        <v>1792</v>
      </c>
      <c r="B109" t="s">
        <v>1793</v>
      </c>
      <c r="C109" s="97">
        <v>161.94649240000001</v>
      </c>
      <c r="D109" s="97">
        <v>8.9255999999999993</v>
      </c>
      <c r="E109" s="97">
        <v>170.87209240000001</v>
      </c>
    </row>
    <row r="110" spans="1:5" x14ac:dyDescent="0.25">
      <c r="A110" t="s">
        <v>1795</v>
      </c>
      <c r="B110" t="s">
        <v>1796</v>
      </c>
      <c r="C110" s="97">
        <v>314.52090040000002</v>
      </c>
      <c r="D110" s="97">
        <v>11.9008</v>
      </c>
      <c r="E110" s="97">
        <v>326.42170040000002</v>
      </c>
    </row>
    <row r="111" spans="1:5" x14ac:dyDescent="0.25">
      <c r="A111" t="s">
        <v>1798</v>
      </c>
      <c r="B111" t="s">
        <v>1799</v>
      </c>
      <c r="C111" s="97">
        <v>346.65290240000002</v>
      </c>
      <c r="D111" s="97">
        <v>37.657106400000117</v>
      </c>
      <c r="E111" s="97">
        <v>384.31000880000011</v>
      </c>
    </row>
    <row r="112" spans="1:5" x14ac:dyDescent="0.25">
      <c r="A112" t="s">
        <v>1801</v>
      </c>
      <c r="B112" t="s">
        <v>1802</v>
      </c>
      <c r="C112" s="97">
        <v>76.287204000000003</v>
      </c>
      <c r="D112" s="97">
        <v>0</v>
      </c>
      <c r="E112" s="97">
        <v>76.287204000000003</v>
      </c>
    </row>
    <row r="113" spans="1:5" x14ac:dyDescent="0.25">
      <c r="A113" t="s">
        <v>1804</v>
      </c>
      <c r="B113" t="s">
        <v>1215</v>
      </c>
      <c r="C113" s="97">
        <v>270.36569839999999</v>
      </c>
      <c r="D113" s="97">
        <v>5.9504000000000001</v>
      </c>
      <c r="E113" s="97">
        <v>276.31609839999999</v>
      </c>
    </row>
    <row r="114" spans="1:5" x14ac:dyDescent="0.25">
      <c r="A114" t="s">
        <v>1806</v>
      </c>
      <c r="B114" t="s">
        <v>1807</v>
      </c>
      <c r="C114" s="97">
        <v>238.23369640000001</v>
      </c>
      <c r="D114" s="97">
        <v>11.9008</v>
      </c>
      <c r="E114" s="97">
        <v>250.13449640000002</v>
      </c>
    </row>
    <row r="115" spans="1:5" x14ac:dyDescent="0.25">
      <c r="A115" t="s">
        <v>1809</v>
      </c>
      <c r="B115" t="s">
        <v>1810</v>
      </c>
      <c r="C115" s="97">
        <v>238.23369640000001</v>
      </c>
      <c r="D115" s="97">
        <v>14.876000000000001</v>
      </c>
      <c r="E115" s="97">
        <v>253.10969640000002</v>
      </c>
    </row>
    <row r="116" spans="1:5" x14ac:dyDescent="0.25">
      <c r="A116" t="s">
        <v>1812</v>
      </c>
      <c r="B116" t="s">
        <v>1813</v>
      </c>
      <c r="C116" s="97">
        <v>417.58377080000002</v>
      </c>
      <c r="D116" s="97">
        <v>53.553600000000003</v>
      </c>
      <c r="E116" s="97">
        <v>471.13737079999999</v>
      </c>
    </row>
    <row r="117" spans="1:5" x14ac:dyDescent="0.25">
      <c r="A117" t="s">
        <v>1815</v>
      </c>
      <c r="B117" t="s">
        <v>1816</v>
      </c>
      <c r="C117" s="97">
        <v>238.23369640000001</v>
      </c>
      <c r="D117" s="97">
        <v>8.9255999999999993</v>
      </c>
      <c r="E117" s="97">
        <v>247.15929640000002</v>
      </c>
    </row>
    <row r="118" spans="1:5" x14ac:dyDescent="0.25">
      <c r="A118" t="s">
        <v>1818</v>
      </c>
      <c r="B118" t="s">
        <v>1395</v>
      </c>
      <c r="C118" s="97">
        <v>422.94010639999999</v>
      </c>
      <c r="D118" s="97">
        <v>4.3051144000000079</v>
      </c>
      <c r="E118" s="97">
        <v>427.24522079999997</v>
      </c>
    </row>
    <row r="119" spans="1:5" x14ac:dyDescent="0.25">
      <c r="A119" t="s">
        <v>1820</v>
      </c>
      <c r="B119" t="s">
        <v>1821</v>
      </c>
      <c r="C119" s="97">
        <v>270.36569839999999</v>
      </c>
      <c r="D119" s="97">
        <v>26.776800000000001</v>
      </c>
      <c r="E119" s="97">
        <v>297.14249839999997</v>
      </c>
    </row>
    <row r="120" spans="1:5" x14ac:dyDescent="0.25">
      <c r="A120" t="s">
        <v>1823</v>
      </c>
      <c r="B120" t="s">
        <v>1824</v>
      </c>
      <c r="C120" s="97">
        <v>346.65290240000002</v>
      </c>
      <c r="D120" s="97">
        <v>26.776800000000001</v>
      </c>
      <c r="E120" s="97">
        <v>373.4297024</v>
      </c>
    </row>
    <row r="121" spans="1:5" x14ac:dyDescent="0.25">
      <c r="A121" t="s">
        <v>1826</v>
      </c>
      <c r="B121" t="s">
        <v>1332</v>
      </c>
      <c r="C121" s="97">
        <v>76.287204000000003</v>
      </c>
      <c r="D121" s="97">
        <v>0</v>
      </c>
      <c r="E121" s="97">
        <v>76.287204000000003</v>
      </c>
    </row>
    <row r="122" spans="1:5" x14ac:dyDescent="0.25">
      <c r="A122" t="s">
        <v>1828</v>
      </c>
      <c r="B122" t="s">
        <v>1385</v>
      </c>
      <c r="C122" s="97">
        <v>270.36569839999999</v>
      </c>
      <c r="D122" s="97">
        <v>12.338154400000144</v>
      </c>
      <c r="E122" s="97">
        <v>282.70385280000011</v>
      </c>
    </row>
    <row r="123" spans="1:5" x14ac:dyDescent="0.25">
      <c r="A123" t="s">
        <v>1830</v>
      </c>
      <c r="B123" t="s">
        <v>1235</v>
      </c>
      <c r="C123" s="97">
        <v>346.65290240000002</v>
      </c>
      <c r="D123" s="97">
        <v>14.876000000000001</v>
      </c>
      <c r="E123" s="97">
        <v>361.52890239999999</v>
      </c>
    </row>
    <row r="124" spans="1:5" x14ac:dyDescent="0.25">
      <c r="A124" t="s">
        <v>1832</v>
      </c>
      <c r="B124" t="s">
        <v>1833</v>
      </c>
      <c r="C124" s="97">
        <v>417.58377080000002</v>
      </c>
      <c r="D124" s="97">
        <v>47.603200000000001</v>
      </c>
      <c r="E124" s="97">
        <v>465.18697080000004</v>
      </c>
    </row>
    <row r="125" spans="1:5" x14ac:dyDescent="0.25">
      <c r="A125" t="s">
        <v>1835</v>
      </c>
      <c r="B125" t="s">
        <v>1836</v>
      </c>
      <c r="C125" s="97">
        <v>346.65290240000002</v>
      </c>
      <c r="D125" s="97">
        <v>26.776800000000001</v>
      </c>
      <c r="E125" s="97">
        <v>373.4297024</v>
      </c>
    </row>
    <row r="126" spans="1:5" x14ac:dyDescent="0.25">
      <c r="A126" t="s">
        <v>1838</v>
      </c>
      <c r="B126" t="s">
        <v>1839</v>
      </c>
      <c r="C126" s="97">
        <v>161.94649240000001</v>
      </c>
      <c r="D126" s="97">
        <v>8.9255999999999993</v>
      </c>
      <c r="E126" s="97">
        <v>170.87209240000001</v>
      </c>
    </row>
    <row r="127" spans="1:5" x14ac:dyDescent="0.25">
      <c r="A127" t="s">
        <v>1841</v>
      </c>
      <c r="B127" t="s">
        <v>1218</v>
      </c>
      <c r="C127" s="97">
        <v>161.94649240000001</v>
      </c>
      <c r="D127" s="97">
        <v>2.9752000000000001</v>
      </c>
      <c r="E127" s="97">
        <v>164.92169240000001</v>
      </c>
    </row>
    <row r="128" spans="1:5" x14ac:dyDescent="0.25">
      <c r="A128" t="s">
        <v>1843</v>
      </c>
      <c r="B128" t="s">
        <v>1242</v>
      </c>
      <c r="C128" s="97">
        <v>238.23369640000001</v>
      </c>
      <c r="D128" s="97">
        <v>11.9008</v>
      </c>
      <c r="E128" s="97">
        <v>250.13449640000002</v>
      </c>
    </row>
    <row r="129" spans="1:5" x14ac:dyDescent="0.25">
      <c r="A129" t="s">
        <v>1845</v>
      </c>
      <c r="B129" t="s">
        <v>1251</v>
      </c>
      <c r="C129" s="97">
        <v>270.36569839999999</v>
      </c>
      <c r="D129" s="97">
        <v>26.729196799999944</v>
      </c>
      <c r="E129" s="97">
        <v>297.09489519999994</v>
      </c>
    </row>
    <row r="130" spans="1:5" x14ac:dyDescent="0.25">
      <c r="A130" t="s">
        <v>1847</v>
      </c>
      <c r="B130" t="s">
        <v>1322</v>
      </c>
      <c r="C130" s="97">
        <v>161.94649240000001</v>
      </c>
      <c r="D130" s="97">
        <v>0</v>
      </c>
      <c r="E130" s="97">
        <v>161.94649240000001</v>
      </c>
    </row>
    <row r="131" spans="1:5" x14ac:dyDescent="0.25">
      <c r="A131" t="s">
        <v>1849</v>
      </c>
      <c r="B131" t="s">
        <v>1850</v>
      </c>
      <c r="C131" s="97">
        <v>270.36569839999999</v>
      </c>
      <c r="D131" s="97">
        <v>151.73519999999999</v>
      </c>
      <c r="E131" s="97">
        <v>422.10089840000001</v>
      </c>
    </row>
    <row r="132" spans="1:5" x14ac:dyDescent="0.25">
      <c r="A132" t="s">
        <v>1852</v>
      </c>
      <c r="B132" t="s">
        <v>1853</v>
      </c>
      <c r="C132" s="97">
        <v>346.65290240000002</v>
      </c>
      <c r="D132" s="97">
        <v>11.653858400000004</v>
      </c>
      <c r="E132" s="97">
        <v>358.30676080000001</v>
      </c>
    </row>
    <row r="133" spans="1:5" x14ac:dyDescent="0.25">
      <c r="A133" t="s">
        <v>1855</v>
      </c>
      <c r="B133" t="s">
        <v>1856</v>
      </c>
      <c r="C133" s="97">
        <v>346.65290240000002</v>
      </c>
      <c r="D133" s="97">
        <v>25.066060000000036</v>
      </c>
      <c r="E133" s="97">
        <v>371.71896240000001</v>
      </c>
    </row>
    <row r="134" spans="1:5" x14ac:dyDescent="0.25">
      <c r="A134" t="s">
        <v>1858</v>
      </c>
      <c r="B134" t="s">
        <v>1859</v>
      </c>
      <c r="C134" s="97">
        <v>346.65290240000002</v>
      </c>
      <c r="D134" s="97">
        <v>42.664367999999925</v>
      </c>
      <c r="E134" s="97">
        <v>389.31727039999987</v>
      </c>
    </row>
    <row r="135" spans="1:5" x14ac:dyDescent="0.25">
      <c r="A135" t="s">
        <v>1861</v>
      </c>
      <c r="B135" t="s">
        <v>1862</v>
      </c>
      <c r="C135" s="97">
        <v>161.94649240000001</v>
      </c>
      <c r="D135" s="97">
        <v>6.3103992000000275</v>
      </c>
      <c r="E135" s="97">
        <v>168.25689160000005</v>
      </c>
    </row>
    <row r="136" spans="1:5" x14ac:dyDescent="0.25">
      <c r="A136" t="s">
        <v>1864</v>
      </c>
      <c r="B136" t="s">
        <v>1865</v>
      </c>
      <c r="C136" s="97">
        <v>238.23369640000001</v>
      </c>
      <c r="D136" s="97">
        <v>5.9504000000000001</v>
      </c>
      <c r="E136" s="97">
        <v>244.18409640000002</v>
      </c>
    </row>
    <row r="137" spans="1:5" x14ac:dyDescent="0.25">
      <c r="A137" t="s">
        <v>1867</v>
      </c>
      <c r="B137" t="s">
        <v>1868</v>
      </c>
      <c r="C137" s="97">
        <v>270.36569839999999</v>
      </c>
      <c r="D137" s="97">
        <v>38.677599999999998</v>
      </c>
      <c r="E137" s="97">
        <v>309.04329839999997</v>
      </c>
    </row>
    <row r="138" spans="1:5" x14ac:dyDescent="0.25">
      <c r="A138" t="s">
        <v>1870</v>
      </c>
      <c r="B138" t="s">
        <v>1871</v>
      </c>
      <c r="C138" s="97">
        <v>238.23369640000001</v>
      </c>
      <c r="D138" s="97">
        <v>26.776800000000001</v>
      </c>
      <c r="E138" s="97">
        <v>265.01049640000002</v>
      </c>
    </row>
    <row r="139" spans="1:5" x14ac:dyDescent="0.25">
      <c r="A139" t="s">
        <v>1873</v>
      </c>
      <c r="B139" t="s">
        <v>1874</v>
      </c>
      <c r="C139" s="97">
        <v>260.32632639999997</v>
      </c>
      <c r="D139" s="97">
        <v>5.9504000000000001</v>
      </c>
      <c r="E139" s="97">
        <v>266.27672640000003</v>
      </c>
    </row>
    <row r="140" spans="1:5" x14ac:dyDescent="0.25">
      <c r="A140" t="s">
        <v>1876</v>
      </c>
      <c r="B140" t="s">
        <v>1877</v>
      </c>
      <c r="C140" s="97">
        <v>346.65290240000002</v>
      </c>
      <c r="D140" s="97">
        <v>14.876000000000001</v>
      </c>
      <c r="E140" s="97">
        <v>361.52890239999999</v>
      </c>
    </row>
    <row r="141" spans="1:5" x14ac:dyDescent="0.25">
      <c r="A141" t="s">
        <v>1879</v>
      </c>
      <c r="B141" t="s">
        <v>1880</v>
      </c>
      <c r="C141" s="97">
        <v>238.23369640000001</v>
      </c>
      <c r="D141" s="97">
        <v>0</v>
      </c>
      <c r="E141" s="97">
        <v>238.23369640000001</v>
      </c>
    </row>
    <row r="142" spans="1:5" x14ac:dyDescent="0.25">
      <c r="A142" t="s">
        <v>1882</v>
      </c>
      <c r="B142" t="s">
        <v>1429</v>
      </c>
      <c r="C142" s="97">
        <v>439.67640080000001</v>
      </c>
      <c r="D142" s="97">
        <v>44.628</v>
      </c>
      <c r="E142" s="97">
        <v>484.30440079999994</v>
      </c>
    </row>
    <row r="143" spans="1:5" x14ac:dyDescent="0.25">
      <c r="A143" t="s">
        <v>1884</v>
      </c>
      <c r="B143" t="s">
        <v>1431</v>
      </c>
      <c r="C143" s="97">
        <v>22.09263</v>
      </c>
      <c r="D143" s="97">
        <v>0</v>
      </c>
      <c r="E143" s="97">
        <v>22.09263</v>
      </c>
    </row>
    <row r="144" spans="1:5" x14ac:dyDescent="0.25">
      <c r="A144" t="s">
        <v>1886</v>
      </c>
      <c r="B144" t="s">
        <v>1471</v>
      </c>
      <c r="C144" s="97">
        <v>161.94649240000001</v>
      </c>
      <c r="D144" s="97">
        <v>-0.26776800000000023</v>
      </c>
      <c r="E144" s="97">
        <v>161.67872440000002</v>
      </c>
    </row>
    <row r="145" spans="1:5" x14ac:dyDescent="0.25">
      <c r="A145" t="s">
        <v>1888</v>
      </c>
      <c r="B145" t="s">
        <v>1889</v>
      </c>
      <c r="C145" s="97">
        <v>76.287204000000003</v>
      </c>
      <c r="D145" s="97">
        <v>0</v>
      </c>
      <c r="E145" s="97">
        <v>76.287204000000003</v>
      </c>
    </row>
    <row r="146" spans="1:5" x14ac:dyDescent="0.25">
      <c r="A146" t="s">
        <v>1891</v>
      </c>
      <c r="B146" t="s">
        <v>1892</v>
      </c>
      <c r="C146" s="97">
        <v>161.94649240000001</v>
      </c>
      <c r="D146" s="97">
        <v>17.851199999999999</v>
      </c>
      <c r="E146" s="97">
        <v>179.79769240000002</v>
      </c>
    </row>
    <row r="147" spans="1:5" x14ac:dyDescent="0.25">
      <c r="A147" t="s">
        <v>1894</v>
      </c>
      <c r="B147" t="s">
        <v>1895</v>
      </c>
      <c r="C147" s="97">
        <v>270.36569839999999</v>
      </c>
      <c r="D147" s="97">
        <v>32.727200000000003</v>
      </c>
      <c r="E147" s="97">
        <v>303.09289839999997</v>
      </c>
    </row>
    <row r="148" spans="1:5" x14ac:dyDescent="0.25">
      <c r="A148" t="s">
        <v>1897</v>
      </c>
      <c r="B148" t="s">
        <v>1898</v>
      </c>
      <c r="C148" s="97">
        <v>270.36569839999999</v>
      </c>
      <c r="D148" s="97">
        <v>3.0109024000000013</v>
      </c>
      <c r="E148" s="97">
        <v>273.37660080000001</v>
      </c>
    </row>
    <row r="149" spans="1:5" x14ac:dyDescent="0.25">
      <c r="A149" t="s">
        <v>1900</v>
      </c>
      <c r="B149" t="s">
        <v>1901</v>
      </c>
      <c r="C149" s="97">
        <v>238.23369640000001</v>
      </c>
      <c r="D149" s="97">
        <v>20.8264</v>
      </c>
      <c r="E149" s="97">
        <v>259.06009640000002</v>
      </c>
    </row>
    <row r="150" spans="1:5" x14ac:dyDescent="0.25">
      <c r="A150" t="s">
        <v>1903</v>
      </c>
      <c r="B150" t="s">
        <v>1904</v>
      </c>
      <c r="C150" s="97">
        <v>346.65290240000002</v>
      </c>
      <c r="D150" s="97">
        <v>13.959638400000022</v>
      </c>
      <c r="E150" s="97">
        <v>360.61254080000003</v>
      </c>
    </row>
    <row r="151" spans="1:5" x14ac:dyDescent="0.25">
      <c r="A151" t="s">
        <v>1906</v>
      </c>
      <c r="B151" t="s">
        <v>1907</v>
      </c>
      <c r="C151" s="97">
        <v>184.0391224</v>
      </c>
      <c r="D151" s="97">
        <v>14.876000000000001</v>
      </c>
      <c r="E151" s="97">
        <v>198.91512240000003</v>
      </c>
    </row>
    <row r="152" spans="1:5" x14ac:dyDescent="0.25">
      <c r="A152" t="s">
        <v>1909</v>
      </c>
      <c r="B152" t="s">
        <v>1910</v>
      </c>
      <c r="C152" s="97">
        <v>292.45832839999997</v>
      </c>
      <c r="D152" s="97">
        <v>41.652799999999999</v>
      </c>
      <c r="E152" s="97">
        <v>334.11112839999998</v>
      </c>
    </row>
    <row r="153" spans="1:5" x14ac:dyDescent="0.25">
      <c r="A153" t="s">
        <v>1912</v>
      </c>
      <c r="B153" t="s">
        <v>1913</v>
      </c>
      <c r="C153" s="97">
        <v>346.65290240000002</v>
      </c>
      <c r="D153" s="97">
        <v>14.876000000000001</v>
      </c>
      <c r="E153" s="97">
        <v>361.52890239999999</v>
      </c>
    </row>
    <row r="154" spans="1:5" x14ac:dyDescent="0.25">
      <c r="A154" t="s">
        <v>1915</v>
      </c>
      <c r="B154" t="s">
        <v>1916</v>
      </c>
      <c r="C154" s="97">
        <v>270.36569839999999</v>
      </c>
      <c r="D154" s="97">
        <v>2.9752000000000001</v>
      </c>
      <c r="E154" s="97">
        <v>273.34089839999996</v>
      </c>
    </row>
    <row r="155" spans="1:5" x14ac:dyDescent="0.25">
      <c r="A155" t="s">
        <v>1918</v>
      </c>
      <c r="B155" t="s">
        <v>1919</v>
      </c>
      <c r="C155" s="97">
        <v>260.32632639999997</v>
      </c>
      <c r="D155" s="97">
        <v>0</v>
      </c>
      <c r="E155" s="97">
        <v>260.32632639999997</v>
      </c>
    </row>
    <row r="156" spans="1:5" x14ac:dyDescent="0.25">
      <c r="A156" t="s">
        <v>1921</v>
      </c>
      <c r="B156" t="s">
        <v>1922</v>
      </c>
      <c r="C156" s="97">
        <v>346.65290240000002</v>
      </c>
      <c r="D156" s="97">
        <v>27.761591200000051</v>
      </c>
      <c r="E156" s="97">
        <v>374.41449360000001</v>
      </c>
    </row>
    <row r="157" spans="1:5" x14ac:dyDescent="0.25">
      <c r="A157" t="s">
        <v>1924</v>
      </c>
      <c r="B157" t="s">
        <v>1925</v>
      </c>
      <c r="C157" s="97">
        <v>238.23369640000001</v>
      </c>
      <c r="D157" s="97">
        <v>2.9752000000000001</v>
      </c>
      <c r="E157" s="97">
        <v>241.20889640000001</v>
      </c>
    </row>
    <row r="158" spans="1:5" x14ac:dyDescent="0.25">
      <c r="A158" t="s">
        <v>1927</v>
      </c>
      <c r="B158" t="s">
        <v>1928</v>
      </c>
      <c r="C158" s="97">
        <v>161.94649240000001</v>
      </c>
      <c r="D158" s="97">
        <v>11.9008</v>
      </c>
      <c r="E158" s="97">
        <v>173.84729240000001</v>
      </c>
    </row>
    <row r="159" spans="1:5" x14ac:dyDescent="0.25">
      <c r="A159" t="s">
        <v>1930</v>
      </c>
      <c r="B159" t="s">
        <v>1931</v>
      </c>
      <c r="C159" s="97">
        <v>323.89298480000002</v>
      </c>
      <c r="D159" s="97">
        <v>14.876000000000001</v>
      </c>
      <c r="E159" s="97">
        <v>338.7689848</v>
      </c>
    </row>
    <row r="160" spans="1:5" x14ac:dyDescent="0.25">
      <c r="A160" t="s">
        <v>1933</v>
      </c>
      <c r="B160" t="s">
        <v>1934</v>
      </c>
      <c r="C160" s="97">
        <v>368.7455324</v>
      </c>
      <c r="D160" s="97">
        <v>37.416115200000064</v>
      </c>
      <c r="E160" s="97">
        <v>406.16164760000004</v>
      </c>
    </row>
    <row r="161" spans="1:5" x14ac:dyDescent="0.25">
      <c r="A161" t="s">
        <v>1936</v>
      </c>
      <c r="B161" t="s">
        <v>1364</v>
      </c>
      <c r="C161" s="97">
        <v>346.65290240000002</v>
      </c>
      <c r="D161" s="97">
        <v>0</v>
      </c>
      <c r="E161" s="97">
        <v>346.65290240000002</v>
      </c>
    </row>
    <row r="162" spans="1:5" x14ac:dyDescent="0.25">
      <c r="A162" t="s">
        <v>1938</v>
      </c>
      <c r="B162" t="s">
        <v>1939</v>
      </c>
      <c r="C162" s="97">
        <v>368.7455324</v>
      </c>
      <c r="D162" s="97">
        <v>35.279921600000016</v>
      </c>
      <c r="E162" s="97">
        <v>404.02545399999997</v>
      </c>
    </row>
    <row r="163" spans="1:5" x14ac:dyDescent="0.25">
      <c r="A163" t="s">
        <v>1941</v>
      </c>
      <c r="B163" t="s">
        <v>1239</v>
      </c>
      <c r="C163" s="97">
        <v>161.94649240000001</v>
      </c>
      <c r="D163" s="97">
        <v>17.851199999999999</v>
      </c>
      <c r="E163" s="97">
        <v>179.79769240000002</v>
      </c>
    </row>
    <row r="164" spans="1:5" x14ac:dyDescent="0.25">
      <c r="A164" t="s">
        <v>1943</v>
      </c>
      <c r="B164" t="s">
        <v>1944</v>
      </c>
      <c r="C164" s="97">
        <v>346.65290240000002</v>
      </c>
      <c r="D164" s="97">
        <v>5.9504000000000001</v>
      </c>
      <c r="E164" s="97">
        <v>352.60330239999996</v>
      </c>
    </row>
    <row r="165" spans="1:5" x14ac:dyDescent="0.25">
      <c r="A165" t="s">
        <v>1946</v>
      </c>
      <c r="B165" t="s">
        <v>1947</v>
      </c>
      <c r="C165" s="97">
        <v>161.94649240000001</v>
      </c>
      <c r="D165" s="97">
        <v>1.3596663999999812</v>
      </c>
      <c r="E165" s="97">
        <v>163.30615879999999</v>
      </c>
    </row>
    <row r="166" spans="1:5" x14ac:dyDescent="0.25">
      <c r="A166" t="s">
        <v>1949</v>
      </c>
      <c r="B166" t="s">
        <v>1269</v>
      </c>
      <c r="C166" s="97">
        <v>503.2430592</v>
      </c>
      <c r="D166" s="97">
        <v>29.752000000000002</v>
      </c>
      <c r="E166" s="97">
        <v>532.99505920000001</v>
      </c>
    </row>
    <row r="167" spans="1:5" x14ac:dyDescent="0.25">
      <c r="A167" t="s">
        <v>1952</v>
      </c>
      <c r="B167" t="s">
        <v>1953</v>
      </c>
      <c r="C167" s="97">
        <v>346.65290240000002</v>
      </c>
      <c r="D167" s="97">
        <v>11.9008</v>
      </c>
      <c r="E167" s="97">
        <v>358.55370240000002</v>
      </c>
    </row>
    <row r="168" spans="1:5" x14ac:dyDescent="0.25">
      <c r="A168" t="s">
        <v>1955</v>
      </c>
      <c r="B168" t="s">
        <v>1956</v>
      </c>
      <c r="C168" s="97">
        <v>238.23369640000001</v>
      </c>
      <c r="D168" s="97">
        <v>11.9008</v>
      </c>
      <c r="E168" s="97">
        <v>250.13449640000002</v>
      </c>
    </row>
    <row r="169" spans="1:5" x14ac:dyDescent="0.25">
      <c r="A169" t="s">
        <v>1958</v>
      </c>
      <c r="B169" t="s">
        <v>1959</v>
      </c>
      <c r="C169" s="97">
        <v>346.65290240000002</v>
      </c>
      <c r="D169" s="97">
        <v>0</v>
      </c>
      <c r="E169" s="97">
        <v>346.65290240000002</v>
      </c>
    </row>
    <row r="170" spans="1:5" x14ac:dyDescent="0.25">
      <c r="A170" t="s">
        <v>1961</v>
      </c>
      <c r="B170" t="s">
        <v>1295</v>
      </c>
      <c r="C170" s="97">
        <v>346.65290240000002</v>
      </c>
      <c r="D170" s="97">
        <v>8.9255999999999993</v>
      </c>
      <c r="E170" s="97">
        <v>355.57850239999993</v>
      </c>
    </row>
    <row r="171" spans="1:5" x14ac:dyDescent="0.25">
      <c r="A171" t="s">
        <v>1963</v>
      </c>
      <c r="B171" t="s">
        <v>1964</v>
      </c>
      <c r="C171" s="97">
        <v>184.0391224</v>
      </c>
      <c r="D171" s="97">
        <v>12.671376799999958</v>
      </c>
      <c r="E171" s="97">
        <v>196.71049919999996</v>
      </c>
    </row>
    <row r="172" spans="1:5" x14ac:dyDescent="0.25">
      <c r="A172" t="s">
        <v>1966</v>
      </c>
      <c r="B172" t="s">
        <v>1967</v>
      </c>
      <c r="C172" s="97">
        <v>238.23369640000001</v>
      </c>
      <c r="D172" s="97">
        <v>2.9752000000000001</v>
      </c>
      <c r="E172" s="97">
        <v>241.20889640000001</v>
      </c>
    </row>
    <row r="173" spans="1:5" x14ac:dyDescent="0.25">
      <c r="A173" t="s">
        <v>1969</v>
      </c>
      <c r="B173" t="s">
        <v>1970</v>
      </c>
      <c r="C173" s="97">
        <v>161.94649240000001</v>
      </c>
      <c r="D173" s="97">
        <v>11.9008</v>
      </c>
      <c r="E173" s="97">
        <v>173.84729240000001</v>
      </c>
    </row>
    <row r="174" spans="1:5" x14ac:dyDescent="0.25">
      <c r="A174" t="s">
        <v>1972</v>
      </c>
      <c r="B174" t="s">
        <v>1973</v>
      </c>
      <c r="C174" s="97">
        <v>161.94649240000001</v>
      </c>
      <c r="D174" s="97">
        <v>8.9255999999999993</v>
      </c>
      <c r="E174" s="97">
        <v>170.87209240000001</v>
      </c>
    </row>
    <row r="175" spans="1:5" x14ac:dyDescent="0.25">
      <c r="A175" t="s">
        <v>1975</v>
      </c>
      <c r="B175" t="s">
        <v>1976</v>
      </c>
      <c r="C175" s="97">
        <v>238.23369640000001</v>
      </c>
      <c r="D175" s="97">
        <v>2.9752000000000001</v>
      </c>
      <c r="E175" s="97">
        <v>241.20889640000001</v>
      </c>
    </row>
    <row r="176" spans="1:5" x14ac:dyDescent="0.25">
      <c r="A176" t="s">
        <v>1978</v>
      </c>
      <c r="B176" t="s">
        <v>1979</v>
      </c>
      <c r="C176" s="97">
        <v>346.65290240000002</v>
      </c>
      <c r="D176" s="97">
        <v>20.207558399999922</v>
      </c>
      <c r="E176" s="97">
        <v>366.86046079999994</v>
      </c>
    </row>
    <row r="177" spans="1:5" x14ac:dyDescent="0.25">
      <c r="A177" t="s">
        <v>1981</v>
      </c>
      <c r="B177" t="s">
        <v>1982</v>
      </c>
      <c r="C177" s="97">
        <v>346.65290240000002</v>
      </c>
      <c r="D177" s="97">
        <v>11.9008</v>
      </c>
      <c r="E177" s="97">
        <v>358.55370240000002</v>
      </c>
    </row>
    <row r="178" spans="1:5" x14ac:dyDescent="0.25">
      <c r="A178" t="s">
        <v>1984</v>
      </c>
      <c r="B178" t="s">
        <v>1394</v>
      </c>
      <c r="C178" s="97">
        <v>238.23369640000001</v>
      </c>
      <c r="D178" s="97">
        <v>14.876000000000001</v>
      </c>
      <c r="E178" s="97">
        <v>253.10969640000002</v>
      </c>
    </row>
    <row r="179" spans="1:5" x14ac:dyDescent="0.25">
      <c r="A179" t="s">
        <v>1986</v>
      </c>
      <c r="B179" t="s">
        <v>1227</v>
      </c>
      <c r="C179" s="97">
        <v>260.32632639999997</v>
      </c>
      <c r="D179" s="97">
        <v>8.9255999999999993</v>
      </c>
      <c r="E179" s="97">
        <v>269.2519264</v>
      </c>
    </row>
    <row r="180" spans="1:5" x14ac:dyDescent="0.25">
      <c r="A180" t="s">
        <v>1988</v>
      </c>
      <c r="B180" t="s">
        <v>1989</v>
      </c>
      <c r="C180" s="97">
        <v>161.94649240000001</v>
      </c>
      <c r="D180" s="97">
        <v>8.9255999999999993</v>
      </c>
      <c r="E180" s="97">
        <v>170.87209240000001</v>
      </c>
    </row>
    <row r="181" spans="1:5" x14ac:dyDescent="0.25">
      <c r="A181" t="s">
        <v>1991</v>
      </c>
      <c r="B181" t="s">
        <v>1343</v>
      </c>
      <c r="C181" s="97">
        <v>270.36569839999999</v>
      </c>
      <c r="D181" s="97">
        <v>26.776800000000001</v>
      </c>
      <c r="E181" s="97">
        <v>297.14249839999997</v>
      </c>
    </row>
    <row r="182" spans="1:5" x14ac:dyDescent="0.25">
      <c r="A182" t="s">
        <v>1993</v>
      </c>
      <c r="B182" t="s">
        <v>2257</v>
      </c>
      <c r="C182" s="97">
        <v>184.0391224</v>
      </c>
      <c r="D182" s="97">
        <v>0</v>
      </c>
      <c r="E182" s="97">
        <v>184.0391224</v>
      </c>
    </row>
    <row r="183" spans="1:5" x14ac:dyDescent="0.25">
      <c r="A183" t="s">
        <v>1996</v>
      </c>
      <c r="B183" t="s">
        <v>1309</v>
      </c>
      <c r="C183" s="97">
        <v>346.65290240000002</v>
      </c>
      <c r="D183" s="97">
        <v>23.801600000000001</v>
      </c>
      <c r="E183" s="97">
        <v>370.45450240000002</v>
      </c>
    </row>
    <row r="184" spans="1:5" x14ac:dyDescent="0.25">
      <c r="A184" t="s">
        <v>1998</v>
      </c>
      <c r="B184" t="s">
        <v>1999</v>
      </c>
      <c r="C184" s="97">
        <v>270.36569839999999</v>
      </c>
      <c r="D184" s="97">
        <v>8.9255999999999993</v>
      </c>
      <c r="E184" s="97">
        <v>279.29129839999996</v>
      </c>
    </row>
    <row r="185" spans="1:5" x14ac:dyDescent="0.25">
      <c r="A185" t="s">
        <v>2001</v>
      </c>
      <c r="B185" t="s">
        <v>2002</v>
      </c>
      <c r="C185" s="97">
        <v>346.65290240000002</v>
      </c>
      <c r="D185" s="97">
        <v>23.801600000000001</v>
      </c>
      <c r="E185" s="97">
        <v>370.45450240000002</v>
      </c>
    </row>
    <row r="186" spans="1:5" x14ac:dyDescent="0.25">
      <c r="A186" t="s">
        <v>2004</v>
      </c>
      <c r="B186" t="s">
        <v>2005</v>
      </c>
      <c r="C186" s="97">
        <v>346.65290240000002</v>
      </c>
      <c r="D186" s="97">
        <v>32.727200000000003</v>
      </c>
      <c r="E186" s="97">
        <v>379.38010239999994</v>
      </c>
    </row>
    <row r="187" spans="1:5" x14ac:dyDescent="0.25">
      <c r="A187" t="s">
        <v>2007</v>
      </c>
      <c r="B187" t="s">
        <v>2008</v>
      </c>
      <c r="C187" s="97">
        <v>346.65290240000002</v>
      </c>
      <c r="D187" s="97">
        <v>86.280799999999999</v>
      </c>
      <c r="E187" s="97">
        <v>432.93370240000002</v>
      </c>
    </row>
    <row r="188" spans="1:5" x14ac:dyDescent="0.25">
      <c r="A188" t="s">
        <v>2010</v>
      </c>
      <c r="B188" t="s">
        <v>2011</v>
      </c>
      <c r="C188" s="97">
        <v>493.8709748</v>
      </c>
      <c r="D188" s="97">
        <v>11.9008</v>
      </c>
      <c r="E188" s="97">
        <v>505.7717748</v>
      </c>
    </row>
    <row r="189" spans="1:5" x14ac:dyDescent="0.25">
      <c r="A189" t="s">
        <v>2013</v>
      </c>
      <c r="B189" t="s">
        <v>2014</v>
      </c>
      <c r="C189" s="97">
        <v>238.23369640000001</v>
      </c>
      <c r="D189" s="97">
        <v>0</v>
      </c>
      <c r="E189" s="97">
        <v>238.23369640000001</v>
      </c>
    </row>
    <row r="190" spans="1:5" x14ac:dyDescent="0.25">
      <c r="A190" t="s">
        <v>2016</v>
      </c>
      <c r="B190" t="s">
        <v>2017</v>
      </c>
      <c r="C190" s="97">
        <v>346.65290240000002</v>
      </c>
      <c r="D190" s="97">
        <v>53.553600000000003</v>
      </c>
      <c r="E190" s="97">
        <v>400.20650239999998</v>
      </c>
    </row>
    <row r="191" spans="1:5" x14ac:dyDescent="0.25">
      <c r="A191" t="s">
        <v>2019</v>
      </c>
      <c r="B191" t="s">
        <v>2020</v>
      </c>
      <c r="C191" s="97">
        <v>439.67640080000001</v>
      </c>
      <c r="D191" s="97">
        <v>0</v>
      </c>
      <c r="E191" s="97">
        <v>439.67640080000001</v>
      </c>
    </row>
    <row r="192" spans="1:5" x14ac:dyDescent="0.25">
      <c r="A192" t="s">
        <v>2022</v>
      </c>
      <c r="B192" t="s">
        <v>2023</v>
      </c>
      <c r="C192" s="97">
        <v>161.94649240000001</v>
      </c>
      <c r="D192" s="97">
        <v>0</v>
      </c>
      <c r="E192" s="97">
        <v>161.94649240000001</v>
      </c>
    </row>
    <row r="193" spans="1:5" x14ac:dyDescent="0.25">
      <c r="A193" t="s">
        <v>2025</v>
      </c>
      <c r="B193" t="s">
        <v>1308</v>
      </c>
      <c r="C193" s="97">
        <v>422.94010639999999</v>
      </c>
      <c r="D193" s="97">
        <v>0</v>
      </c>
      <c r="E193" s="97">
        <v>422.94010639999999</v>
      </c>
    </row>
    <row r="194" spans="1:5" x14ac:dyDescent="0.25">
      <c r="A194" t="s">
        <v>2027</v>
      </c>
      <c r="B194" t="s">
        <v>2028</v>
      </c>
      <c r="C194" s="97">
        <v>346.65290240000002</v>
      </c>
      <c r="D194" s="97">
        <v>49.17113039999996</v>
      </c>
      <c r="E194" s="97">
        <v>395.82403279999994</v>
      </c>
    </row>
    <row r="195" spans="1:5" x14ac:dyDescent="0.25">
      <c r="A195" t="s">
        <v>2030</v>
      </c>
      <c r="B195" t="s">
        <v>1476</v>
      </c>
      <c r="C195" s="97">
        <v>346.65290240000002</v>
      </c>
      <c r="D195" s="97">
        <v>14.876000000000001</v>
      </c>
      <c r="E195" s="97">
        <v>361.52890239999999</v>
      </c>
    </row>
    <row r="196" spans="1:5" x14ac:dyDescent="0.25">
      <c r="A196" t="s">
        <v>2032</v>
      </c>
      <c r="B196" t="s">
        <v>2033</v>
      </c>
      <c r="C196" s="97">
        <v>161.94649240000001</v>
      </c>
      <c r="D196" s="97">
        <v>5.2601536000000024</v>
      </c>
      <c r="E196" s="97">
        <v>167.20664600000001</v>
      </c>
    </row>
    <row r="197" spans="1:5" x14ac:dyDescent="0.25">
      <c r="A197" t="s">
        <v>2035</v>
      </c>
      <c r="B197" t="s">
        <v>1444</v>
      </c>
      <c r="C197" s="97">
        <v>368.7455324</v>
      </c>
      <c r="D197" s="97">
        <v>2.9752000000000001</v>
      </c>
      <c r="E197" s="97">
        <v>371.72073239999997</v>
      </c>
    </row>
    <row r="198" spans="1:5" x14ac:dyDescent="0.25">
      <c r="A198" t="s">
        <v>2037</v>
      </c>
      <c r="B198" t="s">
        <v>2038</v>
      </c>
      <c r="C198" s="97">
        <v>346.65290240000002</v>
      </c>
      <c r="D198" s="97">
        <v>5.9504000000000001</v>
      </c>
      <c r="E198" s="97">
        <v>352.60330239999996</v>
      </c>
    </row>
    <row r="199" spans="1:5" x14ac:dyDescent="0.25">
      <c r="A199" t="s">
        <v>2040</v>
      </c>
      <c r="B199" t="s">
        <v>2041</v>
      </c>
      <c r="C199" s="97">
        <v>161.94649240000001</v>
      </c>
      <c r="D199" s="97">
        <v>11.9008</v>
      </c>
      <c r="E199" s="97">
        <v>173.84729240000001</v>
      </c>
    </row>
    <row r="200" spans="1:5" x14ac:dyDescent="0.25">
      <c r="A200" t="s">
        <v>2043</v>
      </c>
      <c r="B200" t="s">
        <v>2044</v>
      </c>
      <c r="C200" s="97">
        <v>346.65290240000002</v>
      </c>
      <c r="D200" s="97">
        <v>68.429600000000008</v>
      </c>
      <c r="E200" s="97">
        <v>415.08250239999995</v>
      </c>
    </row>
    <row r="201" spans="1:5" x14ac:dyDescent="0.25">
      <c r="A201" t="s">
        <v>2046</v>
      </c>
      <c r="B201" t="s">
        <v>2047</v>
      </c>
      <c r="C201" s="97">
        <v>346.65290240000002</v>
      </c>
      <c r="D201" s="97">
        <v>26.776800000000001</v>
      </c>
      <c r="E201" s="97">
        <v>373.4297024</v>
      </c>
    </row>
    <row r="202" spans="1:5" x14ac:dyDescent="0.25">
      <c r="A202" t="s">
        <v>2049</v>
      </c>
      <c r="B202" t="s">
        <v>2050</v>
      </c>
      <c r="C202" s="97">
        <v>453.72550999999999</v>
      </c>
      <c r="D202" s="97">
        <v>23.801600000000001</v>
      </c>
      <c r="E202" s="97">
        <v>477.52710999999999</v>
      </c>
    </row>
    <row r="203" spans="1:5" x14ac:dyDescent="0.25">
      <c r="A203" t="s">
        <v>2052</v>
      </c>
      <c r="B203" t="s">
        <v>2053</v>
      </c>
      <c r="C203" s="97">
        <v>76.287204000000003</v>
      </c>
      <c r="D203" s="97">
        <v>0</v>
      </c>
      <c r="E203" s="97">
        <v>76.287204000000003</v>
      </c>
    </row>
    <row r="204" spans="1:5" x14ac:dyDescent="0.25">
      <c r="A204" t="s">
        <v>2055</v>
      </c>
      <c r="B204" t="s">
        <v>2056</v>
      </c>
      <c r="C204" s="97">
        <v>76.287204000000003</v>
      </c>
      <c r="D204" s="97">
        <v>0</v>
      </c>
      <c r="E204" s="97">
        <v>76.287204000000003</v>
      </c>
    </row>
    <row r="205" spans="1:5" x14ac:dyDescent="0.25">
      <c r="A205" t="s">
        <v>2058</v>
      </c>
      <c r="B205" t="s">
        <v>2059</v>
      </c>
      <c r="C205" s="97">
        <v>44.18526</v>
      </c>
      <c r="D205" s="97">
        <v>0</v>
      </c>
      <c r="E205" s="97">
        <v>44.18526</v>
      </c>
    </row>
    <row r="206" spans="1:5" x14ac:dyDescent="0.25">
      <c r="A206" t="s">
        <v>2061</v>
      </c>
      <c r="B206" t="s">
        <v>2062</v>
      </c>
      <c r="C206" s="97">
        <v>76.287204000000003</v>
      </c>
      <c r="D206" s="97">
        <v>0</v>
      </c>
      <c r="E206" s="97">
        <v>76.287204000000003</v>
      </c>
    </row>
    <row r="207" spans="1:5" x14ac:dyDescent="0.25">
      <c r="A207" t="s">
        <v>2064</v>
      </c>
      <c r="B207" t="s">
        <v>2065</v>
      </c>
      <c r="C207" s="97">
        <v>0</v>
      </c>
      <c r="D207" s="97">
        <v>142.80959999999999</v>
      </c>
      <c r="E207" s="97">
        <v>142.80959999999999</v>
      </c>
    </row>
    <row r="208" spans="1:5" x14ac:dyDescent="0.25">
      <c r="A208" t="s">
        <v>2318</v>
      </c>
      <c r="B208" t="s">
        <v>2320</v>
      </c>
      <c r="C208" s="97">
        <v>346.65290240000002</v>
      </c>
      <c r="D208" s="97">
        <v>2.9752000000000001</v>
      </c>
      <c r="E208" s="97">
        <v>349.62810239999999</v>
      </c>
    </row>
    <row r="209" spans="1:5" x14ac:dyDescent="0.25">
      <c r="A209" t="s">
        <v>2299</v>
      </c>
      <c r="C209" s="97">
        <v>60462.664925599835</v>
      </c>
      <c r="D209" s="97">
        <v>3879.3484040000012</v>
      </c>
      <c r="E209" s="97">
        <v>64342.013329599999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3E88-760C-4EB0-A93A-59D9B504118D}">
  <dimension ref="A1:I384"/>
  <sheetViews>
    <sheetView showGridLines="0" zoomScale="130" zoomScaleNormal="130" workbookViewId="0">
      <pane xSplit="3" ySplit="1" topLeftCell="D374" activePane="bottomRight" state="frozen"/>
      <selection pane="topRight" activeCell="D1" sqref="D1"/>
      <selection pane="bottomLeft" activeCell="A2" sqref="A2"/>
      <selection pane="bottomRight" activeCell="I381" sqref="I381:I382"/>
    </sheetView>
  </sheetViews>
  <sheetFormatPr baseColWidth="10" defaultRowHeight="15" x14ac:dyDescent="0.25"/>
  <cols>
    <col min="1" max="1" width="11.42578125" style="78"/>
    <col min="2" max="2" width="33.28515625" customWidth="1"/>
    <col min="3" max="3" width="11.42578125" style="78"/>
    <col min="4" max="5" width="11.42578125" style="9"/>
    <col min="6" max="6" width="16.140625" style="11" customWidth="1"/>
    <col min="8" max="8" width="11.42578125" style="9"/>
  </cols>
  <sheetData>
    <row r="1" spans="1:9" ht="30" x14ac:dyDescent="0.25">
      <c r="A1" s="69" t="s">
        <v>1509</v>
      </c>
      <c r="B1" s="24" t="s">
        <v>1510</v>
      </c>
      <c r="C1" s="69" t="s">
        <v>2098</v>
      </c>
      <c r="D1" s="70" t="s">
        <v>2099</v>
      </c>
      <c r="E1" s="70" t="s">
        <v>2100</v>
      </c>
      <c r="F1" s="71" t="s">
        <v>2101</v>
      </c>
      <c r="G1" s="70" t="s">
        <v>2102</v>
      </c>
      <c r="H1" s="70" t="s">
        <v>2103</v>
      </c>
      <c r="I1" s="70" t="s">
        <v>2104</v>
      </c>
    </row>
    <row r="2" spans="1:9" x14ac:dyDescent="0.25">
      <c r="A2" s="72" t="s">
        <v>1512</v>
      </c>
      <c r="B2" s="73" t="s">
        <v>1513</v>
      </c>
      <c r="C2" s="72" t="s">
        <v>1514</v>
      </c>
      <c r="D2" s="25">
        <v>0</v>
      </c>
      <c r="E2" s="25">
        <v>0</v>
      </c>
      <c r="F2" s="74">
        <v>2.8500000000000001E-3</v>
      </c>
      <c r="G2" s="26">
        <f t="shared" ref="G2:G65" si="0">pp_anual26*F2</f>
        <v>171.3306</v>
      </c>
      <c r="H2" s="25">
        <f>IFERROR(VLOOKUP(C2,consumo_agua!$A$7:$X$202,24,0),0)</f>
        <v>0</v>
      </c>
      <c r="I2" s="26">
        <f>SUM(G2:H2)</f>
        <v>171.3306</v>
      </c>
    </row>
    <row r="3" spans="1:9" x14ac:dyDescent="0.25">
      <c r="A3" s="72" t="s">
        <v>1501</v>
      </c>
      <c r="B3" s="73" t="s">
        <v>1515</v>
      </c>
      <c r="C3" s="72" t="s">
        <v>1516</v>
      </c>
      <c r="D3" s="25">
        <v>78.95</v>
      </c>
      <c r="E3" s="25">
        <v>78.95</v>
      </c>
      <c r="F3" s="74">
        <v>4.4973999999999995E-3</v>
      </c>
      <c r="G3" s="26">
        <f t="shared" si="0"/>
        <v>270.36569839999999</v>
      </c>
      <c r="H3" s="25">
        <f>IFERROR(VLOOKUP(C3,consumo_agua!$A$7:$X$202,24,0),0)</f>
        <v>6.7269271999999871</v>
      </c>
      <c r="I3" s="26">
        <f t="shared" ref="I3:I66" si="1">SUM(G3:H3)</f>
        <v>277.09262559999996</v>
      </c>
    </row>
    <row r="4" spans="1:9" x14ac:dyDescent="0.25">
      <c r="A4" s="72" t="s">
        <v>1501</v>
      </c>
      <c r="B4" s="73" t="s">
        <v>1515</v>
      </c>
      <c r="C4" s="72" t="s">
        <v>2105</v>
      </c>
      <c r="D4" s="25">
        <v>0</v>
      </c>
      <c r="E4" s="25">
        <v>0</v>
      </c>
      <c r="F4" s="74">
        <v>1.2690000000000002E-3</v>
      </c>
      <c r="G4" s="26">
        <f t="shared" si="0"/>
        <v>76.287204000000003</v>
      </c>
      <c r="H4" s="25">
        <f>IFERROR(VLOOKUP(C4,consumo_agua!$A$7:$X$202,24,0),0)</f>
        <v>0</v>
      </c>
      <c r="I4" s="26">
        <f t="shared" si="1"/>
        <v>76.287204000000003</v>
      </c>
    </row>
    <row r="5" spans="1:9" x14ac:dyDescent="0.25">
      <c r="A5" s="72" t="s">
        <v>1517</v>
      </c>
      <c r="B5" s="73" t="s">
        <v>1518</v>
      </c>
      <c r="C5" s="72" t="s">
        <v>1519</v>
      </c>
      <c r="D5" s="25">
        <v>74.599999999999994</v>
      </c>
      <c r="E5" s="25">
        <v>74.599999999999994</v>
      </c>
      <c r="F5" s="74">
        <v>4.4973999999999995E-3</v>
      </c>
      <c r="G5" s="26">
        <f t="shared" si="0"/>
        <v>270.36569839999999</v>
      </c>
      <c r="H5" s="25">
        <f>IFERROR(VLOOKUP(C5,consumo_agua!$A$7:$X$202,24,0),0)</f>
        <v>27.011840800000023</v>
      </c>
      <c r="I5" s="26">
        <f t="shared" si="1"/>
        <v>297.3775392</v>
      </c>
    </row>
    <row r="6" spans="1:9" x14ac:dyDescent="0.25">
      <c r="A6" s="72" t="s">
        <v>1517</v>
      </c>
      <c r="B6" s="73" t="s">
        <v>1518</v>
      </c>
      <c r="C6" s="72" t="s">
        <v>2106</v>
      </c>
      <c r="D6" s="25">
        <v>0</v>
      </c>
      <c r="E6" s="25">
        <v>0</v>
      </c>
      <c r="F6" s="74">
        <v>1.2690000000000002E-3</v>
      </c>
      <c r="G6" s="26">
        <f t="shared" si="0"/>
        <v>76.287204000000003</v>
      </c>
      <c r="H6" s="25">
        <f>IFERROR(VLOOKUP(C6,consumo_agua!$A$7:$X$202,24,0),0)</f>
        <v>0</v>
      </c>
      <c r="I6" s="26">
        <f t="shared" si="1"/>
        <v>76.287204000000003</v>
      </c>
    </row>
    <row r="7" spans="1:9" x14ac:dyDescent="0.25">
      <c r="A7" s="72" t="s">
        <v>1520</v>
      </c>
      <c r="B7" s="73" t="s">
        <v>1521</v>
      </c>
      <c r="C7" s="72" t="s">
        <v>1522</v>
      </c>
      <c r="D7" s="25">
        <v>33</v>
      </c>
      <c r="E7" s="25">
        <v>33</v>
      </c>
      <c r="F7" s="74">
        <v>2.6939000000000004E-3</v>
      </c>
      <c r="G7" s="26">
        <f t="shared" si="0"/>
        <v>161.94649240000001</v>
      </c>
      <c r="H7" s="25">
        <f>IFERROR(VLOOKUP(C7,consumo_agua!$A$7:$X$202,24,0),0)</f>
        <v>6.1854408000000021</v>
      </c>
      <c r="I7" s="26">
        <f t="shared" si="1"/>
        <v>168.13193320000002</v>
      </c>
    </row>
    <row r="8" spans="1:9" x14ac:dyDescent="0.25">
      <c r="A8" s="72" t="s">
        <v>1523</v>
      </c>
      <c r="B8" s="73" t="s">
        <v>1524</v>
      </c>
      <c r="C8" s="72" t="s">
        <v>1525</v>
      </c>
      <c r="D8" s="25">
        <v>77.05</v>
      </c>
      <c r="E8" s="25">
        <v>77.05</v>
      </c>
      <c r="F8" s="74">
        <v>4.4973999999999995E-3</v>
      </c>
      <c r="G8" s="26">
        <f t="shared" si="0"/>
        <v>270.36569839999999</v>
      </c>
      <c r="H8" s="25">
        <f>IFERROR(VLOOKUP(C8,consumo_agua!$A$7:$X$202,24,0),0)</f>
        <v>17.851199999999999</v>
      </c>
      <c r="I8" s="26">
        <f t="shared" si="1"/>
        <v>288.21689839999999</v>
      </c>
    </row>
    <row r="9" spans="1:9" x14ac:dyDescent="0.25">
      <c r="A9" s="72" t="s">
        <v>1523</v>
      </c>
      <c r="B9" s="73" t="s">
        <v>1524</v>
      </c>
      <c r="C9" s="72" t="s">
        <v>2107</v>
      </c>
      <c r="D9" s="25">
        <v>0</v>
      </c>
      <c r="E9" s="25">
        <v>0</v>
      </c>
      <c r="F9" s="74">
        <v>1.2690000000000002E-3</v>
      </c>
      <c r="G9" s="26">
        <f t="shared" si="0"/>
        <v>76.287204000000003</v>
      </c>
      <c r="H9" s="25">
        <f>IFERROR(VLOOKUP(C9,consumo_agua!$A$7:$X$202,24,0),0)</f>
        <v>0</v>
      </c>
      <c r="I9" s="26">
        <f t="shared" si="1"/>
        <v>76.287204000000003</v>
      </c>
    </row>
    <row r="10" spans="1:9" x14ac:dyDescent="0.25">
      <c r="A10" s="72" t="s">
        <v>1526</v>
      </c>
      <c r="B10" s="73" t="s">
        <v>1294</v>
      </c>
      <c r="C10" s="72" t="s">
        <v>1527</v>
      </c>
      <c r="D10" s="25">
        <v>78.95</v>
      </c>
      <c r="E10" s="25">
        <v>78.95</v>
      </c>
      <c r="F10" s="74">
        <v>4.4973999999999995E-3</v>
      </c>
      <c r="G10" s="26">
        <f t="shared" si="0"/>
        <v>270.36569839999999</v>
      </c>
      <c r="H10" s="25">
        <f>IFERROR(VLOOKUP(C10,consumo_agua!$A$7:$X$202,24,0),0)</f>
        <v>50.578400000000002</v>
      </c>
      <c r="I10" s="26">
        <f t="shared" si="1"/>
        <v>320.94409839999997</v>
      </c>
    </row>
    <row r="11" spans="1:9" x14ac:dyDescent="0.25">
      <c r="A11" s="72" t="s">
        <v>1526</v>
      </c>
      <c r="B11" s="73" t="s">
        <v>1294</v>
      </c>
      <c r="C11" s="72" t="s">
        <v>2108</v>
      </c>
      <c r="D11" s="25">
        <v>0</v>
      </c>
      <c r="E11" s="25">
        <v>0</v>
      </c>
      <c r="F11" s="74">
        <v>1.2690000000000002E-3</v>
      </c>
      <c r="G11" s="26">
        <f t="shared" si="0"/>
        <v>76.287204000000003</v>
      </c>
      <c r="H11" s="25">
        <f>IFERROR(VLOOKUP(C11,consumo_agua!$A$7:$X$202,24,0),0)</f>
        <v>0</v>
      </c>
      <c r="I11" s="26">
        <f t="shared" si="1"/>
        <v>76.287204000000003</v>
      </c>
    </row>
    <row r="12" spans="1:9" x14ac:dyDescent="0.25">
      <c r="A12" s="72" t="s">
        <v>1528</v>
      </c>
      <c r="B12" s="73" t="s">
        <v>1422</v>
      </c>
      <c r="C12" s="72" t="s">
        <v>1529</v>
      </c>
      <c r="D12" s="25">
        <v>92.5</v>
      </c>
      <c r="E12" s="25">
        <v>92.5</v>
      </c>
      <c r="F12" s="74">
        <v>5.6772999999999997E-3</v>
      </c>
      <c r="G12" s="26">
        <f t="shared" si="0"/>
        <v>341.29656679999999</v>
      </c>
      <c r="H12" s="25">
        <f>IFERROR(VLOOKUP(C12,consumo_agua!$A$7:$X$202,24,0),0)</f>
        <v>2.9752000000000001</v>
      </c>
      <c r="I12" s="26">
        <f t="shared" si="1"/>
        <v>344.27176679999997</v>
      </c>
    </row>
    <row r="13" spans="1:9" x14ac:dyDescent="0.25">
      <c r="A13" s="72" t="s">
        <v>1528</v>
      </c>
      <c r="B13" s="73" t="s">
        <v>1422</v>
      </c>
      <c r="C13" s="72" t="s">
        <v>2109</v>
      </c>
      <c r="D13" s="25">
        <v>0</v>
      </c>
      <c r="E13" s="25">
        <v>0</v>
      </c>
      <c r="F13" s="74">
        <v>2.6939000000000004E-3</v>
      </c>
      <c r="G13" s="26">
        <f t="shared" si="0"/>
        <v>161.94649240000001</v>
      </c>
      <c r="H13" s="25">
        <f>IFERROR(VLOOKUP(C13,consumo_agua!$A$7:$X$202,24,0),0)</f>
        <v>0</v>
      </c>
      <c r="I13" s="26">
        <f t="shared" si="1"/>
        <v>161.94649240000001</v>
      </c>
    </row>
    <row r="14" spans="1:9" x14ac:dyDescent="0.25">
      <c r="A14" s="72" t="s">
        <v>1530</v>
      </c>
      <c r="B14" s="73" t="s">
        <v>1531</v>
      </c>
      <c r="C14" s="72" t="s">
        <v>1532</v>
      </c>
      <c r="D14" s="25">
        <v>81</v>
      </c>
      <c r="E14" s="25">
        <v>81</v>
      </c>
      <c r="F14" s="74">
        <v>4.4973999999999995E-3</v>
      </c>
      <c r="G14" s="26">
        <f t="shared" si="0"/>
        <v>270.36569839999999</v>
      </c>
      <c r="H14" s="25">
        <f>IFERROR(VLOOKUP(C14,consumo_agua!$A$7:$X$202,24,0),0)</f>
        <v>26.345396000000054</v>
      </c>
      <c r="I14" s="26">
        <f t="shared" si="1"/>
        <v>296.71109440000004</v>
      </c>
    </row>
    <row r="15" spans="1:9" x14ac:dyDescent="0.25">
      <c r="A15" s="72" t="s">
        <v>1533</v>
      </c>
      <c r="B15" s="73" t="s">
        <v>1427</v>
      </c>
      <c r="C15" s="72" t="s">
        <v>1534</v>
      </c>
      <c r="D15" s="25">
        <v>43.35</v>
      </c>
      <c r="E15" s="25">
        <v>43.35</v>
      </c>
      <c r="F15" s="74">
        <v>2.6939000000000004E-3</v>
      </c>
      <c r="G15" s="26">
        <f t="shared" si="0"/>
        <v>161.94649240000001</v>
      </c>
      <c r="H15" s="25">
        <f>IFERROR(VLOOKUP(C15,consumo_agua!$A$7:$X$202,24,0),0)</f>
        <v>5.9504000000000001</v>
      </c>
      <c r="I15" s="26">
        <f t="shared" si="1"/>
        <v>167.89689240000001</v>
      </c>
    </row>
    <row r="16" spans="1:9" x14ac:dyDescent="0.25">
      <c r="A16" s="72" t="s">
        <v>1533</v>
      </c>
      <c r="B16" s="73" t="s">
        <v>1427</v>
      </c>
      <c r="C16" s="72" t="s">
        <v>2110</v>
      </c>
      <c r="D16" s="25">
        <v>0</v>
      </c>
      <c r="E16" s="25">
        <v>0</v>
      </c>
      <c r="F16" s="74">
        <v>1.2690000000000002E-3</v>
      </c>
      <c r="G16" s="26">
        <f t="shared" si="0"/>
        <v>76.287204000000003</v>
      </c>
      <c r="H16" s="25">
        <f>IFERROR(VLOOKUP(C16,consumo_agua!$A$7:$X$202,24,0),0)</f>
        <v>0</v>
      </c>
      <c r="I16" s="26">
        <f t="shared" si="1"/>
        <v>76.287204000000003</v>
      </c>
    </row>
    <row r="17" spans="1:9" x14ac:dyDescent="0.25">
      <c r="A17" s="72" t="s">
        <v>1535</v>
      </c>
      <c r="B17" s="73" t="s">
        <v>1536</v>
      </c>
      <c r="C17" s="72" t="s">
        <v>1537</v>
      </c>
      <c r="D17" s="25">
        <v>33</v>
      </c>
      <c r="E17" s="25">
        <v>33</v>
      </c>
      <c r="F17" s="74">
        <v>2.6939000000000004E-3</v>
      </c>
      <c r="G17" s="26">
        <f t="shared" si="0"/>
        <v>161.94649240000001</v>
      </c>
      <c r="H17" s="25">
        <f>IFERROR(VLOOKUP(C17,consumo_agua!$A$7:$X$202,24,0),0)</f>
        <v>3.6862728000000131</v>
      </c>
      <c r="I17" s="26">
        <f t="shared" si="1"/>
        <v>165.63276520000002</v>
      </c>
    </row>
    <row r="18" spans="1:9" x14ac:dyDescent="0.25">
      <c r="A18" s="72" t="s">
        <v>1538</v>
      </c>
      <c r="B18" s="73" t="s">
        <v>1539</v>
      </c>
      <c r="C18" s="72" t="s">
        <v>1540</v>
      </c>
      <c r="D18" s="25">
        <v>0</v>
      </c>
      <c r="E18" s="25">
        <v>0</v>
      </c>
      <c r="F18" s="74">
        <v>1.2690000000000002E-3</v>
      </c>
      <c r="G18" s="26">
        <f t="shared" si="0"/>
        <v>76.287204000000003</v>
      </c>
      <c r="H18" s="25">
        <f>IFERROR(VLOOKUP(C18,consumo_agua!$A$7:$X$202,24,0),0)</f>
        <v>0</v>
      </c>
      <c r="I18" s="26">
        <f t="shared" si="1"/>
        <v>76.287204000000003</v>
      </c>
    </row>
    <row r="19" spans="1:9" x14ac:dyDescent="0.25">
      <c r="A19" s="72" t="s">
        <v>1502</v>
      </c>
      <c r="B19" s="73" t="s">
        <v>1541</v>
      </c>
      <c r="C19" s="72" t="s">
        <v>1542</v>
      </c>
      <c r="D19" s="25">
        <v>76.150000000000006</v>
      </c>
      <c r="E19" s="25">
        <v>76.150000000000006</v>
      </c>
      <c r="F19" s="74">
        <v>4.4973999999999995E-3</v>
      </c>
      <c r="G19" s="26">
        <f t="shared" si="0"/>
        <v>270.36569839999999</v>
      </c>
      <c r="H19" s="25">
        <f>IFERROR(VLOOKUP(C19,consumo_agua!$A$7:$X$202,24,0),0)</f>
        <v>5.9504000000000001</v>
      </c>
      <c r="I19" s="26">
        <f t="shared" si="1"/>
        <v>276.31609839999999</v>
      </c>
    </row>
    <row r="20" spans="1:9" x14ac:dyDescent="0.25">
      <c r="A20" s="72" t="s">
        <v>1502</v>
      </c>
      <c r="B20" s="73" t="s">
        <v>1541</v>
      </c>
      <c r="C20" s="72" t="s">
        <v>2111</v>
      </c>
      <c r="D20" s="25">
        <v>0</v>
      </c>
      <c r="E20" s="25">
        <v>0</v>
      </c>
      <c r="F20" s="74">
        <v>1.2690000000000002E-3</v>
      </c>
      <c r="G20" s="26">
        <f t="shared" si="0"/>
        <v>76.287204000000003</v>
      </c>
      <c r="H20" s="25">
        <f>IFERROR(VLOOKUP(C20,consumo_agua!$A$7:$X$202,24,0),0)</f>
        <v>0</v>
      </c>
      <c r="I20" s="26">
        <f t="shared" si="1"/>
        <v>76.287204000000003</v>
      </c>
    </row>
    <row r="21" spans="1:9" x14ac:dyDescent="0.25">
      <c r="A21" s="72" t="s">
        <v>1543</v>
      </c>
      <c r="B21" s="73" t="s">
        <v>1393</v>
      </c>
      <c r="C21" s="72" t="s">
        <v>1544</v>
      </c>
      <c r="D21" s="25">
        <v>77.05</v>
      </c>
      <c r="E21" s="25">
        <v>77.05</v>
      </c>
      <c r="F21" s="74">
        <v>4.4973999999999995E-3</v>
      </c>
      <c r="G21" s="26">
        <f t="shared" si="0"/>
        <v>270.36569839999999</v>
      </c>
      <c r="H21" s="25">
        <f>IFERROR(VLOOKUP(C21,consumo_agua!$A$7:$X$202,24,0),0)</f>
        <v>8.9255999999999993</v>
      </c>
      <c r="I21" s="26">
        <f t="shared" si="1"/>
        <v>279.29129839999996</v>
      </c>
    </row>
    <row r="22" spans="1:9" x14ac:dyDescent="0.25">
      <c r="A22" s="72" t="s">
        <v>1543</v>
      </c>
      <c r="B22" s="73" t="s">
        <v>1393</v>
      </c>
      <c r="C22" s="72" t="s">
        <v>2112</v>
      </c>
      <c r="D22" s="25">
        <v>0</v>
      </c>
      <c r="E22" s="25">
        <v>0</v>
      </c>
      <c r="F22" s="74">
        <v>1.2690000000000002E-3</v>
      </c>
      <c r="G22" s="26">
        <f t="shared" si="0"/>
        <v>76.287204000000003</v>
      </c>
      <c r="H22" s="25">
        <f>IFERROR(VLOOKUP(C22,consumo_agua!$A$7:$X$202,24,0),0)</f>
        <v>0</v>
      </c>
      <c r="I22" s="26">
        <f t="shared" si="1"/>
        <v>76.287204000000003</v>
      </c>
    </row>
    <row r="23" spans="1:9" x14ac:dyDescent="0.25">
      <c r="A23" s="72" t="s">
        <v>1545</v>
      </c>
      <c r="B23" s="73" t="s">
        <v>1546</v>
      </c>
      <c r="C23" s="72" t="s">
        <v>1547</v>
      </c>
      <c r="D23" s="25">
        <v>138.55000000000001</v>
      </c>
      <c r="E23" s="25">
        <v>158.86000000000001</v>
      </c>
      <c r="F23" s="74">
        <v>6.2785000000000002E-3</v>
      </c>
      <c r="G23" s="26">
        <f t="shared" si="0"/>
        <v>377.43830600000001</v>
      </c>
      <c r="H23" s="25">
        <f>IFERROR(VLOOKUP(C23,consumo_agua!$A$7:$X$202,24,0),0)</f>
        <v>71.404799999999994</v>
      </c>
      <c r="I23" s="26">
        <f t="shared" si="1"/>
        <v>448.84310600000003</v>
      </c>
    </row>
    <row r="24" spans="1:9" x14ac:dyDescent="0.25">
      <c r="A24" s="72" t="s">
        <v>1545</v>
      </c>
      <c r="B24" s="73" t="s">
        <v>1546</v>
      </c>
      <c r="C24" s="72" t="s">
        <v>2113</v>
      </c>
      <c r="D24" s="25">
        <v>0</v>
      </c>
      <c r="E24" s="25">
        <v>0</v>
      </c>
      <c r="F24" s="74">
        <v>1.2690000000000002E-3</v>
      </c>
      <c r="G24" s="26">
        <f t="shared" si="0"/>
        <v>76.287204000000003</v>
      </c>
      <c r="H24" s="25">
        <f>IFERROR(VLOOKUP(C24,consumo_agua!$A$7:$X$202,24,0),0)</f>
        <v>0</v>
      </c>
      <c r="I24" s="26">
        <f t="shared" si="1"/>
        <v>76.287204000000003</v>
      </c>
    </row>
    <row r="25" spans="1:9" x14ac:dyDescent="0.25">
      <c r="A25" s="72" t="s">
        <v>1545</v>
      </c>
      <c r="B25" s="73" t="s">
        <v>1546</v>
      </c>
      <c r="C25" s="72" t="s">
        <v>2114</v>
      </c>
      <c r="D25" s="25">
        <v>0</v>
      </c>
      <c r="E25" s="25">
        <v>0</v>
      </c>
      <c r="F25" s="74">
        <v>1.2690000000000002E-3</v>
      </c>
      <c r="G25" s="26">
        <f t="shared" si="0"/>
        <v>76.287204000000003</v>
      </c>
      <c r="H25" s="25">
        <f>IFERROR(VLOOKUP(C25,consumo_agua!$A$7:$X$202,24,0),0)</f>
        <v>0</v>
      </c>
      <c r="I25" s="26">
        <f t="shared" si="1"/>
        <v>76.287204000000003</v>
      </c>
    </row>
    <row r="26" spans="1:9" x14ac:dyDescent="0.25">
      <c r="A26" s="72" t="s">
        <v>1548</v>
      </c>
      <c r="B26" s="73" t="s">
        <v>1549</v>
      </c>
      <c r="C26" s="72" t="s">
        <v>1550</v>
      </c>
      <c r="D26" s="25">
        <v>92.5</v>
      </c>
      <c r="E26" s="25">
        <v>92.5</v>
      </c>
      <c r="F26" s="74">
        <v>5.6772999999999997E-3</v>
      </c>
      <c r="G26" s="26">
        <f t="shared" si="0"/>
        <v>341.29656679999999</v>
      </c>
      <c r="H26" s="25">
        <f>IFERROR(VLOOKUP(C26,consumo_agua!$A$7:$X$202,24,0),0)</f>
        <v>0</v>
      </c>
      <c r="I26" s="26">
        <f t="shared" si="1"/>
        <v>341.29656679999999</v>
      </c>
    </row>
    <row r="27" spans="1:9" x14ac:dyDescent="0.25">
      <c r="A27" s="72" t="s">
        <v>1548</v>
      </c>
      <c r="B27" s="73" t="s">
        <v>1549</v>
      </c>
      <c r="C27" s="72" t="s">
        <v>2115</v>
      </c>
      <c r="D27" s="25">
        <v>0</v>
      </c>
      <c r="E27" s="25">
        <v>0</v>
      </c>
      <c r="F27" s="74">
        <v>1.2690000000000002E-3</v>
      </c>
      <c r="G27" s="26">
        <f t="shared" si="0"/>
        <v>76.287204000000003</v>
      </c>
      <c r="H27" s="25">
        <f>IFERROR(VLOOKUP(C27,consumo_agua!$A$7:$X$202,24,0),0)</f>
        <v>0</v>
      </c>
      <c r="I27" s="26">
        <f t="shared" si="1"/>
        <v>76.287204000000003</v>
      </c>
    </row>
    <row r="28" spans="1:9" x14ac:dyDescent="0.25">
      <c r="A28" s="72" t="s">
        <v>1551</v>
      </c>
      <c r="B28" s="73" t="s">
        <v>1552</v>
      </c>
      <c r="C28" s="72" t="s">
        <v>1553</v>
      </c>
      <c r="D28" s="25">
        <v>43.35</v>
      </c>
      <c r="E28" s="25">
        <v>43.35</v>
      </c>
      <c r="F28" s="74">
        <v>2.6939000000000004E-3</v>
      </c>
      <c r="G28" s="26">
        <f t="shared" si="0"/>
        <v>161.94649240000001</v>
      </c>
      <c r="H28" s="25">
        <f>IFERROR(VLOOKUP(C28,consumo_agua!$A$7:$X$202,24,0),0)</f>
        <v>8.9255999999999993</v>
      </c>
      <c r="I28" s="26">
        <f t="shared" si="1"/>
        <v>170.87209240000001</v>
      </c>
    </row>
    <row r="29" spans="1:9" x14ac:dyDescent="0.25">
      <c r="A29" s="72" t="s">
        <v>1551</v>
      </c>
      <c r="B29" s="73" t="s">
        <v>1552</v>
      </c>
      <c r="C29" s="72" t="s">
        <v>2092</v>
      </c>
      <c r="D29" s="25">
        <v>43.35</v>
      </c>
      <c r="E29" s="25">
        <v>43.35</v>
      </c>
      <c r="F29" s="74">
        <v>2.6939000000000004E-3</v>
      </c>
      <c r="G29" s="26">
        <f t="shared" si="0"/>
        <v>161.94649240000001</v>
      </c>
      <c r="H29" s="25">
        <f>IFERROR(VLOOKUP(C29,consumo_agua!$A$7:$X$202,24,0),0)</f>
        <v>11.9008</v>
      </c>
      <c r="I29" s="26">
        <f t="shared" si="1"/>
        <v>173.84729240000001</v>
      </c>
    </row>
    <row r="30" spans="1:9" x14ac:dyDescent="0.25">
      <c r="A30" s="72" t="s">
        <v>1551</v>
      </c>
      <c r="B30" s="73" t="s">
        <v>1552</v>
      </c>
      <c r="C30" s="72" t="s">
        <v>2116</v>
      </c>
      <c r="D30" s="25">
        <v>0</v>
      </c>
      <c r="E30" s="25">
        <v>0</v>
      </c>
      <c r="F30" s="74">
        <v>1.2690000000000002E-3</v>
      </c>
      <c r="G30" s="26">
        <f t="shared" si="0"/>
        <v>76.287204000000003</v>
      </c>
      <c r="H30" s="25">
        <f>IFERROR(VLOOKUP(C30,consumo_agua!$A$7:$X$202,24,0),0)</f>
        <v>0</v>
      </c>
      <c r="I30" s="26">
        <f t="shared" si="1"/>
        <v>76.287204000000003</v>
      </c>
    </row>
    <row r="31" spans="1:9" x14ac:dyDescent="0.25">
      <c r="A31" s="72" t="s">
        <v>1554</v>
      </c>
      <c r="B31" s="73" t="s">
        <v>1555</v>
      </c>
      <c r="C31" s="72" t="s">
        <v>1556</v>
      </c>
      <c r="D31" s="25">
        <v>68</v>
      </c>
      <c r="E31" s="25">
        <v>68</v>
      </c>
      <c r="F31" s="74">
        <v>4.4973999999999995E-3</v>
      </c>
      <c r="G31" s="26">
        <f t="shared" si="0"/>
        <v>270.36569839999999</v>
      </c>
      <c r="H31" s="25">
        <f>IFERROR(VLOOKUP(C31,consumo_agua!$A$7:$X$202,24,0),0)</f>
        <v>14.876000000000001</v>
      </c>
      <c r="I31" s="26">
        <f t="shared" si="1"/>
        <v>285.24169839999996</v>
      </c>
    </row>
    <row r="32" spans="1:9" x14ac:dyDescent="0.25">
      <c r="A32" s="72" t="s">
        <v>1554</v>
      </c>
      <c r="B32" s="73" t="s">
        <v>1555</v>
      </c>
      <c r="C32" s="72" t="s">
        <v>2117</v>
      </c>
      <c r="D32" s="25">
        <v>0</v>
      </c>
      <c r="E32" s="25">
        <v>0</v>
      </c>
      <c r="F32" s="74">
        <v>1.2690000000000002E-3</v>
      </c>
      <c r="G32" s="26">
        <f t="shared" si="0"/>
        <v>76.287204000000003</v>
      </c>
      <c r="H32" s="25">
        <f>IFERROR(VLOOKUP(C32,consumo_agua!$A$7:$X$202,24,0),0)</f>
        <v>0</v>
      </c>
      <c r="I32" s="26">
        <f t="shared" si="1"/>
        <v>76.287204000000003</v>
      </c>
    </row>
    <row r="33" spans="1:9" x14ac:dyDescent="0.25">
      <c r="A33" s="72" t="s">
        <v>1554</v>
      </c>
      <c r="B33" s="73" t="s">
        <v>1555</v>
      </c>
      <c r="C33" s="72" t="s">
        <v>2118</v>
      </c>
      <c r="D33" s="25">
        <v>0</v>
      </c>
      <c r="E33" s="25">
        <v>0</v>
      </c>
      <c r="F33" s="74">
        <v>1.2690000000000002E-3</v>
      </c>
      <c r="G33" s="26">
        <f t="shared" si="0"/>
        <v>76.287204000000003</v>
      </c>
      <c r="H33" s="25">
        <f>IFERROR(VLOOKUP(C33,consumo_agua!$A$7:$X$202,24,0),0)</f>
        <v>0</v>
      </c>
      <c r="I33" s="26">
        <f t="shared" si="1"/>
        <v>76.287204000000003</v>
      </c>
    </row>
    <row r="34" spans="1:9" x14ac:dyDescent="0.25">
      <c r="A34" s="72" t="s">
        <v>1554</v>
      </c>
      <c r="B34" s="73" t="s">
        <v>1555</v>
      </c>
      <c r="C34" s="72" t="s">
        <v>2119</v>
      </c>
      <c r="D34" s="25">
        <v>0</v>
      </c>
      <c r="E34" s="25">
        <v>0</v>
      </c>
      <c r="F34" s="74">
        <v>1.2690000000000002E-3</v>
      </c>
      <c r="G34" s="26">
        <f t="shared" si="0"/>
        <v>76.287204000000003</v>
      </c>
      <c r="H34" s="25">
        <f>IFERROR(VLOOKUP(C34,consumo_agua!$A$7:$X$202,24,0),0)</f>
        <v>0</v>
      </c>
      <c r="I34" s="26">
        <f t="shared" si="1"/>
        <v>76.287204000000003</v>
      </c>
    </row>
    <row r="35" spans="1:9" x14ac:dyDescent="0.25">
      <c r="A35" s="72" t="s">
        <v>1554</v>
      </c>
      <c r="B35" s="73" t="s">
        <v>1555</v>
      </c>
      <c r="C35" s="72" t="s">
        <v>2120</v>
      </c>
      <c r="D35" s="25">
        <v>0</v>
      </c>
      <c r="E35" s="25">
        <v>0</v>
      </c>
      <c r="F35" s="74">
        <v>1.2690000000000002E-3</v>
      </c>
      <c r="G35" s="26">
        <f t="shared" si="0"/>
        <v>76.287204000000003</v>
      </c>
      <c r="H35" s="25">
        <f>IFERROR(VLOOKUP(C35,consumo_agua!$A$7:$X$202,24,0),0)</f>
        <v>0</v>
      </c>
      <c r="I35" s="26">
        <f t="shared" si="1"/>
        <v>76.287204000000003</v>
      </c>
    </row>
    <row r="36" spans="1:9" x14ac:dyDescent="0.25">
      <c r="A36" s="72" t="s">
        <v>1554</v>
      </c>
      <c r="B36" s="73" t="s">
        <v>1555</v>
      </c>
      <c r="C36" s="72" t="s">
        <v>2121</v>
      </c>
      <c r="D36" s="25">
        <v>0</v>
      </c>
      <c r="E36" s="25">
        <v>0</v>
      </c>
      <c r="F36" s="74">
        <v>1.2690000000000002E-3</v>
      </c>
      <c r="G36" s="26">
        <f t="shared" si="0"/>
        <v>76.287204000000003</v>
      </c>
      <c r="H36" s="25">
        <f>IFERROR(VLOOKUP(C36,consumo_agua!$A$7:$X$202,24,0),0)</f>
        <v>0</v>
      </c>
      <c r="I36" s="26">
        <f t="shared" si="1"/>
        <v>76.287204000000003</v>
      </c>
    </row>
    <row r="37" spans="1:9" x14ac:dyDescent="0.25">
      <c r="A37" s="72" t="s">
        <v>1554</v>
      </c>
      <c r="B37" s="73" t="s">
        <v>1555</v>
      </c>
      <c r="C37" s="72" t="s">
        <v>2122</v>
      </c>
      <c r="D37" s="25">
        <v>0</v>
      </c>
      <c r="E37" s="25">
        <v>0</v>
      </c>
      <c r="F37" s="74">
        <v>1.2690000000000002E-3</v>
      </c>
      <c r="G37" s="26">
        <f t="shared" si="0"/>
        <v>76.287204000000003</v>
      </c>
      <c r="H37" s="25">
        <f>IFERROR(VLOOKUP(C37,consumo_agua!$A$7:$X$202,24,0),0)</f>
        <v>0</v>
      </c>
      <c r="I37" s="26">
        <f t="shared" si="1"/>
        <v>76.287204000000003</v>
      </c>
    </row>
    <row r="38" spans="1:9" x14ac:dyDescent="0.25">
      <c r="A38" s="72" t="s">
        <v>1554</v>
      </c>
      <c r="B38" s="73" t="s">
        <v>1555</v>
      </c>
      <c r="C38" s="72" t="s">
        <v>2123</v>
      </c>
      <c r="D38" s="25">
        <v>0</v>
      </c>
      <c r="E38" s="25">
        <v>0</v>
      </c>
      <c r="F38" s="74">
        <v>1.2690000000000002E-3</v>
      </c>
      <c r="G38" s="26">
        <f t="shared" si="0"/>
        <v>76.287204000000003</v>
      </c>
      <c r="H38" s="25">
        <f>IFERROR(VLOOKUP(C38,consumo_agua!$A$7:$X$202,24,0),0)</f>
        <v>0</v>
      </c>
      <c r="I38" s="26">
        <f t="shared" si="1"/>
        <v>76.287204000000003</v>
      </c>
    </row>
    <row r="39" spans="1:9" x14ac:dyDescent="0.25">
      <c r="A39" s="72" t="s">
        <v>1554</v>
      </c>
      <c r="B39" s="73" t="s">
        <v>1555</v>
      </c>
      <c r="C39" s="72" t="s">
        <v>2124</v>
      </c>
      <c r="D39" s="25">
        <v>0</v>
      </c>
      <c r="E39" s="25">
        <v>0</v>
      </c>
      <c r="F39" s="74">
        <v>1.2690000000000002E-3</v>
      </c>
      <c r="G39" s="26">
        <f t="shared" si="0"/>
        <v>76.287204000000003</v>
      </c>
      <c r="H39" s="25">
        <f>IFERROR(VLOOKUP(C39,consumo_agua!$A$7:$X$202,24,0),0)</f>
        <v>0</v>
      </c>
      <c r="I39" s="26">
        <f t="shared" si="1"/>
        <v>76.287204000000003</v>
      </c>
    </row>
    <row r="40" spans="1:9" x14ac:dyDescent="0.25">
      <c r="A40" s="72" t="s">
        <v>1554</v>
      </c>
      <c r="B40" s="73" t="s">
        <v>1555</v>
      </c>
      <c r="C40" s="72" t="s">
        <v>2125</v>
      </c>
      <c r="D40" s="25">
        <v>0</v>
      </c>
      <c r="E40" s="25">
        <v>0</v>
      </c>
      <c r="F40" s="74">
        <v>1.2690000000000002E-3</v>
      </c>
      <c r="G40" s="26">
        <f t="shared" si="0"/>
        <v>76.287204000000003</v>
      </c>
      <c r="H40" s="25">
        <f>IFERROR(VLOOKUP(C40,consumo_agua!$A$7:$X$202,24,0),0)</f>
        <v>0</v>
      </c>
      <c r="I40" s="26">
        <f t="shared" si="1"/>
        <v>76.287204000000003</v>
      </c>
    </row>
    <row r="41" spans="1:9" x14ac:dyDescent="0.25">
      <c r="A41" s="72" t="s">
        <v>1554</v>
      </c>
      <c r="B41" s="73" t="s">
        <v>1555</v>
      </c>
      <c r="C41" s="72" t="s">
        <v>2126</v>
      </c>
      <c r="D41" s="25">
        <v>0</v>
      </c>
      <c r="E41" s="25">
        <v>0</v>
      </c>
      <c r="F41" s="74">
        <v>1.2690000000000002E-3</v>
      </c>
      <c r="G41" s="26">
        <f t="shared" si="0"/>
        <v>76.287204000000003</v>
      </c>
      <c r="H41" s="25">
        <f>IFERROR(VLOOKUP(C41,consumo_agua!$A$7:$X$202,24,0),0)</f>
        <v>0</v>
      </c>
      <c r="I41" s="26">
        <f t="shared" si="1"/>
        <v>76.287204000000003</v>
      </c>
    </row>
    <row r="42" spans="1:9" x14ac:dyDescent="0.25">
      <c r="A42" s="72" t="s">
        <v>1557</v>
      </c>
      <c r="B42" s="73" t="s">
        <v>1558</v>
      </c>
      <c r="C42" s="72" t="s">
        <v>1559</v>
      </c>
      <c r="D42" s="25">
        <v>44.45</v>
      </c>
      <c r="E42" s="25">
        <v>44.45</v>
      </c>
      <c r="F42" s="74">
        <v>2.6939000000000004E-3</v>
      </c>
      <c r="G42" s="26">
        <f t="shared" si="0"/>
        <v>161.94649240000001</v>
      </c>
      <c r="H42" s="25">
        <f>IFERROR(VLOOKUP(C42,consumo_agua!$A$7:$X$202,24,0),0)</f>
        <v>38.677599999999998</v>
      </c>
      <c r="I42" s="26">
        <f t="shared" si="1"/>
        <v>200.62409239999999</v>
      </c>
    </row>
    <row r="43" spans="1:9" x14ac:dyDescent="0.25">
      <c r="A43" s="72" t="s">
        <v>1557</v>
      </c>
      <c r="B43" s="73" t="s">
        <v>1558</v>
      </c>
      <c r="C43" s="72" t="s">
        <v>2127</v>
      </c>
      <c r="D43" s="25">
        <v>0</v>
      </c>
      <c r="E43" s="25">
        <v>0</v>
      </c>
      <c r="F43" s="74">
        <v>3.6749999999999999E-4</v>
      </c>
      <c r="G43" s="26">
        <f t="shared" si="0"/>
        <v>22.09263</v>
      </c>
      <c r="H43" s="25">
        <f>IFERROR(VLOOKUP(C43,consumo_agua!$A$7:$X$202,24,0),0)</f>
        <v>0</v>
      </c>
      <c r="I43" s="26">
        <f t="shared" si="1"/>
        <v>22.09263</v>
      </c>
    </row>
    <row r="44" spans="1:9" x14ac:dyDescent="0.25">
      <c r="A44" s="72" t="s">
        <v>1557</v>
      </c>
      <c r="B44" s="73" t="s">
        <v>1558</v>
      </c>
      <c r="C44" s="72" t="s">
        <v>2128</v>
      </c>
      <c r="D44" s="25">
        <v>0</v>
      </c>
      <c r="E44" s="25">
        <v>0</v>
      </c>
      <c r="F44" s="74">
        <v>1.2690000000000002E-3</v>
      </c>
      <c r="G44" s="26">
        <f t="shared" si="0"/>
        <v>76.287204000000003</v>
      </c>
      <c r="H44" s="25">
        <f>IFERROR(VLOOKUP(C44,consumo_agua!$A$7:$X$202,24,0),0)</f>
        <v>0</v>
      </c>
      <c r="I44" s="26">
        <f t="shared" si="1"/>
        <v>76.287204000000003</v>
      </c>
    </row>
    <row r="45" spans="1:9" x14ac:dyDescent="0.25">
      <c r="A45" s="72" t="s">
        <v>1560</v>
      </c>
      <c r="B45" s="73" t="s">
        <v>1561</v>
      </c>
      <c r="C45" s="72" t="s">
        <v>1562</v>
      </c>
      <c r="D45" s="25">
        <v>92.5</v>
      </c>
      <c r="E45" s="25">
        <v>92.5</v>
      </c>
      <c r="F45" s="74">
        <v>5.6772999999999997E-3</v>
      </c>
      <c r="G45" s="26">
        <f t="shared" si="0"/>
        <v>341.29656679999999</v>
      </c>
      <c r="H45" s="25">
        <f>IFERROR(VLOOKUP(C45,consumo_agua!$A$7:$X$202,24,0),0)</f>
        <v>5.9504000000000001</v>
      </c>
      <c r="I45" s="26">
        <f t="shared" si="1"/>
        <v>347.2469668</v>
      </c>
    </row>
    <row r="46" spans="1:9" x14ac:dyDescent="0.25">
      <c r="A46" s="72" t="s">
        <v>1560</v>
      </c>
      <c r="B46" s="73" t="s">
        <v>1561</v>
      </c>
      <c r="C46" s="72" t="s">
        <v>2129</v>
      </c>
      <c r="D46" s="25">
        <v>0</v>
      </c>
      <c r="E46" s="25">
        <v>0</v>
      </c>
      <c r="F46" s="74">
        <v>1.2690000000000002E-3</v>
      </c>
      <c r="G46" s="26">
        <f t="shared" si="0"/>
        <v>76.287204000000003</v>
      </c>
      <c r="H46" s="25">
        <f>IFERROR(VLOOKUP(C46,consumo_agua!$A$7:$X$202,24,0),0)</f>
        <v>0</v>
      </c>
      <c r="I46" s="26">
        <f t="shared" si="1"/>
        <v>76.287204000000003</v>
      </c>
    </row>
    <row r="47" spans="1:9" x14ac:dyDescent="0.25">
      <c r="A47" s="72" t="s">
        <v>1563</v>
      </c>
      <c r="B47" s="73" t="s">
        <v>1300</v>
      </c>
      <c r="C47" s="72" t="s">
        <v>1564</v>
      </c>
      <c r="D47" s="25">
        <v>76.150000000000006</v>
      </c>
      <c r="E47" s="25">
        <v>76.150000000000006</v>
      </c>
      <c r="F47" s="74">
        <v>4.4973999999999995E-3</v>
      </c>
      <c r="G47" s="26">
        <f t="shared" si="0"/>
        <v>270.36569839999999</v>
      </c>
      <c r="H47" s="25">
        <f>IFERROR(VLOOKUP(C47,consumo_agua!$A$7:$X$202,24,0),0)</f>
        <v>8.9255999999999993</v>
      </c>
      <c r="I47" s="26">
        <f t="shared" si="1"/>
        <v>279.29129839999996</v>
      </c>
    </row>
    <row r="48" spans="1:9" x14ac:dyDescent="0.25">
      <c r="A48" s="72" t="s">
        <v>1563</v>
      </c>
      <c r="B48" s="73" t="s">
        <v>1300</v>
      </c>
      <c r="C48" s="72" t="s">
        <v>2130</v>
      </c>
      <c r="D48" s="25">
        <v>0</v>
      </c>
      <c r="E48" s="25">
        <v>0</v>
      </c>
      <c r="F48" s="74">
        <v>1.2690000000000002E-3</v>
      </c>
      <c r="G48" s="26">
        <f t="shared" si="0"/>
        <v>76.287204000000003</v>
      </c>
      <c r="H48" s="25">
        <f>IFERROR(VLOOKUP(C48,consumo_agua!$A$7:$X$202,24,0),0)</f>
        <v>0</v>
      </c>
      <c r="I48" s="26">
        <f t="shared" si="1"/>
        <v>76.287204000000003</v>
      </c>
    </row>
    <row r="49" spans="1:9" x14ac:dyDescent="0.25">
      <c r="A49" s="72" t="s">
        <v>1565</v>
      </c>
      <c r="B49" s="73" t="s">
        <v>1566</v>
      </c>
      <c r="C49" s="72" t="s">
        <v>1567</v>
      </c>
      <c r="D49" s="25">
        <v>81</v>
      </c>
      <c r="E49" s="25">
        <v>81</v>
      </c>
      <c r="F49" s="74">
        <v>4.4973999999999995E-3</v>
      </c>
      <c r="G49" s="26">
        <f t="shared" si="0"/>
        <v>270.36569839999999</v>
      </c>
      <c r="H49" s="25">
        <f>IFERROR(VLOOKUP(C49,consumo_agua!$A$7:$X$202,24,0),0)</f>
        <v>57.72483040000013</v>
      </c>
      <c r="I49" s="26">
        <f t="shared" si="1"/>
        <v>328.09052880000013</v>
      </c>
    </row>
    <row r="50" spans="1:9" x14ac:dyDescent="0.25">
      <c r="A50" s="72" t="s">
        <v>1565</v>
      </c>
      <c r="B50" s="73" t="s">
        <v>1566</v>
      </c>
      <c r="C50" s="72" t="s">
        <v>2131</v>
      </c>
      <c r="D50" s="25">
        <v>0</v>
      </c>
      <c r="E50" s="25">
        <v>0</v>
      </c>
      <c r="F50" s="74">
        <v>1.2690000000000002E-3</v>
      </c>
      <c r="G50" s="26">
        <f t="shared" si="0"/>
        <v>76.287204000000003</v>
      </c>
      <c r="H50" s="25">
        <f>IFERROR(VLOOKUP(C50,consumo_agua!$A$7:$X$202,24,0),0)</f>
        <v>0</v>
      </c>
      <c r="I50" s="26">
        <f t="shared" si="1"/>
        <v>76.287204000000003</v>
      </c>
    </row>
    <row r="51" spans="1:9" x14ac:dyDescent="0.25">
      <c r="A51" s="72" t="s">
        <v>1505</v>
      </c>
      <c r="B51" s="73" t="s">
        <v>1568</v>
      </c>
      <c r="C51" s="72" t="s">
        <v>1569</v>
      </c>
      <c r="D51" s="25">
        <v>81</v>
      </c>
      <c r="E51" s="25">
        <v>81</v>
      </c>
      <c r="F51" s="74">
        <v>4.4973999999999995E-3</v>
      </c>
      <c r="G51" s="26">
        <f t="shared" si="0"/>
        <v>270.36569839999999</v>
      </c>
      <c r="H51" s="25">
        <f>IFERROR(VLOOKUP(C51,consumo_agua!$A$7:$X$202,24,0),0)</f>
        <v>12.689227999999959</v>
      </c>
      <c r="I51" s="26">
        <f t="shared" si="1"/>
        <v>283.05492639999994</v>
      </c>
    </row>
    <row r="52" spans="1:9" x14ac:dyDescent="0.25">
      <c r="A52" s="72" t="s">
        <v>1505</v>
      </c>
      <c r="B52" s="73" t="s">
        <v>1568</v>
      </c>
      <c r="C52" s="72" t="s">
        <v>2132</v>
      </c>
      <c r="D52" s="25">
        <v>0</v>
      </c>
      <c r="E52" s="25">
        <v>0</v>
      </c>
      <c r="F52" s="74">
        <v>1.2690000000000002E-3</v>
      </c>
      <c r="G52" s="26">
        <f t="shared" si="0"/>
        <v>76.287204000000003</v>
      </c>
      <c r="H52" s="25">
        <f>IFERROR(VLOOKUP(C52,consumo_agua!$A$7:$X$202,24,0),0)</f>
        <v>0</v>
      </c>
      <c r="I52" s="26">
        <f t="shared" si="1"/>
        <v>76.287204000000003</v>
      </c>
    </row>
    <row r="53" spans="1:9" x14ac:dyDescent="0.25">
      <c r="A53" s="72" t="s">
        <v>1570</v>
      </c>
      <c r="B53" s="73" t="s">
        <v>1213</v>
      </c>
      <c r="C53" s="72" t="s">
        <v>1571</v>
      </c>
      <c r="D53" s="25">
        <v>66.45</v>
      </c>
      <c r="E53" s="25">
        <v>66.45</v>
      </c>
      <c r="F53" s="74">
        <v>4.4973999999999995E-3</v>
      </c>
      <c r="G53" s="26">
        <f t="shared" si="0"/>
        <v>270.36569839999999</v>
      </c>
      <c r="H53" s="25">
        <f>IFERROR(VLOOKUP(C53,consumo_agua!$A$7:$X$202,24,0),0)</f>
        <v>26.776800000000001</v>
      </c>
      <c r="I53" s="26">
        <f t="shared" si="1"/>
        <v>297.14249839999997</v>
      </c>
    </row>
    <row r="54" spans="1:9" x14ac:dyDescent="0.25">
      <c r="A54" s="72" t="s">
        <v>1570</v>
      </c>
      <c r="B54" s="73" t="s">
        <v>1213</v>
      </c>
      <c r="C54" s="72" t="s">
        <v>2133</v>
      </c>
      <c r="D54" s="25">
        <v>0</v>
      </c>
      <c r="E54" s="25">
        <v>0</v>
      </c>
      <c r="F54" s="74">
        <v>3.6749999999999999E-4</v>
      </c>
      <c r="G54" s="26">
        <f t="shared" si="0"/>
        <v>22.09263</v>
      </c>
      <c r="H54" s="25">
        <f>IFERROR(VLOOKUP(C54,consumo_agua!$A$7:$X$202,24,0),0)</f>
        <v>0</v>
      </c>
      <c r="I54" s="26">
        <f t="shared" si="1"/>
        <v>22.09263</v>
      </c>
    </row>
    <row r="55" spans="1:9" x14ac:dyDescent="0.25">
      <c r="A55" s="72" t="s">
        <v>1572</v>
      </c>
      <c r="B55" s="73" t="s">
        <v>1268</v>
      </c>
      <c r="C55" s="72" t="s">
        <v>1573</v>
      </c>
      <c r="D55" s="25">
        <v>66.45</v>
      </c>
      <c r="E55" s="25">
        <v>66.45</v>
      </c>
      <c r="F55" s="74">
        <v>4.4973999999999995E-3</v>
      </c>
      <c r="G55" s="26">
        <f t="shared" si="0"/>
        <v>270.36569839999999</v>
      </c>
      <c r="H55" s="25">
        <f>IFERROR(VLOOKUP(C55,consumo_agua!$A$7:$X$202,24,0),0)</f>
        <v>23.801600000000001</v>
      </c>
      <c r="I55" s="26">
        <f t="shared" si="1"/>
        <v>294.16729839999999</v>
      </c>
    </row>
    <row r="56" spans="1:9" x14ac:dyDescent="0.25">
      <c r="A56" s="72" t="s">
        <v>1572</v>
      </c>
      <c r="B56" s="73" t="s">
        <v>1268</v>
      </c>
      <c r="C56" s="72" t="s">
        <v>2134</v>
      </c>
      <c r="D56" s="25">
        <v>0</v>
      </c>
      <c r="E56" s="25">
        <v>0</v>
      </c>
      <c r="F56" s="74">
        <v>3.6749999999999999E-4</v>
      </c>
      <c r="G56" s="26">
        <f t="shared" si="0"/>
        <v>22.09263</v>
      </c>
      <c r="H56" s="25">
        <f>IFERROR(VLOOKUP(C56,consumo_agua!$A$7:$X$202,24,0),0)</f>
        <v>0</v>
      </c>
      <c r="I56" s="26">
        <f t="shared" si="1"/>
        <v>22.09263</v>
      </c>
    </row>
    <row r="57" spans="1:9" x14ac:dyDescent="0.25">
      <c r="A57" s="72" t="s">
        <v>1574</v>
      </c>
      <c r="B57" s="73" t="s">
        <v>1575</v>
      </c>
      <c r="C57" s="72" t="s">
        <v>1576</v>
      </c>
      <c r="D57" s="25">
        <v>248.79</v>
      </c>
      <c r="E57" s="25">
        <v>248.79</v>
      </c>
      <c r="F57" s="74">
        <v>9.9965999999999996E-3</v>
      </c>
      <c r="G57" s="26">
        <f t="shared" si="0"/>
        <v>600.95560560000001</v>
      </c>
      <c r="H57" s="25">
        <f>IFERROR(VLOOKUP(C57,consumo_agua!$A$7:$X$202,24,0),0)</f>
        <v>62.479199999999999</v>
      </c>
      <c r="I57" s="26">
        <f t="shared" si="1"/>
        <v>663.4348056</v>
      </c>
    </row>
    <row r="58" spans="1:9" x14ac:dyDescent="0.25">
      <c r="A58" s="72" t="s">
        <v>1574</v>
      </c>
      <c r="B58" s="73" t="s">
        <v>1575</v>
      </c>
      <c r="C58" s="72" t="s">
        <v>2135</v>
      </c>
      <c r="D58" s="25">
        <v>0</v>
      </c>
      <c r="E58" s="25">
        <v>0</v>
      </c>
      <c r="F58" s="74">
        <v>3.6749999999999999E-4</v>
      </c>
      <c r="G58" s="26">
        <f t="shared" si="0"/>
        <v>22.09263</v>
      </c>
      <c r="H58" s="25">
        <f>IFERROR(VLOOKUP(C58,consumo_agua!$A$7:$X$202,24,0),0)</f>
        <v>0</v>
      </c>
      <c r="I58" s="26">
        <f t="shared" si="1"/>
        <v>22.09263</v>
      </c>
    </row>
    <row r="59" spans="1:9" x14ac:dyDescent="0.25">
      <c r="A59" s="72" t="s">
        <v>1574</v>
      </c>
      <c r="B59" s="73" t="s">
        <v>1575</v>
      </c>
      <c r="C59" s="72" t="s">
        <v>2136</v>
      </c>
      <c r="D59" s="25">
        <v>0</v>
      </c>
      <c r="E59" s="25">
        <v>0</v>
      </c>
      <c r="F59" s="74">
        <v>1.2690000000000002E-3</v>
      </c>
      <c r="G59" s="26">
        <f t="shared" si="0"/>
        <v>76.287204000000003</v>
      </c>
      <c r="H59" s="25">
        <f>IFERROR(VLOOKUP(C59,consumo_agua!$A$7:$X$202,24,0),0)</f>
        <v>0</v>
      </c>
      <c r="I59" s="26">
        <f t="shared" si="1"/>
        <v>76.287204000000003</v>
      </c>
    </row>
    <row r="60" spans="1:9" x14ac:dyDescent="0.25">
      <c r="A60" s="72" t="s">
        <v>1574</v>
      </c>
      <c r="B60" s="73" t="s">
        <v>1575</v>
      </c>
      <c r="C60" s="72" t="s">
        <v>2137</v>
      </c>
      <c r="D60" s="25">
        <v>0</v>
      </c>
      <c r="E60" s="25">
        <v>0</v>
      </c>
      <c r="F60" s="74">
        <v>1.2690000000000002E-3</v>
      </c>
      <c r="G60" s="26">
        <f t="shared" si="0"/>
        <v>76.287204000000003</v>
      </c>
      <c r="H60" s="25">
        <f>IFERROR(VLOOKUP(C60,consumo_agua!$A$7:$X$202,24,0),0)</f>
        <v>0</v>
      </c>
      <c r="I60" s="26">
        <f t="shared" si="1"/>
        <v>76.287204000000003</v>
      </c>
    </row>
    <row r="61" spans="1:9" x14ac:dyDescent="0.25">
      <c r="A61" s="72" t="s">
        <v>1574</v>
      </c>
      <c r="B61" s="73" t="s">
        <v>1575</v>
      </c>
      <c r="C61" s="72" t="s">
        <v>2138</v>
      </c>
      <c r="D61" s="25">
        <v>0</v>
      </c>
      <c r="E61" s="25">
        <v>0</v>
      </c>
      <c r="F61" s="74">
        <v>1.2690000000000002E-3</v>
      </c>
      <c r="G61" s="26">
        <f t="shared" si="0"/>
        <v>76.287204000000003</v>
      </c>
      <c r="H61" s="25">
        <f>IFERROR(VLOOKUP(C61,consumo_agua!$A$7:$X$202,24,0),0)</f>
        <v>0</v>
      </c>
      <c r="I61" s="26">
        <f t="shared" si="1"/>
        <v>76.287204000000003</v>
      </c>
    </row>
    <row r="62" spans="1:9" x14ac:dyDescent="0.25">
      <c r="A62" s="72" t="s">
        <v>1577</v>
      </c>
      <c r="B62" s="73" t="s">
        <v>1440</v>
      </c>
      <c r="C62" s="72" t="s">
        <v>1578</v>
      </c>
      <c r="D62" s="25">
        <v>43.35</v>
      </c>
      <c r="E62" s="25">
        <v>43.35</v>
      </c>
      <c r="F62" s="74">
        <v>2.6939000000000004E-3</v>
      </c>
      <c r="G62" s="26">
        <f t="shared" si="0"/>
        <v>161.94649240000001</v>
      </c>
      <c r="H62" s="25">
        <f>IFERROR(VLOOKUP(C62,consumo_agua!$A$7:$X$202,24,0),0)</f>
        <v>2.9752000000000001</v>
      </c>
      <c r="I62" s="26">
        <f t="shared" si="1"/>
        <v>164.92169240000001</v>
      </c>
    </row>
    <row r="63" spans="1:9" x14ac:dyDescent="0.25">
      <c r="A63" s="72" t="s">
        <v>1577</v>
      </c>
      <c r="B63" s="73" t="s">
        <v>1440</v>
      </c>
      <c r="C63" s="72" t="s">
        <v>2139</v>
      </c>
      <c r="D63" s="25">
        <v>0</v>
      </c>
      <c r="E63" s="25">
        <v>0</v>
      </c>
      <c r="F63" s="74">
        <v>1.2690000000000002E-3</v>
      </c>
      <c r="G63" s="26">
        <f t="shared" si="0"/>
        <v>76.287204000000003</v>
      </c>
      <c r="H63" s="25">
        <f>IFERROR(VLOOKUP(C63,consumo_agua!$A$7:$X$202,24,0),0)</f>
        <v>0</v>
      </c>
      <c r="I63" s="26">
        <f t="shared" si="1"/>
        <v>76.287204000000003</v>
      </c>
    </row>
    <row r="64" spans="1:9" x14ac:dyDescent="0.25">
      <c r="A64" s="72" t="s">
        <v>1579</v>
      </c>
      <c r="B64" s="73" t="s">
        <v>1580</v>
      </c>
      <c r="C64" s="72" t="s">
        <v>1581</v>
      </c>
      <c r="D64" s="25">
        <v>33</v>
      </c>
      <c r="E64" s="25">
        <v>33</v>
      </c>
      <c r="F64" s="74">
        <v>2.6939000000000004E-3</v>
      </c>
      <c r="G64" s="26">
        <f t="shared" si="0"/>
        <v>161.94649240000001</v>
      </c>
      <c r="H64" s="25">
        <f>IFERROR(VLOOKUP(C64,consumo_agua!$A$7:$X$202,24,0),0)</f>
        <v>18.416487999999994</v>
      </c>
      <c r="I64" s="26">
        <f t="shared" si="1"/>
        <v>180.3629804</v>
      </c>
    </row>
    <row r="65" spans="1:9" x14ac:dyDescent="0.25">
      <c r="A65" s="72" t="s">
        <v>1582</v>
      </c>
      <c r="B65" s="73" t="s">
        <v>1583</v>
      </c>
      <c r="C65" s="72" t="s">
        <v>1584</v>
      </c>
      <c r="D65" s="25">
        <v>0</v>
      </c>
      <c r="E65" s="25">
        <v>0</v>
      </c>
      <c r="F65" s="74">
        <v>1.2690000000000002E-3</v>
      </c>
      <c r="G65" s="26">
        <f t="shared" si="0"/>
        <v>76.287204000000003</v>
      </c>
      <c r="H65" s="25">
        <f>IFERROR(VLOOKUP(C65,consumo_agua!$A$7:$X$202,24,0),0)</f>
        <v>0</v>
      </c>
      <c r="I65" s="26">
        <f t="shared" si="1"/>
        <v>76.287204000000003</v>
      </c>
    </row>
    <row r="66" spans="1:9" x14ac:dyDescent="0.25">
      <c r="A66" s="72" t="s">
        <v>1585</v>
      </c>
      <c r="B66" s="73" t="s">
        <v>2140</v>
      </c>
      <c r="C66" s="72" t="s">
        <v>1587</v>
      </c>
      <c r="D66" s="25">
        <v>77.05</v>
      </c>
      <c r="E66" s="25">
        <v>77.05</v>
      </c>
      <c r="F66" s="74">
        <v>4.4973999999999995E-3</v>
      </c>
      <c r="G66" s="26">
        <f t="shared" ref="G66:G129" si="2">pp_anual26*F66</f>
        <v>270.36569839999999</v>
      </c>
      <c r="H66" s="25">
        <f>IFERROR(VLOOKUP(C66,consumo_agua!$A$7:$X$202,24,0),0)</f>
        <v>41.652799999999999</v>
      </c>
      <c r="I66" s="26">
        <f t="shared" si="1"/>
        <v>312.0184984</v>
      </c>
    </row>
    <row r="67" spans="1:9" x14ac:dyDescent="0.25">
      <c r="A67" s="72" t="s">
        <v>1585</v>
      </c>
      <c r="B67" s="73" t="s">
        <v>2140</v>
      </c>
      <c r="C67" s="72" t="s">
        <v>2141</v>
      </c>
      <c r="D67" s="25">
        <v>0</v>
      </c>
      <c r="E67" s="25">
        <v>0</v>
      </c>
      <c r="F67" s="74">
        <v>1.2690000000000002E-3</v>
      </c>
      <c r="G67" s="26">
        <f t="shared" si="2"/>
        <v>76.287204000000003</v>
      </c>
      <c r="H67" s="25">
        <f>IFERROR(VLOOKUP(C67,consumo_agua!$A$7:$X$202,24,0),0)</f>
        <v>0</v>
      </c>
      <c r="I67" s="26">
        <f t="shared" ref="I67:I130" si="3">SUM(G67:H67)</f>
        <v>76.287204000000003</v>
      </c>
    </row>
    <row r="68" spans="1:9" x14ac:dyDescent="0.25">
      <c r="A68" s="72" t="s">
        <v>1588</v>
      </c>
      <c r="B68" s="73" t="s">
        <v>1327</v>
      </c>
      <c r="C68" s="72" t="s">
        <v>1589</v>
      </c>
      <c r="D68" s="25">
        <v>76.150000000000006</v>
      </c>
      <c r="E68" s="25">
        <v>76.150000000000006</v>
      </c>
      <c r="F68" s="74">
        <v>4.4973999999999995E-3</v>
      </c>
      <c r="G68" s="26">
        <f t="shared" si="2"/>
        <v>270.36569839999999</v>
      </c>
      <c r="H68" s="25">
        <f>IFERROR(VLOOKUP(C68,consumo_agua!$A$7:$X$202,24,0),0)</f>
        <v>23.801600000000001</v>
      </c>
      <c r="I68" s="26">
        <f t="shared" si="3"/>
        <v>294.16729839999999</v>
      </c>
    </row>
    <row r="69" spans="1:9" x14ac:dyDescent="0.25">
      <c r="A69" s="72" t="s">
        <v>1588</v>
      </c>
      <c r="B69" s="73" t="s">
        <v>1327</v>
      </c>
      <c r="C69" s="72" t="s">
        <v>2142</v>
      </c>
      <c r="D69" s="25">
        <v>0</v>
      </c>
      <c r="E69" s="25">
        <v>0</v>
      </c>
      <c r="F69" s="74">
        <v>1.2690000000000002E-3</v>
      </c>
      <c r="G69" s="26">
        <f t="shared" si="2"/>
        <v>76.287204000000003</v>
      </c>
      <c r="H69" s="25">
        <f>IFERROR(VLOOKUP(C69,consumo_agua!$A$7:$X$202,24,0),0)</f>
        <v>0</v>
      </c>
      <c r="I69" s="26">
        <f t="shared" si="3"/>
        <v>76.287204000000003</v>
      </c>
    </row>
    <row r="70" spans="1:9" x14ac:dyDescent="0.25">
      <c r="A70" s="72" t="s">
        <v>1590</v>
      </c>
      <c r="B70" s="73" t="s">
        <v>1462</v>
      </c>
      <c r="C70" s="72" t="s">
        <v>1591</v>
      </c>
      <c r="D70" s="25">
        <v>68</v>
      </c>
      <c r="E70" s="25">
        <v>68</v>
      </c>
      <c r="F70" s="74">
        <v>4.4973999999999995E-3</v>
      </c>
      <c r="G70" s="26">
        <f t="shared" si="2"/>
        <v>270.36569839999999</v>
      </c>
      <c r="H70" s="25">
        <f>IFERROR(VLOOKUP(C70,consumo_agua!$A$7:$X$202,24,0),0)</f>
        <v>29.752000000000002</v>
      </c>
      <c r="I70" s="26">
        <f t="shared" si="3"/>
        <v>300.11769839999999</v>
      </c>
    </row>
    <row r="71" spans="1:9" x14ac:dyDescent="0.25">
      <c r="A71" s="72" t="s">
        <v>1590</v>
      </c>
      <c r="B71" s="73" t="s">
        <v>1462</v>
      </c>
      <c r="C71" s="72" t="s">
        <v>2143</v>
      </c>
      <c r="D71" s="25">
        <v>0</v>
      </c>
      <c r="E71" s="25">
        <v>0</v>
      </c>
      <c r="F71" s="74">
        <v>1.2690000000000002E-3</v>
      </c>
      <c r="G71" s="26">
        <f t="shared" si="2"/>
        <v>76.287204000000003</v>
      </c>
      <c r="H71" s="25">
        <f>IFERROR(VLOOKUP(C71,consumo_agua!$A$7:$X$202,24,0),0)</f>
        <v>0</v>
      </c>
      <c r="I71" s="26">
        <f t="shared" si="3"/>
        <v>76.287204000000003</v>
      </c>
    </row>
    <row r="72" spans="1:9" x14ac:dyDescent="0.25">
      <c r="A72" s="72" t="s">
        <v>1503</v>
      </c>
      <c r="B72" s="73" t="s">
        <v>1287</v>
      </c>
      <c r="C72" s="72" t="s">
        <v>1592</v>
      </c>
      <c r="D72" s="25">
        <v>66.45</v>
      </c>
      <c r="E72" s="25">
        <v>66.45</v>
      </c>
      <c r="F72" s="74">
        <v>4.4973999999999995E-3</v>
      </c>
      <c r="G72" s="26">
        <f t="shared" si="2"/>
        <v>270.36569839999999</v>
      </c>
      <c r="H72" s="25">
        <f>IFERROR(VLOOKUP(C72,consumo_agua!$A$7:$X$202,24,0),0)</f>
        <v>32.727200000000003</v>
      </c>
      <c r="I72" s="26">
        <f t="shared" si="3"/>
        <v>303.09289839999997</v>
      </c>
    </row>
    <row r="73" spans="1:9" x14ac:dyDescent="0.25">
      <c r="A73" s="72" t="s">
        <v>1503</v>
      </c>
      <c r="B73" s="73" t="s">
        <v>1287</v>
      </c>
      <c r="C73" s="72" t="s">
        <v>2144</v>
      </c>
      <c r="D73" s="25">
        <v>0</v>
      </c>
      <c r="E73" s="25">
        <v>0</v>
      </c>
      <c r="F73" s="74">
        <v>1.2690000000000002E-3</v>
      </c>
      <c r="G73" s="26">
        <f t="shared" si="2"/>
        <v>76.287204000000003</v>
      </c>
      <c r="H73" s="25">
        <f>IFERROR(VLOOKUP(C73,consumo_agua!$A$7:$X$202,24,0),0)</f>
        <v>0</v>
      </c>
      <c r="I73" s="26">
        <f t="shared" si="3"/>
        <v>76.287204000000003</v>
      </c>
    </row>
    <row r="74" spans="1:9" x14ac:dyDescent="0.25">
      <c r="A74" s="72" t="s">
        <v>1593</v>
      </c>
      <c r="B74" s="73" t="s">
        <v>1594</v>
      </c>
      <c r="C74" s="72" t="s">
        <v>1595</v>
      </c>
      <c r="D74" s="25">
        <v>66.45</v>
      </c>
      <c r="E74" s="25">
        <v>66.45</v>
      </c>
      <c r="F74" s="74">
        <v>4.4973999999999995E-3</v>
      </c>
      <c r="G74" s="26">
        <f t="shared" si="2"/>
        <v>270.36569839999999</v>
      </c>
      <c r="H74" s="25">
        <f>IFERROR(VLOOKUP(C74,consumo_agua!$A$7:$X$202,24,0),0)</f>
        <v>26.776800000000001</v>
      </c>
      <c r="I74" s="26">
        <f t="shared" si="3"/>
        <v>297.14249839999997</v>
      </c>
    </row>
    <row r="75" spans="1:9" x14ac:dyDescent="0.25">
      <c r="A75" s="72" t="s">
        <v>1596</v>
      </c>
      <c r="B75" s="73" t="s">
        <v>1597</v>
      </c>
      <c r="C75" s="72" t="s">
        <v>1598</v>
      </c>
      <c r="D75" s="25">
        <v>74.599999999999994</v>
      </c>
      <c r="E75" s="25">
        <v>74.599999999999994</v>
      </c>
      <c r="F75" s="74">
        <v>4.4973999999999995E-3</v>
      </c>
      <c r="G75" s="26">
        <f t="shared" si="2"/>
        <v>270.36569839999999</v>
      </c>
      <c r="H75" s="25">
        <f>IFERROR(VLOOKUP(C75,consumo_agua!$A$7:$X$202,24,0),0)</f>
        <v>35.702399999999997</v>
      </c>
      <c r="I75" s="26">
        <f t="shared" si="3"/>
        <v>306.0680984</v>
      </c>
    </row>
    <row r="76" spans="1:9" x14ac:dyDescent="0.25">
      <c r="A76" s="72" t="s">
        <v>1599</v>
      </c>
      <c r="B76" s="73" t="s">
        <v>1600</v>
      </c>
      <c r="C76" s="72" t="s">
        <v>1601</v>
      </c>
      <c r="D76" s="25">
        <v>33</v>
      </c>
      <c r="E76" s="25">
        <v>33</v>
      </c>
      <c r="F76" s="74">
        <v>2.6939000000000004E-3</v>
      </c>
      <c r="G76" s="26">
        <f t="shared" si="2"/>
        <v>161.94649240000001</v>
      </c>
      <c r="H76" s="25">
        <f>IFERROR(VLOOKUP(C76,consumo_agua!$A$7:$X$202,24,0),0)</f>
        <v>19.07698240000002</v>
      </c>
      <c r="I76" s="26">
        <f t="shared" si="3"/>
        <v>181.02347480000003</v>
      </c>
    </row>
    <row r="77" spans="1:9" x14ac:dyDescent="0.25">
      <c r="A77" s="72" t="s">
        <v>1602</v>
      </c>
      <c r="B77" s="73" t="s">
        <v>1603</v>
      </c>
      <c r="C77" s="72" t="s">
        <v>1604</v>
      </c>
      <c r="D77" s="25">
        <v>44.45</v>
      </c>
      <c r="E77" s="25">
        <v>44.45</v>
      </c>
      <c r="F77" s="74">
        <v>2.6939000000000004E-3</v>
      </c>
      <c r="G77" s="26">
        <f t="shared" si="2"/>
        <v>161.94649240000001</v>
      </c>
      <c r="H77" s="25">
        <f>IFERROR(VLOOKUP(C77,consumo_agua!$A$7:$X$202,24,0),0)</f>
        <v>20.8264</v>
      </c>
      <c r="I77" s="26">
        <f t="shared" si="3"/>
        <v>182.77289240000002</v>
      </c>
    </row>
    <row r="78" spans="1:9" x14ac:dyDescent="0.25">
      <c r="A78" s="72" t="s">
        <v>1605</v>
      </c>
      <c r="B78" s="73" t="s">
        <v>1606</v>
      </c>
      <c r="C78" s="72" t="s">
        <v>1607</v>
      </c>
      <c r="D78" s="25">
        <v>81</v>
      </c>
      <c r="E78" s="25">
        <v>81</v>
      </c>
      <c r="F78" s="74">
        <v>4.4973999999999995E-3</v>
      </c>
      <c r="G78" s="26">
        <f t="shared" si="2"/>
        <v>270.36569839999999</v>
      </c>
      <c r="H78" s="25">
        <f>IFERROR(VLOOKUP(C78,consumo_agua!$A$7:$X$202,24,0),0)</f>
        <v>8.8601456000000258</v>
      </c>
      <c r="I78" s="26">
        <f t="shared" si="3"/>
        <v>279.225844</v>
      </c>
    </row>
    <row r="79" spans="1:9" x14ac:dyDescent="0.25">
      <c r="A79" s="72" t="s">
        <v>1608</v>
      </c>
      <c r="B79" s="73" t="s">
        <v>1609</v>
      </c>
      <c r="C79" s="72" t="s">
        <v>1610</v>
      </c>
      <c r="D79" s="25">
        <v>68</v>
      </c>
      <c r="E79" s="25">
        <v>68</v>
      </c>
      <c r="F79" s="74">
        <v>4.4973999999999995E-3</v>
      </c>
      <c r="G79" s="26">
        <f t="shared" si="2"/>
        <v>270.36569839999999</v>
      </c>
      <c r="H79" s="25">
        <f>IFERROR(VLOOKUP(C79,consumo_agua!$A$7:$X$202,24,0),0)</f>
        <v>17.851199999999999</v>
      </c>
      <c r="I79" s="26">
        <f t="shared" si="3"/>
        <v>288.21689839999999</v>
      </c>
    </row>
    <row r="80" spans="1:9" x14ac:dyDescent="0.25">
      <c r="A80" s="72" t="s">
        <v>1611</v>
      </c>
      <c r="B80" s="73" t="s">
        <v>1612</v>
      </c>
      <c r="C80" s="72" t="s">
        <v>1613</v>
      </c>
      <c r="D80" s="25">
        <v>33</v>
      </c>
      <c r="E80" s="25">
        <v>33</v>
      </c>
      <c r="F80" s="74">
        <v>2.6939000000000004E-3</v>
      </c>
      <c r="G80" s="26">
        <f t="shared" si="2"/>
        <v>161.94649240000001</v>
      </c>
      <c r="H80" s="25">
        <f>IFERROR(VLOOKUP(C80,consumo_agua!$A$7:$X$202,24,0),0)</f>
        <v>9.2736984000000131</v>
      </c>
      <c r="I80" s="26">
        <f t="shared" si="3"/>
        <v>171.22019080000001</v>
      </c>
    </row>
    <row r="81" spans="1:9" x14ac:dyDescent="0.25">
      <c r="A81" s="72" t="s">
        <v>1614</v>
      </c>
      <c r="B81" s="73" t="s">
        <v>1615</v>
      </c>
      <c r="C81" s="72" t="s">
        <v>1616</v>
      </c>
      <c r="D81" s="25">
        <v>0</v>
      </c>
      <c r="E81" s="25">
        <v>0</v>
      </c>
      <c r="F81" s="74">
        <v>3.6749999999999999E-4</v>
      </c>
      <c r="G81" s="26">
        <f t="shared" si="2"/>
        <v>22.09263</v>
      </c>
      <c r="H81" s="25">
        <f>IFERROR(VLOOKUP(C81,consumo_agua!$A$7:$X$202,24,0),0)</f>
        <v>0</v>
      </c>
      <c r="I81" s="26">
        <f t="shared" si="3"/>
        <v>22.09263</v>
      </c>
    </row>
    <row r="82" spans="1:9" x14ac:dyDescent="0.25">
      <c r="A82" s="72" t="s">
        <v>1617</v>
      </c>
      <c r="B82" s="73" t="s">
        <v>1234</v>
      </c>
      <c r="C82" s="72" t="s">
        <v>1618</v>
      </c>
      <c r="D82" s="25">
        <v>81</v>
      </c>
      <c r="E82" s="25">
        <v>81</v>
      </c>
      <c r="F82" s="74">
        <v>4.4973999999999995E-3</v>
      </c>
      <c r="G82" s="26">
        <f t="shared" si="2"/>
        <v>270.36569839999999</v>
      </c>
      <c r="H82" s="25">
        <f>IFERROR(VLOOKUP(C82,consumo_agua!$A$7:$X$202,24,0),0)</f>
        <v>20.180781600000046</v>
      </c>
      <c r="I82" s="26">
        <f t="shared" si="3"/>
        <v>290.54648000000003</v>
      </c>
    </row>
    <row r="83" spans="1:9" x14ac:dyDescent="0.25">
      <c r="A83" s="72" t="s">
        <v>1617</v>
      </c>
      <c r="B83" s="73" t="s">
        <v>1234</v>
      </c>
      <c r="C83" s="72" t="s">
        <v>2145</v>
      </c>
      <c r="D83" s="25">
        <v>0</v>
      </c>
      <c r="E83" s="25">
        <v>0</v>
      </c>
      <c r="F83" s="74">
        <v>1.2690000000000002E-3</v>
      </c>
      <c r="G83" s="26">
        <f t="shared" si="2"/>
        <v>76.287204000000003</v>
      </c>
      <c r="H83" s="25">
        <f>IFERROR(VLOOKUP(C83,consumo_agua!$A$7:$X$202,24,0),0)</f>
        <v>0</v>
      </c>
      <c r="I83" s="26">
        <f t="shared" si="3"/>
        <v>76.287204000000003</v>
      </c>
    </row>
    <row r="84" spans="1:9" x14ac:dyDescent="0.25">
      <c r="A84" s="72" t="s">
        <v>1504</v>
      </c>
      <c r="B84" s="73" t="s">
        <v>1619</v>
      </c>
      <c r="C84" s="72" t="s">
        <v>1620</v>
      </c>
      <c r="D84" s="25">
        <v>85.5</v>
      </c>
      <c r="E84" s="25">
        <v>85.5</v>
      </c>
      <c r="F84" s="74">
        <v>4.4973999999999995E-3</v>
      </c>
      <c r="G84" s="26">
        <f t="shared" si="2"/>
        <v>270.36569839999999</v>
      </c>
      <c r="H84" s="25">
        <f>IFERROR(VLOOKUP(C84,consumo_agua!$A$7:$X$202,24,0),0)</f>
        <v>35.702399999999997</v>
      </c>
      <c r="I84" s="26">
        <f t="shared" si="3"/>
        <v>306.0680984</v>
      </c>
    </row>
    <row r="85" spans="1:9" x14ac:dyDescent="0.25">
      <c r="A85" s="72" t="s">
        <v>1504</v>
      </c>
      <c r="B85" s="73" t="s">
        <v>1619</v>
      </c>
      <c r="C85" s="72" t="s">
        <v>2146</v>
      </c>
      <c r="D85" s="25">
        <v>0</v>
      </c>
      <c r="E85" s="25">
        <v>0</v>
      </c>
      <c r="F85" s="74">
        <v>1.2690000000000002E-3</v>
      </c>
      <c r="G85" s="26">
        <f t="shared" si="2"/>
        <v>76.287204000000003</v>
      </c>
      <c r="H85" s="25">
        <f>IFERROR(VLOOKUP(C85,consumo_agua!$A$7:$X$202,24,0),0)</f>
        <v>0</v>
      </c>
      <c r="I85" s="26">
        <f t="shared" si="3"/>
        <v>76.287204000000003</v>
      </c>
    </row>
    <row r="86" spans="1:9" x14ac:dyDescent="0.25">
      <c r="A86" s="72" t="s">
        <v>1621</v>
      </c>
      <c r="B86" s="73" t="s">
        <v>1622</v>
      </c>
      <c r="C86" s="72" t="s">
        <v>1623</v>
      </c>
      <c r="D86" s="25">
        <v>68</v>
      </c>
      <c r="E86" s="25">
        <v>68</v>
      </c>
      <c r="F86" s="74">
        <v>4.4973999999999995E-3</v>
      </c>
      <c r="G86" s="26">
        <f t="shared" si="2"/>
        <v>270.36569839999999</v>
      </c>
      <c r="H86" s="25">
        <f>IFERROR(VLOOKUP(C86,consumo_agua!$A$7:$X$202,24,0),0)</f>
        <v>20.8264</v>
      </c>
      <c r="I86" s="26">
        <f t="shared" si="3"/>
        <v>291.19209839999996</v>
      </c>
    </row>
    <row r="87" spans="1:9" x14ac:dyDescent="0.25">
      <c r="A87" s="72" t="s">
        <v>1621</v>
      </c>
      <c r="B87" s="73" t="s">
        <v>1622</v>
      </c>
      <c r="C87" s="72" t="s">
        <v>2147</v>
      </c>
      <c r="D87" s="25">
        <v>0</v>
      </c>
      <c r="E87" s="25">
        <v>0</v>
      </c>
      <c r="F87" s="74">
        <v>1.2690000000000002E-3</v>
      </c>
      <c r="G87" s="26">
        <f t="shared" si="2"/>
        <v>76.287204000000003</v>
      </c>
      <c r="H87" s="25">
        <f>IFERROR(VLOOKUP(C87,consumo_agua!$A$7:$X$202,24,0),0)</f>
        <v>0</v>
      </c>
      <c r="I87" s="26">
        <f t="shared" si="3"/>
        <v>76.287204000000003</v>
      </c>
    </row>
    <row r="88" spans="1:9" x14ac:dyDescent="0.25">
      <c r="A88" s="72" t="s">
        <v>1624</v>
      </c>
      <c r="B88" s="73" t="s">
        <v>1466</v>
      </c>
      <c r="C88" s="72" t="s">
        <v>1625</v>
      </c>
      <c r="D88" s="25">
        <v>127.96</v>
      </c>
      <c r="E88" s="25">
        <v>185.73</v>
      </c>
      <c r="F88" s="74">
        <v>6.2785000000000002E-3</v>
      </c>
      <c r="G88" s="26">
        <f t="shared" si="2"/>
        <v>377.43830600000001</v>
      </c>
      <c r="H88" s="25">
        <f>IFERROR(VLOOKUP(C88,consumo_agua!$A$7:$X$202,24,0),0)</f>
        <v>65.454400000000007</v>
      </c>
      <c r="I88" s="26">
        <f t="shared" si="3"/>
        <v>442.89270600000003</v>
      </c>
    </row>
    <row r="89" spans="1:9" x14ac:dyDescent="0.25">
      <c r="A89" s="72" t="s">
        <v>1624</v>
      </c>
      <c r="B89" s="73" t="s">
        <v>1466</v>
      </c>
      <c r="C89" s="72" t="s">
        <v>2089</v>
      </c>
      <c r="D89" s="25">
        <v>78.95</v>
      </c>
      <c r="E89" s="25">
        <v>78.95</v>
      </c>
      <c r="F89" s="74">
        <v>4.4973999999999995E-3</v>
      </c>
      <c r="G89" s="26">
        <f t="shared" si="2"/>
        <v>270.36569839999999</v>
      </c>
      <c r="H89" s="25">
        <f>IFERROR(VLOOKUP(C89,consumo_agua!$A$7:$X$202,24,0),0)</f>
        <v>17.708390399999995</v>
      </c>
      <c r="I89" s="26">
        <f t="shared" si="3"/>
        <v>288.07408879999997</v>
      </c>
    </row>
    <row r="90" spans="1:9" x14ac:dyDescent="0.25">
      <c r="A90" s="72" t="s">
        <v>1624</v>
      </c>
      <c r="B90" s="73" t="s">
        <v>1466</v>
      </c>
      <c r="C90" s="72" t="s">
        <v>2148</v>
      </c>
      <c r="D90" s="25">
        <v>0</v>
      </c>
      <c r="E90" s="25">
        <v>0</v>
      </c>
      <c r="F90" s="74">
        <v>1.2690000000000002E-3</v>
      </c>
      <c r="G90" s="26">
        <f t="shared" si="2"/>
        <v>76.287204000000003</v>
      </c>
      <c r="H90" s="25">
        <f>IFERROR(VLOOKUP(C90,consumo_agua!$A$7:$X$202,24,0),0)</f>
        <v>0</v>
      </c>
      <c r="I90" s="26">
        <f t="shared" si="3"/>
        <v>76.287204000000003</v>
      </c>
    </row>
    <row r="91" spans="1:9" x14ac:dyDescent="0.25">
      <c r="A91" s="72" t="s">
        <v>1624</v>
      </c>
      <c r="B91" s="73" t="s">
        <v>1466</v>
      </c>
      <c r="C91" s="72" t="s">
        <v>2149</v>
      </c>
      <c r="D91" s="25">
        <v>0</v>
      </c>
      <c r="E91" s="25">
        <v>0</v>
      </c>
      <c r="F91" s="74">
        <v>1.2690000000000002E-3</v>
      </c>
      <c r="G91" s="26">
        <f t="shared" si="2"/>
        <v>76.287204000000003</v>
      </c>
      <c r="H91" s="25">
        <f>IFERROR(VLOOKUP(C91,consumo_agua!$A$7:$X$202,24,0),0)</f>
        <v>0</v>
      </c>
      <c r="I91" s="26">
        <f t="shared" si="3"/>
        <v>76.287204000000003</v>
      </c>
    </row>
    <row r="92" spans="1:9" x14ac:dyDescent="0.25">
      <c r="A92" s="72" t="s">
        <v>1626</v>
      </c>
      <c r="B92" s="73" t="s">
        <v>1627</v>
      </c>
      <c r="C92" s="72" t="s">
        <v>1628</v>
      </c>
      <c r="D92" s="25">
        <v>81</v>
      </c>
      <c r="E92" s="25">
        <v>81</v>
      </c>
      <c r="F92" s="74">
        <v>4.4973999999999995E-3</v>
      </c>
      <c r="G92" s="26">
        <f t="shared" si="2"/>
        <v>270.36569839999999</v>
      </c>
      <c r="H92" s="25">
        <f>IFERROR(VLOOKUP(C92,consumo_agua!$A$7:$X$202,24,0),0)</f>
        <v>16.330872799999927</v>
      </c>
      <c r="I92" s="26">
        <f t="shared" si="3"/>
        <v>286.69657119999994</v>
      </c>
    </row>
    <row r="93" spans="1:9" x14ac:dyDescent="0.25">
      <c r="A93" s="72" t="s">
        <v>1626</v>
      </c>
      <c r="B93" s="73" t="s">
        <v>1627</v>
      </c>
      <c r="C93" s="72" t="s">
        <v>2150</v>
      </c>
      <c r="D93" s="25">
        <v>0</v>
      </c>
      <c r="E93" s="25">
        <v>0</v>
      </c>
      <c r="F93" s="74">
        <v>1.2690000000000002E-3</v>
      </c>
      <c r="G93" s="26">
        <f t="shared" si="2"/>
        <v>76.287204000000003</v>
      </c>
      <c r="H93" s="25">
        <f>IFERROR(VLOOKUP(C93,consumo_agua!$A$7:$X$202,24,0),0)</f>
        <v>0</v>
      </c>
      <c r="I93" s="26">
        <f t="shared" si="3"/>
        <v>76.287204000000003</v>
      </c>
    </row>
    <row r="94" spans="1:9" x14ac:dyDescent="0.25">
      <c r="A94" s="72" t="s">
        <v>1629</v>
      </c>
      <c r="B94" s="73" t="s">
        <v>1222</v>
      </c>
      <c r="C94" s="72" t="s">
        <v>1631</v>
      </c>
      <c r="D94" s="25">
        <v>66.45</v>
      </c>
      <c r="E94" s="25">
        <v>66.45</v>
      </c>
      <c r="F94" s="74">
        <v>4.4973999999999995E-3</v>
      </c>
      <c r="G94" s="26">
        <f t="shared" si="2"/>
        <v>270.36569839999999</v>
      </c>
      <c r="H94" s="25">
        <f>IFERROR(VLOOKUP(C94,consumo_agua!$A$7:$X$202,24,0),0)</f>
        <v>26.776800000000001</v>
      </c>
      <c r="I94" s="26">
        <f t="shared" si="3"/>
        <v>297.14249839999997</v>
      </c>
    </row>
    <row r="95" spans="1:9" x14ac:dyDescent="0.25">
      <c r="A95" s="72" t="s">
        <v>1629</v>
      </c>
      <c r="B95" s="73" t="s">
        <v>1222</v>
      </c>
      <c r="C95" s="72" t="s">
        <v>2151</v>
      </c>
      <c r="D95" s="25">
        <v>0</v>
      </c>
      <c r="E95" s="25">
        <v>0</v>
      </c>
      <c r="F95" s="74">
        <v>1.2690000000000002E-3</v>
      </c>
      <c r="G95" s="26">
        <f t="shared" si="2"/>
        <v>76.287204000000003</v>
      </c>
      <c r="H95" s="25">
        <f>IFERROR(VLOOKUP(C95,consumo_agua!$A$7:$X$202,24,0),0)</f>
        <v>0</v>
      </c>
      <c r="I95" s="26">
        <f t="shared" si="3"/>
        <v>76.287204000000003</v>
      </c>
    </row>
    <row r="96" spans="1:9" x14ac:dyDescent="0.25">
      <c r="A96" s="72" t="s">
        <v>1632</v>
      </c>
      <c r="B96" s="73" t="s">
        <v>1633</v>
      </c>
      <c r="C96" s="72" t="s">
        <v>1634</v>
      </c>
      <c r="D96" s="25">
        <v>44.45</v>
      </c>
      <c r="E96" s="25">
        <v>44.45</v>
      </c>
      <c r="F96" s="74">
        <v>2.6939000000000004E-3</v>
      </c>
      <c r="G96" s="26">
        <f t="shared" si="2"/>
        <v>161.94649240000001</v>
      </c>
      <c r="H96" s="25">
        <f>IFERROR(VLOOKUP(C96,consumo_agua!$A$7:$X$202,24,0),0)</f>
        <v>2.9752000000000001</v>
      </c>
      <c r="I96" s="26">
        <f t="shared" si="3"/>
        <v>164.92169240000001</v>
      </c>
    </row>
    <row r="97" spans="1:9" x14ac:dyDescent="0.25">
      <c r="A97" s="72" t="s">
        <v>1632</v>
      </c>
      <c r="B97" s="73" t="s">
        <v>1633</v>
      </c>
      <c r="C97" s="72" t="s">
        <v>2152</v>
      </c>
      <c r="D97" s="25">
        <v>0</v>
      </c>
      <c r="E97" s="25">
        <v>0</v>
      </c>
      <c r="F97" s="74">
        <v>1.2690000000000002E-3</v>
      </c>
      <c r="G97" s="26">
        <f t="shared" si="2"/>
        <v>76.287204000000003</v>
      </c>
      <c r="H97" s="25">
        <f>IFERROR(VLOOKUP(C97,consumo_agua!$A$7:$X$202,24,0),0)</f>
        <v>0</v>
      </c>
      <c r="I97" s="26">
        <f t="shared" si="3"/>
        <v>76.287204000000003</v>
      </c>
    </row>
    <row r="98" spans="1:9" x14ac:dyDescent="0.25">
      <c r="A98" s="72" t="s">
        <v>1635</v>
      </c>
      <c r="B98" s="73" t="s">
        <v>1636</v>
      </c>
      <c r="C98" s="72" t="s">
        <v>1637</v>
      </c>
      <c r="D98" s="25">
        <v>76.150000000000006</v>
      </c>
      <c r="E98" s="25">
        <v>76.150000000000006</v>
      </c>
      <c r="F98" s="74">
        <v>4.4973999999999995E-3</v>
      </c>
      <c r="G98" s="26">
        <f t="shared" si="2"/>
        <v>270.36569839999999</v>
      </c>
      <c r="H98" s="25">
        <f>IFERROR(VLOOKUP(C98,consumo_agua!$A$7:$X$202,24,0),0)</f>
        <v>11.9008</v>
      </c>
      <c r="I98" s="26">
        <f t="shared" si="3"/>
        <v>282.26649839999999</v>
      </c>
    </row>
    <row r="99" spans="1:9" x14ac:dyDescent="0.25">
      <c r="A99" s="72" t="s">
        <v>1635</v>
      </c>
      <c r="B99" s="73" t="s">
        <v>1636</v>
      </c>
      <c r="C99" s="72" t="s">
        <v>2153</v>
      </c>
      <c r="D99" s="25">
        <v>0</v>
      </c>
      <c r="E99" s="25">
        <v>0</v>
      </c>
      <c r="F99" s="74">
        <v>1.2690000000000002E-3</v>
      </c>
      <c r="G99" s="26">
        <f t="shared" si="2"/>
        <v>76.287204000000003</v>
      </c>
      <c r="H99" s="25">
        <f>IFERROR(VLOOKUP(C99,consumo_agua!$A$7:$X$202,24,0),0)</f>
        <v>0</v>
      </c>
      <c r="I99" s="26">
        <f t="shared" si="3"/>
        <v>76.287204000000003</v>
      </c>
    </row>
    <row r="100" spans="1:9" x14ac:dyDescent="0.25">
      <c r="A100" s="72" t="s">
        <v>1638</v>
      </c>
      <c r="B100" s="73" t="s">
        <v>1356</v>
      </c>
      <c r="C100" s="72" t="s">
        <v>1639</v>
      </c>
      <c r="D100" s="25">
        <v>81</v>
      </c>
      <c r="E100" s="25">
        <v>81</v>
      </c>
      <c r="F100" s="74">
        <v>4.4973999999999995E-3</v>
      </c>
      <c r="G100" s="26">
        <f t="shared" si="2"/>
        <v>270.36569839999999</v>
      </c>
      <c r="H100" s="25">
        <f>IFERROR(VLOOKUP(C100,consumo_agua!$A$7:$X$202,24,0),0)</f>
        <v>26.428701599999947</v>
      </c>
      <c r="I100" s="26">
        <f t="shared" si="3"/>
        <v>296.79439999999994</v>
      </c>
    </row>
    <row r="101" spans="1:9" x14ac:dyDescent="0.25">
      <c r="A101" s="72" t="s">
        <v>1640</v>
      </c>
      <c r="B101" s="73" t="s">
        <v>1349</v>
      </c>
      <c r="C101" s="72" t="s">
        <v>1641</v>
      </c>
      <c r="D101" s="25">
        <v>76.150000000000006</v>
      </c>
      <c r="E101" s="25">
        <v>76.150000000000006</v>
      </c>
      <c r="F101" s="74">
        <v>4.4973999999999995E-3</v>
      </c>
      <c r="G101" s="26">
        <f t="shared" si="2"/>
        <v>270.36569839999999</v>
      </c>
      <c r="H101" s="25">
        <f>IFERROR(VLOOKUP(C101,consumo_agua!$A$7:$X$202,24,0),0)</f>
        <v>20.8264</v>
      </c>
      <c r="I101" s="26">
        <f t="shared" si="3"/>
        <v>291.19209839999996</v>
      </c>
    </row>
    <row r="102" spans="1:9" x14ac:dyDescent="0.25">
      <c r="A102" s="72" t="s">
        <v>1640</v>
      </c>
      <c r="B102" s="73" t="s">
        <v>1349</v>
      </c>
      <c r="C102" s="72" t="s">
        <v>2154</v>
      </c>
      <c r="D102" s="25">
        <v>0</v>
      </c>
      <c r="E102" s="25">
        <v>0</v>
      </c>
      <c r="F102" s="74">
        <v>3.6749999999999999E-4</v>
      </c>
      <c r="G102" s="26">
        <f t="shared" si="2"/>
        <v>22.09263</v>
      </c>
      <c r="H102" s="25">
        <f>IFERROR(VLOOKUP(C102,consumo_agua!$A$7:$X$202,24,0),0)</f>
        <v>0</v>
      </c>
      <c r="I102" s="26">
        <f t="shared" si="3"/>
        <v>22.09263</v>
      </c>
    </row>
    <row r="103" spans="1:9" x14ac:dyDescent="0.25">
      <c r="A103" s="72" t="s">
        <v>1640</v>
      </c>
      <c r="B103" s="73" t="s">
        <v>1349</v>
      </c>
      <c r="C103" s="72" t="s">
        <v>2155</v>
      </c>
      <c r="D103" s="25">
        <v>0</v>
      </c>
      <c r="E103" s="25">
        <v>0</v>
      </c>
      <c r="F103" s="74">
        <v>1.2690000000000002E-3</v>
      </c>
      <c r="G103" s="26">
        <f t="shared" si="2"/>
        <v>76.287204000000003</v>
      </c>
      <c r="H103" s="25">
        <f>IFERROR(VLOOKUP(C103,consumo_agua!$A$7:$X$202,24,0),0)</f>
        <v>0</v>
      </c>
      <c r="I103" s="26">
        <f t="shared" si="3"/>
        <v>76.287204000000003</v>
      </c>
    </row>
    <row r="104" spans="1:9" x14ac:dyDescent="0.25">
      <c r="A104" s="72" t="s">
        <v>1642</v>
      </c>
      <c r="B104" s="73" t="s">
        <v>1643</v>
      </c>
      <c r="C104" s="72" t="s">
        <v>1644</v>
      </c>
      <c r="D104" s="25">
        <v>44.45</v>
      </c>
      <c r="E104" s="25">
        <v>44.45</v>
      </c>
      <c r="F104" s="74">
        <v>2.6939000000000004E-3</v>
      </c>
      <c r="G104" s="26">
        <f t="shared" si="2"/>
        <v>161.94649240000001</v>
      </c>
      <c r="H104" s="25">
        <f>IFERROR(VLOOKUP(C104,consumo_agua!$A$7:$X$202,24,0),0)</f>
        <v>2.9752000000000001</v>
      </c>
      <c r="I104" s="26">
        <f t="shared" si="3"/>
        <v>164.92169240000001</v>
      </c>
    </row>
    <row r="105" spans="1:9" x14ac:dyDescent="0.25">
      <c r="A105" s="72" t="s">
        <v>1507</v>
      </c>
      <c r="B105" s="73" t="s">
        <v>1645</v>
      </c>
      <c r="C105" s="72" t="s">
        <v>1646</v>
      </c>
      <c r="D105" s="25">
        <v>77.05</v>
      </c>
      <c r="E105" s="25">
        <v>77.05</v>
      </c>
      <c r="F105" s="74">
        <v>4.4973999999999995E-3</v>
      </c>
      <c r="G105" s="26">
        <f t="shared" si="2"/>
        <v>270.36569839999999</v>
      </c>
      <c r="H105" s="25">
        <f>IFERROR(VLOOKUP(C105,consumo_agua!$A$7:$X$202,24,0),0)</f>
        <v>17.851199999999999</v>
      </c>
      <c r="I105" s="26">
        <f t="shared" si="3"/>
        <v>288.21689839999999</v>
      </c>
    </row>
    <row r="106" spans="1:9" x14ac:dyDescent="0.25">
      <c r="A106" s="72" t="s">
        <v>1647</v>
      </c>
      <c r="B106" s="73" t="s">
        <v>1648</v>
      </c>
      <c r="C106" s="72" t="s">
        <v>1649</v>
      </c>
      <c r="D106" s="25">
        <v>66.45</v>
      </c>
      <c r="E106" s="25">
        <v>66.45</v>
      </c>
      <c r="F106" s="74">
        <v>4.4973999999999995E-3</v>
      </c>
      <c r="G106" s="26">
        <f t="shared" si="2"/>
        <v>270.36569839999999</v>
      </c>
      <c r="H106" s="25">
        <f>IFERROR(VLOOKUP(C106,consumo_agua!$A$7:$X$202,24,0),0)</f>
        <v>29.752000000000002</v>
      </c>
      <c r="I106" s="26">
        <f t="shared" si="3"/>
        <v>300.11769839999999</v>
      </c>
    </row>
    <row r="107" spans="1:9" x14ac:dyDescent="0.25">
      <c r="A107" s="72" t="s">
        <v>1650</v>
      </c>
      <c r="B107" s="73" t="s">
        <v>1651</v>
      </c>
      <c r="C107" s="72" t="s">
        <v>1652</v>
      </c>
      <c r="D107" s="25">
        <v>76.150000000000006</v>
      </c>
      <c r="E107" s="25">
        <v>76.150000000000006</v>
      </c>
      <c r="F107" s="74">
        <v>4.4973999999999995E-3</v>
      </c>
      <c r="G107" s="26">
        <f t="shared" si="2"/>
        <v>270.36569839999999</v>
      </c>
      <c r="H107" s="25">
        <f>IFERROR(VLOOKUP(C107,consumo_agua!$A$7:$X$202,24,0),0)</f>
        <v>26.776800000000001</v>
      </c>
      <c r="I107" s="26">
        <f t="shared" si="3"/>
        <v>297.14249839999997</v>
      </c>
    </row>
    <row r="108" spans="1:9" x14ac:dyDescent="0.25">
      <c r="A108" s="72" t="s">
        <v>1650</v>
      </c>
      <c r="B108" s="73" t="s">
        <v>1651</v>
      </c>
      <c r="C108" s="72" t="s">
        <v>2156</v>
      </c>
      <c r="D108" s="25">
        <v>0</v>
      </c>
      <c r="E108" s="25">
        <v>0</v>
      </c>
      <c r="F108" s="74">
        <v>1.2690000000000002E-3</v>
      </c>
      <c r="G108" s="26">
        <f t="shared" si="2"/>
        <v>76.287204000000003</v>
      </c>
      <c r="H108" s="25">
        <f>IFERROR(VLOOKUP(C108,consumo_agua!$A$7:$X$202,24,0),0)</f>
        <v>0</v>
      </c>
      <c r="I108" s="26">
        <f t="shared" si="3"/>
        <v>76.287204000000003</v>
      </c>
    </row>
    <row r="109" spans="1:9" x14ac:dyDescent="0.25">
      <c r="A109" s="72" t="s">
        <v>1653</v>
      </c>
      <c r="B109" s="73" t="s">
        <v>1654</v>
      </c>
      <c r="C109" s="72" t="s">
        <v>1655</v>
      </c>
      <c r="D109" s="25">
        <v>76.150000000000006</v>
      </c>
      <c r="E109" s="25">
        <v>76.150000000000006</v>
      </c>
      <c r="F109" s="74">
        <v>4.4973999999999995E-3</v>
      </c>
      <c r="G109" s="26">
        <f t="shared" si="2"/>
        <v>270.36569839999999</v>
      </c>
      <c r="H109" s="25">
        <f>IFERROR(VLOOKUP(C109,consumo_agua!$A$7:$X$202,24,0),0)</f>
        <v>23.801600000000001</v>
      </c>
      <c r="I109" s="26">
        <f t="shared" si="3"/>
        <v>294.16729839999999</v>
      </c>
    </row>
    <row r="110" spans="1:9" x14ac:dyDescent="0.25">
      <c r="A110" s="72" t="s">
        <v>1653</v>
      </c>
      <c r="B110" s="73" t="s">
        <v>1654</v>
      </c>
      <c r="C110" s="72" t="s">
        <v>2157</v>
      </c>
      <c r="D110" s="25">
        <v>0</v>
      </c>
      <c r="E110" s="25">
        <v>0</v>
      </c>
      <c r="F110" s="74">
        <v>1.2690000000000002E-3</v>
      </c>
      <c r="G110" s="26">
        <f t="shared" si="2"/>
        <v>76.287204000000003</v>
      </c>
      <c r="H110" s="25">
        <f>IFERROR(VLOOKUP(C110,consumo_agua!$A$7:$X$202,24,0),0)</f>
        <v>0</v>
      </c>
      <c r="I110" s="26">
        <f t="shared" si="3"/>
        <v>76.287204000000003</v>
      </c>
    </row>
    <row r="111" spans="1:9" x14ac:dyDescent="0.25">
      <c r="A111" s="72" t="s">
        <v>1656</v>
      </c>
      <c r="B111" s="73" t="s">
        <v>1657</v>
      </c>
      <c r="C111" s="72" t="s">
        <v>1658</v>
      </c>
      <c r="D111" s="25">
        <v>74.599999999999994</v>
      </c>
      <c r="E111" s="25">
        <v>74.599999999999994</v>
      </c>
      <c r="F111" s="74">
        <v>4.4973999999999995E-3</v>
      </c>
      <c r="G111" s="26">
        <f t="shared" si="2"/>
        <v>270.36569839999999</v>
      </c>
      <c r="H111" s="25">
        <f>IFERROR(VLOOKUP(C111,consumo_agua!$A$7:$X$202,24,0),0)</f>
        <v>26.776800000000001</v>
      </c>
      <c r="I111" s="26">
        <f t="shared" si="3"/>
        <v>297.14249839999997</v>
      </c>
    </row>
    <row r="112" spans="1:9" x14ac:dyDescent="0.25">
      <c r="A112" s="72" t="s">
        <v>1656</v>
      </c>
      <c r="B112" s="73" t="s">
        <v>1657</v>
      </c>
      <c r="C112" s="72" t="s">
        <v>2158</v>
      </c>
      <c r="D112" s="25">
        <v>0</v>
      </c>
      <c r="E112" s="25">
        <v>0</v>
      </c>
      <c r="F112" s="74">
        <v>1.2690000000000002E-3</v>
      </c>
      <c r="G112" s="26">
        <f t="shared" si="2"/>
        <v>76.287204000000003</v>
      </c>
      <c r="H112" s="25">
        <f>IFERROR(VLOOKUP(C112,consumo_agua!$A$7:$X$202,24,0),0)</f>
        <v>0</v>
      </c>
      <c r="I112" s="26">
        <f t="shared" si="3"/>
        <v>76.287204000000003</v>
      </c>
    </row>
    <row r="113" spans="1:9" x14ac:dyDescent="0.25">
      <c r="A113" s="72" t="s">
        <v>1659</v>
      </c>
      <c r="B113" s="73" t="s">
        <v>1319</v>
      </c>
      <c r="C113" s="72" t="s">
        <v>1660</v>
      </c>
      <c r="D113" s="25">
        <v>68</v>
      </c>
      <c r="E113" s="25">
        <v>68</v>
      </c>
      <c r="F113" s="74">
        <v>4.4973999999999995E-3</v>
      </c>
      <c r="G113" s="26">
        <f t="shared" si="2"/>
        <v>270.36569839999999</v>
      </c>
      <c r="H113" s="25">
        <f>IFERROR(VLOOKUP(C113,consumo_agua!$A$7:$X$202,24,0),0)</f>
        <v>14.876000000000001</v>
      </c>
      <c r="I113" s="26">
        <f t="shared" si="3"/>
        <v>285.24169839999996</v>
      </c>
    </row>
    <row r="114" spans="1:9" x14ac:dyDescent="0.25">
      <c r="A114" s="72" t="s">
        <v>1659</v>
      </c>
      <c r="B114" s="73" t="s">
        <v>1319</v>
      </c>
      <c r="C114" s="72" t="s">
        <v>2159</v>
      </c>
      <c r="D114" s="25">
        <v>0</v>
      </c>
      <c r="E114" s="25">
        <v>0</v>
      </c>
      <c r="F114" s="74">
        <v>1.2690000000000002E-3</v>
      </c>
      <c r="G114" s="26">
        <f t="shared" si="2"/>
        <v>76.287204000000003</v>
      </c>
      <c r="H114" s="25">
        <f>IFERROR(VLOOKUP(C114,consumo_agua!$A$7:$X$202,24,0),0)</f>
        <v>0</v>
      </c>
      <c r="I114" s="26">
        <f t="shared" si="3"/>
        <v>76.287204000000003</v>
      </c>
    </row>
    <row r="115" spans="1:9" x14ac:dyDescent="0.25">
      <c r="A115" s="72" t="s">
        <v>1661</v>
      </c>
      <c r="B115" s="73" t="s">
        <v>1662</v>
      </c>
      <c r="C115" s="72" t="s">
        <v>1663</v>
      </c>
      <c r="D115" s="25">
        <v>77.05</v>
      </c>
      <c r="E115" s="25">
        <v>77.05</v>
      </c>
      <c r="F115" s="74">
        <v>4.4973999999999995E-3</v>
      </c>
      <c r="G115" s="26">
        <f t="shared" si="2"/>
        <v>270.36569839999999</v>
      </c>
      <c r="H115" s="25">
        <f>IFERROR(VLOOKUP(C115,consumo_agua!$A$7:$X$202,24,0),0)</f>
        <v>20.8264</v>
      </c>
      <c r="I115" s="26">
        <f t="shared" si="3"/>
        <v>291.19209839999996</v>
      </c>
    </row>
    <row r="116" spans="1:9" x14ac:dyDescent="0.25">
      <c r="A116" s="72" t="s">
        <v>1664</v>
      </c>
      <c r="B116" s="73" t="s">
        <v>1665</v>
      </c>
      <c r="C116" s="72" t="s">
        <v>1666</v>
      </c>
      <c r="D116" s="25">
        <v>92.5</v>
      </c>
      <c r="E116" s="25">
        <v>92.5</v>
      </c>
      <c r="F116" s="74">
        <v>5.6772999999999997E-3</v>
      </c>
      <c r="G116" s="26">
        <f t="shared" si="2"/>
        <v>341.29656679999999</v>
      </c>
      <c r="H116" s="25">
        <f>IFERROR(VLOOKUP(C116,consumo_agua!$A$7:$X$202,24,0),0)</f>
        <v>11.9008</v>
      </c>
      <c r="I116" s="26">
        <f t="shared" si="3"/>
        <v>353.1973668</v>
      </c>
    </row>
    <row r="117" spans="1:9" x14ac:dyDescent="0.25">
      <c r="A117" s="72" t="s">
        <v>1664</v>
      </c>
      <c r="B117" s="73" t="s">
        <v>1665</v>
      </c>
      <c r="C117" s="72" t="s">
        <v>2160</v>
      </c>
      <c r="D117" s="25">
        <v>0</v>
      </c>
      <c r="E117" s="25">
        <v>0</v>
      </c>
      <c r="F117" s="74">
        <v>1.2690000000000002E-3</v>
      </c>
      <c r="G117" s="26">
        <f t="shared" si="2"/>
        <v>76.287204000000003</v>
      </c>
      <c r="H117" s="25">
        <f>IFERROR(VLOOKUP(C117,consumo_agua!$A$7:$X$202,24,0),0)</f>
        <v>0</v>
      </c>
      <c r="I117" s="26">
        <f t="shared" si="3"/>
        <v>76.287204000000003</v>
      </c>
    </row>
    <row r="118" spans="1:9" x14ac:dyDescent="0.25">
      <c r="A118" s="72" t="s">
        <v>1667</v>
      </c>
      <c r="B118" s="73" t="s">
        <v>1668</v>
      </c>
      <c r="C118" s="72" t="s">
        <v>1669</v>
      </c>
      <c r="D118" s="25">
        <v>77.05</v>
      </c>
      <c r="E118" s="25">
        <v>77.05</v>
      </c>
      <c r="F118" s="74">
        <v>4.4973999999999995E-3</v>
      </c>
      <c r="G118" s="26">
        <f t="shared" si="2"/>
        <v>270.36569839999999</v>
      </c>
      <c r="H118" s="25">
        <f>IFERROR(VLOOKUP(C118,consumo_agua!$A$7:$X$202,24,0),0)</f>
        <v>26.776800000000001</v>
      </c>
      <c r="I118" s="26">
        <f t="shared" si="3"/>
        <v>297.14249839999997</v>
      </c>
    </row>
    <row r="119" spans="1:9" x14ac:dyDescent="0.25">
      <c r="A119" s="72" t="s">
        <v>1667</v>
      </c>
      <c r="B119" s="73" t="s">
        <v>1668</v>
      </c>
      <c r="C119" s="72" t="s">
        <v>2161</v>
      </c>
      <c r="D119" s="25">
        <v>0</v>
      </c>
      <c r="E119" s="25">
        <v>0</v>
      </c>
      <c r="F119" s="74">
        <v>1.2690000000000002E-3</v>
      </c>
      <c r="G119" s="26">
        <f t="shared" si="2"/>
        <v>76.287204000000003</v>
      </c>
      <c r="H119" s="25">
        <f>IFERROR(VLOOKUP(C119,consumo_agua!$A$7:$X$202,24,0),0)</f>
        <v>0</v>
      </c>
      <c r="I119" s="26">
        <f t="shared" si="3"/>
        <v>76.287204000000003</v>
      </c>
    </row>
    <row r="120" spans="1:9" x14ac:dyDescent="0.25">
      <c r="A120" s="72" t="s">
        <v>1667</v>
      </c>
      <c r="B120" s="73" t="s">
        <v>1668</v>
      </c>
      <c r="C120" s="72" t="s">
        <v>2162</v>
      </c>
      <c r="D120" s="25">
        <v>0</v>
      </c>
      <c r="E120" s="25">
        <v>0</v>
      </c>
      <c r="F120" s="74">
        <v>1.2690000000000002E-3</v>
      </c>
      <c r="G120" s="26">
        <f t="shared" si="2"/>
        <v>76.287204000000003</v>
      </c>
      <c r="H120" s="25">
        <f>IFERROR(VLOOKUP(C120,consumo_agua!$A$7:$X$202,24,0),0)</f>
        <v>0</v>
      </c>
      <c r="I120" s="26">
        <f t="shared" si="3"/>
        <v>76.287204000000003</v>
      </c>
    </row>
    <row r="121" spans="1:9" x14ac:dyDescent="0.25">
      <c r="A121" s="72" t="s">
        <v>1670</v>
      </c>
      <c r="B121" s="73" t="s">
        <v>1671</v>
      </c>
      <c r="C121" s="72" t="s">
        <v>1672</v>
      </c>
      <c r="D121" s="25">
        <v>0</v>
      </c>
      <c r="E121" s="25">
        <v>0</v>
      </c>
      <c r="F121" s="74">
        <v>1.2690000000000002E-3</v>
      </c>
      <c r="G121" s="26">
        <f t="shared" si="2"/>
        <v>76.287204000000003</v>
      </c>
      <c r="H121" s="25">
        <f>IFERROR(VLOOKUP(C121,consumo_agua!$A$7:$X$202,24,0),0)</f>
        <v>0</v>
      </c>
      <c r="I121" s="26">
        <f t="shared" si="3"/>
        <v>76.287204000000003</v>
      </c>
    </row>
    <row r="122" spans="1:9" x14ac:dyDescent="0.25">
      <c r="A122" s="72" t="s">
        <v>1506</v>
      </c>
      <c r="B122" s="73" t="s">
        <v>1673</v>
      </c>
      <c r="C122" s="72" t="s">
        <v>1674</v>
      </c>
      <c r="D122" s="25">
        <v>74.599999999999994</v>
      </c>
      <c r="E122" s="25">
        <v>74.599999999999994</v>
      </c>
      <c r="F122" s="74">
        <v>4.4973999999999995E-3</v>
      </c>
      <c r="G122" s="26">
        <f t="shared" si="2"/>
        <v>270.36569839999999</v>
      </c>
      <c r="H122" s="25">
        <f>IFERROR(VLOOKUP(C122,consumo_agua!$A$7:$X$202,24,0),0)</f>
        <v>27.211179200000046</v>
      </c>
      <c r="I122" s="26">
        <f t="shared" si="3"/>
        <v>297.57687760000005</v>
      </c>
    </row>
    <row r="123" spans="1:9" x14ac:dyDescent="0.25">
      <c r="A123" s="72" t="s">
        <v>1506</v>
      </c>
      <c r="B123" s="73" t="s">
        <v>1673</v>
      </c>
      <c r="C123" s="72" t="s">
        <v>2163</v>
      </c>
      <c r="D123" s="25">
        <v>0</v>
      </c>
      <c r="E123" s="25">
        <v>0</v>
      </c>
      <c r="F123" s="74">
        <v>1.2690000000000002E-3</v>
      </c>
      <c r="G123" s="26">
        <f t="shared" si="2"/>
        <v>76.287204000000003</v>
      </c>
      <c r="H123" s="25">
        <f>IFERROR(VLOOKUP(C123,consumo_agua!$A$7:$X$202,24,0),0)</f>
        <v>0</v>
      </c>
      <c r="I123" s="26">
        <f t="shared" si="3"/>
        <v>76.287204000000003</v>
      </c>
    </row>
    <row r="124" spans="1:9" x14ac:dyDescent="0.25">
      <c r="A124" s="72" t="s">
        <v>1675</v>
      </c>
      <c r="B124" s="73" t="s">
        <v>1270</v>
      </c>
      <c r="C124" s="72" t="s">
        <v>1676</v>
      </c>
      <c r="D124" s="25">
        <v>68</v>
      </c>
      <c r="E124" s="25">
        <v>68</v>
      </c>
      <c r="F124" s="74">
        <v>4.4973999999999995E-3</v>
      </c>
      <c r="G124" s="26">
        <f t="shared" si="2"/>
        <v>270.36569839999999</v>
      </c>
      <c r="H124" s="25">
        <f>IFERROR(VLOOKUP(C124,consumo_agua!$A$7:$X$202,24,0),0)</f>
        <v>17.851199999999999</v>
      </c>
      <c r="I124" s="26">
        <f t="shared" si="3"/>
        <v>288.21689839999999</v>
      </c>
    </row>
    <row r="125" spans="1:9" x14ac:dyDescent="0.25">
      <c r="A125" s="72" t="s">
        <v>1675</v>
      </c>
      <c r="B125" s="73" t="s">
        <v>1270</v>
      </c>
      <c r="C125" s="72" t="s">
        <v>2164</v>
      </c>
      <c r="D125" s="25">
        <v>0</v>
      </c>
      <c r="E125" s="25">
        <v>0</v>
      </c>
      <c r="F125" s="74">
        <v>1.2690000000000002E-3</v>
      </c>
      <c r="G125" s="26">
        <f t="shared" si="2"/>
        <v>76.287204000000003</v>
      </c>
      <c r="H125" s="25">
        <f>IFERROR(VLOOKUP(C125,consumo_agua!$A$7:$X$202,24,0),0)</f>
        <v>0</v>
      </c>
      <c r="I125" s="26">
        <f t="shared" si="3"/>
        <v>76.287204000000003</v>
      </c>
    </row>
    <row r="126" spans="1:9" x14ac:dyDescent="0.25">
      <c r="A126" s="72" t="s">
        <v>1677</v>
      </c>
      <c r="B126" s="73" t="s">
        <v>1678</v>
      </c>
      <c r="C126" s="72" t="s">
        <v>1679</v>
      </c>
      <c r="D126" s="25">
        <v>77.05</v>
      </c>
      <c r="E126" s="25">
        <v>77.05</v>
      </c>
      <c r="F126" s="74">
        <v>4.4973999999999995E-3</v>
      </c>
      <c r="G126" s="26">
        <f t="shared" si="2"/>
        <v>270.36569839999999</v>
      </c>
      <c r="H126" s="25">
        <f>IFERROR(VLOOKUP(C126,consumo_agua!$A$7:$X$202,24,0),0)</f>
        <v>8.9255999999999993</v>
      </c>
      <c r="I126" s="26">
        <f t="shared" si="3"/>
        <v>279.29129839999996</v>
      </c>
    </row>
    <row r="127" spans="1:9" x14ac:dyDescent="0.25">
      <c r="A127" s="72" t="s">
        <v>1677</v>
      </c>
      <c r="B127" s="73" t="s">
        <v>1678</v>
      </c>
      <c r="C127" s="72" t="s">
        <v>2165</v>
      </c>
      <c r="D127" s="25">
        <v>0</v>
      </c>
      <c r="E127" s="25">
        <v>0</v>
      </c>
      <c r="F127" s="74">
        <v>1.2690000000000002E-3</v>
      </c>
      <c r="G127" s="26">
        <f t="shared" si="2"/>
        <v>76.287204000000003</v>
      </c>
      <c r="H127" s="25">
        <f>IFERROR(VLOOKUP(C127,consumo_agua!$A$7:$X$202,24,0),0)</f>
        <v>0</v>
      </c>
      <c r="I127" s="26">
        <f t="shared" si="3"/>
        <v>76.287204000000003</v>
      </c>
    </row>
    <row r="128" spans="1:9" x14ac:dyDescent="0.25">
      <c r="A128" s="72" t="s">
        <v>1680</v>
      </c>
      <c r="B128" s="73" t="s">
        <v>1681</v>
      </c>
      <c r="C128" s="72" t="s">
        <v>1682</v>
      </c>
      <c r="D128" s="25">
        <v>178.72</v>
      </c>
      <c r="E128" s="25">
        <v>178.72</v>
      </c>
      <c r="F128" s="74">
        <v>9.9965000000000002E-3</v>
      </c>
      <c r="G128" s="26">
        <f t="shared" si="2"/>
        <v>600.94959400000005</v>
      </c>
      <c r="H128" s="25">
        <f>IFERROR(VLOOKUP(C128,consumo_agua!$A$7:$X$202,24,0),0)</f>
        <v>29.752000000000002</v>
      </c>
      <c r="I128" s="26">
        <f t="shared" si="3"/>
        <v>630.701594</v>
      </c>
    </row>
    <row r="129" spans="1:9" x14ac:dyDescent="0.25">
      <c r="A129" s="72" t="s">
        <v>1680</v>
      </c>
      <c r="B129" s="73" t="s">
        <v>1681</v>
      </c>
      <c r="C129" s="72" t="s">
        <v>2166</v>
      </c>
      <c r="D129" s="25">
        <v>0</v>
      </c>
      <c r="E129" s="25">
        <v>0</v>
      </c>
      <c r="F129" s="74">
        <v>3.6749999999999999E-4</v>
      </c>
      <c r="G129" s="26">
        <f t="shared" si="2"/>
        <v>22.09263</v>
      </c>
      <c r="H129" s="25">
        <f>IFERROR(VLOOKUP(C129,consumo_agua!$A$7:$X$202,24,0),0)</f>
        <v>0</v>
      </c>
      <c r="I129" s="26">
        <f t="shared" si="3"/>
        <v>22.09263</v>
      </c>
    </row>
    <row r="130" spans="1:9" x14ac:dyDescent="0.25">
      <c r="A130" s="72" t="s">
        <v>1680</v>
      </c>
      <c r="B130" s="73" t="s">
        <v>1681</v>
      </c>
      <c r="C130" s="72" t="s">
        <v>2167</v>
      </c>
      <c r="D130" s="25">
        <v>0</v>
      </c>
      <c r="E130" s="25">
        <v>0</v>
      </c>
      <c r="F130" s="74">
        <v>1.2690000000000002E-3</v>
      </c>
      <c r="G130" s="26">
        <f t="shared" ref="G130:G193" si="4">pp_anual26*F130</f>
        <v>76.287204000000003</v>
      </c>
      <c r="H130" s="25">
        <f>IFERROR(VLOOKUP(C130,consumo_agua!$A$7:$X$202,24,0),0)</f>
        <v>0</v>
      </c>
      <c r="I130" s="26">
        <f t="shared" si="3"/>
        <v>76.287204000000003</v>
      </c>
    </row>
    <row r="131" spans="1:9" x14ac:dyDescent="0.25">
      <c r="A131" s="72" t="s">
        <v>1683</v>
      </c>
      <c r="B131" s="73" t="s">
        <v>1446</v>
      </c>
      <c r="C131" s="72" t="s">
        <v>1684</v>
      </c>
      <c r="D131" s="25">
        <v>76.150000000000006</v>
      </c>
      <c r="E131" s="25">
        <v>76.150000000000006</v>
      </c>
      <c r="F131" s="74">
        <v>4.4973999999999995E-3</v>
      </c>
      <c r="G131" s="26">
        <f t="shared" si="4"/>
        <v>270.36569839999999</v>
      </c>
      <c r="H131" s="25">
        <f>IFERROR(VLOOKUP(C131,consumo_agua!$A$7:$X$202,24,0),0)</f>
        <v>14.876000000000001</v>
      </c>
      <c r="I131" s="26">
        <f t="shared" ref="I131:I194" si="5">SUM(G131:H131)</f>
        <v>285.24169839999996</v>
      </c>
    </row>
    <row r="132" spans="1:9" x14ac:dyDescent="0.25">
      <c r="A132" s="72" t="s">
        <v>1683</v>
      </c>
      <c r="B132" s="73" t="s">
        <v>1446</v>
      </c>
      <c r="C132" s="72" t="s">
        <v>2168</v>
      </c>
      <c r="D132" s="25">
        <v>0</v>
      </c>
      <c r="E132" s="25">
        <v>0</v>
      </c>
      <c r="F132" s="74">
        <v>1.2690000000000002E-3</v>
      </c>
      <c r="G132" s="26">
        <f t="shared" si="4"/>
        <v>76.287204000000003</v>
      </c>
      <c r="H132" s="25">
        <f>IFERROR(VLOOKUP(C132,consumo_agua!$A$7:$X$202,24,0),0)</f>
        <v>0</v>
      </c>
      <c r="I132" s="26">
        <f t="shared" si="5"/>
        <v>76.287204000000003</v>
      </c>
    </row>
    <row r="133" spans="1:9" x14ac:dyDescent="0.25">
      <c r="A133" s="72" t="s">
        <v>1685</v>
      </c>
      <c r="B133" s="73" t="s">
        <v>1686</v>
      </c>
      <c r="C133" s="72" t="s">
        <v>1687</v>
      </c>
      <c r="D133" s="25">
        <v>74.599999999999994</v>
      </c>
      <c r="E133" s="25">
        <v>74.599999999999994</v>
      </c>
      <c r="F133" s="74">
        <v>4.4973999999999995E-3</v>
      </c>
      <c r="G133" s="26">
        <f t="shared" si="4"/>
        <v>270.36569839999999</v>
      </c>
      <c r="H133" s="25">
        <f>IFERROR(VLOOKUP(C133,consumo_agua!$A$7:$X$202,24,0),0)</f>
        <v>39.757597599999997</v>
      </c>
      <c r="I133" s="26">
        <f t="shared" si="5"/>
        <v>310.12329599999998</v>
      </c>
    </row>
    <row r="134" spans="1:9" x14ac:dyDescent="0.25">
      <c r="A134" s="72" t="s">
        <v>1685</v>
      </c>
      <c r="B134" s="73" t="s">
        <v>1686</v>
      </c>
      <c r="C134" s="72" t="s">
        <v>2169</v>
      </c>
      <c r="D134" s="25">
        <v>0</v>
      </c>
      <c r="E134" s="25">
        <v>0</v>
      </c>
      <c r="F134" s="74">
        <v>1.2690000000000002E-3</v>
      </c>
      <c r="G134" s="26">
        <f t="shared" si="4"/>
        <v>76.287204000000003</v>
      </c>
      <c r="H134" s="25">
        <f>IFERROR(VLOOKUP(C134,consumo_agua!$A$7:$X$202,24,0),0)</f>
        <v>0</v>
      </c>
      <c r="I134" s="26">
        <f t="shared" si="5"/>
        <v>76.287204000000003</v>
      </c>
    </row>
    <row r="135" spans="1:9" x14ac:dyDescent="0.25">
      <c r="A135" s="72" t="s">
        <v>1688</v>
      </c>
      <c r="B135" s="73" t="s">
        <v>1689</v>
      </c>
      <c r="C135" s="72" t="s">
        <v>1690</v>
      </c>
      <c r="D135" s="25">
        <v>43.35</v>
      </c>
      <c r="E135" s="25">
        <v>43.35</v>
      </c>
      <c r="F135" s="74">
        <v>2.6939000000000004E-3</v>
      </c>
      <c r="G135" s="26">
        <f t="shared" si="4"/>
        <v>161.94649240000001</v>
      </c>
      <c r="H135" s="25">
        <f>IFERROR(VLOOKUP(C135,consumo_agua!$A$7:$X$202,24,0),0)</f>
        <v>5.9504000000000001</v>
      </c>
      <c r="I135" s="26">
        <f t="shared" si="5"/>
        <v>167.89689240000001</v>
      </c>
    </row>
    <row r="136" spans="1:9" x14ac:dyDescent="0.25">
      <c r="A136" s="72" t="s">
        <v>1688</v>
      </c>
      <c r="B136" s="73" t="s">
        <v>1689</v>
      </c>
      <c r="C136" s="72" t="s">
        <v>2170</v>
      </c>
      <c r="D136" s="25">
        <v>0</v>
      </c>
      <c r="E136" s="25">
        <v>0</v>
      </c>
      <c r="F136" s="74">
        <v>1.2690000000000002E-3</v>
      </c>
      <c r="G136" s="26">
        <f t="shared" si="4"/>
        <v>76.287204000000003</v>
      </c>
      <c r="H136" s="25">
        <f>IFERROR(VLOOKUP(C136,consumo_agua!$A$7:$X$202,24,0),0)</f>
        <v>0</v>
      </c>
      <c r="I136" s="26">
        <f t="shared" si="5"/>
        <v>76.287204000000003</v>
      </c>
    </row>
    <row r="137" spans="1:9" x14ac:dyDescent="0.25">
      <c r="A137" s="72" t="s">
        <v>1691</v>
      </c>
      <c r="B137" s="73" t="s">
        <v>1692</v>
      </c>
      <c r="C137" s="72" t="s">
        <v>1693</v>
      </c>
      <c r="D137" s="25">
        <v>66.45</v>
      </c>
      <c r="E137" s="25">
        <v>66.45</v>
      </c>
      <c r="F137" s="74">
        <v>4.4973999999999995E-3</v>
      </c>
      <c r="G137" s="26">
        <f t="shared" si="4"/>
        <v>270.36569839999999</v>
      </c>
      <c r="H137" s="25">
        <f>IFERROR(VLOOKUP(C137,consumo_agua!$A$7:$X$202,24,0),0)</f>
        <v>29.752000000000002</v>
      </c>
      <c r="I137" s="26">
        <f t="shared" si="5"/>
        <v>300.11769839999999</v>
      </c>
    </row>
    <row r="138" spans="1:9" x14ac:dyDescent="0.25">
      <c r="A138" s="72" t="s">
        <v>1694</v>
      </c>
      <c r="B138" s="73" t="s">
        <v>1695</v>
      </c>
      <c r="C138" s="72" t="s">
        <v>1696</v>
      </c>
      <c r="D138" s="25">
        <v>33.200000000000003</v>
      </c>
      <c r="E138" s="25">
        <v>33.200000000000003</v>
      </c>
      <c r="F138" s="74">
        <v>2.6939000000000004E-3</v>
      </c>
      <c r="G138" s="26">
        <f t="shared" si="4"/>
        <v>161.94649240000001</v>
      </c>
      <c r="H138" s="25">
        <f>IFERROR(VLOOKUP(C138,consumo_agua!$A$7:$X$202,24,0),0)</f>
        <v>8.9255999999999993</v>
      </c>
      <c r="I138" s="26">
        <f t="shared" si="5"/>
        <v>170.87209240000001</v>
      </c>
    </row>
    <row r="139" spans="1:9" x14ac:dyDescent="0.25">
      <c r="A139" s="72" t="s">
        <v>1697</v>
      </c>
      <c r="B139" s="73" t="s">
        <v>1698</v>
      </c>
      <c r="C139" s="72" t="s">
        <v>1699</v>
      </c>
      <c r="D139" s="25">
        <v>44.45</v>
      </c>
      <c r="E139" s="25">
        <v>44.45</v>
      </c>
      <c r="F139" s="74">
        <v>2.6939000000000004E-3</v>
      </c>
      <c r="G139" s="26">
        <f t="shared" si="4"/>
        <v>161.94649240000001</v>
      </c>
      <c r="H139" s="25">
        <f>IFERROR(VLOOKUP(C139,consumo_agua!$A$7:$X$202,24,0),0)</f>
        <v>8.9255999999999993</v>
      </c>
      <c r="I139" s="26">
        <f t="shared" si="5"/>
        <v>170.87209240000001</v>
      </c>
    </row>
    <row r="140" spans="1:9" x14ac:dyDescent="0.25">
      <c r="A140" s="72" t="s">
        <v>1700</v>
      </c>
      <c r="B140" s="73" t="s">
        <v>1701</v>
      </c>
      <c r="C140" s="72" t="s">
        <v>1702</v>
      </c>
      <c r="D140" s="25">
        <v>77.05</v>
      </c>
      <c r="E140" s="25">
        <v>77.05</v>
      </c>
      <c r="F140" s="74">
        <v>4.4973999999999995E-3</v>
      </c>
      <c r="G140" s="26">
        <f t="shared" si="4"/>
        <v>270.36569839999999</v>
      </c>
      <c r="H140" s="25">
        <f>IFERROR(VLOOKUP(C140,consumo_agua!$A$7:$X$202,24,0),0)</f>
        <v>32.727200000000003</v>
      </c>
      <c r="I140" s="26">
        <f t="shared" si="5"/>
        <v>303.09289839999997</v>
      </c>
    </row>
    <row r="141" spans="1:9" x14ac:dyDescent="0.25">
      <c r="A141" s="72" t="s">
        <v>1703</v>
      </c>
      <c r="B141" s="73" t="s">
        <v>2171</v>
      </c>
      <c r="C141" s="72" t="s">
        <v>1705</v>
      </c>
      <c r="D141" s="25">
        <v>68</v>
      </c>
      <c r="E141" s="25">
        <v>68</v>
      </c>
      <c r="F141" s="74">
        <v>4.4973999999999995E-3</v>
      </c>
      <c r="G141" s="26">
        <f t="shared" si="4"/>
        <v>270.36569839999999</v>
      </c>
      <c r="H141" s="25">
        <f>IFERROR(VLOOKUP(C141,consumo_agua!$A$7:$X$202,24,0),0)</f>
        <v>20.8264</v>
      </c>
      <c r="I141" s="26">
        <f t="shared" si="5"/>
        <v>291.19209839999996</v>
      </c>
    </row>
    <row r="142" spans="1:9" x14ac:dyDescent="0.25">
      <c r="A142" s="72" t="s">
        <v>1703</v>
      </c>
      <c r="B142" s="73" t="s">
        <v>2171</v>
      </c>
      <c r="C142" s="72" t="s">
        <v>2172</v>
      </c>
      <c r="D142" s="25">
        <v>0</v>
      </c>
      <c r="E142" s="25">
        <v>0</v>
      </c>
      <c r="F142" s="74">
        <v>1.2690000000000002E-3</v>
      </c>
      <c r="G142" s="26">
        <f t="shared" si="4"/>
        <v>76.287204000000003</v>
      </c>
      <c r="H142" s="25">
        <f>IFERROR(VLOOKUP(C142,consumo_agua!$A$7:$X$202,24,0),0)</f>
        <v>0</v>
      </c>
      <c r="I142" s="26">
        <f t="shared" si="5"/>
        <v>76.287204000000003</v>
      </c>
    </row>
    <row r="143" spans="1:9" x14ac:dyDescent="0.25">
      <c r="A143" s="72" t="s">
        <v>1706</v>
      </c>
      <c r="B143" s="73" t="s">
        <v>1707</v>
      </c>
      <c r="C143" s="72" t="s">
        <v>1708</v>
      </c>
      <c r="D143" s="25">
        <v>33</v>
      </c>
      <c r="E143" s="25">
        <v>33</v>
      </c>
      <c r="F143" s="74">
        <v>2.6939000000000004E-3</v>
      </c>
      <c r="G143" s="26">
        <f t="shared" si="4"/>
        <v>161.94649240000001</v>
      </c>
      <c r="H143" s="25">
        <f>IFERROR(VLOOKUP(C143,consumo_agua!$A$7:$X$202,24,0),0)</f>
        <v>0</v>
      </c>
      <c r="I143" s="26">
        <f t="shared" si="5"/>
        <v>161.94649240000001</v>
      </c>
    </row>
    <row r="144" spans="1:9" x14ac:dyDescent="0.25">
      <c r="A144" s="72" t="s">
        <v>1709</v>
      </c>
      <c r="B144" s="73" t="s">
        <v>1263</v>
      </c>
      <c r="C144" s="72" t="s">
        <v>1710</v>
      </c>
      <c r="D144" s="25">
        <v>68</v>
      </c>
      <c r="E144" s="25">
        <v>68</v>
      </c>
      <c r="F144" s="74">
        <v>4.4973999999999995E-3</v>
      </c>
      <c r="G144" s="26">
        <f t="shared" si="4"/>
        <v>270.36569839999999</v>
      </c>
      <c r="H144" s="25">
        <f>IFERROR(VLOOKUP(C144,consumo_agua!$A$7:$X$202,24,0),0)</f>
        <v>8.9255999999999993</v>
      </c>
      <c r="I144" s="26">
        <f t="shared" si="5"/>
        <v>279.29129839999996</v>
      </c>
    </row>
    <row r="145" spans="1:9" x14ac:dyDescent="0.25">
      <c r="A145" s="72" t="s">
        <v>1709</v>
      </c>
      <c r="B145" s="73" t="s">
        <v>1263</v>
      </c>
      <c r="C145" s="72" t="s">
        <v>2173</v>
      </c>
      <c r="D145" s="25">
        <v>0</v>
      </c>
      <c r="E145" s="25">
        <v>0</v>
      </c>
      <c r="F145" s="74">
        <v>1.2690000000000002E-3</v>
      </c>
      <c r="G145" s="26">
        <f t="shared" si="4"/>
        <v>76.287204000000003</v>
      </c>
      <c r="H145" s="25">
        <f>IFERROR(VLOOKUP(C145,consumo_agua!$A$7:$X$202,24,0),0)</f>
        <v>0</v>
      </c>
      <c r="I145" s="26">
        <f t="shared" si="5"/>
        <v>76.287204000000003</v>
      </c>
    </row>
    <row r="146" spans="1:9" x14ac:dyDescent="0.25">
      <c r="A146" s="72" t="s">
        <v>1711</v>
      </c>
      <c r="B146" s="73" t="s">
        <v>1712</v>
      </c>
      <c r="C146" s="72" t="s">
        <v>1713</v>
      </c>
      <c r="D146" s="25">
        <v>77.05</v>
      </c>
      <c r="E146" s="25">
        <v>77.05</v>
      </c>
      <c r="F146" s="74">
        <v>4.4973999999999995E-3</v>
      </c>
      <c r="G146" s="26">
        <f t="shared" si="4"/>
        <v>270.36569839999999</v>
      </c>
      <c r="H146" s="25">
        <f>IFERROR(VLOOKUP(C146,consumo_agua!$A$7:$X$202,24,0),0)</f>
        <v>23.801600000000001</v>
      </c>
      <c r="I146" s="26">
        <f t="shared" si="5"/>
        <v>294.16729839999999</v>
      </c>
    </row>
    <row r="147" spans="1:9" x14ac:dyDescent="0.25">
      <c r="A147" s="72" t="s">
        <v>1711</v>
      </c>
      <c r="B147" s="73" t="s">
        <v>1712</v>
      </c>
      <c r="C147" s="72" t="s">
        <v>2174</v>
      </c>
      <c r="D147" s="25">
        <v>0</v>
      </c>
      <c r="E147" s="25">
        <v>0</v>
      </c>
      <c r="F147" s="74">
        <v>3.6749999999999999E-4</v>
      </c>
      <c r="G147" s="26">
        <f t="shared" si="4"/>
        <v>22.09263</v>
      </c>
      <c r="H147" s="25">
        <f>IFERROR(VLOOKUP(C147,consumo_agua!$A$7:$X$202,24,0),0)</f>
        <v>0</v>
      </c>
      <c r="I147" s="26">
        <f t="shared" si="5"/>
        <v>22.09263</v>
      </c>
    </row>
    <row r="148" spans="1:9" x14ac:dyDescent="0.25">
      <c r="A148" s="72" t="s">
        <v>1711</v>
      </c>
      <c r="B148" s="73" t="s">
        <v>1712</v>
      </c>
      <c r="C148" s="72" t="s">
        <v>2175</v>
      </c>
      <c r="D148" s="25">
        <v>0</v>
      </c>
      <c r="E148" s="25">
        <v>0</v>
      </c>
      <c r="F148" s="74">
        <v>3.6749999999999999E-4</v>
      </c>
      <c r="G148" s="26">
        <f t="shared" si="4"/>
        <v>22.09263</v>
      </c>
      <c r="H148" s="25">
        <f>IFERROR(VLOOKUP(C148,consumo_agua!$A$7:$X$202,24,0),0)</f>
        <v>0</v>
      </c>
      <c r="I148" s="26">
        <f t="shared" si="5"/>
        <v>22.09263</v>
      </c>
    </row>
    <row r="149" spans="1:9" x14ac:dyDescent="0.25">
      <c r="A149" s="72" t="s">
        <v>1711</v>
      </c>
      <c r="B149" s="73" t="s">
        <v>1712</v>
      </c>
      <c r="C149" s="72" t="s">
        <v>2176</v>
      </c>
      <c r="D149" s="25">
        <v>0</v>
      </c>
      <c r="E149" s="25">
        <v>0</v>
      </c>
      <c r="F149" s="74">
        <v>1.2690000000000002E-3</v>
      </c>
      <c r="G149" s="26">
        <f t="shared" si="4"/>
        <v>76.287204000000003</v>
      </c>
      <c r="H149" s="25">
        <f>IFERROR(VLOOKUP(C149,consumo_agua!$A$7:$X$202,24,0),0)</f>
        <v>0</v>
      </c>
      <c r="I149" s="26">
        <f t="shared" si="5"/>
        <v>76.287204000000003</v>
      </c>
    </row>
    <row r="150" spans="1:9" x14ac:dyDescent="0.25">
      <c r="A150" s="72" t="s">
        <v>1711</v>
      </c>
      <c r="B150" s="73" t="s">
        <v>1712</v>
      </c>
      <c r="C150" s="72" t="s">
        <v>2177</v>
      </c>
      <c r="D150" s="25">
        <v>0</v>
      </c>
      <c r="E150" s="25">
        <v>0</v>
      </c>
      <c r="F150" s="74">
        <v>1.2690000000000002E-3</v>
      </c>
      <c r="G150" s="26">
        <f t="shared" si="4"/>
        <v>76.287204000000003</v>
      </c>
      <c r="H150" s="25">
        <f>IFERROR(VLOOKUP(C150,consumo_agua!$A$7:$X$202,24,0),0)</f>
        <v>0</v>
      </c>
      <c r="I150" s="26">
        <f t="shared" si="5"/>
        <v>76.287204000000003</v>
      </c>
    </row>
    <row r="151" spans="1:9" x14ac:dyDescent="0.25">
      <c r="A151" s="72" t="s">
        <v>1714</v>
      </c>
      <c r="B151" s="73" t="s">
        <v>1715</v>
      </c>
      <c r="C151" s="72" t="s">
        <v>1716</v>
      </c>
      <c r="D151" s="25">
        <v>92.5</v>
      </c>
      <c r="E151" s="25">
        <v>92.5</v>
      </c>
      <c r="F151" s="74">
        <v>5.6772999999999997E-3</v>
      </c>
      <c r="G151" s="26">
        <f t="shared" si="4"/>
        <v>341.29656679999999</v>
      </c>
      <c r="H151" s="25">
        <f>IFERROR(VLOOKUP(C151,consumo_agua!$A$7:$X$202,24,0),0)</f>
        <v>41.652799999999999</v>
      </c>
      <c r="I151" s="26">
        <f t="shared" si="5"/>
        <v>382.94936680000001</v>
      </c>
    </row>
    <row r="152" spans="1:9" x14ac:dyDescent="0.25">
      <c r="A152" s="72" t="s">
        <v>1714</v>
      </c>
      <c r="B152" s="73" t="s">
        <v>1715</v>
      </c>
      <c r="C152" s="72" t="s">
        <v>2178</v>
      </c>
      <c r="D152" s="25">
        <v>0</v>
      </c>
      <c r="E152" s="25">
        <v>0</v>
      </c>
      <c r="F152" s="74">
        <v>1.2690000000000002E-3</v>
      </c>
      <c r="G152" s="26">
        <f t="shared" si="4"/>
        <v>76.287204000000003</v>
      </c>
      <c r="H152" s="25">
        <f>IFERROR(VLOOKUP(C152,consumo_agua!$A$7:$X$202,24,0),0)</f>
        <v>0</v>
      </c>
      <c r="I152" s="26">
        <f t="shared" si="5"/>
        <v>76.287204000000003</v>
      </c>
    </row>
    <row r="153" spans="1:9" x14ac:dyDescent="0.25">
      <c r="A153" s="72" t="s">
        <v>1717</v>
      </c>
      <c r="B153" s="73" t="s">
        <v>1718</v>
      </c>
      <c r="C153" s="72" t="s">
        <v>1719</v>
      </c>
      <c r="D153" s="25">
        <v>81</v>
      </c>
      <c r="E153" s="25">
        <v>81</v>
      </c>
      <c r="F153" s="74">
        <v>4.4973999999999995E-3</v>
      </c>
      <c r="G153" s="26">
        <f t="shared" si="4"/>
        <v>270.36569839999999</v>
      </c>
      <c r="H153" s="25">
        <f>IFERROR(VLOOKUP(C153,consumo_agua!$A$7:$X$202,24,0),0)</f>
        <v>45.237915999999956</v>
      </c>
      <c r="I153" s="26">
        <f t="shared" si="5"/>
        <v>315.60361439999997</v>
      </c>
    </row>
    <row r="154" spans="1:9" x14ac:dyDescent="0.25">
      <c r="A154" s="72" t="s">
        <v>1717</v>
      </c>
      <c r="B154" s="73" t="s">
        <v>1718</v>
      </c>
      <c r="C154" s="72" t="s">
        <v>2179</v>
      </c>
      <c r="D154" s="25">
        <v>0</v>
      </c>
      <c r="E154" s="25">
        <v>0</v>
      </c>
      <c r="F154" s="74">
        <v>1.2690000000000002E-3</v>
      </c>
      <c r="G154" s="26">
        <f t="shared" si="4"/>
        <v>76.287204000000003</v>
      </c>
      <c r="H154" s="25">
        <f>IFERROR(VLOOKUP(C154,consumo_agua!$A$7:$X$202,24,0),0)</f>
        <v>0</v>
      </c>
      <c r="I154" s="26">
        <f t="shared" si="5"/>
        <v>76.287204000000003</v>
      </c>
    </row>
    <row r="155" spans="1:9" x14ac:dyDescent="0.25">
      <c r="A155" s="72" t="s">
        <v>1720</v>
      </c>
      <c r="B155" s="73" t="s">
        <v>1721</v>
      </c>
      <c r="C155" s="72" t="s">
        <v>1722</v>
      </c>
      <c r="D155" s="25">
        <v>81</v>
      </c>
      <c r="E155" s="25">
        <v>81</v>
      </c>
      <c r="F155" s="74">
        <v>4.4973999999999995E-3</v>
      </c>
      <c r="G155" s="26">
        <f t="shared" si="4"/>
        <v>270.36569839999999</v>
      </c>
      <c r="H155" s="25">
        <f>IFERROR(VLOOKUP(C155,consumo_agua!$A$7:$X$202,24,0),0)</f>
        <v>41.652799999999999</v>
      </c>
      <c r="I155" s="26">
        <f t="shared" si="5"/>
        <v>312.0184984</v>
      </c>
    </row>
    <row r="156" spans="1:9" x14ac:dyDescent="0.25">
      <c r="A156" s="72" t="s">
        <v>1720</v>
      </c>
      <c r="B156" s="73" t="s">
        <v>1721</v>
      </c>
      <c r="C156" s="72" t="s">
        <v>2180</v>
      </c>
      <c r="D156" s="25">
        <v>0</v>
      </c>
      <c r="E156" s="25">
        <v>0</v>
      </c>
      <c r="F156" s="74">
        <v>1.2690000000000002E-3</v>
      </c>
      <c r="G156" s="26">
        <f t="shared" si="4"/>
        <v>76.287204000000003</v>
      </c>
      <c r="H156" s="25">
        <f>IFERROR(VLOOKUP(C156,consumo_agua!$A$7:$X$202,24,0),0)</f>
        <v>0</v>
      </c>
      <c r="I156" s="26">
        <f t="shared" si="5"/>
        <v>76.287204000000003</v>
      </c>
    </row>
    <row r="157" spans="1:9" x14ac:dyDescent="0.25">
      <c r="A157" s="72" t="s">
        <v>1723</v>
      </c>
      <c r="B157" s="73" t="s">
        <v>1724</v>
      </c>
      <c r="C157" s="72" t="s">
        <v>1725</v>
      </c>
      <c r="D157" s="25">
        <v>43.35</v>
      </c>
      <c r="E157" s="25">
        <v>43.35</v>
      </c>
      <c r="F157" s="74">
        <v>2.6939000000000004E-3</v>
      </c>
      <c r="G157" s="26">
        <f t="shared" si="4"/>
        <v>161.94649240000001</v>
      </c>
      <c r="H157" s="25">
        <f>IFERROR(VLOOKUP(C157,consumo_agua!$A$7:$X$202,24,0),0)</f>
        <v>5.9504000000000001</v>
      </c>
      <c r="I157" s="26">
        <f t="shared" si="5"/>
        <v>167.89689240000001</v>
      </c>
    </row>
    <row r="158" spans="1:9" x14ac:dyDescent="0.25">
      <c r="A158" s="72" t="s">
        <v>1723</v>
      </c>
      <c r="B158" s="73" t="s">
        <v>1724</v>
      </c>
      <c r="C158" s="72" t="s">
        <v>2181</v>
      </c>
      <c r="D158" s="25">
        <v>0</v>
      </c>
      <c r="E158" s="25">
        <v>0</v>
      </c>
      <c r="F158" s="74">
        <v>3.6749999999999999E-4</v>
      </c>
      <c r="G158" s="26">
        <f t="shared" si="4"/>
        <v>22.09263</v>
      </c>
      <c r="H158" s="25">
        <f>IFERROR(VLOOKUP(C158,consumo_agua!$A$7:$X$202,24,0),0)</f>
        <v>0</v>
      </c>
      <c r="I158" s="26">
        <f t="shared" si="5"/>
        <v>22.09263</v>
      </c>
    </row>
    <row r="159" spans="1:9" x14ac:dyDescent="0.25">
      <c r="A159" s="72" t="s">
        <v>1723</v>
      </c>
      <c r="B159" s="73" t="s">
        <v>1724</v>
      </c>
      <c r="C159" s="72" t="s">
        <v>2182</v>
      </c>
      <c r="D159" s="25">
        <v>0</v>
      </c>
      <c r="E159" s="25">
        <v>0</v>
      </c>
      <c r="F159" s="74">
        <v>1.2690000000000002E-3</v>
      </c>
      <c r="G159" s="26">
        <f t="shared" si="4"/>
        <v>76.287204000000003</v>
      </c>
      <c r="H159" s="25">
        <f>IFERROR(VLOOKUP(C159,consumo_agua!$A$7:$X$202,24,0),0)</f>
        <v>0</v>
      </c>
      <c r="I159" s="26">
        <f t="shared" si="5"/>
        <v>76.287204000000003</v>
      </c>
    </row>
    <row r="160" spans="1:9" x14ac:dyDescent="0.25">
      <c r="A160" s="72" t="s">
        <v>1726</v>
      </c>
      <c r="B160" s="73" t="s">
        <v>1223</v>
      </c>
      <c r="C160" s="72" t="s">
        <v>1727</v>
      </c>
      <c r="D160" s="25">
        <v>81</v>
      </c>
      <c r="E160" s="25">
        <v>81</v>
      </c>
      <c r="F160" s="74">
        <v>4.4973999999999995E-3</v>
      </c>
      <c r="G160" s="26">
        <f t="shared" si="4"/>
        <v>270.36569839999999</v>
      </c>
      <c r="H160" s="25">
        <f>IFERROR(VLOOKUP(C160,consumo_agua!$A$7:$X$202,24,0),0)</f>
        <v>9.4522103999999771</v>
      </c>
      <c r="I160" s="26">
        <f t="shared" si="5"/>
        <v>279.81790879999994</v>
      </c>
    </row>
    <row r="161" spans="1:9" x14ac:dyDescent="0.25">
      <c r="A161" s="72" t="s">
        <v>1726</v>
      </c>
      <c r="B161" s="73" t="s">
        <v>1223</v>
      </c>
      <c r="C161" s="72" t="s">
        <v>2183</v>
      </c>
      <c r="D161" s="25">
        <v>0</v>
      </c>
      <c r="E161" s="25">
        <v>0</v>
      </c>
      <c r="F161" s="74">
        <v>1.2690000000000002E-3</v>
      </c>
      <c r="G161" s="26">
        <f t="shared" si="4"/>
        <v>76.287204000000003</v>
      </c>
      <c r="H161" s="25">
        <f>IFERROR(VLOOKUP(C161,consumo_agua!$A$7:$X$202,24,0),0)</f>
        <v>0</v>
      </c>
      <c r="I161" s="26">
        <f t="shared" si="5"/>
        <v>76.287204000000003</v>
      </c>
    </row>
    <row r="162" spans="1:9" x14ac:dyDescent="0.25">
      <c r="A162" s="72" t="s">
        <v>1728</v>
      </c>
      <c r="B162" s="73" t="s">
        <v>1729</v>
      </c>
      <c r="C162" s="72" t="s">
        <v>1730</v>
      </c>
      <c r="D162" s="25">
        <v>33</v>
      </c>
      <c r="E162" s="25">
        <v>33</v>
      </c>
      <c r="F162" s="74">
        <v>2.6939000000000004E-3</v>
      </c>
      <c r="G162" s="26">
        <f t="shared" si="4"/>
        <v>161.94649240000001</v>
      </c>
      <c r="H162" s="25">
        <f>IFERROR(VLOOKUP(C162,consumo_agua!$A$7:$X$202,24,0),0)</f>
        <v>3.2072656000000088</v>
      </c>
      <c r="I162" s="26">
        <f t="shared" si="5"/>
        <v>165.15375800000001</v>
      </c>
    </row>
    <row r="163" spans="1:9" x14ac:dyDescent="0.25">
      <c r="A163" s="72" t="s">
        <v>1731</v>
      </c>
      <c r="B163" s="73" t="s">
        <v>1217</v>
      </c>
      <c r="C163" s="72" t="s">
        <v>1732</v>
      </c>
      <c r="D163" s="25">
        <v>33.200000000000003</v>
      </c>
      <c r="E163" s="25">
        <v>33.200000000000003</v>
      </c>
      <c r="F163" s="74">
        <v>2.6939000000000004E-3</v>
      </c>
      <c r="G163" s="26">
        <f t="shared" si="4"/>
        <v>161.94649240000001</v>
      </c>
      <c r="H163" s="25">
        <f>IFERROR(VLOOKUP(C163,consumo_agua!$A$7:$X$202,24,0),0)</f>
        <v>5.9504000000000001</v>
      </c>
      <c r="I163" s="26">
        <f t="shared" si="5"/>
        <v>167.89689240000001</v>
      </c>
    </row>
    <row r="164" spans="1:9" x14ac:dyDescent="0.25">
      <c r="A164" s="72" t="s">
        <v>1733</v>
      </c>
      <c r="B164" s="73" t="s">
        <v>1734</v>
      </c>
      <c r="C164" s="72" t="s">
        <v>1735</v>
      </c>
      <c r="D164" s="25">
        <v>78.95</v>
      </c>
      <c r="E164" s="25">
        <v>78.95</v>
      </c>
      <c r="F164" s="74">
        <v>4.4973999999999995E-3</v>
      </c>
      <c r="G164" s="26">
        <f t="shared" si="4"/>
        <v>270.36569839999999</v>
      </c>
      <c r="H164" s="25">
        <f>IFERROR(VLOOKUP(C164,consumo_agua!$A$7:$X$202,24,0),0)</f>
        <v>32.352324799999984</v>
      </c>
      <c r="I164" s="26">
        <f t="shared" si="5"/>
        <v>302.71802319999995</v>
      </c>
    </row>
    <row r="165" spans="1:9" x14ac:dyDescent="0.25">
      <c r="A165" s="72" t="s">
        <v>1733</v>
      </c>
      <c r="B165" s="73" t="s">
        <v>1734</v>
      </c>
      <c r="C165" s="72" t="s">
        <v>2184</v>
      </c>
      <c r="D165" s="25">
        <v>0</v>
      </c>
      <c r="E165" s="25">
        <v>0</v>
      </c>
      <c r="F165" s="74">
        <v>1.2690000000000002E-3</v>
      </c>
      <c r="G165" s="26">
        <f t="shared" si="4"/>
        <v>76.287204000000003</v>
      </c>
      <c r="H165" s="25">
        <f>IFERROR(VLOOKUP(C165,consumo_agua!$A$7:$X$202,24,0),0)</f>
        <v>0</v>
      </c>
      <c r="I165" s="26">
        <f t="shared" si="5"/>
        <v>76.287204000000003</v>
      </c>
    </row>
    <row r="166" spans="1:9" x14ac:dyDescent="0.25">
      <c r="A166" s="72" t="s">
        <v>1736</v>
      </c>
      <c r="B166" s="73" t="s">
        <v>1737</v>
      </c>
      <c r="C166" s="72" t="s">
        <v>1738</v>
      </c>
      <c r="D166" s="25">
        <v>68</v>
      </c>
      <c r="E166" s="25">
        <v>68</v>
      </c>
      <c r="F166" s="74">
        <v>4.4973999999999995E-3</v>
      </c>
      <c r="G166" s="26">
        <f t="shared" si="4"/>
        <v>270.36569839999999</v>
      </c>
      <c r="H166" s="25">
        <f>IFERROR(VLOOKUP(C166,consumo_agua!$A$7:$X$202,24,0),0)</f>
        <v>2.9752000000000001</v>
      </c>
      <c r="I166" s="26">
        <f t="shared" si="5"/>
        <v>273.34089839999996</v>
      </c>
    </row>
    <row r="167" spans="1:9" x14ac:dyDescent="0.25">
      <c r="A167" s="72" t="s">
        <v>1736</v>
      </c>
      <c r="B167" s="73" t="s">
        <v>1737</v>
      </c>
      <c r="C167" s="72" t="s">
        <v>2185</v>
      </c>
      <c r="D167" s="25">
        <v>0</v>
      </c>
      <c r="E167" s="25">
        <v>0</v>
      </c>
      <c r="F167" s="74">
        <v>1.2690000000000002E-3</v>
      </c>
      <c r="G167" s="26">
        <f t="shared" si="4"/>
        <v>76.287204000000003</v>
      </c>
      <c r="H167" s="25">
        <f>IFERROR(VLOOKUP(C167,consumo_agua!$A$7:$X$202,24,0),0)</f>
        <v>0</v>
      </c>
      <c r="I167" s="26">
        <f t="shared" si="5"/>
        <v>76.287204000000003</v>
      </c>
    </row>
    <row r="168" spans="1:9" x14ac:dyDescent="0.25">
      <c r="A168" s="72" t="s">
        <v>1739</v>
      </c>
      <c r="B168" s="73" t="s">
        <v>1740</v>
      </c>
      <c r="C168" s="72" t="s">
        <v>1741</v>
      </c>
      <c r="D168" s="25">
        <v>74.599999999999994</v>
      </c>
      <c r="E168" s="25">
        <v>74.599999999999994</v>
      </c>
      <c r="F168" s="74">
        <v>4.4973999999999995E-3</v>
      </c>
      <c r="G168" s="26">
        <f t="shared" si="4"/>
        <v>270.36569839999999</v>
      </c>
      <c r="H168" s="25">
        <f>IFERROR(VLOOKUP(C168,consumo_agua!$A$7:$X$202,24,0),0)</f>
        <v>39.204210400000065</v>
      </c>
      <c r="I168" s="26">
        <f t="shared" si="5"/>
        <v>309.56990880000006</v>
      </c>
    </row>
    <row r="169" spans="1:9" x14ac:dyDescent="0.25">
      <c r="A169" s="72" t="s">
        <v>1739</v>
      </c>
      <c r="B169" s="73" t="s">
        <v>1740</v>
      </c>
      <c r="C169" s="72" t="s">
        <v>2186</v>
      </c>
      <c r="D169" s="25">
        <v>0</v>
      </c>
      <c r="E169" s="25">
        <v>0</v>
      </c>
      <c r="F169" s="74">
        <v>1.2690000000000002E-3</v>
      </c>
      <c r="G169" s="26">
        <f t="shared" si="4"/>
        <v>76.287204000000003</v>
      </c>
      <c r="H169" s="25">
        <f>IFERROR(VLOOKUP(C169,consumo_agua!$A$7:$X$202,24,0),0)</f>
        <v>0</v>
      </c>
      <c r="I169" s="26">
        <f t="shared" si="5"/>
        <v>76.287204000000003</v>
      </c>
    </row>
    <row r="170" spans="1:9" x14ac:dyDescent="0.25">
      <c r="A170" s="72" t="s">
        <v>1742</v>
      </c>
      <c r="B170" s="73" t="s">
        <v>1278</v>
      </c>
      <c r="C170" s="72" t="s">
        <v>1743</v>
      </c>
      <c r="D170" s="25">
        <v>81</v>
      </c>
      <c r="E170" s="25">
        <v>81</v>
      </c>
      <c r="F170" s="74">
        <v>4.4973999999999995E-3</v>
      </c>
      <c r="G170" s="26">
        <f t="shared" si="4"/>
        <v>270.36569839999999</v>
      </c>
      <c r="H170" s="25">
        <f>IFERROR(VLOOKUP(C170,consumo_agua!$A$7:$X$202,24,0),0)</f>
        <v>19.847559199999978</v>
      </c>
      <c r="I170" s="26">
        <f t="shared" si="5"/>
        <v>290.21325759999996</v>
      </c>
    </row>
    <row r="171" spans="1:9" x14ac:dyDescent="0.25">
      <c r="A171" s="72" t="s">
        <v>1742</v>
      </c>
      <c r="B171" s="73" t="s">
        <v>1278</v>
      </c>
      <c r="C171" s="72" t="s">
        <v>2187</v>
      </c>
      <c r="D171" s="25">
        <v>0</v>
      </c>
      <c r="E171" s="25">
        <v>0</v>
      </c>
      <c r="F171" s="74">
        <v>1.2690000000000002E-3</v>
      </c>
      <c r="G171" s="26">
        <f t="shared" si="4"/>
        <v>76.287204000000003</v>
      </c>
      <c r="H171" s="25">
        <f>IFERROR(VLOOKUP(C171,consumo_agua!$A$7:$X$202,24,0),0)</f>
        <v>0</v>
      </c>
      <c r="I171" s="26">
        <f t="shared" si="5"/>
        <v>76.287204000000003</v>
      </c>
    </row>
    <row r="172" spans="1:9" x14ac:dyDescent="0.25">
      <c r="A172" s="72" t="s">
        <v>1744</v>
      </c>
      <c r="B172" s="73" t="s">
        <v>1745</v>
      </c>
      <c r="C172" s="72" t="s">
        <v>1746</v>
      </c>
      <c r="D172" s="25">
        <v>76.150000000000006</v>
      </c>
      <c r="E172" s="25">
        <v>76.150000000000006</v>
      </c>
      <c r="F172" s="74">
        <v>4.4973999999999995E-3</v>
      </c>
      <c r="G172" s="26">
        <f t="shared" si="4"/>
        <v>270.36569839999999</v>
      </c>
      <c r="H172" s="25">
        <f>IFERROR(VLOOKUP(C172,consumo_agua!$A$7:$X$202,24,0),0)</f>
        <v>5.9504000000000001</v>
      </c>
      <c r="I172" s="26">
        <f t="shared" si="5"/>
        <v>276.31609839999999</v>
      </c>
    </row>
    <row r="173" spans="1:9" x14ac:dyDescent="0.25">
      <c r="A173" s="72" t="s">
        <v>1744</v>
      </c>
      <c r="B173" s="73" t="s">
        <v>1745</v>
      </c>
      <c r="C173" s="72" t="s">
        <v>2188</v>
      </c>
      <c r="D173" s="25">
        <v>0</v>
      </c>
      <c r="E173" s="25">
        <v>0</v>
      </c>
      <c r="F173" s="74">
        <v>1.2690000000000002E-3</v>
      </c>
      <c r="G173" s="26">
        <f t="shared" si="4"/>
        <v>76.287204000000003</v>
      </c>
      <c r="H173" s="25">
        <f>IFERROR(VLOOKUP(C173,consumo_agua!$A$7:$X$202,24,0),0)</f>
        <v>0</v>
      </c>
      <c r="I173" s="26">
        <f t="shared" si="5"/>
        <v>76.287204000000003</v>
      </c>
    </row>
    <row r="174" spans="1:9" x14ac:dyDescent="0.25">
      <c r="A174" s="72" t="s">
        <v>1747</v>
      </c>
      <c r="B174" s="73" t="s">
        <v>1748</v>
      </c>
      <c r="C174" s="72" t="s">
        <v>1749</v>
      </c>
      <c r="D174" s="25">
        <v>33.200000000000003</v>
      </c>
      <c r="E174" s="25">
        <v>33.200000000000003</v>
      </c>
      <c r="F174" s="74">
        <v>2.6939000000000004E-3</v>
      </c>
      <c r="G174" s="26">
        <f t="shared" si="4"/>
        <v>161.94649240000001</v>
      </c>
      <c r="H174" s="25">
        <f>IFERROR(VLOOKUP(C174,consumo_agua!$A$7:$X$202,24,0),0)</f>
        <v>0</v>
      </c>
      <c r="I174" s="26">
        <f t="shared" si="5"/>
        <v>161.94649240000001</v>
      </c>
    </row>
    <row r="175" spans="1:9" x14ac:dyDescent="0.25">
      <c r="A175" s="72" t="s">
        <v>1747</v>
      </c>
      <c r="B175" s="73" t="s">
        <v>1748</v>
      </c>
      <c r="C175" s="72" t="s">
        <v>2189</v>
      </c>
      <c r="D175" s="25">
        <v>0</v>
      </c>
      <c r="E175" s="25">
        <v>0</v>
      </c>
      <c r="F175" s="74">
        <v>3.6749999999999999E-4</v>
      </c>
      <c r="G175" s="26">
        <f t="shared" si="4"/>
        <v>22.09263</v>
      </c>
      <c r="H175" s="25">
        <f>IFERROR(VLOOKUP(C175,consumo_agua!$A$7:$X$202,24,0),0)</f>
        <v>0</v>
      </c>
      <c r="I175" s="26">
        <f t="shared" si="5"/>
        <v>22.09263</v>
      </c>
    </row>
    <row r="176" spans="1:9" x14ac:dyDescent="0.25">
      <c r="A176" s="72" t="s">
        <v>1750</v>
      </c>
      <c r="B176" s="73" t="s">
        <v>1751</v>
      </c>
      <c r="C176" s="72" t="s">
        <v>1752</v>
      </c>
      <c r="D176" s="25">
        <v>74.599999999999994</v>
      </c>
      <c r="E176" s="25">
        <v>74.599999999999994</v>
      </c>
      <c r="F176" s="74">
        <v>4.4973999999999995E-3</v>
      </c>
      <c r="G176" s="26">
        <f t="shared" si="4"/>
        <v>270.36569839999999</v>
      </c>
      <c r="H176" s="25">
        <f>IFERROR(VLOOKUP(C176,consumo_agua!$A$7:$X$202,24,0),0)</f>
        <v>47.603200000000001</v>
      </c>
      <c r="I176" s="26">
        <f t="shared" si="5"/>
        <v>317.9688984</v>
      </c>
    </row>
    <row r="177" spans="1:9" x14ac:dyDescent="0.25">
      <c r="A177" s="72" t="s">
        <v>1750</v>
      </c>
      <c r="B177" s="73" t="s">
        <v>1751</v>
      </c>
      <c r="C177" s="72" t="s">
        <v>2190</v>
      </c>
      <c r="D177" s="25">
        <v>0</v>
      </c>
      <c r="E177" s="25">
        <v>0</v>
      </c>
      <c r="F177" s="74">
        <v>1.2690000000000002E-3</v>
      </c>
      <c r="G177" s="26">
        <f t="shared" si="4"/>
        <v>76.287204000000003</v>
      </c>
      <c r="H177" s="25">
        <f>IFERROR(VLOOKUP(C177,consumo_agua!$A$7:$X$202,24,0),0)</f>
        <v>0</v>
      </c>
      <c r="I177" s="26">
        <f t="shared" si="5"/>
        <v>76.287204000000003</v>
      </c>
    </row>
    <row r="178" spans="1:9" x14ac:dyDescent="0.25">
      <c r="A178" s="72" t="s">
        <v>1753</v>
      </c>
      <c r="B178" s="73" t="s">
        <v>1754</v>
      </c>
      <c r="C178" s="72" t="s">
        <v>1755</v>
      </c>
      <c r="D178" s="25">
        <v>68</v>
      </c>
      <c r="E178" s="25">
        <v>68</v>
      </c>
      <c r="F178" s="74">
        <v>4.4973999999999995E-3</v>
      </c>
      <c r="G178" s="26">
        <f t="shared" si="4"/>
        <v>270.36569839999999</v>
      </c>
      <c r="H178" s="25">
        <f>IFERROR(VLOOKUP(C178,consumo_agua!$A$7:$X$202,24,0),0)</f>
        <v>2.9752000000000001</v>
      </c>
      <c r="I178" s="26">
        <f t="shared" si="5"/>
        <v>273.34089839999996</v>
      </c>
    </row>
    <row r="179" spans="1:9" x14ac:dyDescent="0.25">
      <c r="A179" s="72" t="s">
        <v>1756</v>
      </c>
      <c r="B179" s="73" t="s">
        <v>1439</v>
      </c>
      <c r="C179" s="72" t="s">
        <v>1757</v>
      </c>
      <c r="D179" s="25">
        <v>44.45</v>
      </c>
      <c r="E179" s="25">
        <v>44.45</v>
      </c>
      <c r="F179" s="74">
        <v>2.6939000000000004E-3</v>
      </c>
      <c r="G179" s="26">
        <f t="shared" si="4"/>
        <v>161.94649240000001</v>
      </c>
      <c r="H179" s="25">
        <f>IFERROR(VLOOKUP(C179,consumo_agua!$A$7:$X$202,24,0),0)</f>
        <v>5.9504000000000001</v>
      </c>
      <c r="I179" s="26">
        <f t="shared" si="5"/>
        <v>167.89689240000001</v>
      </c>
    </row>
    <row r="180" spans="1:9" x14ac:dyDescent="0.25">
      <c r="A180" s="72" t="s">
        <v>1756</v>
      </c>
      <c r="B180" s="73" t="s">
        <v>1439</v>
      </c>
      <c r="C180" s="72" t="s">
        <v>2191</v>
      </c>
      <c r="D180" s="25">
        <v>0</v>
      </c>
      <c r="E180" s="25">
        <v>0</v>
      </c>
      <c r="F180" s="74">
        <v>1.2690000000000002E-3</v>
      </c>
      <c r="G180" s="26">
        <f t="shared" si="4"/>
        <v>76.287204000000003</v>
      </c>
      <c r="H180" s="25">
        <f>IFERROR(VLOOKUP(C180,consumo_agua!$A$7:$X$202,24,0),0)</f>
        <v>0</v>
      </c>
      <c r="I180" s="26">
        <f t="shared" si="5"/>
        <v>76.287204000000003</v>
      </c>
    </row>
    <row r="181" spans="1:9" x14ac:dyDescent="0.25">
      <c r="A181" s="72" t="s">
        <v>1758</v>
      </c>
      <c r="B181" s="73" t="s">
        <v>1759</v>
      </c>
      <c r="C181" s="72" t="s">
        <v>1760</v>
      </c>
      <c r="D181" s="25">
        <v>66.45</v>
      </c>
      <c r="E181" s="25">
        <v>66.45</v>
      </c>
      <c r="F181" s="74">
        <v>4.4973999999999995E-3</v>
      </c>
      <c r="G181" s="26">
        <f t="shared" si="4"/>
        <v>270.36569839999999</v>
      </c>
      <c r="H181" s="25">
        <f>IFERROR(VLOOKUP(C181,consumo_agua!$A$7:$X$202,24,0),0)</f>
        <v>8.9255999999999993</v>
      </c>
      <c r="I181" s="26">
        <f t="shared" si="5"/>
        <v>279.29129839999996</v>
      </c>
    </row>
    <row r="182" spans="1:9" x14ac:dyDescent="0.25">
      <c r="A182" s="72" t="s">
        <v>1758</v>
      </c>
      <c r="B182" s="73" t="s">
        <v>1759</v>
      </c>
      <c r="C182" s="72" t="s">
        <v>2192</v>
      </c>
      <c r="D182" s="25">
        <v>0</v>
      </c>
      <c r="E182" s="25">
        <v>0</v>
      </c>
      <c r="F182" s="74">
        <v>1.2690000000000002E-3</v>
      </c>
      <c r="G182" s="26">
        <f t="shared" si="4"/>
        <v>76.287204000000003</v>
      </c>
      <c r="H182" s="25">
        <f>IFERROR(VLOOKUP(C182,consumo_agua!$A$7:$X$202,24,0),0)</f>
        <v>0</v>
      </c>
      <c r="I182" s="26">
        <f t="shared" si="5"/>
        <v>76.287204000000003</v>
      </c>
    </row>
    <row r="183" spans="1:9" x14ac:dyDescent="0.25">
      <c r="A183" s="72" t="s">
        <v>1761</v>
      </c>
      <c r="B183" s="73" t="s">
        <v>1762</v>
      </c>
      <c r="C183" s="72" t="s">
        <v>1763</v>
      </c>
      <c r="D183" s="25">
        <v>43.35</v>
      </c>
      <c r="E183" s="25">
        <v>43.35</v>
      </c>
      <c r="F183" s="74">
        <v>2.6939000000000004E-3</v>
      </c>
      <c r="G183" s="26">
        <f t="shared" si="4"/>
        <v>161.94649240000001</v>
      </c>
      <c r="H183" s="25">
        <f>IFERROR(VLOOKUP(C183,consumo_agua!$A$7:$X$202,24,0),0)</f>
        <v>0</v>
      </c>
      <c r="I183" s="26">
        <f t="shared" si="5"/>
        <v>161.94649240000001</v>
      </c>
    </row>
    <row r="184" spans="1:9" x14ac:dyDescent="0.25">
      <c r="A184" s="72" t="s">
        <v>1761</v>
      </c>
      <c r="B184" s="73" t="s">
        <v>1762</v>
      </c>
      <c r="C184" s="72" t="s">
        <v>2193</v>
      </c>
      <c r="D184" s="25">
        <v>0</v>
      </c>
      <c r="E184" s="25">
        <v>0</v>
      </c>
      <c r="F184" s="74">
        <v>1.2690000000000002E-3</v>
      </c>
      <c r="G184" s="26">
        <f t="shared" si="4"/>
        <v>76.287204000000003</v>
      </c>
      <c r="H184" s="25">
        <f>IFERROR(VLOOKUP(C184,consumo_agua!$A$7:$X$202,24,0),0)</f>
        <v>0</v>
      </c>
      <c r="I184" s="26">
        <f t="shared" si="5"/>
        <v>76.287204000000003</v>
      </c>
    </row>
    <row r="185" spans="1:9" x14ac:dyDescent="0.25">
      <c r="A185" s="72" t="s">
        <v>1764</v>
      </c>
      <c r="B185" s="73" t="s">
        <v>1765</v>
      </c>
      <c r="C185" s="72" t="s">
        <v>1766</v>
      </c>
      <c r="D185" s="25">
        <v>44.45</v>
      </c>
      <c r="E185" s="25">
        <v>44.45</v>
      </c>
      <c r="F185" s="74">
        <v>2.6939000000000004E-3</v>
      </c>
      <c r="G185" s="26">
        <f t="shared" si="4"/>
        <v>161.94649240000001</v>
      </c>
      <c r="H185" s="25">
        <f>IFERROR(VLOOKUP(C185,consumo_agua!$A$7:$X$202,24,0),0)</f>
        <v>5.9504000000000001</v>
      </c>
      <c r="I185" s="26">
        <f t="shared" si="5"/>
        <v>167.89689240000001</v>
      </c>
    </row>
    <row r="186" spans="1:9" x14ac:dyDescent="0.25">
      <c r="A186" s="72" t="s">
        <v>1764</v>
      </c>
      <c r="B186" s="73" t="s">
        <v>1765</v>
      </c>
      <c r="C186" s="72" t="s">
        <v>2194</v>
      </c>
      <c r="D186" s="25">
        <v>0</v>
      </c>
      <c r="E186" s="25">
        <v>0</v>
      </c>
      <c r="F186" s="74">
        <v>1.2690000000000002E-3</v>
      </c>
      <c r="G186" s="26">
        <f t="shared" si="4"/>
        <v>76.287204000000003</v>
      </c>
      <c r="H186" s="25">
        <f>IFERROR(VLOOKUP(C186,consumo_agua!$A$7:$X$202,24,0),0)</f>
        <v>0</v>
      </c>
      <c r="I186" s="26">
        <f t="shared" si="5"/>
        <v>76.287204000000003</v>
      </c>
    </row>
    <row r="187" spans="1:9" x14ac:dyDescent="0.25">
      <c r="A187" s="72" t="s">
        <v>1767</v>
      </c>
      <c r="B187" s="73" t="s">
        <v>1768</v>
      </c>
      <c r="C187" s="72" t="s">
        <v>1769</v>
      </c>
      <c r="D187" s="25">
        <v>76.150000000000006</v>
      </c>
      <c r="E187" s="25">
        <v>76.150000000000006</v>
      </c>
      <c r="F187" s="74">
        <v>4.4973999999999995E-3</v>
      </c>
      <c r="G187" s="26">
        <f t="shared" si="4"/>
        <v>270.36569839999999</v>
      </c>
      <c r="H187" s="25">
        <f>IFERROR(VLOOKUP(C187,consumo_agua!$A$7:$X$202,24,0),0)</f>
        <v>35.702399999999997</v>
      </c>
      <c r="I187" s="26">
        <f t="shared" si="5"/>
        <v>306.0680984</v>
      </c>
    </row>
    <row r="188" spans="1:9" x14ac:dyDescent="0.25">
      <c r="A188" s="72" t="s">
        <v>1770</v>
      </c>
      <c r="B188" s="73" t="s">
        <v>1771</v>
      </c>
      <c r="C188" s="72" t="s">
        <v>1772</v>
      </c>
      <c r="D188" s="25">
        <v>78.95</v>
      </c>
      <c r="E188" s="25">
        <v>78.95</v>
      </c>
      <c r="F188" s="74">
        <v>4.4973999999999995E-3</v>
      </c>
      <c r="G188" s="26">
        <f t="shared" si="4"/>
        <v>270.36569839999999</v>
      </c>
      <c r="H188" s="25">
        <f>IFERROR(VLOOKUP(C188,consumo_agua!$A$7:$X$202,24,0),0)</f>
        <v>0.53256079999992156</v>
      </c>
      <c r="I188" s="26">
        <f t="shared" si="5"/>
        <v>270.89825919999993</v>
      </c>
    </row>
    <row r="189" spans="1:9" x14ac:dyDescent="0.25">
      <c r="A189" s="72" t="s">
        <v>1770</v>
      </c>
      <c r="B189" s="73" t="s">
        <v>1771</v>
      </c>
      <c r="C189" s="72" t="s">
        <v>2195</v>
      </c>
      <c r="D189" s="25">
        <v>0</v>
      </c>
      <c r="E189" s="25">
        <v>0</v>
      </c>
      <c r="F189" s="74">
        <v>1.2690000000000002E-3</v>
      </c>
      <c r="G189" s="26">
        <f t="shared" si="4"/>
        <v>76.287204000000003</v>
      </c>
      <c r="H189" s="25">
        <f>IFERROR(VLOOKUP(C189,consumo_agua!$A$7:$X$202,24,0),0)</f>
        <v>0</v>
      </c>
      <c r="I189" s="26">
        <f t="shared" si="5"/>
        <v>76.287204000000003</v>
      </c>
    </row>
    <row r="190" spans="1:9" x14ac:dyDescent="0.25">
      <c r="A190" s="72" t="s">
        <v>1773</v>
      </c>
      <c r="B190" s="73" t="s">
        <v>1358</v>
      </c>
      <c r="C190" s="72" t="s">
        <v>1774</v>
      </c>
      <c r="D190" s="25">
        <v>76.150000000000006</v>
      </c>
      <c r="E190" s="25">
        <v>76.150000000000006</v>
      </c>
      <c r="F190" s="74">
        <v>4.4973999999999995E-3</v>
      </c>
      <c r="G190" s="26">
        <f t="shared" si="4"/>
        <v>270.36569839999999</v>
      </c>
      <c r="H190" s="25">
        <f>IFERROR(VLOOKUP(C190,consumo_agua!$A$7:$X$202,24,0),0)</f>
        <v>14.876000000000001</v>
      </c>
      <c r="I190" s="26">
        <f t="shared" si="5"/>
        <v>285.24169839999996</v>
      </c>
    </row>
    <row r="191" spans="1:9" x14ac:dyDescent="0.25">
      <c r="A191" s="72" t="s">
        <v>1773</v>
      </c>
      <c r="B191" s="73" t="s">
        <v>1358</v>
      </c>
      <c r="C191" s="72" t="s">
        <v>2091</v>
      </c>
      <c r="D191" s="25">
        <v>43.35</v>
      </c>
      <c r="E191" s="25">
        <v>43.35</v>
      </c>
      <c r="F191" s="74">
        <v>2.6939000000000004E-3</v>
      </c>
      <c r="G191" s="26">
        <f t="shared" si="4"/>
        <v>161.94649240000001</v>
      </c>
      <c r="H191" s="25">
        <f>IFERROR(VLOOKUP(C191,consumo_agua!$A$7:$X$202,24,0),0)</f>
        <v>11.9008</v>
      </c>
      <c r="I191" s="26">
        <f t="shared" si="5"/>
        <v>173.84729240000001</v>
      </c>
    </row>
    <row r="192" spans="1:9" x14ac:dyDescent="0.25">
      <c r="A192" s="72" t="s">
        <v>1773</v>
      </c>
      <c r="B192" s="73" t="s">
        <v>1358</v>
      </c>
      <c r="C192" s="72" t="s">
        <v>2196</v>
      </c>
      <c r="D192" s="25">
        <v>0</v>
      </c>
      <c r="E192" s="25">
        <v>0</v>
      </c>
      <c r="F192" s="74">
        <v>3.6749999999999999E-4</v>
      </c>
      <c r="G192" s="26">
        <f t="shared" si="4"/>
        <v>22.09263</v>
      </c>
      <c r="H192" s="25">
        <f>IFERROR(VLOOKUP(C192,consumo_agua!$A$7:$X$202,24,0),0)</f>
        <v>0</v>
      </c>
      <c r="I192" s="26">
        <f t="shared" si="5"/>
        <v>22.09263</v>
      </c>
    </row>
    <row r="193" spans="1:9" x14ac:dyDescent="0.25">
      <c r="A193" s="72" t="s">
        <v>1773</v>
      </c>
      <c r="B193" s="73" t="s">
        <v>1358</v>
      </c>
      <c r="C193" s="72" t="s">
        <v>2197</v>
      </c>
      <c r="D193" s="25">
        <v>0</v>
      </c>
      <c r="E193" s="25">
        <v>0</v>
      </c>
      <c r="F193" s="74">
        <v>1.2690000000000002E-3</v>
      </c>
      <c r="G193" s="26">
        <f t="shared" si="4"/>
        <v>76.287204000000003</v>
      </c>
      <c r="H193" s="25">
        <f>IFERROR(VLOOKUP(C193,consumo_agua!$A$7:$X$202,24,0),0)</f>
        <v>0</v>
      </c>
      <c r="I193" s="26">
        <f t="shared" si="5"/>
        <v>76.287204000000003</v>
      </c>
    </row>
    <row r="194" spans="1:9" x14ac:dyDescent="0.25">
      <c r="A194" s="72" t="s">
        <v>1773</v>
      </c>
      <c r="B194" s="73" t="s">
        <v>1358</v>
      </c>
      <c r="C194" s="72" t="s">
        <v>2198</v>
      </c>
      <c r="D194" s="25">
        <v>0</v>
      </c>
      <c r="E194" s="25">
        <v>0</v>
      </c>
      <c r="F194" s="74">
        <v>1.2690000000000002E-3</v>
      </c>
      <c r="G194" s="26">
        <f t="shared" ref="G194:G257" si="6">pp_anual26*F194</f>
        <v>76.287204000000003</v>
      </c>
      <c r="H194" s="25">
        <f>IFERROR(VLOOKUP(C194,consumo_agua!$A$7:$X$202,24,0),0)</f>
        <v>0</v>
      </c>
      <c r="I194" s="26">
        <f t="shared" si="5"/>
        <v>76.287204000000003</v>
      </c>
    </row>
    <row r="195" spans="1:9" x14ac:dyDescent="0.25">
      <c r="A195" s="72" t="s">
        <v>1775</v>
      </c>
      <c r="B195" s="73" t="s">
        <v>1776</v>
      </c>
      <c r="C195" s="72" t="s">
        <v>1777</v>
      </c>
      <c r="D195" s="25">
        <v>74.599999999999994</v>
      </c>
      <c r="E195" s="25">
        <v>74.599999999999994</v>
      </c>
      <c r="F195" s="74">
        <v>4.4973999999999995E-3</v>
      </c>
      <c r="G195" s="26">
        <f t="shared" si="6"/>
        <v>270.36569839999999</v>
      </c>
      <c r="H195" s="25">
        <f>IFERROR(VLOOKUP(C195,consumo_agua!$A$7:$X$202,24,0),0)</f>
        <v>20.8264</v>
      </c>
      <c r="I195" s="26">
        <f t="shared" ref="I195:I258" si="7">SUM(G195:H195)</f>
        <v>291.19209839999996</v>
      </c>
    </row>
    <row r="196" spans="1:9" x14ac:dyDescent="0.25">
      <c r="A196" s="72" t="s">
        <v>1778</v>
      </c>
      <c r="B196" s="73" t="s">
        <v>1779</v>
      </c>
      <c r="C196" s="72" t="s">
        <v>1780</v>
      </c>
      <c r="D196" s="25">
        <v>68</v>
      </c>
      <c r="E196" s="25">
        <v>68</v>
      </c>
      <c r="F196" s="74">
        <v>4.4973999999999995E-3</v>
      </c>
      <c r="G196" s="26">
        <f t="shared" si="6"/>
        <v>270.36569839999999</v>
      </c>
      <c r="H196" s="25">
        <f>IFERROR(VLOOKUP(C196,consumo_agua!$A$7:$X$202,24,0),0)</f>
        <v>29.752000000000002</v>
      </c>
      <c r="I196" s="26">
        <f t="shared" si="7"/>
        <v>300.11769839999999</v>
      </c>
    </row>
    <row r="197" spans="1:9" x14ac:dyDescent="0.25">
      <c r="A197" s="72" t="s">
        <v>1778</v>
      </c>
      <c r="B197" s="73" t="s">
        <v>1779</v>
      </c>
      <c r="C197" s="72" t="s">
        <v>2199</v>
      </c>
      <c r="D197" s="25">
        <v>0</v>
      </c>
      <c r="E197" s="25">
        <v>0</v>
      </c>
      <c r="F197" s="74">
        <v>1.2690000000000002E-3</v>
      </c>
      <c r="G197" s="26">
        <f t="shared" si="6"/>
        <v>76.287204000000003</v>
      </c>
      <c r="H197" s="25">
        <f>IFERROR(VLOOKUP(C197,consumo_agua!$A$7:$X$202,24,0),0)</f>
        <v>0</v>
      </c>
      <c r="I197" s="26">
        <f t="shared" si="7"/>
        <v>76.287204000000003</v>
      </c>
    </row>
    <row r="198" spans="1:9" x14ac:dyDescent="0.25">
      <c r="A198" s="72" t="s">
        <v>1781</v>
      </c>
      <c r="B198" s="73" t="s">
        <v>1782</v>
      </c>
      <c r="C198" s="72" t="s">
        <v>1783</v>
      </c>
      <c r="D198" s="25">
        <v>92.5</v>
      </c>
      <c r="E198" s="25">
        <v>92.5</v>
      </c>
      <c r="F198" s="74">
        <v>5.6772999999999997E-3</v>
      </c>
      <c r="G198" s="26">
        <f t="shared" si="6"/>
        <v>341.29656679999999</v>
      </c>
      <c r="H198" s="25">
        <f>IFERROR(VLOOKUP(C198,consumo_agua!$A$7:$X$202,24,0),0)</f>
        <v>8.9255999999999993</v>
      </c>
      <c r="I198" s="26">
        <f t="shared" si="7"/>
        <v>350.22216679999997</v>
      </c>
    </row>
    <row r="199" spans="1:9" x14ac:dyDescent="0.25">
      <c r="A199" s="72" t="s">
        <v>1781</v>
      </c>
      <c r="B199" s="73" t="s">
        <v>1782</v>
      </c>
      <c r="C199" s="72" t="s">
        <v>2200</v>
      </c>
      <c r="D199" s="25">
        <v>0</v>
      </c>
      <c r="E199" s="25">
        <v>0</v>
      </c>
      <c r="F199" s="74">
        <v>2.6939000000000004E-3</v>
      </c>
      <c r="G199" s="26">
        <f t="shared" si="6"/>
        <v>161.94649240000001</v>
      </c>
      <c r="H199" s="25">
        <f>IFERROR(VLOOKUP(C199,consumo_agua!$A$7:$X$202,24,0),0)</f>
        <v>0</v>
      </c>
      <c r="I199" s="26">
        <f t="shared" si="7"/>
        <v>161.94649240000001</v>
      </c>
    </row>
    <row r="200" spans="1:9" x14ac:dyDescent="0.25">
      <c r="A200" s="72" t="s">
        <v>1781</v>
      </c>
      <c r="B200" s="73" t="s">
        <v>1782</v>
      </c>
      <c r="C200" s="72" t="s">
        <v>2201</v>
      </c>
      <c r="D200" s="25">
        <v>0</v>
      </c>
      <c r="E200" s="25">
        <v>0</v>
      </c>
      <c r="F200" s="74">
        <v>1.2690000000000002E-3</v>
      </c>
      <c r="G200" s="26">
        <f t="shared" si="6"/>
        <v>76.287204000000003</v>
      </c>
      <c r="H200" s="25">
        <f>IFERROR(VLOOKUP(C200,consumo_agua!$A$7:$X$202,24,0),0)</f>
        <v>0</v>
      </c>
      <c r="I200" s="26">
        <f t="shared" si="7"/>
        <v>76.287204000000003</v>
      </c>
    </row>
    <row r="201" spans="1:9" x14ac:dyDescent="0.25">
      <c r="A201" s="72" t="s">
        <v>1784</v>
      </c>
      <c r="B201" s="73" t="s">
        <v>1274</v>
      </c>
      <c r="C201" s="72" t="s">
        <v>1785</v>
      </c>
      <c r="D201" s="25">
        <v>92.5</v>
      </c>
      <c r="E201" s="25">
        <v>92.5</v>
      </c>
      <c r="F201" s="74">
        <v>5.6772999999999997E-3</v>
      </c>
      <c r="G201" s="26">
        <f t="shared" si="6"/>
        <v>341.29656679999999</v>
      </c>
      <c r="H201" s="25">
        <f>IFERROR(VLOOKUP(C201,consumo_agua!$A$7:$X$202,24,0),0)</f>
        <v>29.752000000000002</v>
      </c>
      <c r="I201" s="26">
        <f t="shared" si="7"/>
        <v>371.0485668</v>
      </c>
    </row>
    <row r="202" spans="1:9" x14ac:dyDescent="0.25">
      <c r="A202" s="72" t="s">
        <v>1784</v>
      </c>
      <c r="B202" s="73" t="s">
        <v>1274</v>
      </c>
      <c r="C202" s="72" t="s">
        <v>2202</v>
      </c>
      <c r="D202" s="25">
        <v>0</v>
      </c>
      <c r="E202" s="25">
        <v>0</v>
      </c>
      <c r="F202" s="74">
        <v>1.2690000000000002E-3</v>
      </c>
      <c r="G202" s="26">
        <f t="shared" si="6"/>
        <v>76.287204000000003</v>
      </c>
      <c r="H202" s="25">
        <f>IFERROR(VLOOKUP(C202,consumo_agua!$A$7:$X$202,24,0),0)</f>
        <v>0</v>
      </c>
      <c r="I202" s="26">
        <f t="shared" si="7"/>
        <v>76.287204000000003</v>
      </c>
    </row>
    <row r="203" spans="1:9" x14ac:dyDescent="0.25">
      <c r="A203" s="72" t="s">
        <v>1784</v>
      </c>
      <c r="B203" s="73" t="s">
        <v>1274</v>
      </c>
      <c r="C203" s="72" t="s">
        <v>2203</v>
      </c>
      <c r="D203" s="25">
        <v>0</v>
      </c>
      <c r="E203" s="25">
        <v>0</v>
      </c>
      <c r="F203" s="74">
        <v>1.2690000000000002E-3</v>
      </c>
      <c r="G203" s="26">
        <f t="shared" si="6"/>
        <v>76.287204000000003</v>
      </c>
      <c r="H203" s="25">
        <f>IFERROR(VLOOKUP(C203,consumo_agua!$A$7:$X$202,24,0),0)</f>
        <v>0</v>
      </c>
      <c r="I203" s="26">
        <f t="shared" si="7"/>
        <v>76.287204000000003</v>
      </c>
    </row>
    <row r="204" spans="1:9" x14ac:dyDescent="0.25">
      <c r="A204" s="72" t="s">
        <v>1786</v>
      </c>
      <c r="B204" s="73" t="s">
        <v>1787</v>
      </c>
      <c r="C204" s="72" t="s">
        <v>1788</v>
      </c>
      <c r="D204" s="25">
        <v>33</v>
      </c>
      <c r="E204" s="25">
        <v>33</v>
      </c>
      <c r="F204" s="74">
        <v>2.6939000000000004E-3</v>
      </c>
      <c r="G204" s="26">
        <f t="shared" si="6"/>
        <v>161.94649240000001</v>
      </c>
      <c r="H204" s="25">
        <f>IFERROR(VLOOKUP(C204,consumo_agua!$A$7:$X$202,24,0),0)</f>
        <v>0.59503999999996615</v>
      </c>
      <c r="I204" s="26">
        <f t="shared" si="7"/>
        <v>162.54153239999997</v>
      </c>
    </row>
    <row r="205" spans="1:9" x14ac:dyDescent="0.25">
      <c r="A205" s="72" t="s">
        <v>1789</v>
      </c>
      <c r="B205" s="73" t="s">
        <v>1790</v>
      </c>
      <c r="C205" s="72" t="s">
        <v>1791</v>
      </c>
      <c r="D205" s="25">
        <v>78.95</v>
      </c>
      <c r="E205" s="25">
        <v>78.95</v>
      </c>
      <c r="F205" s="74">
        <v>4.4973999999999995E-3</v>
      </c>
      <c r="G205" s="26">
        <f t="shared" si="6"/>
        <v>270.36569839999999</v>
      </c>
      <c r="H205" s="25">
        <f>IFERROR(VLOOKUP(C205,consumo_agua!$A$7:$X$202,24,0),0)</f>
        <v>16.723599199999942</v>
      </c>
      <c r="I205" s="26">
        <f t="shared" si="7"/>
        <v>287.08929759999995</v>
      </c>
    </row>
    <row r="206" spans="1:9" x14ac:dyDescent="0.25">
      <c r="A206" s="72" t="s">
        <v>1789</v>
      </c>
      <c r="B206" s="73" t="s">
        <v>1790</v>
      </c>
      <c r="C206" s="72" t="s">
        <v>2204</v>
      </c>
      <c r="D206" s="25">
        <v>0</v>
      </c>
      <c r="E206" s="25">
        <v>0</v>
      </c>
      <c r="F206" s="74">
        <v>1.2690000000000002E-3</v>
      </c>
      <c r="G206" s="26">
        <f t="shared" si="6"/>
        <v>76.287204000000003</v>
      </c>
      <c r="H206" s="25">
        <f>IFERROR(VLOOKUP(C206,consumo_agua!$A$7:$X$202,24,0),0)</f>
        <v>0</v>
      </c>
      <c r="I206" s="26">
        <f t="shared" si="7"/>
        <v>76.287204000000003</v>
      </c>
    </row>
    <row r="207" spans="1:9" x14ac:dyDescent="0.25">
      <c r="A207" s="72" t="s">
        <v>1792</v>
      </c>
      <c r="B207" s="73" t="s">
        <v>1793</v>
      </c>
      <c r="C207" s="72" t="s">
        <v>1794</v>
      </c>
      <c r="D207" s="25">
        <v>33.200000000000003</v>
      </c>
      <c r="E207" s="25">
        <v>33.200000000000003</v>
      </c>
      <c r="F207" s="74">
        <v>2.6939000000000004E-3</v>
      </c>
      <c r="G207" s="26">
        <f t="shared" si="6"/>
        <v>161.94649240000001</v>
      </c>
      <c r="H207" s="25">
        <f>IFERROR(VLOOKUP(C207,consumo_agua!$A$7:$X$202,24,0),0)</f>
        <v>8.9255999999999993</v>
      </c>
      <c r="I207" s="26">
        <f t="shared" si="7"/>
        <v>170.87209240000001</v>
      </c>
    </row>
    <row r="208" spans="1:9" x14ac:dyDescent="0.25">
      <c r="A208" s="72" t="s">
        <v>1795</v>
      </c>
      <c r="B208" s="73" t="s">
        <v>1796</v>
      </c>
      <c r="C208" s="72" t="s">
        <v>1797</v>
      </c>
      <c r="D208" s="25">
        <v>44.45</v>
      </c>
      <c r="E208" s="25">
        <v>44.45</v>
      </c>
      <c r="F208" s="74">
        <v>2.6939000000000004E-3</v>
      </c>
      <c r="G208" s="26">
        <f t="shared" si="6"/>
        <v>161.94649240000001</v>
      </c>
      <c r="H208" s="25">
        <f>IFERROR(VLOOKUP(C208,consumo_agua!$A$7:$X$202,24,0),0)</f>
        <v>11.9008</v>
      </c>
      <c r="I208" s="26">
        <f t="shared" si="7"/>
        <v>173.84729240000001</v>
      </c>
    </row>
    <row r="209" spans="1:9" x14ac:dyDescent="0.25">
      <c r="A209" s="72" t="s">
        <v>1795</v>
      </c>
      <c r="B209" s="73" t="s">
        <v>1796</v>
      </c>
      <c r="C209" s="72" t="s">
        <v>2205</v>
      </c>
      <c r="D209" s="25">
        <v>0</v>
      </c>
      <c r="E209" s="25">
        <v>0</v>
      </c>
      <c r="F209" s="74">
        <v>1.2690000000000002E-3</v>
      </c>
      <c r="G209" s="26">
        <f t="shared" si="6"/>
        <v>76.287204000000003</v>
      </c>
      <c r="H209" s="25">
        <f>IFERROR(VLOOKUP(C209,consumo_agua!$A$7:$X$202,24,0),0)</f>
        <v>0</v>
      </c>
      <c r="I209" s="26">
        <f t="shared" si="7"/>
        <v>76.287204000000003</v>
      </c>
    </row>
    <row r="210" spans="1:9" x14ac:dyDescent="0.25">
      <c r="A210" s="72" t="s">
        <v>1795</v>
      </c>
      <c r="B210" s="73" t="s">
        <v>1796</v>
      </c>
      <c r="C210" s="72" t="s">
        <v>2206</v>
      </c>
      <c r="D210" s="25">
        <v>0</v>
      </c>
      <c r="E210" s="25">
        <v>0</v>
      </c>
      <c r="F210" s="74">
        <v>1.2690000000000002E-3</v>
      </c>
      <c r="G210" s="26">
        <f t="shared" si="6"/>
        <v>76.287204000000003</v>
      </c>
      <c r="H210" s="25">
        <f>IFERROR(VLOOKUP(C210,consumo_agua!$A$7:$X$202,24,0),0)</f>
        <v>0</v>
      </c>
      <c r="I210" s="26">
        <f t="shared" si="7"/>
        <v>76.287204000000003</v>
      </c>
    </row>
    <row r="211" spans="1:9" x14ac:dyDescent="0.25">
      <c r="A211" s="72" t="s">
        <v>1798</v>
      </c>
      <c r="B211" s="73" t="s">
        <v>1799</v>
      </c>
      <c r="C211" s="72" t="s">
        <v>1800</v>
      </c>
      <c r="D211" s="25">
        <v>78.95</v>
      </c>
      <c r="E211" s="25">
        <v>78.95</v>
      </c>
      <c r="F211" s="74">
        <v>4.4973999999999995E-3</v>
      </c>
      <c r="G211" s="26">
        <f t="shared" si="6"/>
        <v>270.36569839999999</v>
      </c>
      <c r="H211" s="25">
        <f>IFERROR(VLOOKUP(C211,consumo_agua!$A$7:$X$202,24,0),0)</f>
        <v>37.657106400000117</v>
      </c>
      <c r="I211" s="26">
        <f t="shared" si="7"/>
        <v>308.02280480000013</v>
      </c>
    </row>
    <row r="212" spans="1:9" x14ac:dyDescent="0.25">
      <c r="A212" s="72" t="s">
        <v>1798</v>
      </c>
      <c r="B212" s="73" t="s">
        <v>1799</v>
      </c>
      <c r="C212" s="72" t="s">
        <v>2207</v>
      </c>
      <c r="D212" s="25">
        <v>0</v>
      </c>
      <c r="E212" s="25">
        <v>0</v>
      </c>
      <c r="F212" s="74">
        <v>1.2690000000000002E-3</v>
      </c>
      <c r="G212" s="26">
        <f t="shared" si="6"/>
        <v>76.287204000000003</v>
      </c>
      <c r="H212" s="25">
        <f>IFERROR(VLOOKUP(C212,consumo_agua!$A$7:$X$202,24,0),0)</f>
        <v>0</v>
      </c>
      <c r="I212" s="26">
        <f t="shared" si="7"/>
        <v>76.287204000000003</v>
      </c>
    </row>
    <row r="213" spans="1:9" x14ac:dyDescent="0.25">
      <c r="A213" s="72" t="s">
        <v>1801</v>
      </c>
      <c r="B213" s="73" t="s">
        <v>1802</v>
      </c>
      <c r="C213" s="72" t="s">
        <v>1803</v>
      </c>
      <c r="D213" s="25">
        <v>0</v>
      </c>
      <c r="E213" s="25">
        <v>0</v>
      </c>
      <c r="F213" s="74">
        <v>1.2690000000000002E-3</v>
      </c>
      <c r="G213" s="26">
        <f t="shared" si="6"/>
        <v>76.287204000000003</v>
      </c>
      <c r="H213" s="25">
        <f>IFERROR(VLOOKUP(C213,consumo_agua!$A$7:$X$202,24,0),0)</f>
        <v>0</v>
      </c>
      <c r="I213" s="26">
        <f t="shared" si="7"/>
        <v>76.287204000000003</v>
      </c>
    </row>
    <row r="214" spans="1:9" x14ac:dyDescent="0.25">
      <c r="A214" s="72" t="s">
        <v>1804</v>
      </c>
      <c r="B214" s="73" t="s">
        <v>1215</v>
      </c>
      <c r="C214" s="72" t="s">
        <v>1805</v>
      </c>
      <c r="D214" s="25">
        <v>64.900000000000006</v>
      </c>
      <c r="E214" s="25">
        <v>64.900000000000006</v>
      </c>
      <c r="F214" s="74">
        <v>4.4973999999999995E-3</v>
      </c>
      <c r="G214" s="26">
        <f t="shared" si="6"/>
        <v>270.36569839999999</v>
      </c>
      <c r="H214" s="25">
        <f>IFERROR(VLOOKUP(C214,consumo_agua!$A$7:$X$202,24,0),0)</f>
        <v>5.9504000000000001</v>
      </c>
      <c r="I214" s="26">
        <f t="shared" si="7"/>
        <v>276.31609839999999</v>
      </c>
    </row>
    <row r="215" spans="1:9" x14ac:dyDescent="0.25">
      <c r="A215" s="72" t="s">
        <v>1806</v>
      </c>
      <c r="B215" s="73" t="s">
        <v>1807</v>
      </c>
      <c r="C215" s="72" t="s">
        <v>1808</v>
      </c>
      <c r="D215" s="25">
        <v>44.45</v>
      </c>
      <c r="E215" s="25">
        <v>44.45</v>
      </c>
      <c r="F215" s="74">
        <v>2.6939000000000004E-3</v>
      </c>
      <c r="G215" s="26">
        <f t="shared" si="6"/>
        <v>161.94649240000001</v>
      </c>
      <c r="H215" s="25">
        <f>IFERROR(VLOOKUP(C215,consumo_agua!$A$7:$X$202,24,0),0)</f>
        <v>11.9008</v>
      </c>
      <c r="I215" s="26">
        <f t="shared" si="7"/>
        <v>173.84729240000001</v>
      </c>
    </row>
    <row r="216" spans="1:9" x14ac:dyDescent="0.25">
      <c r="A216" s="72" t="s">
        <v>1806</v>
      </c>
      <c r="B216" s="73" t="s">
        <v>1807</v>
      </c>
      <c r="C216" s="72" t="s">
        <v>2208</v>
      </c>
      <c r="D216" s="25">
        <v>0</v>
      </c>
      <c r="E216" s="25">
        <v>0</v>
      </c>
      <c r="F216" s="74">
        <v>1.2690000000000002E-3</v>
      </c>
      <c r="G216" s="26">
        <f t="shared" si="6"/>
        <v>76.287204000000003</v>
      </c>
      <c r="H216" s="25">
        <f>IFERROR(VLOOKUP(C216,consumo_agua!$A$7:$X$202,24,0),0)</f>
        <v>0</v>
      </c>
      <c r="I216" s="26">
        <f t="shared" si="7"/>
        <v>76.287204000000003</v>
      </c>
    </row>
    <row r="217" spans="1:9" x14ac:dyDescent="0.25">
      <c r="A217" s="72" t="s">
        <v>1809</v>
      </c>
      <c r="B217" s="73" t="s">
        <v>1810</v>
      </c>
      <c r="C217" s="72" t="s">
        <v>1811</v>
      </c>
      <c r="D217" s="25">
        <v>33</v>
      </c>
      <c r="E217" s="25">
        <v>33</v>
      </c>
      <c r="F217" s="74">
        <v>2.6939000000000004E-3</v>
      </c>
      <c r="G217" s="26">
        <f t="shared" si="6"/>
        <v>161.94649240000001</v>
      </c>
      <c r="H217" s="25">
        <f>IFERROR(VLOOKUP(C217,consumo_agua!$A$7:$X$202,24,0),0)</f>
        <v>14.876000000000001</v>
      </c>
      <c r="I217" s="26">
        <f t="shared" si="7"/>
        <v>176.82249240000002</v>
      </c>
    </row>
    <row r="218" spans="1:9" x14ac:dyDescent="0.25">
      <c r="A218" s="72" t="s">
        <v>1809</v>
      </c>
      <c r="B218" s="73" t="s">
        <v>1810</v>
      </c>
      <c r="C218" s="72" t="s">
        <v>2209</v>
      </c>
      <c r="D218" s="25">
        <v>0</v>
      </c>
      <c r="E218" s="25">
        <v>0</v>
      </c>
      <c r="F218" s="74">
        <v>1.2690000000000002E-3</v>
      </c>
      <c r="G218" s="26">
        <f t="shared" si="6"/>
        <v>76.287204000000003</v>
      </c>
      <c r="H218" s="25">
        <f>IFERROR(VLOOKUP(C218,consumo_agua!$A$7:$X$202,24,0),0)</f>
        <v>0</v>
      </c>
      <c r="I218" s="26">
        <f t="shared" si="7"/>
        <v>76.287204000000003</v>
      </c>
    </row>
    <row r="219" spans="1:9" x14ac:dyDescent="0.25">
      <c r="A219" s="72" t="s">
        <v>1812</v>
      </c>
      <c r="B219" s="73" t="s">
        <v>1813</v>
      </c>
      <c r="C219" s="72" t="s">
        <v>1814</v>
      </c>
      <c r="D219" s="25">
        <v>92.5</v>
      </c>
      <c r="E219" s="25">
        <v>92.5</v>
      </c>
      <c r="F219" s="74">
        <v>5.6772999999999997E-3</v>
      </c>
      <c r="G219" s="26">
        <f t="shared" si="6"/>
        <v>341.29656679999999</v>
      </c>
      <c r="H219" s="25">
        <f>IFERROR(VLOOKUP(C219,consumo_agua!$A$7:$X$202,24,0),0)</f>
        <v>53.553600000000003</v>
      </c>
      <c r="I219" s="26">
        <f t="shared" si="7"/>
        <v>394.85016680000001</v>
      </c>
    </row>
    <row r="220" spans="1:9" x14ac:dyDescent="0.25">
      <c r="A220" s="72" t="s">
        <v>1812</v>
      </c>
      <c r="B220" s="73" t="s">
        <v>1813</v>
      </c>
      <c r="C220" s="72" t="s">
        <v>2210</v>
      </c>
      <c r="D220" s="25">
        <v>0</v>
      </c>
      <c r="E220" s="25">
        <v>0</v>
      </c>
      <c r="F220" s="74">
        <v>1.2690000000000002E-3</v>
      </c>
      <c r="G220" s="26">
        <f t="shared" si="6"/>
        <v>76.287204000000003</v>
      </c>
      <c r="H220" s="25">
        <f>IFERROR(VLOOKUP(C220,consumo_agua!$A$7:$X$202,24,0),0)</f>
        <v>0</v>
      </c>
      <c r="I220" s="26">
        <f t="shared" si="7"/>
        <v>76.287204000000003</v>
      </c>
    </row>
    <row r="221" spans="1:9" x14ac:dyDescent="0.25">
      <c r="A221" s="72" t="s">
        <v>1815</v>
      </c>
      <c r="B221" s="73" t="s">
        <v>1816</v>
      </c>
      <c r="C221" s="72" t="s">
        <v>1817</v>
      </c>
      <c r="D221" s="25">
        <v>44.45</v>
      </c>
      <c r="E221" s="25">
        <v>44.45</v>
      </c>
      <c r="F221" s="74">
        <v>2.6939000000000004E-3</v>
      </c>
      <c r="G221" s="26">
        <f t="shared" si="6"/>
        <v>161.94649240000001</v>
      </c>
      <c r="H221" s="25">
        <f>IFERROR(VLOOKUP(C221,consumo_agua!$A$7:$X$202,24,0),0)</f>
        <v>8.9255999999999993</v>
      </c>
      <c r="I221" s="26">
        <f t="shared" si="7"/>
        <v>170.87209240000001</v>
      </c>
    </row>
    <row r="222" spans="1:9" x14ac:dyDescent="0.25">
      <c r="A222" s="72" t="s">
        <v>1815</v>
      </c>
      <c r="B222" s="73" t="s">
        <v>1816</v>
      </c>
      <c r="C222" s="72" t="s">
        <v>2211</v>
      </c>
      <c r="D222" s="25">
        <v>0</v>
      </c>
      <c r="E222" s="25">
        <v>0</v>
      </c>
      <c r="F222" s="74">
        <v>1.2690000000000002E-3</v>
      </c>
      <c r="G222" s="26">
        <f t="shared" si="6"/>
        <v>76.287204000000003</v>
      </c>
      <c r="H222" s="25">
        <f>IFERROR(VLOOKUP(C222,consumo_agua!$A$7:$X$202,24,0),0)</f>
        <v>0</v>
      </c>
      <c r="I222" s="26">
        <f t="shared" si="7"/>
        <v>76.287204000000003</v>
      </c>
    </row>
    <row r="223" spans="1:9" x14ac:dyDescent="0.25">
      <c r="A223" s="72" t="s">
        <v>1818</v>
      </c>
      <c r="B223" s="73" t="s">
        <v>1395</v>
      </c>
      <c r="C223" s="72" t="s">
        <v>1819</v>
      </c>
      <c r="D223" s="25">
        <v>78.95</v>
      </c>
      <c r="E223" s="25">
        <v>78.95</v>
      </c>
      <c r="F223" s="74">
        <v>4.4973999999999995E-3</v>
      </c>
      <c r="G223" s="26">
        <f t="shared" si="6"/>
        <v>270.36569839999999</v>
      </c>
      <c r="H223" s="25">
        <f>IFERROR(VLOOKUP(C223,consumo_agua!$A$7:$X$202,24,0),0)</f>
        <v>4.3051144000000079</v>
      </c>
      <c r="I223" s="26">
        <f t="shared" si="7"/>
        <v>274.67081280000002</v>
      </c>
    </row>
    <row r="224" spans="1:9" x14ac:dyDescent="0.25">
      <c r="A224" s="72" t="s">
        <v>1818</v>
      </c>
      <c r="B224" s="73" t="s">
        <v>1395</v>
      </c>
      <c r="C224" s="72" t="s">
        <v>2212</v>
      </c>
      <c r="D224" s="25">
        <v>0</v>
      </c>
      <c r="E224" s="25">
        <v>0</v>
      </c>
      <c r="F224" s="74">
        <v>1.2690000000000002E-3</v>
      </c>
      <c r="G224" s="26">
        <f t="shared" si="6"/>
        <v>76.287204000000003</v>
      </c>
      <c r="H224" s="25">
        <f>IFERROR(VLOOKUP(C224,consumo_agua!$A$7:$X$202,24,0),0)</f>
        <v>0</v>
      </c>
      <c r="I224" s="26">
        <f t="shared" si="7"/>
        <v>76.287204000000003</v>
      </c>
    </row>
    <row r="225" spans="1:9" x14ac:dyDescent="0.25">
      <c r="A225" s="72" t="s">
        <v>1818</v>
      </c>
      <c r="B225" s="73" t="s">
        <v>1395</v>
      </c>
      <c r="C225" s="72" t="s">
        <v>2213</v>
      </c>
      <c r="D225" s="25">
        <v>0</v>
      </c>
      <c r="E225" s="25">
        <v>0</v>
      </c>
      <c r="F225" s="74">
        <v>1.2690000000000002E-3</v>
      </c>
      <c r="G225" s="26">
        <f t="shared" si="6"/>
        <v>76.287204000000003</v>
      </c>
      <c r="H225" s="25">
        <f>IFERROR(VLOOKUP(C225,consumo_agua!$A$7:$X$202,24,0),0)</f>
        <v>0</v>
      </c>
      <c r="I225" s="26">
        <f t="shared" si="7"/>
        <v>76.287204000000003</v>
      </c>
    </row>
    <row r="226" spans="1:9" x14ac:dyDescent="0.25">
      <c r="A226" s="72" t="s">
        <v>1820</v>
      </c>
      <c r="B226" s="73" t="s">
        <v>1821</v>
      </c>
      <c r="C226" s="72" t="s">
        <v>1822</v>
      </c>
      <c r="D226" s="25">
        <v>81</v>
      </c>
      <c r="E226" s="25">
        <v>81</v>
      </c>
      <c r="F226" s="74">
        <v>4.4973999999999995E-3</v>
      </c>
      <c r="G226" s="26">
        <f t="shared" si="6"/>
        <v>270.36569839999999</v>
      </c>
      <c r="H226" s="25">
        <f>IFERROR(VLOOKUP(C226,consumo_agua!$A$7:$X$202,24,0),0)</f>
        <v>26.776800000000001</v>
      </c>
      <c r="I226" s="26">
        <f t="shared" si="7"/>
        <v>297.14249839999997</v>
      </c>
    </row>
    <row r="227" spans="1:9" x14ac:dyDescent="0.25">
      <c r="A227" s="72" t="s">
        <v>1823</v>
      </c>
      <c r="B227" s="73" t="s">
        <v>1824</v>
      </c>
      <c r="C227" s="72" t="s">
        <v>1825</v>
      </c>
      <c r="D227" s="25">
        <v>81</v>
      </c>
      <c r="E227" s="25">
        <v>81</v>
      </c>
      <c r="F227" s="74">
        <v>4.4973999999999995E-3</v>
      </c>
      <c r="G227" s="26">
        <f t="shared" si="6"/>
        <v>270.36569839999999</v>
      </c>
      <c r="H227" s="25">
        <f>IFERROR(VLOOKUP(C227,consumo_agua!$A$7:$X$202,24,0),0)</f>
        <v>26.776800000000001</v>
      </c>
      <c r="I227" s="26">
        <f t="shared" si="7"/>
        <v>297.14249839999997</v>
      </c>
    </row>
    <row r="228" spans="1:9" x14ac:dyDescent="0.25">
      <c r="A228" s="72" t="s">
        <v>1823</v>
      </c>
      <c r="B228" s="73" t="s">
        <v>1824</v>
      </c>
      <c r="C228" s="72" t="s">
        <v>2214</v>
      </c>
      <c r="D228" s="25">
        <v>0</v>
      </c>
      <c r="E228" s="25">
        <v>0</v>
      </c>
      <c r="F228" s="74">
        <v>1.2690000000000002E-3</v>
      </c>
      <c r="G228" s="26">
        <f t="shared" si="6"/>
        <v>76.287204000000003</v>
      </c>
      <c r="H228" s="25">
        <f>IFERROR(VLOOKUP(C228,consumo_agua!$A$7:$X$202,24,0),0)</f>
        <v>0</v>
      </c>
      <c r="I228" s="26">
        <f t="shared" si="7"/>
        <v>76.287204000000003</v>
      </c>
    </row>
    <row r="229" spans="1:9" x14ac:dyDescent="0.25">
      <c r="A229" s="72" t="s">
        <v>1826</v>
      </c>
      <c r="B229" s="73" t="s">
        <v>1332</v>
      </c>
      <c r="C229" s="72" t="s">
        <v>1827</v>
      </c>
      <c r="D229" s="25">
        <v>0</v>
      </c>
      <c r="E229" s="25">
        <v>0</v>
      </c>
      <c r="F229" s="74">
        <v>1.2690000000000002E-3</v>
      </c>
      <c r="G229" s="26">
        <f t="shared" si="6"/>
        <v>76.287204000000003</v>
      </c>
      <c r="H229" s="25">
        <f>IFERROR(VLOOKUP(C229,consumo_agua!$A$7:$X$202,24,0),0)</f>
        <v>0</v>
      </c>
      <c r="I229" s="26">
        <f t="shared" si="7"/>
        <v>76.287204000000003</v>
      </c>
    </row>
    <row r="230" spans="1:9" x14ac:dyDescent="0.25">
      <c r="A230" s="72" t="s">
        <v>1828</v>
      </c>
      <c r="B230" s="73" t="s">
        <v>1385</v>
      </c>
      <c r="C230" s="72" t="s">
        <v>1829</v>
      </c>
      <c r="D230" s="25">
        <v>78.95</v>
      </c>
      <c r="E230" s="25">
        <v>78.95</v>
      </c>
      <c r="F230" s="74">
        <v>4.4973999999999995E-3</v>
      </c>
      <c r="G230" s="26">
        <f t="shared" si="6"/>
        <v>270.36569839999999</v>
      </c>
      <c r="H230" s="25">
        <f>IFERROR(VLOOKUP(C230,consumo_agua!$A$7:$X$202,24,0),0)</f>
        <v>12.338154400000144</v>
      </c>
      <c r="I230" s="26">
        <f t="shared" si="7"/>
        <v>282.70385280000011</v>
      </c>
    </row>
    <row r="231" spans="1:9" x14ac:dyDescent="0.25">
      <c r="A231" s="72" t="s">
        <v>1830</v>
      </c>
      <c r="B231" s="73" t="s">
        <v>1235</v>
      </c>
      <c r="C231" s="72" t="s">
        <v>1831</v>
      </c>
      <c r="D231" s="25">
        <v>74.599999999999994</v>
      </c>
      <c r="E231" s="25">
        <v>74.599999999999994</v>
      </c>
      <c r="F231" s="74">
        <v>4.4973999999999995E-3</v>
      </c>
      <c r="G231" s="26">
        <f t="shared" si="6"/>
        <v>270.36569839999999</v>
      </c>
      <c r="H231" s="25">
        <f>IFERROR(VLOOKUP(C231,consumo_agua!$A$7:$X$202,24,0),0)</f>
        <v>14.876000000000001</v>
      </c>
      <c r="I231" s="26">
        <f t="shared" si="7"/>
        <v>285.24169839999996</v>
      </c>
    </row>
    <row r="232" spans="1:9" x14ac:dyDescent="0.25">
      <c r="A232" s="72" t="s">
        <v>1830</v>
      </c>
      <c r="B232" s="73" t="s">
        <v>1235</v>
      </c>
      <c r="C232" s="72" t="s">
        <v>2215</v>
      </c>
      <c r="D232" s="25">
        <v>0</v>
      </c>
      <c r="E232" s="25">
        <v>0</v>
      </c>
      <c r="F232" s="74">
        <v>1.2690000000000002E-3</v>
      </c>
      <c r="G232" s="26">
        <f t="shared" si="6"/>
        <v>76.287204000000003</v>
      </c>
      <c r="H232" s="25">
        <f>IFERROR(VLOOKUP(C232,consumo_agua!$A$7:$X$202,24,0),0)</f>
        <v>0</v>
      </c>
      <c r="I232" s="26">
        <f t="shared" si="7"/>
        <v>76.287204000000003</v>
      </c>
    </row>
    <row r="233" spans="1:9" x14ac:dyDescent="0.25">
      <c r="A233" s="72" t="s">
        <v>1832</v>
      </c>
      <c r="B233" s="73" t="s">
        <v>1833</v>
      </c>
      <c r="C233" s="72" t="s">
        <v>1834</v>
      </c>
      <c r="D233" s="25">
        <v>92.5</v>
      </c>
      <c r="E233" s="25">
        <v>92.5</v>
      </c>
      <c r="F233" s="74">
        <v>5.6772999999999997E-3</v>
      </c>
      <c r="G233" s="26">
        <f t="shared" si="6"/>
        <v>341.29656679999999</v>
      </c>
      <c r="H233" s="25">
        <f>IFERROR(VLOOKUP(C233,consumo_agua!$A$7:$X$202,24,0),0)</f>
        <v>47.603200000000001</v>
      </c>
      <c r="I233" s="26">
        <f t="shared" si="7"/>
        <v>388.89976680000001</v>
      </c>
    </row>
    <row r="234" spans="1:9" x14ac:dyDescent="0.25">
      <c r="A234" s="72" t="s">
        <v>1832</v>
      </c>
      <c r="B234" s="73" t="s">
        <v>1833</v>
      </c>
      <c r="C234" s="72" t="s">
        <v>2216</v>
      </c>
      <c r="D234" s="25">
        <v>0</v>
      </c>
      <c r="E234" s="25">
        <v>0</v>
      </c>
      <c r="F234" s="74">
        <v>1.2690000000000002E-3</v>
      </c>
      <c r="G234" s="26">
        <f t="shared" si="6"/>
        <v>76.287204000000003</v>
      </c>
      <c r="H234" s="25">
        <f>IFERROR(VLOOKUP(C234,consumo_agua!$A$7:$X$202,24,0),0)</f>
        <v>0</v>
      </c>
      <c r="I234" s="26">
        <f t="shared" si="7"/>
        <v>76.287204000000003</v>
      </c>
    </row>
    <row r="235" spans="1:9" x14ac:dyDescent="0.25">
      <c r="A235" s="72" t="s">
        <v>1835</v>
      </c>
      <c r="B235" s="73" t="s">
        <v>1836</v>
      </c>
      <c r="C235" s="72" t="s">
        <v>1837</v>
      </c>
      <c r="D235" s="25">
        <v>66.45</v>
      </c>
      <c r="E235" s="25">
        <v>66.45</v>
      </c>
      <c r="F235" s="74">
        <v>4.4973999999999995E-3</v>
      </c>
      <c r="G235" s="26">
        <f t="shared" si="6"/>
        <v>270.36569839999999</v>
      </c>
      <c r="H235" s="25">
        <f>IFERROR(VLOOKUP(C235,consumo_agua!$A$7:$X$202,24,0),0)</f>
        <v>26.776800000000001</v>
      </c>
      <c r="I235" s="26">
        <f t="shared" si="7"/>
        <v>297.14249839999997</v>
      </c>
    </row>
    <row r="236" spans="1:9" x14ac:dyDescent="0.25">
      <c r="A236" s="72" t="s">
        <v>1835</v>
      </c>
      <c r="B236" s="73" t="s">
        <v>1836</v>
      </c>
      <c r="C236" s="72" t="s">
        <v>2217</v>
      </c>
      <c r="D236" s="25">
        <v>0</v>
      </c>
      <c r="E236" s="25">
        <v>0</v>
      </c>
      <c r="F236" s="74">
        <v>1.2690000000000002E-3</v>
      </c>
      <c r="G236" s="26">
        <f t="shared" si="6"/>
        <v>76.287204000000003</v>
      </c>
      <c r="H236" s="25">
        <f>IFERROR(VLOOKUP(C236,consumo_agua!$A$7:$X$202,24,0),0)</f>
        <v>0</v>
      </c>
      <c r="I236" s="26">
        <f t="shared" si="7"/>
        <v>76.287204000000003</v>
      </c>
    </row>
    <row r="237" spans="1:9" x14ac:dyDescent="0.25">
      <c r="A237" s="72" t="s">
        <v>1838</v>
      </c>
      <c r="B237" s="73" t="s">
        <v>1839</v>
      </c>
      <c r="C237" s="72" t="s">
        <v>1840</v>
      </c>
      <c r="D237" s="25">
        <v>33.200000000000003</v>
      </c>
      <c r="E237" s="25">
        <v>33.200000000000003</v>
      </c>
      <c r="F237" s="74">
        <v>2.6939000000000004E-3</v>
      </c>
      <c r="G237" s="26">
        <f t="shared" si="6"/>
        <v>161.94649240000001</v>
      </c>
      <c r="H237" s="25">
        <f>IFERROR(VLOOKUP(C237,consumo_agua!$A$7:$X$202,24,0),0)</f>
        <v>8.9255999999999993</v>
      </c>
      <c r="I237" s="26">
        <f t="shared" si="7"/>
        <v>170.87209240000001</v>
      </c>
    </row>
    <row r="238" spans="1:9" x14ac:dyDescent="0.25">
      <c r="A238" s="72" t="s">
        <v>1841</v>
      </c>
      <c r="B238" s="73" t="s">
        <v>1218</v>
      </c>
      <c r="C238" s="72" t="s">
        <v>1842</v>
      </c>
      <c r="D238" s="25">
        <v>33.200000000000003</v>
      </c>
      <c r="E238" s="25">
        <v>33.200000000000003</v>
      </c>
      <c r="F238" s="74">
        <v>2.6939000000000004E-3</v>
      </c>
      <c r="G238" s="26">
        <f t="shared" si="6"/>
        <v>161.94649240000001</v>
      </c>
      <c r="H238" s="25">
        <f>IFERROR(VLOOKUP(C238,consumo_agua!$A$7:$X$202,24,0),0)</f>
        <v>2.9752000000000001</v>
      </c>
      <c r="I238" s="26">
        <f t="shared" si="7"/>
        <v>164.92169240000001</v>
      </c>
    </row>
    <row r="239" spans="1:9" x14ac:dyDescent="0.25">
      <c r="A239" s="72" t="s">
        <v>1843</v>
      </c>
      <c r="B239" s="73" t="s">
        <v>1242</v>
      </c>
      <c r="C239" s="72" t="s">
        <v>1844</v>
      </c>
      <c r="D239" s="25">
        <v>44.45</v>
      </c>
      <c r="E239" s="25">
        <v>44.45</v>
      </c>
      <c r="F239" s="74">
        <v>2.6939000000000004E-3</v>
      </c>
      <c r="G239" s="26">
        <f t="shared" si="6"/>
        <v>161.94649240000001</v>
      </c>
      <c r="H239" s="25">
        <f>IFERROR(VLOOKUP(C239,consumo_agua!$A$7:$X$202,24,0),0)</f>
        <v>11.9008</v>
      </c>
      <c r="I239" s="26">
        <f t="shared" si="7"/>
        <v>173.84729240000001</v>
      </c>
    </row>
    <row r="240" spans="1:9" x14ac:dyDescent="0.25">
      <c r="A240" s="72" t="s">
        <v>1843</v>
      </c>
      <c r="B240" s="73" t="s">
        <v>1242</v>
      </c>
      <c r="C240" s="72" t="s">
        <v>2218</v>
      </c>
      <c r="D240" s="25">
        <v>0</v>
      </c>
      <c r="E240" s="25">
        <v>0</v>
      </c>
      <c r="F240" s="74">
        <v>1.2690000000000002E-3</v>
      </c>
      <c r="G240" s="26">
        <f t="shared" si="6"/>
        <v>76.287204000000003</v>
      </c>
      <c r="H240" s="25">
        <f>IFERROR(VLOOKUP(C240,consumo_agua!$A$7:$X$202,24,0),0)</f>
        <v>0</v>
      </c>
      <c r="I240" s="26">
        <f t="shared" si="7"/>
        <v>76.287204000000003</v>
      </c>
    </row>
    <row r="241" spans="1:9" x14ac:dyDescent="0.25">
      <c r="A241" s="72" t="s">
        <v>1845</v>
      </c>
      <c r="B241" s="73" t="s">
        <v>1251</v>
      </c>
      <c r="C241" s="72" t="s">
        <v>1846</v>
      </c>
      <c r="D241" s="25">
        <v>74.599999999999994</v>
      </c>
      <c r="E241" s="25">
        <v>74.599999999999994</v>
      </c>
      <c r="F241" s="74">
        <v>4.4973999999999995E-3</v>
      </c>
      <c r="G241" s="26">
        <f t="shared" si="6"/>
        <v>270.36569839999999</v>
      </c>
      <c r="H241" s="25">
        <f>IFERROR(VLOOKUP(C241,consumo_agua!$A$7:$X$202,24,0),0)</f>
        <v>26.729196799999944</v>
      </c>
      <c r="I241" s="26">
        <f t="shared" si="7"/>
        <v>297.09489519999994</v>
      </c>
    </row>
    <row r="242" spans="1:9" x14ac:dyDescent="0.25">
      <c r="A242" s="72" t="s">
        <v>1847</v>
      </c>
      <c r="B242" s="73" t="s">
        <v>1322</v>
      </c>
      <c r="C242" s="72" t="s">
        <v>1848</v>
      </c>
      <c r="D242" s="25">
        <v>33.200000000000003</v>
      </c>
      <c r="E242" s="25">
        <v>33.200000000000003</v>
      </c>
      <c r="F242" s="74">
        <v>2.6939000000000004E-3</v>
      </c>
      <c r="G242" s="26">
        <f t="shared" si="6"/>
        <v>161.94649240000001</v>
      </c>
      <c r="H242" s="25">
        <f>IFERROR(VLOOKUP(C242,consumo_agua!$A$7:$X$202,24,0),0)</f>
        <v>0</v>
      </c>
      <c r="I242" s="26">
        <f t="shared" si="7"/>
        <v>161.94649240000001</v>
      </c>
    </row>
    <row r="243" spans="1:9" x14ac:dyDescent="0.25">
      <c r="A243" s="72" t="s">
        <v>1849</v>
      </c>
      <c r="B243" s="73" t="s">
        <v>1850</v>
      </c>
      <c r="C243" s="72" t="s">
        <v>1851</v>
      </c>
      <c r="D243" s="25">
        <v>74.599999999999994</v>
      </c>
      <c r="E243" s="25">
        <v>74.599999999999994</v>
      </c>
      <c r="F243" s="74">
        <v>4.4973999999999995E-3</v>
      </c>
      <c r="G243" s="26">
        <f t="shared" si="6"/>
        <v>270.36569839999999</v>
      </c>
      <c r="H243" s="25">
        <f>IFERROR(VLOOKUP(C243,consumo_agua!$A$7:$X$202,24,0),0)</f>
        <v>151.73519999999999</v>
      </c>
      <c r="I243" s="26">
        <f t="shared" si="7"/>
        <v>422.10089840000001</v>
      </c>
    </row>
    <row r="244" spans="1:9" x14ac:dyDescent="0.25">
      <c r="A244" s="72" t="s">
        <v>1852</v>
      </c>
      <c r="B244" s="73" t="s">
        <v>1853</v>
      </c>
      <c r="C244" s="72" t="s">
        <v>1854</v>
      </c>
      <c r="D244" s="25">
        <v>78.95</v>
      </c>
      <c r="E244" s="25">
        <v>78.95</v>
      </c>
      <c r="F244" s="74">
        <v>4.4973999999999995E-3</v>
      </c>
      <c r="G244" s="26">
        <f t="shared" si="6"/>
        <v>270.36569839999999</v>
      </c>
      <c r="H244" s="25">
        <f>IFERROR(VLOOKUP(C244,consumo_agua!$A$7:$X$202,24,0),0)</f>
        <v>11.653858400000004</v>
      </c>
      <c r="I244" s="26">
        <f t="shared" si="7"/>
        <v>282.01955679999998</v>
      </c>
    </row>
    <row r="245" spans="1:9" x14ac:dyDescent="0.25">
      <c r="A245" s="72" t="s">
        <v>1852</v>
      </c>
      <c r="B245" s="73" t="s">
        <v>1853</v>
      </c>
      <c r="C245" s="72" t="s">
        <v>2219</v>
      </c>
      <c r="D245" s="25">
        <v>0</v>
      </c>
      <c r="E245" s="25">
        <v>0</v>
      </c>
      <c r="F245" s="74">
        <v>1.2690000000000002E-3</v>
      </c>
      <c r="G245" s="26">
        <f t="shared" si="6"/>
        <v>76.287204000000003</v>
      </c>
      <c r="H245" s="25">
        <f>IFERROR(VLOOKUP(C245,consumo_agua!$A$7:$X$202,24,0),0)</f>
        <v>0</v>
      </c>
      <c r="I245" s="26">
        <f t="shared" si="7"/>
        <v>76.287204000000003</v>
      </c>
    </row>
    <row r="246" spans="1:9" x14ac:dyDescent="0.25">
      <c r="A246" s="72" t="s">
        <v>1855</v>
      </c>
      <c r="B246" s="73" t="s">
        <v>1856</v>
      </c>
      <c r="C246" s="72" t="s">
        <v>1857</v>
      </c>
      <c r="D246" s="25">
        <v>74.599999999999994</v>
      </c>
      <c r="E246" s="25">
        <v>74.599999999999994</v>
      </c>
      <c r="F246" s="74">
        <v>4.4973999999999995E-3</v>
      </c>
      <c r="G246" s="26">
        <f t="shared" si="6"/>
        <v>270.36569839999999</v>
      </c>
      <c r="H246" s="25">
        <f>IFERROR(VLOOKUP(C246,consumo_agua!$A$7:$X$202,24,0),0)</f>
        <v>25.066060000000036</v>
      </c>
      <c r="I246" s="26">
        <f t="shared" si="7"/>
        <v>295.43175840000004</v>
      </c>
    </row>
    <row r="247" spans="1:9" x14ac:dyDescent="0.25">
      <c r="A247" s="72" t="s">
        <v>1855</v>
      </c>
      <c r="B247" s="73" t="s">
        <v>1856</v>
      </c>
      <c r="C247" s="72" t="s">
        <v>2220</v>
      </c>
      <c r="D247" s="25">
        <v>0</v>
      </c>
      <c r="E247" s="25">
        <v>0</v>
      </c>
      <c r="F247" s="74">
        <v>1.2690000000000002E-3</v>
      </c>
      <c r="G247" s="26">
        <f t="shared" si="6"/>
        <v>76.287204000000003</v>
      </c>
      <c r="H247" s="25">
        <f>IFERROR(VLOOKUP(C247,consumo_agua!$A$7:$X$202,24,0),0)</f>
        <v>0</v>
      </c>
      <c r="I247" s="26">
        <f t="shared" si="7"/>
        <v>76.287204000000003</v>
      </c>
    </row>
    <row r="248" spans="1:9" x14ac:dyDescent="0.25">
      <c r="A248" s="72" t="s">
        <v>1858</v>
      </c>
      <c r="B248" s="73" t="s">
        <v>1859</v>
      </c>
      <c r="C248" s="72" t="s">
        <v>1860</v>
      </c>
      <c r="D248" s="25">
        <v>78.95</v>
      </c>
      <c r="E248" s="25">
        <v>78.95</v>
      </c>
      <c r="F248" s="74">
        <v>4.4973999999999995E-3</v>
      </c>
      <c r="G248" s="26">
        <f t="shared" si="6"/>
        <v>270.36569839999999</v>
      </c>
      <c r="H248" s="25">
        <f>IFERROR(VLOOKUP(C248,consumo_agua!$A$7:$X$202,24,0),0)</f>
        <v>42.664367999999925</v>
      </c>
      <c r="I248" s="26">
        <f t="shared" si="7"/>
        <v>313.0300663999999</v>
      </c>
    </row>
    <row r="249" spans="1:9" x14ac:dyDescent="0.25">
      <c r="A249" s="72" t="s">
        <v>1858</v>
      </c>
      <c r="B249" s="73" t="s">
        <v>1859</v>
      </c>
      <c r="C249" s="72" t="s">
        <v>2221</v>
      </c>
      <c r="D249" s="25">
        <v>0</v>
      </c>
      <c r="E249" s="25">
        <v>0</v>
      </c>
      <c r="F249" s="74">
        <v>1.2690000000000002E-3</v>
      </c>
      <c r="G249" s="26">
        <f t="shared" si="6"/>
        <v>76.287204000000003</v>
      </c>
      <c r="H249" s="25">
        <f>IFERROR(VLOOKUP(C249,consumo_agua!$A$7:$X$202,24,0),0)</f>
        <v>0</v>
      </c>
      <c r="I249" s="26">
        <f t="shared" si="7"/>
        <v>76.287204000000003</v>
      </c>
    </row>
    <row r="250" spans="1:9" x14ac:dyDescent="0.25">
      <c r="A250" s="72" t="s">
        <v>1861</v>
      </c>
      <c r="B250" s="73" t="s">
        <v>1862</v>
      </c>
      <c r="C250" s="72" t="s">
        <v>1863</v>
      </c>
      <c r="D250" s="25">
        <v>33</v>
      </c>
      <c r="E250" s="25">
        <v>33</v>
      </c>
      <c r="F250" s="74">
        <v>2.6939000000000004E-3</v>
      </c>
      <c r="G250" s="26">
        <f t="shared" si="6"/>
        <v>161.94649240000001</v>
      </c>
      <c r="H250" s="25">
        <f>IFERROR(VLOOKUP(C250,consumo_agua!$A$7:$X$202,24,0),0)</f>
        <v>6.3103992000000275</v>
      </c>
      <c r="I250" s="26">
        <f t="shared" si="7"/>
        <v>168.25689160000005</v>
      </c>
    </row>
    <row r="251" spans="1:9" x14ac:dyDescent="0.25">
      <c r="A251" s="72" t="s">
        <v>1864</v>
      </c>
      <c r="B251" s="73" t="s">
        <v>1865</v>
      </c>
      <c r="C251" s="72" t="s">
        <v>1866</v>
      </c>
      <c r="D251" s="25">
        <v>44.45</v>
      </c>
      <c r="E251" s="25">
        <v>44.45</v>
      </c>
      <c r="F251" s="74">
        <v>2.6939000000000004E-3</v>
      </c>
      <c r="G251" s="26">
        <f t="shared" si="6"/>
        <v>161.94649240000001</v>
      </c>
      <c r="H251" s="25">
        <f>IFERROR(VLOOKUP(C251,consumo_agua!$A$7:$X$202,24,0),0)</f>
        <v>5.9504000000000001</v>
      </c>
      <c r="I251" s="26">
        <f t="shared" si="7"/>
        <v>167.89689240000001</v>
      </c>
    </row>
    <row r="252" spans="1:9" x14ac:dyDescent="0.25">
      <c r="A252" s="72" t="s">
        <v>1864</v>
      </c>
      <c r="B252" s="73" t="s">
        <v>1865</v>
      </c>
      <c r="C252" s="72" t="s">
        <v>2222</v>
      </c>
      <c r="D252" s="25">
        <v>0</v>
      </c>
      <c r="E252" s="25">
        <v>0</v>
      </c>
      <c r="F252" s="74">
        <v>1.2690000000000002E-3</v>
      </c>
      <c r="G252" s="26">
        <f t="shared" si="6"/>
        <v>76.287204000000003</v>
      </c>
      <c r="H252" s="25">
        <f>IFERROR(VLOOKUP(C252,consumo_agua!$A$7:$X$202,24,0),0)</f>
        <v>0</v>
      </c>
      <c r="I252" s="26">
        <f t="shared" si="7"/>
        <v>76.287204000000003</v>
      </c>
    </row>
    <row r="253" spans="1:9" x14ac:dyDescent="0.25">
      <c r="A253" s="72" t="s">
        <v>1867</v>
      </c>
      <c r="B253" s="73" t="s">
        <v>1868</v>
      </c>
      <c r="C253" s="72" t="s">
        <v>1869</v>
      </c>
      <c r="D253" s="25">
        <v>66.45</v>
      </c>
      <c r="E253" s="25">
        <v>66.45</v>
      </c>
      <c r="F253" s="74">
        <v>4.4973999999999995E-3</v>
      </c>
      <c r="G253" s="26">
        <f t="shared" si="6"/>
        <v>270.36569839999999</v>
      </c>
      <c r="H253" s="25">
        <f>IFERROR(VLOOKUP(C253,consumo_agua!$A$7:$X$202,24,0),0)</f>
        <v>38.677599999999998</v>
      </c>
      <c r="I253" s="26">
        <f t="shared" si="7"/>
        <v>309.04329839999997</v>
      </c>
    </row>
    <row r="254" spans="1:9" x14ac:dyDescent="0.25">
      <c r="A254" s="72" t="s">
        <v>1870</v>
      </c>
      <c r="B254" s="73" t="s">
        <v>1871</v>
      </c>
      <c r="C254" s="72" t="s">
        <v>1872</v>
      </c>
      <c r="D254" s="25">
        <v>43.35</v>
      </c>
      <c r="E254" s="25">
        <v>43.35</v>
      </c>
      <c r="F254" s="74">
        <v>2.6939000000000004E-3</v>
      </c>
      <c r="G254" s="26">
        <f t="shared" si="6"/>
        <v>161.94649240000001</v>
      </c>
      <c r="H254" s="25">
        <f>IFERROR(VLOOKUP(C254,consumo_agua!$A$7:$X$202,24,0),0)</f>
        <v>26.776800000000001</v>
      </c>
      <c r="I254" s="26">
        <f t="shared" si="7"/>
        <v>188.72329240000002</v>
      </c>
    </row>
    <row r="255" spans="1:9" x14ac:dyDescent="0.25">
      <c r="A255" s="72" t="s">
        <v>1870</v>
      </c>
      <c r="B255" s="73" t="s">
        <v>1871</v>
      </c>
      <c r="C255" s="72" t="s">
        <v>2223</v>
      </c>
      <c r="D255" s="25">
        <v>0</v>
      </c>
      <c r="E255" s="25">
        <v>0</v>
      </c>
      <c r="F255" s="74">
        <v>1.2690000000000002E-3</v>
      </c>
      <c r="G255" s="26">
        <f t="shared" si="6"/>
        <v>76.287204000000003</v>
      </c>
      <c r="H255" s="25">
        <f>IFERROR(VLOOKUP(C255,consumo_agua!$A$7:$X$202,24,0),0)</f>
        <v>0</v>
      </c>
      <c r="I255" s="26">
        <f t="shared" si="7"/>
        <v>76.287204000000003</v>
      </c>
    </row>
    <row r="256" spans="1:9" x14ac:dyDescent="0.25">
      <c r="A256" s="72" t="s">
        <v>1873</v>
      </c>
      <c r="B256" s="73" t="s">
        <v>1874</v>
      </c>
      <c r="C256" s="72" t="s">
        <v>1875</v>
      </c>
      <c r="D256" s="25">
        <v>44.45</v>
      </c>
      <c r="E256" s="25">
        <v>44.45</v>
      </c>
      <c r="F256" s="74">
        <v>2.6939000000000004E-3</v>
      </c>
      <c r="G256" s="26">
        <f t="shared" si="6"/>
        <v>161.94649240000001</v>
      </c>
      <c r="H256" s="25">
        <f>IFERROR(VLOOKUP(C256,consumo_agua!$A$7:$X$202,24,0),0)</f>
        <v>5.9504000000000001</v>
      </c>
      <c r="I256" s="26">
        <f t="shared" si="7"/>
        <v>167.89689240000001</v>
      </c>
    </row>
    <row r="257" spans="1:9" x14ac:dyDescent="0.25">
      <c r="A257" s="72" t="s">
        <v>1873</v>
      </c>
      <c r="B257" s="73" t="s">
        <v>1874</v>
      </c>
      <c r="C257" s="72" t="s">
        <v>2224</v>
      </c>
      <c r="D257" s="25">
        <v>0</v>
      </c>
      <c r="E257" s="25">
        <v>0</v>
      </c>
      <c r="F257" s="74">
        <v>3.6749999999999999E-4</v>
      </c>
      <c r="G257" s="26">
        <f t="shared" si="6"/>
        <v>22.09263</v>
      </c>
      <c r="H257" s="25">
        <f>IFERROR(VLOOKUP(C257,consumo_agua!$A$7:$X$202,24,0),0)</f>
        <v>0</v>
      </c>
      <c r="I257" s="26">
        <f t="shared" si="7"/>
        <v>22.09263</v>
      </c>
    </row>
    <row r="258" spans="1:9" x14ac:dyDescent="0.25">
      <c r="A258" s="72" t="s">
        <v>1873</v>
      </c>
      <c r="B258" s="73" t="s">
        <v>1874</v>
      </c>
      <c r="C258" s="72" t="s">
        <v>2225</v>
      </c>
      <c r="D258" s="25">
        <v>0</v>
      </c>
      <c r="E258" s="25">
        <v>0</v>
      </c>
      <c r="F258" s="74">
        <v>1.2690000000000002E-3</v>
      </c>
      <c r="G258" s="26">
        <f t="shared" ref="G258:G321" si="8">pp_anual26*F258</f>
        <v>76.287204000000003</v>
      </c>
      <c r="H258" s="25">
        <f>IFERROR(VLOOKUP(C258,consumo_agua!$A$7:$X$202,24,0),0)</f>
        <v>0</v>
      </c>
      <c r="I258" s="26">
        <f t="shared" si="7"/>
        <v>76.287204000000003</v>
      </c>
    </row>
    <row r="259" spans="1:9" x14ac:dyDescent="0.25">
      <c r="A259" s="72" t="s">
        <v>1876</v>
      </c>
      <c r="B259" s="73" t="s">
        <v>1877</v>
      </c>
      <c r="C259" s="72" t="s">
        <v>1878</v>
      </c>
      <c r="D259" s="25">
        <v>68</v>
      </c>
      <c r="E259" s="25">
        <v>68</v>
      </c>
      <c r="F259" s="74">
        <v>4.4973999999999995E-3</v>
      </c>
      <c r="G259" s="26">
        <f t="shared" si="8"/>
        <v>270.36569839999999</v>
      </c>
      <c r="H259" s="25">
        <f>IFERROR(VLOOKUP(C259,consumo_agua!$A$7:$X$202,24,0),0)</f>
        <v>14.876000000000001</v>
      </c>
      <c r="I259" s="26">
        <f t="shared" ref="I259:I322" si="9">SUM(G259:H259)</f>
        <v>285.24169839999996</v>
      </c>
    </row>
    <row r="260" spans="1:9" x14ac:dyDescent="0.25">
      <c r="A260" s="72" t="s">
        <v>1876</v>
      </c>
      <c r="B260" s="73" t="s">
        <v>1877</v>
      </c>
      <c r="C260" s="72" t="s">
        <v>2226</v>
      </c>
      <c r="D260" s="25">
        <v>0</v>
      </c>
      <c r="E260" s="25">
        <v>0</v>
      </c>
      <c r="F260" s="74">
        <v>1.2690000000000002E-3</v>
      </c>
      <c r="G260" s="26">
        <f t="shared" si="8"/>
        <v>76.287204000000003</v>
      </c>
      <c r="H260" s="25">
        <f>IFERROR(VLOOKUP(C260,consumo_agua!$A$7:$X$202,24,0),0)</f>
        <v>0</v>
      </c>
      <c r="I260" s="26">
        <f t="shared" si="9"/>
        <v>76.287204000000003</v>
      </c>
    </row>
    <row r="261" spans="1:9" x14ac:dyDescent="0.25">
      <c r="A261" s="72" t="s">
        <v>1879</v>
      </c>
      <c r="B261" s="73" t="s">
        <v>1880</v>
      </c>
      <c r="C261" s="72" t="s">
        <v>1881</v>
      </c>
      <c r="D261" s="25">
        <v>33.200000000000003</v>
      </c>
      <c r="E261" s="25">
        <v>33.200000000000003</v>
      </c>
      <c r="F261" s="74">
        <v>2.6939000000000004E-3</v>
      </c>
      <c r="G261" s="26">
        <f t="shared" si="8"/>
        <v>161.94649240000001</v>
      </c>
      <c r="H261" s="25">
        <f>IFERROR(VLOOKUP(C261,consumo_agua!$A$7:$X$202,24,0),0)</f>
        <v>0</v>
      </c>
      <c r="I261" s="26">
        <f t="shared" si="9"/>
        <v>161.94649240000001</v>
      </c>
    </row>
    <row r="262" spans="1:9" x14ac:dyDescent="0.25">
      <c r="A262" s="72" t="s">
        <v>1879</v>
      </c>
      <c r="B262" s="73" t="s">
        <v>1880</v>
      </c>
      <c r="C262" s="72" t="s">
        <v>2227</v>
      </c>
      <c r="D262" s="25">
        <v>0</v>
      </c>
      <c r="E262" s="25">
        <v>0</v>
      </c>
      <c r="F262" s="74">
        <v>1.2690000000000002E-3</v>
      </c>
      <c r="G262" s="26">
        <f t="shared" si="8"/>
        <v>76.287204000000003</v>
      </c>
      <c r="H262" s="25">
        <f>IFERROR(VLOOKUP(C262,consumo_agua!$A$7:$X$202,24,0),0)</f>
        <v>0</v>
      </c>
      <c r="I262" s="26">
        <f t="shared" si="9"/>
        <v>76.287204000000003</v>
      </c>
    </row>
    <row r="263" spans="1:9" x14ac:dyDescent="0.25">
      <c r="A263" s="72" t="s">
        <v>1882</v>
      </c>
      <c r="B263" s="73" t="s">
        <v>1429</v>
      </c>
      <c r="C263" s="72" t="s">
        <v>1883</v>
      </c>
      <c r="D263" s="25">
        <v>92.5</v>
      </c>
      <c r="E263" s="25">
        <v>92.5</v>
      </c>
      <c r="F263" s="74">
        <v>5.6772999999999997E-3</v>
      </c>
      <c r="G263" s="26">
        <f t="shared" si="8"/>
        <v>341.29656679999999</v>
      </c>
      <c r="H263" s="25">
        <f>IFERROR(VLOOKUP(C263,consumo_agua!$A$7:$X$202,24,0),0)</f>
        <v>44.628</v>
      </c>
      <c r="I263" s="26">
        <f t="shared" si="9"/>
        <v>385.92456679999998</v>
      </c>
    </row>
    <row r="264" spans="1:9" x14ac:dyDescent="0.25">
      <c r="A264" s="72" t="s">
        <v>1882</v>
      </c>
      <c r="B264" s="73" t="s">
        <v>1429</v>
      </c>
      <c r="C264" s="72" t="s">
        <v>2228</v>
      </c>
      <c r="D264" s="25">
        <v>0</v>
      </c>
      <c r="E264" s="25">
        <v>0</v>
      </c>
      <c r="F264" s="74">
        <v>3.6749999999999999E-4</v>
      </c>
      <c r="G264" s="26">
        <f t="shared" si="8"/>
        <v>22.09263</v>
      </c>
      <c r="H264" s="25">
        <f>IFERROR(VLOOKUP(C264,consumo_agua!$A$7:$X$202,24,0),0)</f>
        <v>0</v>
      </c>
      <c r="I264" s="26">
        <f t="shared" si="9"/>
        <v>22.09263</v>
      </c>
    </row>
    <row r="265" spans="1:9" x14ac:dyDescent="0.25">
      <c r="A265" s="72" t="s">
        <v>1882</v>
      </c>
      <c r="B265" s="73" t="s">
        <v>1429</v>
      </c>
      <c r="C265" s="72" t="s">
        <v>2229</v>
      </c>
      <c r="D265" s="25">
        <v>0</v>
      </c>
      <c r="E265" s="25">
        <v>0</v>
      </c>
      <c r="F265" s="74">
        <v>1.2690000000000002E-3</v>
      </c>
      <c r="G265" s="26">
        <f t="shared" si="8"/>
        <v>76.287204000000003</v>
      </c>
      <c r="H265" s="25">
        <f>IFERROR(VLOOKUP(C265,consumo_agua!$A$7:$X$202,24,0),0)</f>
        <v>0</v>
      </c>
      <c r="I265" s="26">
        <f t="shared" si="9"/>
        <v>76.287204000000003</v>
      </c>
    </row>
    <row r="266" spans="1:9" x14ac:dyDescent="0.25">
      <c r="A266" s="72" t="s">
        <v>1884</v>
      </c>
      <c r="B266" s="73" t="s">
        <v>1431</v>
      </c>
      <c r="C266" s="72" t="s">
        <v>1885</v>
      </c>
      <c r="D266" s="25">
        <v>0</v>
      </c>
      <c r="E266" s="25">
        <v>0</v>
      </c>
      <c r="F266" s="74">
        <v>3.6749999999999999E-4</v>
      </c>
      <c r="G266" s="26">
        <f t="shared" si="8"/>
        <v>22.09263</v>
      </c>
      <c r="H266" s="25">
        <f>IFERROR(VLOOKUP(C266,consumo_agua!$A$7:$X$202,24,0),0)</f>
        <v>0</v>
      </c>
      <c r="I266" s="26">
        <f t="shared" si="9"/>
        <v>22.09263</v>
      </c>
    </row>
    <row r="267" spans="1:9" x14ac:dyDescent="0.25">
      <c r="A267" s="72" t="s">
        <v>1886</v>
      </c>
      <c r="B267" s="73" t="s">
        <v>1471</v>
      </c>
      <c r="C267" s="72" t="s">
        <v>1887</v>
      </c>
      <c r="D267" s="25">
        <v>33</v>
      </c>
      <c r="E267" s="25">
        <v>33</v>
      </c>
      <c r="F267" s="74">
        <v>2.6939000000000004E-3</v>
      </c>
      <c r="G267" s="26">
        <f t="shared" si="8"/>
        <v>161.94649240000001</v>
      </c>
      <c r="H267" s="25">
        <f>IFERROR(VLOOKUP(C267,consumo_agua!$A$7:$X$202,24,0),0)</f>
        <v>-0.26776800000000023</v>
      </c>
      <c r="I267" s="26">
        <f t="shared" si="9"/>
        <v>161.67872440000002</v>
      </c>
    </row>
    <row r="268" spans="1:9" x14ac:dyDescent="0.25">
      <c r="A268" s="72" t="s">
        <v>1888</v>
      </c>
      <c r="B268" s="73" t="s">
        <v>1889</v>
      </c>
      <c r="C268" s="72" t="s">
        <v>1890</v>
      </c>
      <c r="D268" s="25">
        <v>0</v>
      </c>
      <c r="E268" s="25">
        <v>0</v>
      </c>
      <c r="F268" s="74">
        <v>1.2690000000000002E-3</v>
      </c>
      <c r="G268" s="26">
        <f t="shared" si="8"/>
        <v>76.287204000000003</v>
      </c>
      <c r="H268" s="25">
        <f>IFERROR(VLOOKUP(C268,consumo_agua!$A$7:$X$202,24,0),0)</f>
        <v>0</v>
      </c>
      <c r="I268" s="26">
        <f t="shared" si="9"/>
        <v>76.287204000000003</v>
      </c>
    </row>
    <row r="269" spans="1:9" x14ac:dyDescent="0.25">
      <c r="A269" s="72" t="s">
        <v>1891</v>
      </c>
      <c r="B269" s="73" t="s">
        <v>1892</v>
      </c>
      <c r="C269" s="72" t="s">
        <v>1893</v>
      </c>
      <c r="D269" s="25">
        <v>43.35</v>
      </c>
      <c r="E269" s="25">
        <v>43.35</v>
      </c>
      <c r="F269" s="74">
        <v>2.6939000000000004E-3</v>
      </c>
      <c r="G269" s="26">
        <f t="shared" si="8"/>
        <v>161.94649240000001</v>
      </c>
      <c r="H269" s="25">
        <f>IFERROR(VLOOKUP(C269,consumo_agua!$A$7:$X$202,24,0),0)</f>
        <v>17.851199999999999</v>
      </c>
      <c r="I269" s="26">
        <f t="shared" si="9"/>
        <v>179.79769240000002</v>
      </c>
    </row>
    <row r="270" spans="1:9" x14ac:dyDescent="0.25">
      <c r="A270" s="72" t="s">
        <v>1894</v>
      </c>
      <c r="B270" s="73" t="s">
        <v>1895</v>
      </c>
      <c r="C270" s="72" t="s">
        <v>1896</v>
      </c>
      <c r="D270" s="25">
        <v>67.400000000000006</v>
      </c>
      <c r="E270" s="25">
        <v>67.400000000000006</v>
      </c>
      <c r="F270" s="74">
        <v>4.4973999999999995E-3</v>
      </c>
      <c r="G270" s="26">
        <f t="shared" si="8"/>
        <v>270.36569839999999</v>
      </c>
      <c r="H270" s="25">
        <f>IFERROR(VLOOKUP(C270,consumo_agua!$A$7:$X$202,24,0),0)</f>
        <v>32.727200000000003</v>
      </c>
      <c r="I270" s="26">
        <f t="shared" si="9"/>
        <v>303.09289839999997</v>
      </c>
    </row>
    <row r="271" spans="1:9" x14ac:dyDescent="0.25">
      <c r="A271" s="72" t="s">
        <v>1897</v>
      </c>
      <c r="B271" s="73" t="s">
        <v>1898</v>
      </c>
      <c r="C271" s="72" t="s">
        <v>1899</v>
      </c>
      <c r="D271" s="25">
        <v>74.599999999999994</v>
      </c>
      <c r="E271" s="25">
        <v>74.599999999999994</v>
      </c>
      <c r="F271" s="74">
        <v>4.4973999999999995E-3</v>
      </c>
      <c r="G271" s="26">
        <f t="shared" si="8"/>
        <v>270.36569839999999</v>
      </c>
      <c r="H271" s="25">
        <f>IFERROR(VLOOKUP(C271,consumo_agua!$A$7:$X$202,24,0),0)</f>
        <v>3.0109024000000013</v>
      </c>
      <c r="I271" s="26">
        <f t="shared" si="9"/>
        <v>273.37660080000001</v>
      </c>
    </row>
    <row r="272" spans="1:9" x14ac:dyDescent="0.25">
      <c r="A272" s="72" t="s">
        <v>1900</v>
      </c>
      <c r="B272" s="73" t="s">
        <v>1901</v>
      </c>
      <c r="C272" s="72" t="s">
        <v>1902</v>
      </c>
      <c r="D272" s="25">
        <v>44.45</v>
      </c>
      <c r="E272" s="25">
        <v>44.45</v>
      </c>
      <c r="F272" s="74">
        <v>2.6939000000000004E-3</v>
      </c>
      <c r="G272" s="26">
        <f t="shared" si="8"/>
        <v>161.94649240000001</v>
      </c>
      <c r="H272" s="25">
        <f>IFERROR(VLOOKUP(C272,consumo_agua!$A$7:$X$202,24,0),0)</f>
        <v>20.8264</v>
      </c>
      <c r="I272" s="26">
        <f t="shared" si="9"/>
        <v>182.77289240000002</v>
      </c>
    </row>
    <row r="273" spans="1:9" x14ac:dyDescent="0.25">
      <c r="A273" s="72" t="s">
        <v>1900</v>
      </c>
      <c r="B273" s="73" t="s">
        <v>1901</v>
      </c>
      <c r="C273" s="72" t="s">
        <v>2230</v>
      </c>
      <c r="D273" s="25">
        <v>0</v>
      </c>
      <c r="E273" s="25">
        <v>0</v>
      </c>
      <c r="F273" s="74">
        <v>1.2690000000000002E-3</v>
      </c>
      <c r="G273" s="26">
        <f t="shared" si="8"/>
        <v>76.287204000000003</v>
      </c>
      <c r="H273" s="25">
        <f>IFERROR(VLOOKUP(C273,consumo_agua!$A$7:$X$202,24,0),0)</f>
        <v>0</v>
      </c>
      <c r="I273" s="26">
        <f t="shared" si="9"/>
        <v>76.287204000000003</v>
      </c>
    </row>
    <row r="274" spans="1:9" x14ac:dyDescent="0.25">
      <c r="A274" s="72" t="s">
        <v>1903</v>
      </c>
      <c r="B274" s="73" t="s">
        <v>1904</v>
      </c>
      <c r="C274" s="72" t="s">
        <v>1905</v>
      </c>
      <c r="D274" s="25">
        <v>81</v>
      </c>
      <c r="E274" s="25">
        <v>81</v>
      </c>
      <c r="F274" s="74">
        <v>4.4973999999999995E-3</v>
      </c>
      <c r="G274" s="26">
        <f t="shared" si="8"/>
        <v>270.36569839999999</v>
      </c>
      <c r="H274" s="25">
        <f>IFERROR(VLOOKUP(C274,consumo_agua!$A$7:$X$202,24,0),0)</f>
        <v>13.959638400000022</v>
      </c>
      <c r="I274" s="26">
        <f t="shared" si="9"/>
        <v>284.3253368</v>
      </c>
    </row>
    <row r="275" spans="1:9" x14ac:dyDescent="0.25">
      <c r="A275" s="72" t="s">
        <v>1903</v>
      </c>
      <c r="B275" s="73" t="s">
        <v>1904</v>
      </c>
      <c r="C275" s="72" t="s">
        <v>2231</v>
      </c>
      <c r="D275" s="25">
        <v>0</v>
      </c>
      <c r="E275" s="25">
        <v>0</v>
      </c>
      <c r="F275" s="74">
        <v>1.2690000000000002E-3</v>
      </c>
      <c r="G275" s="26">
        <f t="shared" si="8"/>
        <v>76.287204000000003</v>
      </c>
      <c r="H275" s="25">
        <f>IFERROR(VLOOKUP(C275,consumo_agua!$A$7:$X$202,24,0),0)</f>
        <v>0</v>
      </c>
      <c r="I275" s="26">
        <f t="shared" si="9"/>
        <v>76.287204000000003</v>
      </c>
    </row>
    <row r="276" spans="1:9" x14ac:dyDescent="0.25">
      <c r="A276" s="72" t="s">
        <v>1906</v>
      </c>
      <c r="B276" s="73" t="s">
        <v>1907</v>
      </c>
      <c r="C276" s="72" t="s">
        <v>1908</v>
      </c>
      <c r="D276" s="25">
        <v>43.35</v>
      </c>
      <c r="E276" s="25">
        <v>43.35</v>
      </c>
      <c r="F276" s="74">
        <v>2.6939000000000004E-3</v>
      </c>
      <c r="G276" s="26">
        <f t="shared" si="8"/>
        <v>161.94649240000001</v>
      </c>
      <c r="H276" s="25">
        <f>IFERROR(VLOOKUP(C276,consumo_agua!$A$7:$X$202,24,0),0)</f>
        <v>14.876000000000001</v>
      </c>
      <c r="I276" s="26">
        <f t="shared" si="9"/>
        <v>176.82249240000002</v>
      </c>
    </row>
    <row r="277" spans="1:9" x14ac:dyDescent="0.25">
      <c r="A277" s="72" t="s">
        <v>1906</v>
      </c>
      <c r="B277" s="73" t="s">
        <v>1907</v>
      </c>
      <c r="C277" s="72" t="s">
        <v>2232</v>
      </c>
      <c r="D277" s="25">
        <v>0</v>
      </c>
      <c r="E277" s="25">
        <v>0</v>
      </c>
      <c r="F277" s="74">
        <v>3.6749999999999999E-4</v>
      </c>
      <c r="G277" s="26">
        <f t="shared" si="8"/>
        <v>22.09263</v>
      </c>
      <c r="H277" s="25">
        <f>IFERROR(VLOOKUP(C277,consumo_agua!$A$7:$X$202,24,0),0)</f>
        <v>0</v>
      </c>
      <c r="I277" s="26">
        <f t="shared" si="9"/>
        <v>22.09263</v>
      </c>
    </row>
    <row r="278" spans="1:9" x14ac:dyDescent="0.25">
      <c r="A278" s="72" t="s">
        <v>1909</v>
      </c>
      <c r="B278" s="73" t="s">
        <v>1910</v>
      </c>
      <c r="C278" s="72" t="s">
        <v>1911</v>
      </c>
      <c r="D278" s="25">
        <v>66.45</v>
      </c>
      <c r="E278" s="25">
        <v>66.45</v>
      </c>
      <c r="F278" s="74">
        <v>4.4973999999999995E-3</v>
      </c>
      <c r="G278" s="26">
        <f t="shared" si="8"/>
        <v>270.36569839999999</v>
      </c>
      <c r="H278" s="25">
        <f>IFERROR(VLOOKUP(C278,consumo_agua!$A$7:$X$202,24,0),0)</f>
        <v>41.652799999999999</v>
      </c>
      <c r="I278" s="26">
        <f t="shared" si="9"/>
        <v>312.0184984</v>
      </c>
    </row>
    <row r="279" spans="1:9" x14ac:dyDescent="0.25">
      <c r="A279" s="72" t="s">
        <v>1909</v>
      </c>
      <c r="B279" s="73" t="s">
        <v>1910</v>
      </c>
      <c r="C279" s="72" t="s">
        <v>2233</v>
      </c>
      <c r="D279" s="25">
        <v>0</v>
      </c>
      <c r="E279" s="25">
        <v>0</v>
      </c>
      <c r="F279" s="74">
        <v>3.6749999999999999E-4</v>
      </c>
      <c r="G279" s="26">
        <f t="shared" si="8"/>
        <v>22.09263</v>
      </c>
      <c r="H279" s="25">
        <f>IFERROR(VLOOKUP(C279,consumo_agua!$A$7:$X$202,24,0),0)</f>
        <v>0</v>
      </c>
      <c r="I279" s="26">
        <f t="shared" si="9"/>
        <v>22.09263</v>
      </c>
    </row>
    <row r="280" spans="1:9" x14ac:dyDescent="0.25">
      <c r="A280" s="72" t="s">
        <v>1912</v>
      </c>
      <c r="B280" s="73" t="s">
        <v>1913</v>
      </c>
      <c r="C280" s="72" t="s">
        <v>1914</v>
      </c>
      <c r="D280" s="25">
        <v>76.150000000000006</v>
      </c>
      <c r="E280" s="25">
        <v>76.150000000000006</v>
      </c>
      <c r="F280" s="74">
        <v>4.4973999999999995E-3</v>
      </c>
      <c r="G280" s="26">
        <f t="shared" si="8"/>
        <v>270.36569839999999</v>
      </c>
      <c r="H280" s="25">
        <f>IFERROR(VLOOKUP(C280,consumo_agua!$A$7:$X$202,24,0),0)</f>
        <v>14.876000000000001</v>
      </c>
      <c r="I280" s="26">
        <f t="shared" si="9"/>
        <v>285.24169839999996</v>
      </c>
    </row>
    <row r="281" spans="1:9" x14ac:dyDescent="0.25">
      <c r="A281" s="72" t="s">
        <v>1912</v>
      </c>
      <c r="B281" s="73" t="s">
        <v>1913</v>
      </c>
      <c r="C281" s="72" t="s">
        <v>2234</v>
      </c>
      <c r="D281" s="25">
        <v>0</v>
      </c>
      <c r="E281" s="25">
        <v>0</v>
      </c>
      <c r="F281" s="74">
        <v>1.2690000000000002E-3</v>
      </c>
      <c r="G281" s="26">
        <f t="shared" si="8"/>
        <v>76.287204000000003</v>
      </c>
      <c r="H281" s="25">
        <f>IFERROR(VLOOKUP(C281,consumo_agua!$A$7:$X$202,24,0),0)</f>
        <v>0</v>
      </c>
      <c r="I281" s="26">
        <f t="shared" si="9"/>
        <v>76.287204000000003</v>
      </c>
    </row>
    <row r="282" spans="1:9" x14ac:dyDescent="0.25">
      <c r="A282" s="72" t="s">
        <v>1915</v>
      </c>
      <c r="B282" s="73" t="s">
        <v>1916</v>
      </c>
      <c r="C282" s="72" t="s">
        <v>1917</v>
      </c>
      <c r="D282" s="25">
        <v>68</v>
      </c>
      <c r="E282" s="25">
        <v>68</v>
      </c>
      <c r="F282" s="74">
        <v>4.4973999999999995E-3</v>
      </c>
      <c r="G282" s="26">
        <f t="shared" si="8"/>
        <v>270.36569839999999</v>
      </c>
      <c r="H282" s="25">
        <f>IFERROR(VLOOKUP(C282,consumo_agua!$A$7:$X$202,24,0),0)</f>
        <v>2.9752000000000001</v>
      </c>
      <c r="I282" s="26">
        <f t="shared" si="9"/>
        <v>273.34089839999996</v>
      </c>
    </row>
    <row r="283" spans="1:9" x14ac:dyDescent="0.25">
      <c r="A283" s="72" t="s">
        <v>1918</v>
      </c>
      <c r="B283" s="73" t="s">
        <v>1919</v>
      </c>
      <c r="C283" s="72" t="s">
        <v>1920</v>
      </c>
      <c r="D283" s="25">
        <v>43.35</v>
      </c>
      <c r="E283" s="25">
        <v>43.35</v>
      </c>
      <c r="F283" s="74">
        <v>2.6939000000000004E-3</v>
      </c>
      <c r="G283" s="26">
        <f t="shared" si="8"/>
        <v>161.94649240000001</v>
      </c>
      <c r="H283" s="25">
        <f>IFERROR(VLOOKUP(C283,consumo_agua!$A$7:$X$202,24,0),0)</f>
        <v>0</v>
      </c>
      <c r="I283" s="26">
        <f t="shared" si="9"/>
        <v>161.94649240000001</v>
      </c>
    </row>
    <row r="284" spans="1:9" x14ac:dyDescent="0.25">
      <c r="A284" s="72" t="s">
        <v>1918</v>
      </c>
      <c r="B284" s="73" t="s">
        <v>1919</v>
      </c>
      <c r="C284" s="72" t="s">
        <v>2235</v>
      </c>
      <c r="D284" s="25">
        <v>0</v>
      </c>
      <c r="E284" s="25">
        <v>0</v>
      </c>
      <c r="F284" s="74">
        <v>3.6749999999999999E-4</v>
      </c>
      <c r="G284" s="26">
        <f t="shared" si="8"/>
        <v>22.09263</v>
      </c>
      <c r="H284" s="25">
        <f>IFERROR(VLOOKUP(C284,consumo_agua!$A$7:$X$202,24,0),0)</f>
        <v>0</v>
      </c>
      <c r="I284" s="26">
        <f t="shared" si="9"/>
        <v>22.09263</v>
      </c>
    </row>
    <row r="285" spans="1:9" x14ac:dyDescent="0.25">
      <c r="A285" s="72" t="s">
        <v>1918</v>
      </c>
      <c r="B285" s="73" t="s">
        <v>1919</v>
      </c>
      <c r="C285" s="72" t="s">
        <v>2236</v>
      </c>
      <c r="D285" s="25">
        <v>0</v>
      </c>
      <c r="E285" s="25">
        <v>0</v>
      </c>
      <c r="F285" s="74">
        <v>1.2690000000000002E-3</v>
      </c>
      <c r="G285" s="26">
        <f t="shared" si="8"/>
        <v>76.287204000000003</v>
      </c>
      <c r="H285" s="25">
        <f>IFERROR(VLOOKUP(C285,consumo_agua!$A$7:$X$202,24,0),0)</f>
        <v>0</v>
      </c>
      <c r="I285" s="26">
        <f t="shared" si="9"/>
        <v>76.287204000000003</v>
      </c>
    </row>
    <row r="286" spans="1:9" x14ac:dyDescent="0.25">
      <c r="A286" s="72" t="s">
        <v>1921</v>
      </c>
      <c r="B286" s="73" t="s">
        <v>1922</v>
      </c>
      <c r="C286" s="72" t="s">
        <v>1923</v>
      </c>
      <c r="D286" s="25">
        <v>78.95</v>
      </c>
      <c r="E286" s="25">
        <v>78.95</v>
      </c>
      <c r="F286" s="74">
        <v>4.4973999999999995E-3</v>
      </c>
      <c r="G286" s="26">
        <f t="shared" si="8"/>
        <v>270.36569839999999</v>
      </c>
      <c r="H286" s="25">
        <f>IFERROR(VLOOKUP(C286,consumo_agua!$A$7:$X$202,24,0),0)</f>
        <v>27.761591200000051</v>
      </c>
      <c r="I286" s="26">
        <f t="shared" si="9"/>
        <v>298.12728960000004</v>
      </c>
    </row>
    <row r="287" spans="1:9" x14ac:dyDescent="0.25">
      <c r="A287" s="72" t="s">
        <v>1921</v>
      </c>
      <c r="B287" s="73" t="s">
        <v>1922</v>
      </c>
      <c r="C287" s="72" t="s">
        <v>2237</v>
      </c>
      <c r="D287" s="25">
        <v>0</v>
      </c>
      <c r="E287" s="25">
        <v>0</v>
      </c>
      <c r="F287" s="74">
        <v>1.2690000000000002E-3</v>
      </c>
      <c r="G287" s="26">
        <f t="shared" si="8"/>
        <v>76.287204000000003</v>
      </c>
      <c r="H287" s="25">
        <f>IFERROR(VLOOKUP(C287,consumo_agua!$A$7:$X$202,24,0),0)</f>
        <v>0</v>
      </c>
      <c r="I287" s="26">
        <f t="shared" si="9"/>
        <v>76.287204000000003</v>
      </c>
    </row>
    <row r="288" spans="1:9" x14ac:dyDescent="0.25">
      <c r="A288" s="72" t="s">
        <v>1924</v>
      </c>
      <c r="B288" s="73" t="s">
        <v>1925</v>
      </c>
      <c r="C288" s="72" t="s">
        <v>1926</v>
      </c>
      <c r="D288" s="25">
        <v>43.35</v>
      </c>
      <c r="E288" s="25">
        <v>43.35</v>
      </c>
      <c r="F288" s="74">
        <v>2.6939000000000004E-3</v>
      </c>
      <c r="G288" s="26">
        <f t="shared" si="8"/>
        <v>161.94649240000001</v>
      </c>
      <c r="H288" s="25">
        <f>IFERROR(VLOOKUP(C288,consumo_agua!$A$7:$X$202,24,0),0)</f>
        <v>2.9752000000000001</v>
      </c>
      <c r="I288" s="26">
        <f t="shared" si="9"/>
        <v>164.92169240000001</v>
      </c>
    </row>
    <row r="289" spans="1:9" x14ac:dyDescent="0.25">
      <c r="A289" s="72" t="s">
        <v>1924</v>
      </c>
      <c r="B289" s="73" t="s">
        <v>1925</v>
      </c>
      <c r="C289" s="72" t="s">
        <v>2238</v>
      </c>
      <c r="D289" s="25">
        <v>0</v>
      </c>
      <c r="E289" s="25">
        <v>0</v>
      </c>
      <c r="F289" s="74">
        <v>1.2690000000000002E-3</v>
      </c>
      <c r="G289" s="26">
        <f t="shared" si="8"/>
        <v>76.287204000000003</v>
      </c>
      <c r="H289" s="25">
        <f>IFERROR(VLOOKUP(C289,consumo_agua!$A$7:$X$202,24,0),0)</f>
        <v>0</v>
      </c>
      <c r="I289" s="26">
        <f t="shared" si="9"/>
        <v>76.287204000000003</v>
      </c>
    </row>
    <row r="290" spans="1:9" x14ac:dyDescent="0.25">
      <c r="A290" s="72" t="s">
        <v>1927</v>
      </c>
      <c r="B290" s="73" t="s">
        <v>1928</v>
      </c>
      <c r="C290" s="72" t="s">
        <v>1929</v>
      </c>
      <c r="D290" s="25">
        <v>33</v>
      </c>
      <c r="E290" s="25">
        <v>33</v>
      </c>
      <c r="F290" s="74">
        <v>2.6939000000000004E-3</v>
      </c>
      <c r="G290" s="26">
        <f t="shared" si="8"/>
        <v>161.94649240000001</v>
      </c>
      <c r="H290" s="25">
        <f>IFERROR(VLOOKUP(C290,consumo_agua!$A$7:$X$202,24,0),0)</f>
        <v>11.9008</v>
      </c>
      <c r="I290" s="26">
        <f t="shared" si="9"/>
        <v>173.84729240000001</v>
      </c>
    </row>
    <row r="291" spans="1:9" x14ac:dyDescent="0.25">
      <c r="A291" s="72" t="s">
        <v>1930</v>
      </c>
      <c r="B291" s="73" t="s">
        <v>1931</v>
      </c>
      <c r="C291" s="72" t="s">
        <v>1932</v>
      </c>
      <c r="D291" s="25">
        <v>33.200000000000003</v>
      </c>
      <c r="E291" s="25">
        <v>33.200000000000003</v>
      </c>
      <c r="F291" s="74">
        <v>2.6939000000000004E-3</v>
      </c>
      <c r="G291" s="26">
        <f t="shared" si="8"/>
        <v>161.94649240000001</v>
      </c>
      <c r="H291" s="25">
        <f>IFERROR(VLOOKUP(C291,consumo_agua!$A$7:$X$202,24,0),0)</f>
        <v>2.9752000000000001</v>
      </c>
      <c r="I291" s="26">
        <f t="shared" si="9"/>
        <v>164.92169240000001</v>
      </c>
    </row>
    <row r="292" spans="1:9" x14ac:dyDescent="0.25">
      <c r="A292" s="72" t="s">
        <v>1930</v>
      </c>
      <c r="B292" s="73" t="s">
        <v>1931</v>
      </c>
      <c r="C292" s="72" t="s">
        <v>2090</v>
      </c>
      <c r="D292" s="25">
        <v>33.200000000000003</v>
      </c>
      <c r="E292" s="25">
        <v>33.200000000000003</v>
      </c>
      <c r="F292" s="74">
        <v>2.6939000000000004E-3</v>
      </c>
      <c r="G292" s="26">
        <f t="shared" si="8"/>
        <v>161.94649240000001</v>
      </c>
      <c r="H292" s="25">
        <f>IFERROR(VLOOKUP(C292,consumo_agua!$A$7:$X$202,24,0),0)</f>
        <v>11.9008</v>
      </c>
      <c r="I292" s="26">
        <f t="shared" si="9"/>
        <v>173.84729240000001</v>
      </c>
    </row>
    <row r="293" spans="1:9" x14ac:dyDescent="0.25">
      <c r="A293" s="72" t="s">
        <v>1933</v>
      </c>
      <c r="B293" s="73" t="s">
        <v>1934</v>
      </c>
      <c r="C293" s="72" t="s">
        <v>1935</v>
      </c>
      <c r="D293" s="25">
        <v>81</v>
      </c>
      <c r="E293" s="25">
        <v>81</v>
      </c>
      <c r="F293" s="74">
        <v>4.4973999999999995E-3</v>
      </c>
      <c r="G293" s="26">
        <f t="shared" si="8"/>
        <v>270.36569839999999</v>
      </c>
      <c r="H293" s="25">
        <f>IFERROR(VLOOKUP(C293,consumo_agua!$A$7:$X$202,24,0),0)</f>
        <v>37.416115200000064</v>
      </c>
      <c r="I293" s="26">
        <f t="shared" si="9"/>
        <v>307.78181360000008</v>
      </c>
    </row>
    <row r="294" spans="1:9" x14ac:dyDescent="0.25">
      <c r="A294" s="72" t="s">
        <v>1933</v>
      </c>
      <c r="B294" s="73" t="s">
        <v>1934</v>
      </c>
      <c r="C294" s="72" t="s">
        <v>2239</v>
      </c>
      <c r="D294" s="25">
        <v>0</v>
      </c>
      <c r="E294" s="25">
        <v>0</v>
      </c>
      <c r="F294" s="74">
        <v>3.6749999999999999E-4</v>
      </c>
      <c r="G294" s="26">
        <f t="shared" si="8"/>
        <v>22.09263</v>
      </c>
      <c r="H294" s="25">
        <f>IFERROR(VLOOKUP(C294,consumo_agua!$A$7:$X$202,24,0),0)</f>
        <v>0</v>
      </c>
      <c r="I294" s="26">
        <f t="shared" si="9"/>
        <v>22.09263</v>
      </c>
    </row>
    <row r="295" spans="1:9" x14ac:dyDescent="0.25">
      <c r="A295" s="72" t="s">
        <v>1933</v>
      </c>
      <c r="B295" s="73" t="s">
        <v>1934</v>
      </c>
      <c r="C295" s="72" t="s">
        <v>2240</v>
      </c>
      <c r="D295" s="25">
        <v>0</v>
      </c>
      <c r="E295" s="25">
        <v>0</v>
      </c>
      <c r="F295" s="74">
        <v>1.2690000000000002E-3</v>
      </c>
      <c r="G295" s="26">
        <f t="shared" si="8"/>
        <v>76.287204000000003</v>
      </c>
      <c r="H295" s="25">
        <f>IFERROR(VLOOKUP(C295,consumo_agua!$A$7:$X$202,24,0),0)</f>
        <v>0</v>
      </c>
      <c r="I295" s="26">
        <f t="shared" si="9"/>
        <v>76.287204000000003</v>
      </c>
    </row>
    <row r="296" spans="1:9" x14ac:dyDescent="0.25">
      <c r="A296" s="72" t="s">
        <v>1936</v>
      </c>
      <c r="B296" s="73" t="s">
        <v>1364</v>
      </c>
      <c r="C296" s="72" t="s">
        <v>1937</v>
      </c>
      <c r="D296" s="25">
        <v>76.150000000000006</v>
      </c>
      <c r="E296" s="25">
        <v>76.150000000000006</v>
      </c>
      <c r="F296" s="74">
        <v>4.4973999999999995E-3</v>
      </c>
      <c r="G296" s="26">
        <f t="shared" si="8"/>
        <v>270.36569839999999</v>
      </c>
      <c r="H296" s="25">
        <f>IFERROR(VLOOKUP(C296,consumo_agua!$A$7:$X$202,24,0),0)</f>
        <v>0</v>
      </c>
      <c r="I296" s="26">
        <f t="shared" si="9"/>
        <v>270.36569839999999</v>
      </c>
    </row>
    <row r="297" spans="1:9" x14ac:dyDescent="0.25">
      <c r="A297" s="72" t="s">
        <v>1936</v>
      </c>
      <c r="B297" s="73" t="s">
        <v>1364</v>
      </c>
      <c r="C297" s="72" t="s">
        <v>2241</v>
      </c>
      <c r="D297" s="25">
        <v>0</v>
      </c>
      <c r="E297" s="25">
        <v>0</v>
      </c>
      <c r="F297" s="74">
        <v>1.2690000000000002E-3</v>
      </c>
      <c r="G297" s="26">
        <f t="shared" si="8"/>
        <v>76.287204000000003</v>
      </c>
      <c r="H297" s="25">
        <f>IFERROR(VLOOKUP(C297,consumo_agua!$A$7:$X$202,24,0),0)</f>
        <v>0</v>
      </c>
      <c r="I297" s="26">
        <f t="shared" si="9"/>
        <v>76.287204000000003</v>
      </c>
    </row>
    <row r="298" spans="1:9" x14ac:dyDescent="0.25">
      <c r="A298" s="72" t="s">
        <v>1938</v>
      </c>
      <c r="B298" s="73" t="s">
        <v>1939</v>
      </c>
      <c r="C298" s="72" t="s">
        <v>1940</v>
      </c>
      <c r="D298" s="25">
        <v>78.95</v>
      </c>
      <c r="E298" s="25">
        <v>78.95</v>
      </c>
      <c r="F298" s="74">
        <v>4.4973999999999995E-3</v>
      </c>
      <c r="G298" s="26">
        <f t="shared" si="8"/>
        <v>270.36569839999999</v>
      </c>
      <c r="H298" s="25">
        <f>IFERROR(VLOOKUP(C298,consumo_agua!$A$7:$X$202,24,0),0)</f>
        <v>35.279921600000016</v>
      </c>
      <c r="I298" s="26">
        <f t="shared" si="9"/>
        <v>305.64562000000001</v>
      </c>
    </row>
    <row r="299" spans="1:9" x14ac:dyDescent="0.25">
      <c r="A299" s="72" t="s">
        <v>1938</v>
      </c>
      <c r="B299" s="73" t="s">
        <v>1939</v>
      </c>
      <c r="C299" s="72" t="s">
        <v>2242</v>
      </c>
      <c r="D299" s="25">
        <v>0</v>
      </c>
      <c r="E299" s="25">
        <v>0</v>
      </c>
      <c r="F299" s="74">
        <v>3.6749999999999999E-4</v>
      </c>
      <c r="G299" s="26">
        <f t="shared" si="8"/>
        <v>22.09263</v>
      </c>
      <c r="H299" s="25">
        <f>IFERROR(VLOOKUP(C299,consumo_agua!$A$7:$X$202,24,0),0)</f>
        <v>0</v>
      </c>
      <c r="I299" s="26">
        <f t="shared" si="9"/>
        <v>22.09263</v>
      </c>
    </row>
    <row r="300" spans="1:9" x14ac:dyDescent="0.25">
      <c r="A300" s="72" t="s">
        <v>1938</v>
      </c>
      <c r="B300" s="73" t="s">
        <v>1939</v>
      </c>
      <c r="C300" s="72" t="s">
        <v>2243</v>
      </c>
      <c r="D300" s="25">
        <v>0</v>
      </c>
      <c r="E300" s="25">
        <v>0</v>
      </c>
      <c r="F300" s="74">
        <v>1.2690000000000002E-3</v>
      </c>
      <c r="G300" s="26">
        <f t="shared" si="8"/>
        <v>76.287204000000003</v>
      </c>
      <c r="H300" s="25">
        <f>IFERROR(VLOOKUP(C300,consumo_agua!$A$7:$X$202,24,0),0)</f>
        <v>0</v>
      </c>
      <c r="I300" s="26">
        <f t="shared" si="9"/>
        <v>76.287204000000003</v>
      </c>
    </row>
    <row r="301" spans="1:9" x14ac:dyDescent="0.25">
      <c r="A301" s="72" t="s">
        <v>1941</v>
      </c>
      <c r="B301" s="73" t="s">
        <v>1239</v>
      </c>
      <c r="C301" s="72" t="s">
        <v>1942</v>
      </c>
      <c r="D301" s="25">
        <v>33</v>
      </c>
      <c r="E301" s="25">
        <v>33</v>
      </c>
      <c r="F301" s="74">
        <v>2.6939000000000004E-3</v>
      </c>
      <c r="G301" s="26">
        <f t="shared" si="8"/>
        <v>161.94649240000001</v>
      </c>
      <c r="H301" s="25">
        <f>IFERROR(VLOOKUP(C301,consumo_agua!$A$7:$X$202,24,0),0)</f>
        <v>17.851199999999999</v>
      </c>
      <c r="I301" s="26">
        <f t="shared" si="9"/>
        <v>179.79769240000002</v>
      </c>
    </row>
    <row r="302" spans="1:9" x14ac:dyDescent="0.25">
      <c r="A302" s="72" t="s">
        <v>1943</v>
      </c>
      <c r="B302" s="73" t="s">
        <v>1944</v>
      </c>
      <c r="C302" s="72" t="s">
        <v>1945</v>
      </c>
      <c r="D302" s="25">
        <v>66.45</v>
      </c>
      <c r="E302" s="25">
        <v>66.45</v>
      </c>
      <c r="F302" s="74">
        <v>4.4973999999999995E-3</v>
      </c>
      <c r="G302" s="26">
        <f t="shared" si="8"/>
        <v>270.36569839999999</v>
      </c>
      <c r="H302" s="25">
        <f>IFERROR(VLOOKUP(C302,consumo_agua!$A$7:$X$202,24,0),0)</f>
        <v>5.9504000000000001</v>
      </c>
      <c r="I302" s="26">
        <f t="shared" si="9"/>
        <v>276.31609839999999</v>
      </c>
    </row>
    <row r="303" spans="1:9" x14ac:dyDescent="0.25">
      <c r="A303" s="72" t="s">
        <v>1943</v>
      </c>
      <c r="B303" s="73" t="s">
        <v>1944</v>
      </c>
      <c r="C303" s="72" t="s">
        <v>2244</v>
      </c>
      <c r="D303" s="25">
        <v>0</v>
      </c>
      <c r="E303" s="25">
        <v>0</v>
      </c>
      <c r="F303" s="74">
        <v>1.2690000000000002E-3</v>
      </c>
      <c r="G303" s="26">
        <f t="shared" si="8"/>
        <v>76.287204000000003</v>
      </c>
      <c r="H303" s="25">
        <f>IFERROR(VLOOKUP(C303,consumo_agua!$A$7:$X$202,24,0),0)</f>
        <v>0</v>
      </c>
      <c r="I303" s="26">
        <f t="shared" si="9"/>
        <v>76.287204000000003</v>
      </c>
    </row>
    <row r="304" spans="1:9" x14ac:dyDescent="0.25">
      <c r="A304" s="72" t="s">
        <v>1946</v>
      </c>
      <c r="B304" s="73" t="s">
        <v>1947</v>
      </c>
      <c r="C304" s="72" t="s">
        <v>1948</v>
      </c>
      <c r="D304" s="25">
        <v>33</v>
      </c>
      <c r="E304" s="25">
        <v>33</v>
      </c>
      <c r="F304" s="74">
        <v>2.6939000000000004E-3</v>
      </c>
      <c r="G304" s="26">
        <f t="shared" si="8"/>
        <v>161.94649240000001</v>
      </c>
      <c r="H304" s="25">
        <f>IFERROR(VLOOKUP(C304,consumo_agua!$A$7:$X$202,24,0),0)</f>
        <v>1.3596663999999812</v>
      </c>
      <c r="I304" s="26">
        <f t="shared" si="9"/>
        <v>163.30615879999999</v>
      </c>
    </row>
    <row r="305" spans="1:9" x14ac:dyDescent="0.25">
      <c r="A305" s="72" t="s">
        <v>1949</v>
      </c>
      <c r="B305" s="73" t="s">
        <v>1269</v>
      </c>
      <c r="C305" s="72" t="s">
        <v>1951</v>
      </c>
      <c r="D305" s="25">
        <v>44.45</v>
      </c>
      <c r="E305" s="25">
        <v>44.45</v>
      </c>
      <c r="F305" s="74">
        <v>2.6939000000000004E-3</v>
      </c>
      <c r="G305" s="26">
        <f t="shared" si="8"/>
        <v>161.94649240000001</v>
      </c>
      <c r="H305" s="25">
        <f>IFERROR(VLOOKUP(C305,consumo_agua!$A$7:$X$202,24,0),0)</f>
        <v>5.9504000000000001</v>
      </c>
      <c r="I305" s="26">
        <f t="shared" si="9"/>
        <v>167.89689240000001</v>
      </c>
    </row>
    <row r="306" spans="1:9" x14ac:dyDescent="0.25">
      <c r="A306" s="72" t="s">
        <v>1949</v>
      </c>
      <c r="B306" s="73" t="s">
        <v>1269</v>
      </c>
      <c r="C306" s="72" t="s">
        <v>2093</v>
      </c>
      <c r="D306" s="25">
        <v>92.5</v>
      </c>
      <c r="E306" s="25">
        <v>92.5</v>
      </c>
      <c r="F306" s="74">
        <v>5.6772999999999997E-3</v>
      </c>
      <c r="G306" s="26">
        <f t="shared" si="8"/>
        <v>341.29656679999999</v>
      </c>
      <c r="H306" s="25">
        <f>IFERROR(VLOOKUP(C306,consumo_agua!$A$7:$X$202,24,0),0)</f>
        <v>23.801600000000001</v>
      </c>
      <c r="I306" s="26">
        <f t="shared" si="9"/>
        <v>365.0981668</v>
      </c>
    </row>
    <row r="307" spans="1:9" x14ac:dyDescent="0.25">
      <c r="A307" s="72" t="s">
        <v>1952</v>
      </c>
      <c r="B307" s="73" t="s">
        <v>1953</v>
      </c>
      <c r="C307" s="72" t="s">
        <v>1954</v>
      </c>
      <c r="D307" s="25">
        <v>77.05</v>
      </c>
      <c r="E307" s="25">
        <v>77.05</v>
      </c>
      <c r="F307" s="74">
        <v>4.4973999999999995E-3</v>
      </c>
      <c r="G307" s="26">
        <f t="shared" si="8"/>
        <v>270.36569839999999</v>
      </c>
      <c r="H307" s="25">
        <f>IFERROR(VLOOKUP(C307,consumo_agua!$A$7:$X$202,24,0),0)</f>
        <v>11.9008</v>
      </c>
      <c r="I307" s="26">
        <f t="shared" si="9"/>
        <v>282.26649839999999</v>
      </c>
    </row>
    <row r="308" spans="1:9" x14ac:dyDescent="0.25">
      <c r="A308" s="72" t="s">
        <v>1952</v>
      </c>
      <c r="B308" s="73" t="s">
        <v>1953</v>
      </c>
      <c r="C308" s="72" t="s">
        <v>2245</v>
      </c>
      <c r="D308" s="25">
        <v>0</v>
      </c>
      <c r="E308" s="25">
        <v>0</v>
      </c>
      <c r="F308" s="74">
        <v>1.2690000000000002E-3</v>
      </c>
      <c r="G308" s="26">
        <f t="shared" si="8"/>
        <v>76.287204000000003</v>
      </c>
      <c r="H308" s="25">
        <f>IFERROR(VLOOKUP(C308,consumo_agua!$A$7:$X$202,24,0),0)</f>
        <v>0</v>
      </c>
      <c r="I308" s="26">
        <f t="shared" si="9"/>
        <v>76.287204000000003</v>
      </c>
    </row>
    <row r="309" spans="1:9" x14ac:dyDescent="0.25">
      <c r="A309" s="72" t="s">
        <v>1955</v>
      </c>
      <c r="B309" s="73" t="s">
        <v>1956</v>
      </c>
      <c r="C309" s="72" t="s">
        <v>1957</v>
      </c>
      <c r="D309" s="25">
        <v>43.35</v>
      </c>
      <c r="E309" s="25">
        <v>43.35</v>
      </c>
      <c r="F309" s="74">
        <v>2.6939000000000004E-3</v>
      </c>
      <c r="G309" s="26">
        <f t="shared" si="8"/>
        <v>161.94649240000001</v>
      </c>
      <c r="H309" s="25">
        <f>IFERROR(VLOOKUP(C309,consumo_agua!$A$7:$X$202,24,0),0)</f>
        <v>11.9008</v>
      </c>
      <c r="I309" s="26">
        <f t="shared" si="9"/>
        <v>173.84729240000001</v>
      </c>
    </row>
    <row r="310" spans="1:9" x14ac:dyDescent="0.25">
      <c r="A310" s="72" t="s">
        <v>1955</v>
      </c>
      <c r="B310" s="73" t="s">
        <v>1956</v>
      </c>
      <c r="C310" s="72" t="s">
        <v>2246</v>
      </c>
      <c r="D310" s="25">
        <v>0</v>
      </c>
      <c r="E310" s="25">
        <v>0</v>
      </c>
      <c r="F310" s="74">
        <v>1.2690000000000002E-3</v>
      </c>
      <c r="G310" s="26">
        <f t="shared" si="8"/>
        <v>76.287204000000003</v>
      </c>
      <c r="H310" s="25">
        <f>IFERROR(VLOOKUP(C310,consumo_agua!$A$7:$X$202,24,0),0)</f>
        <v>0</v>
      </c>
      <c r="I310" s="26">
        <f t="shared" si="9"/>
        <v>76.287204000000003</v>
      </c>
    </row>
    <row r="311" spans="1:9" x14ac:dyDescent="0.25">
      <c r="A311" s="72" t="s">
        <v>1958</v>
      </c>
      <c r="B311" s="73" t="s">
        <v>1959</v>
      </c>
      <c r="C311" s="72" t="s">
        <v>1960</v>
      </c>
      <c r="D311" s="25">
        <v>66.45</v>
      </c>
      <c r="E311" s="25">
        <v>66.45</v>
      </c>
      <c r="F311" s="74">
        <v>4.4973999999999995E-3</v>
      </c>
      <c r="G311" s="26">
        <f t="shared" si="8"/>
        <v>270.36569839999999</v>
      </c>
      <c r="H311" s="25">
        <f>IFERROR(VLOOKUP(C311,consumo_agua!$A$7:$X$202,24,0),0)</f>
        <v>0</v>
      </c>
      <c r="I311" s="26">
        <f t="shared" si="9"/>
        <v>270.36569839999999</v>
      </c>
    </row>
    <row r="312" spans="1:9" x14ac:dyDescent="0.25">
      <c r="A312" s="72" t="s">
        <v>1958</v>
      </c>
      <c r="B312" s="73" t="s">
        <v>1959</v>
      </c>
      <c r="C312" s="72" t="s">
        <v>2247</v>
      </c>
      <c r="D312" s="25">
        <v>0</v>
      </c>
      <c r="E312" s="25">
        <v>0</v>
      </c>
      <c r="F312" s="74">
        <v>1.2690000000000002E-3</v>
      </c>
      <c r="G312" s="26">
        <f t="shared" si="8"/>
        <v>76.287204000000003</v>
      </c>
      <c r="H312" s="25">
        <f>IFERROR(VLOOKUP(C312,consumo_agua!$A$7:$X$202,24,0),0)</f>
        <v>0</v>
      </c>
      <c r="I312" s="26">
        <f t="shared" si="9"/>
        <v>76.287204000000003</v>
      </c>
    </row>
    <row r="313" spans="1:9" x14ac:dyDescent="0.25">
      <c r="A313" s="72" t="s">
        <v>1961</v>
      </c>
      <c r="B313" s="73" t="s">
        <v>1295</v>
      </c>
      <c r="C313" s="72" t="s">
        <v>1962</v>
      </c>
      <c r="D313" s="25">
        <v>66.45</v>
      </c>
      <c r="E313" s="25">
        <v>66.45</v>
      </c>
      <c r="F313" s="74">
        <v>4.4973999999999995E-3</v>
      </c>
      <c r="G313" s="26">
        <f t="shared" si="8"/>
        <v>270.36569839999999</v>
      </c>
      <c r="H313" s="25">
        <f>IFERROR(VLOOKUP(C313,consumo_agua!$A$7:$X$202,24,0),0)</f>
        <v>8.9255999999999993</v>
      </c>
      <c r="I313" s="26">
        <f t="shared" si="9"/>
        <v>279.29129839999996</v>
      </c>
    </row>
    <row r="314" spans="1:9" x14ac:dyDescent="0.25">
      <c r="A314" s="72" t="s">
        <v>1961</v>
      </c>
      <c r="B314" s="73" t="s">
        <v>1295</v>
      </c>
      <c r="C314" s="72" t="s">
        <v>2248</v>
      </c>
      <c r="D314" s="25">
        <v>0</v>
      </c>
      <c r="E314" s="25">
        <v>0</v>
      </c>
      <c r="F314" s="74">
        <v>1.2690000000000002E-3</v>
      </c>
      <c r="G314" s="26">
        <f t="shared" si="8"/>
        <v>76.287204000000003</v>
      </c>
      <c r="H314" s="25">
        <f>IFERROR(VLOOKUP(C314,consumo_agua!$A$7:$X$202,24,0),0)</f>
        <v>0</v>
      </c>
      <c r="I314" s="26">
        <f t="shared" si="9"/>
        <v>76.287204000000003</v>
      </c>
    </row>
    <row r="315" spans="1:9" x14ac:dyDescent="0.25">
      <c r="A315" s="72" t="s">
        <v>1963</v>
      </c>
      <c r="B315" s="73" t="s">
        <v>1964</v>
      </c>
      <c r="C315" s="72" t="s">
        <v>1965</v>
      </c>
      <c r="D315" s="25">
        <v>33</v>
      </c>
      <c r="E315" s="25">
        <v>33</v>
      </c>
      <c r="F315" s="74">
        <v>2.6939000000000004E-3</v>
      </c>
      <c r="G315" s="26">
        <f t="shared" si="8"/>
        <v>161.94649240000001</v>
      </c>
      <c r="H315" s="25">
        <f>IFERROR(VLOOKUP(C315,consumo_agua!$A$7:$X$202,24,0),0)</f>
        <v>12.671376799999958</v>
      </c>
      <c r="I315" s="26">
        <f t="shared" si="9"/>
        <v>174.61786919999997</v>
      </c>
    </row>
    <row r="316" spans="1:9" x14ac:dyDescent="0.25">
      <c r="A316" s="72" t="s">
        <v>1963</v>
      </c>
      <c r="B316" s="73" t="s">
        <v>1964</v>
      </c>
      <c r="C316" s="72" t="s">
        <v>2249</v>
      </c>
      <c r="D316" s="25">
        <v>0</v>
      </c>
      <c r="E316" s="25">
        <v>0</v>
      </c>
      <c r="F316" s="74">
        <v>3.6749999999999999E-4</v>
      </c>
      <c r="G316" s="26">
        <f t="shared" si="8"/>
        <v>22.09263</v>
      </c>
      <c r="H316" s="25">
        <f>IFERROR(VLOOKUP(C316,consumo_agua!$A$7:$X$202,24,0),0)</f>
        <v>0</v>
      </c>
      <c r="I316" s="26">
        <f t="shared" si="9"/>
        <v>22.09263</v>
      </c>
    </row>
    <row r="317" spans="1:9" x14ac:dyDescent="0.25">
      <c r="A317" s="72" t="s">
        <v>1966</v>
      </c>
      <c r="B317" s="73" t="s">
        <v>1967</v>
      </c>
      <c r="C317" s="72" t="s">
        <v>1968</v>
      </c>
      <c r="D317" s="25">
        <v>44.45</v>
      </c>
      <c r="E317" s="25">
        <v>44.45</v>
      </c>
      <c r="F317" s="74">
        <v>2.6939000000000004E-3</v>
      </c>
      <c r="G317" s="26">
        <f t="shared" si="8"/>
        <v>161.94649240000001</v>
      </c>
      <c r="H317" s="25">
        <f>IFERROR(VLOOKUP(C317,consumo_agua!$A$7:$X$202,24,0),0)</f>
        <v>2.9752000000000001</v>
      </c>
      <c r="I317" s="26">
        <f t="shared" si="9"/>
        <v>164.92169240000001</v>
      </c>
    </row>
    <row r="318" spans="1:9" x14ac:dyDescent="0.25">
      <c r="A318" s="72" t="s">
        <v>1966</v>
      </c>
      <c r="B318" s="73" t="s">
        <v>1967</v>
      </c>
      <c r="C318" s="72" t="s">
        <v>2250</v>
      </c>
      <c r="D318" s="25">
        <v>0</v>
      </c>
      <c r="E318" s="25">
        <v>0</v>
      </c>
      <c r="F318" s="74">
        <v>1.2690000000000002E-3</v>
      </c>
      <c r="G318" s="26">
        <f t="shared" si="8"/>
        <v>76.287204000000003</v>
      </c>
      <c r="H318" s="25">
        <f>IFERROR(VLOOKUP(C318,consumo_agua!$A$7:$X$202,24,0),0)</f>
        <v>0</v>
      </c>
      <c r="I318" s="26">
        <f t="shared" si="9"/>
        <v>76.287204000000003</v>
      </c>
    </row>
    <row r="319" spans="1:9" x14ac:dyDescent="0.25">
      <c r="A319" s="72" t="s">
        <v>1969</v>
      </c>
      <c r="B319" s="73" t="s">
        <v>1970</v>
      </c>
      <c r="C319" s="72" t="s">
        <v>1971</v>
      </c>
      <c r="D319" s="25">
        <v>33.200000000000003</v>
      </c>
      <c r="E319" s="25">
        <v>33.200000000000003</v>
      </c>
      <c r="F319" s="74">
        <v>2.6939000000000004E-3</v>
      </c>
      <c r="G319" s="26">
        <f t="shared" si="8"/>
        <v>161.94649240000001</v>
      </c>
      <c r="H319" s="25">
        <f>IFERROR(VLOOKUP(C319,consumo_agua!$A$7:$X$202,24,0),0)</f>
        <v>11.9008</v>
      </c>
      <c r="I319" s="26">
        <f t="shared" si="9"/>
        <v>173.84729240000001</v>
      </c>
    </row>
    <row r="320" spans="1:9" x14ac:dyDescent="0.25">
      <c r="A320" s="72" t="s">
        <v>1972</v>
      </c>
      <c r="B320" s="73" t="s">
        <v>1973</v>
      </c>
      <c r="C320" s="72" t="s">
        <v>1974</v>
      </c>
      <c r="D320" s="25">
        <v>33.200000000000003</v>
      </c>
      <c r="E320" s="25">
        <v>33.200000000000003</v>
      </c>
      <c r="F320" s="74">
        <v>2.6939000000000004E-3</v>
      </c>
      <c r="G320" s="26">
        <f t="shared" si="8"/>
        <v>161.94649240000001</v>
      </c>
      <c r="H320" s="25">
        <f>IFERROR(VLOOKUP(C320,consumo_agua!$A$7:$X$202,24,0),0)</f>
        <v>8.9255999999999993</v>
      </c>
      <c r="I320" s="26">
        <f t="shared" si="9"/>
        <v>170.87209240000001</v>
      </c>
    </row>
    <row r="321" spans="1:9" x14ac:dyDescent="0.25">
      <c r="A321" s="72" t="s">
        <v>1975</v>
      </c>
      <c r="B321" s="73" t="s">
        <v>1976</v>
      </c>
      <c r="C321" s="72" t="s">
        <v>1977</v>
      </c>
      <c r="D321" s="25">
        <v>40</v>
      </c>
      <c r="E321" s="25">
        <v>40</v>
      </c>
      <c r="F321" s="74">
        <v>2.6939000000000004E-3</v>
      </c>
      <c r="G321" s="26">
        <f t="shared" si="8"/>
        <v>161.94649240000001</v>
      </c>
      <c r="H321" s="25">
        <f>IFERROR(VLOOKUP(C321,consumo_agua!$A$7:$X$202,24,0),0)</f>
        <v>2.9752000000000001</v>
      </c>
      <c r="I321" s="26">
        <f t="shared" si="9"/>
        <v>164.92169240000001</v>
      </c>
    </row>
    <row r="322" spans="1:9" x14ac:dyDescent="0.25">
      <c r="A322" s="72" t="s">
        <v>1975</v>
      </c>
      <c r="B322" s="73" t="s">
        <v>1976</v>
      </c>
      <c r="C322" s="72" t="s">
        <v>2251</v>
      </c>
      <c r="D322" s="25">
        <v>0</v>
      </c>
      <c r="E322" s="25">
        <v>0</v>
      </c>
      <c r="F322" s="74">
        <v>1.2690000000000002E-3</v>
      </c>
      <c r="G322" s="26">
        <f t="shared" ref="G322:G383" si="10">pp_anual26*F322</f>
        <v>76.287204000000003</v>
      </c>
      <c r="H322" s="25">
        <f>IFERROR(VLOOKUP(C322,consumo_agua!$A$7:$X$202,24,0),0)</f>
        <v>0</v>
      </c>
      <c r="I322" s="26">
        <f t="shared" si="9"/>
        <v>76.287204000000003</v>
      </c>
    </row>
    <row r="323" spans="1:9" x14ac:dyDescent="0.25">
      <c r="A323" s="72" t="s">
        <v>1978</v>
      </c>
      <c r="B323" s="73" t="s">
        <v>1979</v>
      </c>
      <c r="C323" s="72" t="s">
        <v>1980</v>
      </c>
      <c r="D323" s="25">
        <v>74.599999999999994</v>
      </c>
      <c r="E323" s="25">
        <v>74.599999999999994</v>
      </c>
      <c r="F323" s="74">
        <v>4.4973999999999995E-3</v>
      </c>
      <c r="G323" s="26">
        <f t="shared" si="10"/>
        <v>270.36569839999999</v>
      </c>
      <c r="H323" s="25">
        <f>IFERROR(VLOOKUP(C323,consumo_agua!$A$7:$X$202,24,0),0)</f>
        <v>20.207558399999922</v>
      </c>
      <c r="I323" s="26">
        <f t="shared" ref="I323:I383" si="11">SUM(G323:H323)</f>
        <v>290.57325679999991</v>
      </c>
    </row>
    <row r="324" spans="1:9" x14ac:dyDescent="0.25">
      <c r="A324" s="72" t="s">
        <v>1978</v>
      </c>
      <c r="B324" s="73" t="s">
        <v>1979</v>
      </c>
      <c r="C324" s="72" t="s">
        <v>2252</v>
      </c>
      <c r="D324" s="25">
        <v>0</v>
      </c>
      <c r="E324" s="25">
        <v>0</v>
      </c>
      <c r="F324" s="74">
        <v>1.2690000000000002E-3</v>
      </c>
      <c r="G324" s="26">
        <f t="shared" si="10"/>
        <v>76.287204000000003</v>
      </c>
      <c r="H324" s="25">
        <f>IFERROR(VLOOKUP(C324,consumo_agua!$A$7:$X$202,24,0),0)</f>
        <v>0</v>
      </c>
      <c r="I324" s="26">
        <f t="shared" si="11"/>
        <v>76.287204000000003</v>
      </c>
    </row>
    <row r="325" spans="1:9" x14ac:dyDescent="0.25">
      <c r="A325" s="72" t="s">
        <v>1981</v>
      </c>
      <c r="B325" s="73" t="s">
        <v>1982</v>
      </c>
      <c r="C325" s="72" t="s">
        <v>1983</v>
      </c>
      <c r="D325" s="25">
        <v>77.05</v>
      </c>
      <c r="E325" s="25">
        <v>77.05</v>
      </c>
      <c r="F325" s="74">
        <v>4.4973999999999995E-3</v>
      </c>
      <c r="G325" s="26">
        <f t="shared" si="10"/>
        <v>270.36569839999999</v>
      </c>
      <c r="H325" s="25">
        <f>IFERROR(VLOOKUP(C325,consumo_agua!$A$7:$X$202,24,0),0)</f>
        <v>11.9008</v>
      </c>
      <c r="I325" s="26">
        <f t="shared" si="11"/>
        <v>282.26649839999999</v>
      </c>
    </row>
    <row r="326" spans="1:9" x14ac:dyDescent="0.25">
      <c r="A326" s="72" t="s">
        <v>1981</v>
      </c>
      <c r="B326" s="73" t="s">
        <v>1982</v>
      </c>
      <c r="C326" s="72" t="s">
        <v>2253</v>
      </c>
      <c r="D326" s="25">
        <v>0</v>
      </c>
      <c r="E326" s="25">
        <v>0</v>
      </c>
      <c r="F326" s="74">
        <v>1.2690000000000002E-3</v>
      </c>
      <c r="G326" s="26">
        <f t="shared" si="10"/>
        <v>76.287204000000003</v>
      </c>
      <c r="H326" s="25">
        <f>IFERROR(VLOOKUP(C326,consumo_agua!$A$7:$X$202,24,0),0)</f>
        <v>0</v>
      </c>
      <c r="I326" s="26">
        <f t="shared" si="11"/>
        <v>76.287204000000003</v>
      </c>
    </row>
    <row r="327" spans="1:9" x14ac:dyDescent="0.25">
      <c r="A327" s="72" t="s">
        <v>1984</v>
      </c>
      <c r="B327" s="73" t="s">
        <v>1394</v>
      </c>
      <c r="C327" s="72" t="s">
        <v>1985</v>
      </c>
      <c r="D327" s="25">
        <v>33.200000000000003</v>
      </c>
      <c r="E327" s="25">
        <v>33.200000000000003</v>
      </c>
      <c r="F327" s="74">
        <v>2.6939000000000004E-3</v>
      </c>
      <c r="G327" s="26">
        <f t="shared" si="10"/>
        <v>161.94649240000001</v>
      </c>
      <c r="H327" s="25">
        <f>IFERROR(VLOOKUP(C327,consumo_agua!$A$7:$X$202,24,0),0)</f>
        <v>14.876000000000001</v>
      </c>
      <c r="I327" s="26">
        <f t="shared" si="11"/>
        <v>176.82249240000002</v>
      </c>
    </row>
    <row r="328" spans="1:9" x14ac:dyDescent="0.25">
      <c r="A328" s="72" t="s">
        <v>1984</v>
      </c>
      <c r="B328" s="73" t="s">
        <v>1394</v>
      </c>
      <c r="C328" s="72" t="s">
        <v>2254</v>
      </c>
      <c r="D328" s="25">
        <v>0</v>
      </c>
      <c r="E328" s="25">
        <v>0</v>
      </c>
      <c r="F328" s="74">
        <v>1.2690000000000002E-3</v>
      </c>
      <c r="G328" s="26">
        <f t="shared" si="10"/>
        <v>76.287204000000003</v>
      </c>
      <c r="H328" s="25">
        <f>IFERROR(VLOOKUP(C328,consumo_agua!$A$7:$X$202,24,0),0)</f>
        <v>0</v>
      </c>
      <c r="I328" s="26">
        <f t="shared" si="11"/>
        <v>76.287204000000003</v>
      </c>
    </row>
    <row r="329" spans="1:9" x14ac:dyDescent="0.25">
      <c r="A329" s="72" t="s">
        <v>1986</v>
      </c>
      <c r="B329" s="73" t="s">
        <v>1227</v>
      </c>
      <c r="C329" s="72" t="s">
        <v>1987</v>
      </c>
      <c r="D329" s="25">
        <v>43.35</v>
      </c>
      <c r="E329" s="25">
        <v>43.35</v>
      </c>
      <c r="F329" s="74">
        <v>2.6939000000000004E-3</v>
      </c>
      <c r="G329" s="26">
        <f t="shared" si="10"/>
        <v>161.94649240000001</v>
      </c>
      <c r="H329" s="25">
        <f>IFERROR(VLOOKUP(C329,consumo_agua!$A$7:$X$202,24,0),0)</f>
        <v>8.9255999999999993</v>
      </c>
      <c r="I329" s="26">
        <f t="shared" si="11"/>
        <v>170.87209240000001</v>
      </c>
    </row>
    <row r="330" spans="1:9" x14ac:dyDescent="0.25">
      <c r="A330" s="72" t="s">
        <v>1986</v>
      </c>
      <c r="B330" s="73" t="s">
        <v>1227</v>
      </c>
      <c r="C330" s="72" t="s">
        <v>2255</v>
      </c>
      <c r="D330" s="25">
        <v>0</v>
      </c>
      <c r="E330" s="25">
        <v>0</v>
      </c>
      <c r="F330" s="74">
        <v>3.6749999999999999E-4</v>
      </c>
      <c r="G330" s="26">
        <f t="shared" si="10"/>
        <v>22.09263</v>
      </c>
      <c r="H330" s="25">
        <f>IFERROR(VLOOKUP(C330,consumo_agua!$A$7:$X$202,24,0),0)</f>
        <v>0</v>
      </c>
      <c r="I330" s="26">
        <f t="shared" si="11"/>
        <v>22.09263</v>
      </c>
    </row>
    <row r="331" spans="1:9" x14ac:dyDescent="0.25">
      <c r="A331" s="72" t="s">
        <v>1986</v>
      </c>
      <c r="B331" s="73" t="s">
        <v>1227</v>
      </c>
      <c r="C331" s="72" t="s">
        <v>2256</v>
      </c>
      <c r="D331" s="25">
        <v>0</v>
      </c>
      <c r="E331" s="25">
        <v>0</v>
      </c>
      <c r="F331" s="74">
        <v>1.2690000000000002E-3</v>
      </c>
      <c r="G331" s="26">
        <f t="shared" si="10"/>
        <v>76.287204000000003</v>
      </c>
      <c r="H331" s="25">
        <f>IFERROR(VLOOKUP(C331,consumo_agua!$A$7:$X$202,24,0),0)</f>
        <v>0</v>
      </c>
      <c r="I331" s="26">
        <f t="shared" si="11"/>
        <v>76.287204000000003</v>
      </c>
    </row>
    <row r="332" spans="1:9" x14ac:dyDescent="0.25">
      <c r="A332" s="72" t="s">
        <v>1988</v>
      </c>
      <c r="B332" s="73" t="s">
        <v>1989</v>
      </c>
      <c r="C332" s="72" t="s">
        <v>1990</v>
      </c>
      <c r="D332" s="25">
        <v>33.200000000000003</v>
      </c>
      <c r="E332" s="25">
        <v>33.200000000000003</v>
      </c>
      <c r="F332" s="74">
        <v>2.6939000000000004E-3</v>
      </c>
      <c r="G332" s="26">
        <f t="shared" si="10"/>
        <v>161.94649240000001</v>
      </c>
      <c r="H332" s="25">
        <f>IFERROR(VLOOKUP(C332,consumo_agua!$A$7:$X$202,24,0),0)</f>
        <v>8.9255999999999993</v>
      </c>
      <c r="I332" s="26">
        <f t="shared" si="11"/>
        <v>170.87209240000001</v>
      </c>
    </row>
    <row r="333" spans="1:9" x14ac:dyDescent="0.25">
      <c r="A333" s="72" t="s">
        <v>1991</v>
      </c>
      <c r="B333" s="73" t="s">
        <v>1343</v>
      </c>
      <c r="C333" s="72" t="s">
        <v>1992</v>
      </c>
      <c r="D333" s="25">
        <v>68</v>
      </c>
      <c r="E333" s="25">
        <v>68</v>
      </c>
      <c r="F333" s="74">
        <v>4.4973999999999995E-3</v>
      </c>
      <c r="G333" s="26">
        <f t="shared" si="10"/>
        <v>270.36569839999999</v>
      </c>
      <c r="H333" s="25">
        <f>IFERROR(VLOOKUP(C333,consumo_agua!$A$7:$X$202,24,0),0)</f>
        <v>26.776800000000001</v>
      </c>
      <c r="I333" s="26">
        <f t="shared" si="11"/>
        <v>297.14249839999997</v>
      </c>
    </row>
    <row r="334" spans="1:9" x14ac:dyDescent="0.25">
      <c r="A334" s="72" t="s">
        <v>1993</v>
      </c>
      <c r="B334" s="73" t="s">
        <v>2257</v>
      </c>
      <c r="C334" s="72" t="s">
        <v>1995</v>
      </c>
      <c r="D334" s="25">
        <v>43.35</v>
      </c>
      <c r="E334" s="25">
        <v>43.35</v>
      </c>
      <c r="F334" s="74">
        <v>2.6939000000000004E-3</v>
      </c>
      <c r="G334" s="26">
        <f t="shared" si="10"/>
        <v>161.94649240000001</v>
      </c>
      <c r="H334" s="25">
        <f>IFERROR(VLOOKUP(C334,consumo_agua!$A$7:$X$202,24,0),0)</f>
        <v>0</v>
      </c>
      <c r="I334" s="26">
        <f t="shared" si="11"/>
        <v>161.94649240000001</v>
      </c>
    </row>
    <row r="335" spans="1:9" x14ac:dyDescent="0.25">
      <c r="A335" s="72" t="s">
        <v>1993</v>
      </c>
      <c r="B335" s="73" t="s">
        <v>2257</v>
      </c>
      <c r="C335" s="72" t="s">
        <v>2258</v>
      </c>
      <c r="D335" s="25">
        <v>0</v>
      </c>
      <c r="E335" s="25">
        <v>0</v>
      </c>
      <c r="F335" s="74">
        <v>3.6749999999999999E-4</v>
      </c>
      <c r="G335" s="26">
        <f t="shared" si="10"/>
        <v>22.09263</v>
      </c>
      <c r="H335" s="25">
        <f>IFERROR(VLOOKUP(C335,consumo_agua!$A$7:$X$202,24,0),0)</f>
        <v>0</v>
      </c>
      <c r="I335" s="26">
        <f t="shared" si="11"/>
        <v>22.09263</v>
      </c>
    </row>
    <row r="336" spans="1:9" x14ac:dyDescent="0.25">
      <c r="A336" s="72" t="s">
        <v>1996</v>
      </c>
      <c r="B336" s="73" t="s">
        <v>1309</v>
      </c>
      <c r="C336" s="72" t="s">
        <v>1997</v>
      </c>
      <c r="D336" s="25">
        <v>74.599999999999994</v>
      </c>
      <c r="E336" s="25">
        <v>74.599999999999994</v>
      </c>
      <c r="F336" s="74">
        <v>4.4973999999999995E-3</v>
      </c>
      <c r="G336" s="26">
        <f t="shared" si="10"/>
        <v>270.36569839999999</v>
      </c>
      <c r="H336" s="25">
        <f>IFERROR(VLOOKUP(C336,consumo_agua!$A$7:$X$202,24,0),0)</f>
        <v>23.801600000000001</v>
      </c>
      <c r="I336" s="26">
        <f t="shared" si="11"/>
        <v>294.16729839999999</v>
      </c>
    </row>
    <row r="337" spans="1:9" x14ac:dyDescent="0.25">
      <c r="A337" s="72" t="s">
        <v>1996</v>
      </c>
      <c r="B337" s="73" t="s">
        <v>1309</v>
      </c>
      <c r="C337" s="72" t="s">
        <v>2259</v>
      </c>
      <c r="D337" s="25">
        <v>0</v>
      </c>
      <c r="E337" s="25">
        <v>0</v>
      </c>
      <c r="F337" s="74">
        <v>1.2690000000000002E-3</v>
      </c>
      <c r="G337" s="26">
        <f t="shared" si="10"/>
        <v>76.287204000000003</v>
      </c>
      <c r="H337" s="25">
        <f>IFERROR(VLOOKUP(C337,consumo_agua!$A$7:$X$202,24,0),0)</f>
        <v>0</v>
      </c>
      <c r="I337" s="26">
        <f t="shared" si="11"/>
        <v>76.287204000000003</v>
      </c>
    </row>
    <row r="338" spans="1:9" x14ac:dyDescent="0.25">
      <c r="A338" s="72" t="s">
        <v>1998</v>
      </c>
      <c r="B338" s="73" t="s">
        <v>1999</v>
      </c>
      <c r="C338" s="72" t="s">
        <v>2000</v>
      </c>
      <c r="D338" s="25">
        <v>66.45</v>
      </c>
      <c r="E338" s="25">
        <v>66.45</v>
      </c>
      <c r="F338" s="74">
        <v>4.4973999999999995E-3</v>
      </c>
      <c r="G338" s="26">
        <f t="shared" si="10"/>
        <v>270.36569839999999</v>
      </c>
      <c r="H338" s="25">
        <f>IFERROR(VLOOKUP(C338,consumo_agua!$A$7:$X$202,24,0),0)</f>
        <v>8.9255999999999993</v>
      </c>
      <c r="I338" s="26">
        <f t="shared" si="11"/>
        <v>279.29129839999996</v>
      </c>
    </row>
    <row r="339" spans="1:9" x14ac:dyDescent="0.25">
      <c r="A339" s="72" t="s">
        <v>2001</v>
      </c>
      <c r="B339" s="73" t="s">
        <v>2002</v>
      </c>
      <c r="C339" s="72" t="s">
        <v>2003</v>
      </c>
      <c r="D339" s="25">
        <v>77.05</v>
      </c>
      <c r="E339" s="25">
        <v>77.05</v>
      </c>
      <c r="F339" s="74">
        <v>4.4973999999999995E-3</v>
      </c>
      <c r="G339" s="26">
        <f t="shared" si="10"/>
        <v>270.36569839999999</v>
      </c>
      <c r="H339" s="25">
        <f>IFERROR(VLOOKUP(C339,consumo_agua!$A$7:$X$202,24,0),0)</f>
        <v>23.801600000000001</v>
      </c>
      <c r="I339" s="26">
        <f t="shared" si="11"/>
        <v>294.16729839999999</v>
      </c>
    </row>
    <row r="340" spans="1:9" x14ac:dyDescent="0.25">
      <c r="A340" s="72" t="s">
        <v>2001</v>
      </c>
      <c r="B340" s="73" t="s">
        <v>2002</v>
      </c>
      <c r="C340" s="72" t="s">
        <v>2260</v>
      </c>
      <c r="D340" s="25">
        <v>0</v>
      </c>
      <c r="E340" s="25">
        <v>0</v>
      </c>
      <c r="F340" s="74">
        <v>1.2690000000000002E-3</v>
      </c>
      <c r="G340" s="26">
        <f t="shared" si="10"/>
        <v>76.287204000000003</v>
      </c>
      <c r="H340" s="25">
        <f>IFERROR(VLOOKUP(C340,consumo_agua!$A$7:$X$202,24,0),0)</f>
        <v>0</v>
      </c>
      <c r="I340" s="26">
        <f t="shared" si="11"/>
        <v>76.287204000000003</v>
      </c>
    </row>
    <row r="341" spans="1:9" x14ac:dyDescent="0.25">
      <c r="A341" s="72" t="s">
        <v>2004</v>
      </c>
      <c r="B341" s="73" t="s">
        <v>2005</v>
      </c>
      <c r="C341" s="72" t="s">
        <v>2006</v>
      </c>
      <c r="D341" s="25">
        <v>78.95</v>
      </c>
      <c r="E341" s="25">
        <v>78.95</v>
      </c>
      <c r="F341" s="74">
        <v>4.4973999999999995E-3</v>
      </c>
      <c r="G341" s="26">
        <f t="shared" si="10"/>
        <v>270.36569839999999</v>
      </c>
      <c r="H341" s="25">
        <f>IFERROR(VLOOKUP(C341,consumo_agua!$A$7:$X$202,24,0),0)</f>
        <v>32.727200000000003</v>
      </c>
      <c r="I341" s="26">
        <f t="shared" si="11"/>
        <v>303.09289839999997</v>
      </c>
    </row>
    <row r="342" spans="1:9" x14ac:dyDescent="0.25">
      <c r="A342" s="72" t="s">
        <v>2004</v>
      </c>
      <c r="B342" s="73" t="s">
        <v>2005</v>
      </c>
      <c r="C342" s="72" t="s">
        <v>2261</v>
      </c>
      <c r="D342" s="25">
        <v>0</v>
      </c>
      <c r="E342" s="25">
        <v>0</v>
      </c>
      <c r="F342" s="74">
        <v>1.2690000000000002E-3</v>
      </c>
      <c r="G342" s="26">
        <f t="shared" si="10"/>
        <v>76.287204000000003</v>
      </c>
      <c r="H342" s="25">
        <f>IFERROR(VLOOKUP(C342,consumo_agua!$A$7:$X$202,24,0),0)</f>
        <v>0</v>
      </c>
      <c r="I342" s="26">
        <f t="shared" si="11"/>
        <v>76.287204000000003</v>
      </c>
    </row>
    <row r="343" spans="1:9" x14ac:dyDescent="0.25">
      <c r="A343" s="72" t="s">
        <v>2007</v>
      </c>
      <c r="B343" s="73" t="s">
        <v>2008</v>
      </c>
      <c r="C343" s="72" t="s">
        <v>2009</v>
      </c>
      <c r="D343" s="25">
        <v>76.150000000000006</v>
      </c>
      <c r="E343" s="25">
        <v>76.150000000000006</v>
      </c>
      <c r="F343" s="74">
        <v>4.4973999999999995E-3</v>
      </c>
      <c r="G343" s="26">
        <f t="shared" si="10"/>
        <v>270.36569839999999</v>
      </c>
      <c r="H343" s="25">
        <f>IFERROR(VLOOKUP(C343,consumo_agua!$A$7:$X$202,24,0),0)</f>
        <v>86.280799999999999</v>
      </c>
      <c r="I343" s="26">
        <f t="shared" si="11"/>
        <v>356.64649839999998</v>
      </c>
    </row>
    <row r="344" spans="1:9" x14ac:dyDescent="0.25">
      <c r="A344" s="72" t="s">
        <v>2007</v>
      </c>
      <c r="B344" s="73" t="s">
        <v>2008</v>
      </c>
      <c r="C344" s="72" t="s">
        <v>2262</v>
      </c>
      <c r="D344" s="25">
        <v>0</v>
      </c>
      <c r="E344" s="25">
        <v>0</v>
      </c>
      <c r="F344" s="74">
        <v>1.2690000000000002E-3</v>
      </c>
      <c r="G344" s="26">
        <f t="shared" si="10"/>
        <v>76.287204000000003</v>
      </c>
      <c r="H344" s="25">
        <f>IFERROR(VLOOKUP(C344,consumo_agua!$A$7:$X$202,24,0),0)</f>
        <v>0</v>
      </c>
      <c r="I344" s="26">
        <f t="shared" si="11"/>
        <v>76.287204000000003</v>
      </c>
    </row>
    <row r="345" spans="1:9" x14ac:dyDescent="0.25">
      <c r="A345" s="72" t="s">
        <v>2010</v>
      </c>
      <c r="B345" s="73" t="s">
        <v>2011</v>
      </c>
      <c r="C345" s="72" t="s">
        <v>2012</v>
      </c>
      <c r="D345" s="25">
        <v>92.5</v>
      </c>
      <c r="E345" s="25">
        <v>92.5</v>
      </c>
      <c r="F345" s="74">
        <v>5.6772999999999997E-3</v>
      </c>
      <c r="G345" s="26">
        <f t="shared" si="10"/>
        <v>341.29656679999999</v>
      </c>
      <c r="H345" s="25">
        <f>IFERROR(VLOOKUP(C345,consumo_agua!$A$7:$X$202,24,0),0)</f>
        <v>11.9008</v>
      </c>
      <c r="I345" s="26">
        <f t="shared" si="11"/>
        <v>353.1973668</v>
      </c>
    </row>
    <row r="346" spans="1:9" x14ac:dyDescent="0.25">
      <c r="A346" s="72" t="s">
        <v>2010</v>
      </c>
      <c r="B346" s="73" t="s">
        <v>2011</v>
      </c>
      <c r="C346" s="72" t="s">
        <v>2263</v>
      </c>
      <c r="D346" s="25">
        <v>0</v>
      </c>
      <c r="E346" s="25">
        <v>0</v>
      </c>
      <c r="F346" s="74">
        <v>1.2690000000000002E-3</v>
      </c>
      <c r="G346" s="26">
        <f t="shared" si="10"/>
        <v>76.287204000000003</v>
      </c>
      <c r="H346" s="25">
        <f>IFERROR(VLOOKUP(C346,consumo_agua!$A$7:$X$202,24,0),0)</f>
        <v>0</v>
      </c>
      <c r="I346" s="26">
        <f t="shared" si="11"/>
        <v>76.287204000000003</v>
      </c>
    </row>
    <row r="347" spans="1:9" x14ac:dyDescent="0.25">
      <c r="A347" s="72" t="s">
        <v>2010</v>
      </c>
      <c r="B347" s="73" t="s">
        <v>2011</v>
      </c>
      <c r="C347" s="72" t="s">
        <v>2264</v>
      </c>
      <c r="D347" s="25">
        <v>0</v>
      </c>
      <c r="E347" s="25">
        <v>0</v>
      </c>
      <c r="F347" s="74">
        <v>1.2690000000000002E-3</v>
      </c>
      <c r="G347" s="26">
        <f t="shared" si="10"/>
        <v>76.287204000000003</v>
      </c>
      <c r="H347" s="25">
        <f>IFERROR(VLOOKUP(C347,consumo_agua!$A$7:$X$202,24,0),0)</f>
        <v>0</v>
      </c>
      <c r="I347" s="26">
        <f t="shared" si="11"/>
        <v>76.287204000000003</v>
      </c>
    </row>
    <row r="348" spans="1:9" x14ac:dyDescent="0.25">
      <c r="A348" s="72" t="s">
        <v>2013</v>
      </c>
      <c r="B348" s="73" t="s">
        <v>2014</v>
      </c>
      <c r="C348" s="72" t="s">
        <v>2015</v>
      </c>
      <c r="D348" s="25">
        <v>33.200000000000003</v>
      </c>
      <c r="E348" s="25">
        <v>33.200000000000003</v>
      </c>
      <c r="F348" s="74">
        <v>2.6939000000000004E-3</v>
      </c>
      <c r="G348" s="26">
        <f t="shared" si="10"/>
        <v>161.94649240000001</v>
      </c>
      <c r="H348" s="25">
        <f>IFERROR(VLOOKUP(C348,consumo_agua!$A$7:$X$202,24,0),0)</f>
        <v>0</v>
      </c>
      <c r="I348" s="26">
        <f t="shared" si="11"/>
        <v>161.94649240000001</v>
      </c>
    </row>
    <row r="349" spans="1:9" x14ac:dyDescent="0.25">
      <c r="A349" s="72" t="s">
        <v>2013</v>
      </c>
      <c r="B349" s="73" t="s">
        <v>2014</v>
      </c>
      <c r="C349" s="75" t="s">
        <v>2265</v>
      </c>
      <c r="D349" s="25">
        <v>0</v>
      </c>
      <c r="E349" s="25">
        <v>0</v>
      </c>
      <c r="F349" s="74">
        <v>1.2690000000000002E-3</v>
      </c>
      <c r="G349" s="26">
        <f t="shared" si="10"/>
        <v>76.287204000000003</v>
      </c>
      <c r="H349" s="25">
        <f>IFERROR(VLOOKUP(C349,consumo_agua!$A$7:$X$202,24,0),0)</f>
        <v>0</v>
      </c>
      <c r="I349" s="26">
        <f t="shared" si="11"/>
        <v>76.287204000000003</v>
      </c>
    </row>
    <row r="350" spans="1:9" x14ac:dyDescent="0.25">
      <c r="A350" s="72" t="s">
        <v>2016</v>
      </c>
      <c r="B350" s="73" t="s">
        <v>2017</v>
      </c>
      <c r="C350" s="72" t="s">
        <v>2018</v>
      </c>
      <c r="D350" s="25">
        <v>78.95</v>
      </c>
      <c r="E350" s="25">
        <v>78.95</v>
      </c>
      <c r="F350" s="74">
        <v>4.4973999999999995E-3</v>
      </c>
      <c r="G350" s="26">
        <f t="shared" si="10"/>
        <v>270.36569839999999</v>
      </c>
      <c r="H350" s="25">
        <f>IFERROR(VLOOKUP(C350,consumo_agua!$A$7:$X$202,24,0),0)</f>
        <v>53.553600000000003</v>
      </c>
      <c r="I350" s="26">
        <f t="shared" si="11"/>
        <v>323.9192984</v>
      </c>
    </row>
    <row r="351" spans="1:9" x14ac:dyDescent="0.25">
      <c r="A351" s="72" t="s">
        <v>2016</v>
      </c>
      <c r="B351" s="73" t="s">
        <v>2017</v>
      </c>
      <c r="C351" s="72" t="s">
        <v>2266</v>
      </c>
      <c r="D351" s="25">
        <v>0</v>
      </c>
      <c r="E351" s="25">
        <v>0</v>
      </c>
      <c r="F351" s="74">
        <v>1.2690000000000002E-3</v>
      </c>
      <c r="G351" s="26">
        <f t="shared" si="10"/>
        <v>76.287204000000003</v>
      </c>
      <c r="H351" s="25">
        <f>IFERROR(VLOOKUP(C351,consumo_agua!$A$7:$X$202,24,0),0)</f>
        <v>0</v>
      </c>
      <c r="I351" s="26">
        <f t="shared" si="11"/>
        <v>76.287204000000003</v>
      </c>
    </row>
    <row r="352" spans="1:9" x14ac:dyDescent="0.25">
      <c r="A352" s="72" t="s">
        <v>2019</v>
      </c>
      <c r="B352" s="73" t="s">
        <v>2020</v>
      </c>
      <c r="C352" s="72" t="s">
        <v>2021</v>
      </c>
      <c r="D352" s="25">
        <v>92.5</v>
      </c>
      <c r="E352" s="25">
        <v>92.5</v>
      </c>
      <c r="F352" s="74">
        <v>5.6772999999999997E-3</v>
      </c>
      <c r="G352" s="26">
        <f t="shared" si="10"/>
        <v>341.29656679999999</v>
      </c>
      <c r="H352" s="25">
        <f>IFERROR(VLOOKUP(C352,consumo_agua!$A$7:$X$202,24,0),0)</f>
        <v>0</v>
      </c>
      <c r="I352" s="26">
        <f t="shared" si="11"/>
        <v>341.29656679999999</v>
      </c>
    </row>
    <row r="353" spans="1:9" x14ac:dyDescent="0.25">
      <c r="A353" s="72" t="s">
        <v>2019</v>
      </c>
      <c r="B353" s="73" t="s">
        <v>2020</v>
      </c>
      <c r="C353" s="72" t="s">
        <v>2267</v>
      </c>
      <c r="D353" s="25">
        <v>0</v>
      </c>
      <c r="E353" s="25">
        <v>0</v>
      </c>
      <c r="F353" s="74">
        <v>3.6749999999999999E-4</v>
      </c>
      <c r="G353" s="26">
        <f t="shared" si="10"/>
        <v>22.09263</v>
      </c>
      <c r="H353" s="25">
        <f>IFERROR(VLOOKUP(C353,consumo_agua!$A$7:$X$202,24,0),0)</f>
        <v>0</v>
      </c>
      <c r="I353" s="26">
        <f t="shared" si="11"/>
        <v>22.09263</v>
      </c>
    </row>
    <row r="354" spans="1:9" x14ac:dyDescent="0.25">
      <c r="A354" s="72" t="s">
        <v>2019</v>
      </c>
      <c r="B354" s="73" t="s">
        <v>2020</v>
      </c>
      <c r="C354" s="72" t="s">
        <v>2268</v>
      </c>
      <c r="D354" s="25">
        <v>0</v>
      </c>
      <c r="E354" s="25">
        <v>0</v>
      </c>
      <c r="F354" s="74">
        <v>1.2690000000000002E-3</v>
      </c>
      <c r="G354" s="26">
        <f t="shared" si="10"/>
        <v>76.287204000000003</v>
      </c>
      <c r="H354" s="25">
        <f>IFERROR(VLOOKUP(C354,consumo_agua!$A$7:$X$202,24,0),0)</f>
        <v>0</v>
      </c>
      <c r="I354" s="26">
        <f t="shared" si="11"/>
        <v>76.287204000000003</v>
      </c>
    </row>
    <row r="355" spans="1:9" x14ac:dyDescent="0.25">
      <c r="A355" s="72" t="s">
        <v>2022</v>
      </c>
      <c r="B355" s="73" t="s">
        <v>2023</v>
      </c>
      <c r="C355" s="72" t="s">
        <v>2024</v>
      </c>
      <c r="D355" s="25">
        <v>33.200000000000003</v>
      </c>
      <c r="E355" s="25">
        <v>33.200000000000003</v>
      </c>
      <c r="F355" s="74">
        <v>2.6939000000000004E-3</v>
      </c>
      <c r="G355" s="26">
        <f t="shared" si="10"/>
        <v>161.94649240000001</v>
      </c>
      <c r="H355" s="25">
        <f>IFERROR(VLOOKUP(C355,consumo_agua!$A$7:$X$202,24,0),0)</f>
        <v>0</v>
      </c>
      <c r="I355" s="26">
        <f t="shared" si="11"/>
        <v>161.94649240000001</v>
      </c>
    </row>
    <row r="356" spans="1:9" x14ac:dyDescent="0.25">
      <c r="A356" s="72" t="s">
        <v>2025</v>
      </c>
      <c r="B356" s="73" t="s">
        <v>1308</v>
      </c>
      <c r="C356" s="72" t="s">
        <v>2026</v>
      </c>
      <c r="D356" s="25">
        <v>77.05</v>
      </c>
      <c r="E356" s="25">
        <v>77.05</v>
      </c>
      <c r="F356" s="74">
        <v>4.4973999999999995E-3</v>
      </c>
      <c r="G356" s="26">
        <f t="shared" si="10"/>
        <v>270.36569839999999</v>
      </c>
      <c r="H356" s="25">
        <f>IFERROR(VLOOKUP(C356,consumo_agua!$A$7:$X$202,24,0),0)</f>
        <v>0</v>
      </c>
      <c r="I356" s="26">
        <f t="shared" si="11"/>
        <v>270.36569839999999</v>
      </c>
    </row>
    <row r="357" spans="1:9" x14ac:dyDescent="0.25">
      <c r="A357" s="72" t="s">
        <v>2025</v>
      </c>
      <c r="B357" s="73" t="s">
        <v>1308</v>
      </c>
      <c r="C357" s="72" t="s">
        <v>2269</v>
      </c>
      <c r="D357" s="25">
        <v>0</v>
      </c>
      <c r="E357" s="25">
        <v>0</v>
      </c>
      <c r="F357" s="74">
        <v>1.2690000000000002E-3</v>
      </c>
      <c r="G357" s="26">
        <f t="shared" si="10"/>
        <v>76.287204000000003</v>
      </c>
      <c r="H357" s="25">
        <f>IFERROR(VLOOKUP(C357,consumo_agua!$A$7:$X$202,24,0),0)</f>
        <v>0</v>
      </c>
      <c r="I357" s="26">
        <f t="shared" si="11"/>
        <v>76.287204000000003</v>
      </c>
    </row>
    <row r="358" spans="1:9" x14ac:dyDescent="0.25">
      <c r="A358" s="72" t="s">
        <v>2025</v>
      </c>
      <c r="B358" s="73" t="s">
        <v>1308</v>
      </c>
      <c r="C358" s="72" t="s">
        <v>2270</v>
      </c>
      <c r="D358" s="25">
        <v>0</v>
      </c>
      <c r="E358" s="25">
        <v>0</v>
      </c>
      <c r="F358" s="74">
        <v>1.2690000000000002E-3</v>
      </c>
      <c r="G358" s="26">
        <f t="shared" si="10"/>
        <v>76.287204000000003</v>
      </c>
      <c r="H358" s="25">
        <f>IFERROR(VLOOKUP(C358,consumo_agua!$A$7:$X$202,24,0),0)</f>
        <v>0</v>
      </c>
      <c r="I358" s="26">
        <f t="shared" si="11"/>
        <v>76.287204000000003</v>
      </c>
    </row>
    <row r="359" spans="1:9" x14ac:dyDescent="0.25">
      <c r="A359" s="72" t="s">
        <v>2027</v>
      </c>
      <c r="B359" s="73" t="s">
        <v>2028</v>
      </c>
      <c r="C359" s="72" t="s">
        <v>2029</v>
      </c>
      <c r="D359" s="25">
        <v>81</v>
      </c>
      <c r="E359" s="25">
        <v>81</v>
      </c>
      <c r="F359" s="74">
        <v>4.4973999999999995E-3</v>
      </c>
      <c r="G359" s="26">
        <f t="shared" si="10"/>
        <v>270.36569839999999</v>
      </c>
      <c r="H359" s="25">
        <f>IFERROR(VLOOKUP(C359,consumo_agua!$A$7:$X$202,24,0),0)</f>
        <v>49.17113039999996</v>
      </c>
      <c r="I359" s="26">
        <f t="shared" si="11"/>
        <v>319.53682879999997</v>
      </c>
    </row>
    <row r="360" spans="1:9" x14ac:dyDescent="0.25">
      <c r="A360" s="72" t="s">
        <v>2027</v>
      </c>
      <c r="B360" s="73" t="s">
        <v>2028</v>
      </c>
      <c r="C360" s="72" t="s">
        <v>2271</v>
      </c>
      <c r="D360" s="25">
        <v>0</v>
      </c>
      <c r="E360" s="25">
        <v>0</v>
      </c>
      <c r="F360" s="74">
        <v>1.2690000000000002E-3</v>
      </c>
      <c r="G360" s="26">
        <f t="shared" si="10"/>
        <v>76.287204000000003</v>
      </c>
      <c r="H360" s="25">
        <f>IFERROR(VLOOKUP(C360,consumo_agua!$A$7:$X$202,24,0),0)</f>
        <v>0</v>
      </c>
      <c r="I360" s="26">
        <f t="shared" si="11"/>
        <v>76.287204000000003</v>
      </c>
    </row>
    <row r="361" spans="1:9" x14ac:dyDescent="0.25">
      <c r="A361" s="72" t="s">
        <v>2030</v>
      </c>
      <c r="B361" s="73" t="s">
        <v>1476</v>
      </c>
      <c r="C361" s="72" t="s">
        <v>2031</v>
      </c>
      <c r="D361" s="25">
        <v>66.45</v>
      </c>
      <c r="E361" s="25">
        <v>66.45</v>
      </c>
      <c r="F361" s="74">
        <v>4.4973999999999995E-3</v>
      </c>
      <c r="G361" s="26">
        <f t="shared" si="10"/>
        <v>270.36569839999999</v>
      </c>
      <c r="H361" s="25">
        <f>IFERROR(VLOOKUP(C361,consumo_agua!$A$7:$X$202,24,0),0)</f>
        <v>14.876000000000001</v>
      </c>
      <c r="I361" s="26">
        <f t="shared" si="11"/>
        <v>285.24169839999996</v>
      </c>
    </row>
    <row r="362" spans="1:9" x14ac:dyDescent="0.25">
      <c r="A362" s="72" t="s">
        <v>2030</v>
      </c>
      <c r="B362" s="73" t="s">
        <v>1476</v>
      </c>
      <c r="C362" s="72" t="s">
        <v>2272</v>
      </c>
      <c r="D362" s="25">
        <v>0</v>
      </c>
      <c r="E362" s="25">
        <v>0</v>
      </c>
      <c r="F362" s="74">
        <v>1.2690000000000002E-3</v>
      </c>
      <c r="G362" s="26">
        <f t="shared" si="10"/>
        <v>76.287204000000003</v>
      </c>
      <c r="H362" s="25">
        <f>IFERROR(VLOOKUP(C362,consumo_agua!$A$7:$X$202,24,0),0)</f>
        <v>0</v>
      </c>
      <c r="I362" s="26">
        <f t="shared" si="11"/>
        <v>76.287204000000003</v>
      </c>
    </row>
    <row r="363" spans="1:9" x14ac:dyDescent="0.25">
      <c r="A363" s="72" t="s">
        <v>2032</v>
      </c>
      <c r="B363" s="73" t="s">
        <v>2033</v>
      </c>
      <c r="C363" s="72" t="s">
        <v>2034</v>
      </c>
      <c r="D363" s="25">
        <v>33</v>
      </c>
      <c r="E363" s="25">
        <v>33</v>
      </c>
      <c r="F363" s="74">
        <v>2.6939000000000004E-3</v>
      </c>
      <c r="G363" s="26">
        <f t="shared" si="10"/>
        <v>161.94649240000001</v>
      </c>
      <c r="H363" s="25">
        <f>IFERROR(VLOOKUP(C363,consumo_agua!$A$7:$X$202,24,0),0)</f>
        <v>5.2601536000000024</v>
      </c>
      <c r="I363" s="26">
        <f t="shared" si="11"/>
        <v>167.20664600000001</v>
      </c>
    </row>
    <row r="364" spans="1:9" x14ac:dyDescent="0.25">
      <c r="A364" s="72" t="s">
        <v>2035</v>
      </c>
      <c r="B364" s="73" t="s">
        <v>1444</v>
      </c>
      <c r="C364" s="72" t="s">
        <v>2036</v>
      </c>
      <c r="D364" s="25">
        <v>68</v>
      </c>
      <c r="E364" s="25">
        <v>68</v>
      </c>
      <c r="F364" s="74">
        <v>4.4973999999999995E-3</v>
      </c>
      <c r="G364" s="26">
        <f t="shared" si="10"/>
        <v>270.36569839999999</v>
      </c>
      <c r="H364" s="25">
        <f>IFERROR(VLOOKUP(C364,consumo_agua!$A$7:$X$202,24,0),0)</f>
        <v>2.9752000000000001</v>
      </c>
      <c r="I364" s="26">
        <f t="shared" si="11"/>
        <v>273.34089839999996</v>
      </c>
    </row>
    <row r="365" spans="1:9" x14ac:dyDescent="0.25">
      <c r="A365" s="72" t="s">
        <v>2035</v>
      </c>
      <c r="B365" s="73" t="s">
        <v>1444</v>
      </c>
      <c r="C365" s="72" t="s">
        <v>2273</v>
      </c>
      <c r="D365" s="25">
        <v>0</v>
      </c>
      <c r="E365" s="25">
        <v>0</v>
      </c>
      <c r="F365" s="74">
        <v>3.6749999999999999E-4</v>
      </c>
      <c r="G365" s="26">
        <f t="shared" si="10"/>
        <v>22.09263</v>
      </c>
      <c r="H365" s="25">
        <f>IFERROR(VLOOKUP(C365,consumo_agua!$A$7:$X$202,24,0),0)</f>
        <v>0</v>
      </c>
      <c r="I365" s="26">
        <f t="shared" si="11"/>
        <v>22.09263</v>
      </c>
    </row>
    <row r="366" spans="1:9" x14ac:dyDescent="0.25">
      <c r="A366" s="72" t="s">
        <v>2035</v>
      </c>
      <c r="B366" s="73" t="s">
        <v>1444</v>
      </c>
      <c r="C366" s="72" t="s">
        <v>2274</v>
      </c>
      <c r="D366" s="25">
        <v>0</v>
      </c>
      <c r="E366" s="25">
        <v>0</v>
      </c>
      <c r="F366" s="74">
        <v>1.2690000000000002E-3</v>
      </c>
      <c r="G366" s="26">
        <f t="shared" si="10"/>
        <v>76.287204000000003</v>
      </c>
      <c r="H366" s="25">
        <f>IFERROR(VLOOKUP(C366,consumo_agua!$A$7:$X$202,24,0),0)</f>
        <v>0</v>
      </c>
      <c r="I366" s="26">
        <f t="shared" si="11"/>
        <v>76.287204000000003</v>
      </c>
    </row>
    <row r="367" spans="1:9" x14ac:dyDescent="0.25">
      <c r="A367" s="72" t="s">
        <v>2037</v>
      </c>
      <c r="B367" s="73" t="s">
        <v>2038</v>
      </c>
      <c r="C367" s="72" t="s">
        <v>2039</v>
      </c>
      <c r="D367" s="25">
        <v>74.599999999999994</v>
      </c>
      <c r="E367" s="25">
        <v>74.599999999999994</v>
      </c>
      <c r="F367" s="74">
        <v>4.4973999999999995E-3</v>
      </c>
      <c r="G367" s="26">
        <f t="shared" si="10"/>
        <v>270.36569839999999</v>
      </c>
      <c r="H367" s="25">
        <f>IFERROR(VLOOKUP(C367,consumo_agua!$A$7:$X$202,24,0),0)</f>
        <v>5.9504000000000001</v>
      </c>
      <c r="I367" s="26">
        <f t="shared" si="11"/>
        <v>276.31609839999999</v>
      </c>
    </row>
    <row r="368" spans="1:9" x14ac:dyDescent="0.25">
      <c r="A368" s="72" t="s">
        <v>2037</v>
      </c>
      <c r="B368" s="73" t="s">
        <v>2038</v>
      </c>
      <c r="C368" s="72" t="s">
        <v>2275</v>
      </c>
      <c r="D368" s="25">
        <v>0</v>
      </c>
      <c r="E368" s="25">
        <v>0</v>
      </c>
      <c r="F368" s="74">
        <v>1.2689999999999999E-3</v>
      </c>
      <c r="G368" s="26">
        <f t="shared" si="10"/>
        <v>76.287204000000003</v>
      </c>
      <c r="H368" s="25">
        <f>IFERROR(VLOOKUP(C368,consumo_agua!$A$7:$X$202,24,0),0)</f>
        <v>0</v>
      </c>
      <c r="I368" s="26">
        <f t="shared" si="11"/>
        <v>76.287204000000003</v>
      </c>
    </row>
    <row r="369" spans="1:9" x14ac:dyDescent="0.25">
      <c r="A369" s="72" t="s">
        <v>2040</v>
      </c>
      <c r="B369" s="73" t="s">
        <v>2041</v>
      </c>
      <c r="C369" s="72" t="s">
        <v>2042</v>
      </c>
      <c r="D369" s="25">
        <v>43.35</v>
      </c>
      <c r="E369" s="25">
        <v>43.35</v>
      </c>
      <c r="F369" s="74">
        <v>2.6939000000000004E-3</v>
      </c>
      <c r="G369" s="26">
        <f t="shared" si="10"/>
        <v>161.94649240000001</v>
      </c>
      <c r="H369" s="25">
        <f>IFERROR(VLOOKUP(C369,consumo_agua!$A$7:$X$202,24,0),0)</f>
        <v>11.9008</v>
      </c>
      <c r="I369" s="26">
        <f t="shared" si="11"/>
        <v>173.84729240000001</v>
      </c>
    </row>
    <row r="370" spans="1:9" x14ac:dyDescent="0.25">
      <c r="A370" s="72" t="s">
        <v>2043</v>
      </c>
      <c r="B370" s="73" t="s">
        <v>2044</v>
      </c>
      <c r="C370" s="72" t="s">
        <v>2045</v>
      </c>
      <c r="D370" s="25">
        <v>76.150000000000006</v>
      </c>
      <c r="E370" s="25">
        <v>76.150000000000006</v>
      </c>
      <c r="F370" s="74">
        <v>4.4973999999999995E-3</v>
      </c>
      <c r="G370" s="26">
        <f t="shared" si="10"/>
        <v>270.36569839999999</v>
      </c>
      <c r="H370" s="25">
        <f>IFERROR(VLOOKUP(C370,consumo_agua!$A$7:$X$202,24,0),0)</f>
        <v>68.429600000000008</v>
      </c>
      <c r="I370" s="26">
        <f t="shared" si="11"/>
        <v>338.79529839999998</v>
      </c>
    </row>
    <row r="371" spans="1:9" x14ac:dyDescent="0.25">
      <c r="A371" s="72" t="s">
        <v>2043</v>
      </c>
      <c r="B371" s="73" t="s">
        <v>2044</v>
      </c>
      <c r="C371" s="72" t="s">
        <v>2276</v>
      </c>
      <c r="D371" s="25">
        <v>0</v>
      </c>
      <c r="E371" s="25">
        <v>0</v>
      </c>
      <c r="F371" s="74">
        <v>1.2690000000000002E-3</v>
      </c>
      <c r="G371" s="26">
        <f t="shared" si="10"/>
        <v>76.287204000000003</v>
      </c>
      <c r="H371" s="25">
        <f>IFERROR(VLOOKUP(C371,consumo_agua!$A$7:$X$202,24,0),0)</f>
        <v>0</v>
      </c>
      <c r="I371" s="26">
        <f t="shared" si="11"/>
        <v>76.287204000000003</v>
      </c>
    </row>
    <row r="372" spans="1:9" x14ac:dyDescent="0.25">
      <c r="A372" s="72" t="s">
        <v>2046</v>
      </c>
      <c r="B372" s="73" t="s">
        <v>2047</v>
      </c>
      <c r="C372" s="72" t="s">
        <v>2048</v>
      </c>
      <c r="D372" s="25">
        <v>76.150000000000006</v>
      </c>
      <c r="E372" s="25">
        <v>76.150000000000006</v>
      </c>
      <c r="F372" s="74">
        <v>4.4973999999999995E-3</v>
      </c>
      <c r="G372" s="26">
        <f t="shared" si="10"/>
        <v>270.36569839999999</v>
      </c>
      <c r="H372" s="25">
        <f>IFERROR(VLOOKUP(C372,consumo_agua!$A$7:$X$202,24,0),0)</f>
        <v>26.776800000000001</v>
      </c>
      <c r="I372" s="26">
        <f t="shared" si="11"/>
        <v>297.14249839999997</v>
      </c>
    </row>
    <row r="373" spans="1:9" x14ac:dyDescent="0.25">
      <c r="A373" s="72" t="s">
        <v>2046</v>
      </c>
      <c r="B373" s="73" t="s">
        <v>2047</v>
      </c>
      <c r="C373" s="72" t="s">
        <v>2277</v>
      </c>
      <c r="D373" s="25">
        <v>0</v>
      </c>
      <c r="E373" s="25">
        <v>0</v>
      </c>
      <c r="F373" s="74">
        <v>1.2690000000000002E-3</v>
      </c>
      <c r="G373" s="26">
        <f t="shared" si="10"/>
        <v>76.287204000000003</v>
      </c>
      <c r="H373" s="25">
        <f>IFERROR(VLOOKUP(C373,consumo_agua!$A$7:$X$202,24,0),0)</f>
        <v>0</v>
      </c>
      <c r="I373" s="26">
        <f t="shared" si="11"/>
        <v>76.287204000000003</v>
      </c>
    </row>
    <row r="374" spans="1:9" x14ac:dyDescent="0.25">
      <c r="A374" s="72" t="s">
        <v>2049</v>
      </c>
      <c r="B374" s="73" t="s">
        <v>2050</v>
      </c>
      <c r="C374" s="72" t="s">
        <v>2051</v>
      </c>
      <c r="D374" s="25">
        <v>128.6</v>
      </c>
      <c r="E374" s="25">
        <v>171.1</v>
      </c>
      <c r="F374" s="74">
        <v>6.2785000000000002E-3</v>
      </c>
      <c r="G374" s="26">
        <f t="shared" si="10"/>
        <v>377.43830600000001</v>
      </c>
      <c r="H374" s="25">
        <f>IFERROR(VLOOKUP(C374,consumo_agua!$A$7:$X$202,24,0),0)</f>
        <v>23.801600000000001</v>
      </c>
      <c r="I374" s="26">
        <f t="shared" si="11"/>
        <v>401.23990600000002</v>
      </c>
    </row>
    <row r="375" spans="1:9" x14ac:dyDescent="0.25">
      <c r="A375" s="72" t="s">
        <v>2049</v>
      </c>
      <c r="B375" s="73" t="s">
        <v>2050</v>
      </c>
      <c r="C375" s="72" t="s">
        <v>2278</v>
      </c>
      <c r="D375" s="25">
        <v>0</v>
      </c>
      <c r="E375" s="25">
        <v>0</v>
      </c>
      <c r="F375" s="74">
        <v>1.2690000000000002E-3</v>
      </c>
      <c r="G375" s="26">
        <f t="shared" si="10"/>
        <v>76.287204000000003</v>
      </c>
      <c r="H375" s="25">
        <f>IFERROR(VLOOKUP(C375,consumo_agua!$A$7:$X$202,24,0),0)</f>
        <v>0</v>
      </c>
      <c r="I375" s="26">
        <f t="shared" si="11"/>
        <v>76.287204000000003</v>
      </c>
    </row>
    <row r="376" spans="1:9" x14ac:dyDescent="0.25">
      <c r="A376" s="72" t="s">
        <v>2052</v>
      </c>
      <c r="B376" s="73" t="s">
        <v>2053</v>
      </c>
      <c r="C376" s="72" t="s">
        <v>2054</v>
      </c>
      <c r="D376" s="25">
        <v>0</v>
      </c>
      <c r="E376" s="25">
        <v>0</v>
      </c>
      <c r="F376" s="74">
        <v>1.2690000000000002E-3</v>
      </c>
      <c r="G376" s="26">
        <f t="shared" si="10"/>
        <v>76.287204000000003</v>
      </c>
      <c r="H376" s="25">
        <f>IFERROR(VLOOKUP(C376,consumo_agua!$A$7:$X$202,24,0),0)</f>
        <v>0</v>
      </c>
      <c r="I376" s="26">
        <f t="shared" si="11"/>
        <v>76.287204000000003</v>
      </c>
    </row>
    <row r="377" spans="1:9" x14ac:dyDescent="0.25">
      <c r="A377" s="72" t="s">
        <v>2055</v>
      </c>
      <c r="B377" s="73" t="s">
        <v>2056</v>
      </c>
      <c r="C377" s="72" t="s">
        <v>2057</v>
      </c>
      <c r="D377" s="25">
        <v>0</v>
      </c>
      <c r="E377" s="25">
        <v>0</v>
      </c>
      <c r="F377" s="74">
        <v>1.2690000000000002E-3</v>
      </c>
      <c r="G377" s="26">
        <f t="shared" si="10"/>
        <v>76.287204000000003</v>
      </c>
      <c r="H377" s="25">
        <f>IFERROR(VLOOKUP(C377,consumo_agua!$A$7:$X$202,24,0),0)</f>
        <v>0</v>
      </c>
      <c r="I377" s="26">
        <f t="shared" si="11"/>
        <v>76.287204000000003</v>
      </c>
    </row>
    <row r="378" spans="1:9" x14ac:dyDescent="0.25">
      <c r="A378" s="72" t="s">
        <v>2058</v>
      </c>
      <c r="B378" s="73" t="s">
        <v>2059</v>
      </c>
      <c r="C378" s="72" t="s">
        <v>2060</v>
      </c>
      <c r="D378" s="25">
        <v>0</v>
      </c>
      <c r="E378" s="25">
        <v>0</v>
      </c>
      <c r="F378" s="74">
        <v>3.6749999999999999E-4</v>
      </c>
      <c r="G378" s="26">
        <f t="shared" si="10"/>
        <v>22.09263</v>
      </c>
      <c r="H378" s="25">
        <f>IFERROR(VLOOKUP(C378,consumo_agua!$A$7:$X$202,24,0),0)</f>
        <v>0</v>
      </c>
      <c r="I378" s="26">
        <f t="shared" si="11"/>
        <v>22.09263</v>
      </c>
    </row>
    <row r="379" spans="1:9" x14ac:dyDescent="0.25">
      <c r="A379" s="72" t="s">
        <v>2058</v>
      </c>
      <c r="B379" s="73" t="s">
        <v>2059</v>
      </c>
      <c r="C379" s="72" t="s">
        <v>2279</v>
      </c>
      <c r="D379" s="25">
        <v>0</v>
      </c>
      <c r="E379" s="25">
        <v>0</v>
      </c>
      <c r="F379" s="74">
        <v>3.6749999999999999E-4</v>
      </c>
      <c r="G379" s="26">
        <f t="shared" si="10"/>
        <v>22.09263</v>
      </c>
      <c r="H379" s="25">
        <f>IFERROR(VLOOKUP(C379,consumo_agua!$A$7:$X$202,24,0),0)</f>
        <v>0</v>
      </c>
      <c r="I379" s="26">
        <f t="shared" si="11"/>
        <v>22.09263</v>
      </c>
    </row>
    <row r="380" spans="1:9" x14ac:dyDescent="0.25">
      <c r="A380" s="72" t="s">
        <v>2061</v>
      </c>
      <c r="B380" s="73" t="s">
        <v>2062</v>
      </c>
      <c r="C380" s="72" t="s">
        <v>2063</v>
      </c>
      <c r="D380" s="25">
        <v>0</v>
      </c>
      <c r="E380" s="25">
        <v>0</v>
      </c>
      <c r="F380" s="74">
        <v>1.2690000000000002E-3</v>
      </c>
      <c r="G380" s="26">
        <f t="shared" si="10"/>
        <v>76.287204000000003</v>
      </c>
      <c r="H380" s="25">
        <f>IFERROR(VLOOKUP(C380,consumo_agua!$A$7:$X$202,24,0),0)</f>
        <v>0</v>
      </c>
      <c r="I380" s="26">
        <f t="shared" si="11"/>
        <v>76.287204000000003</v>
      </c>
    </row>
    <row r="381" spans="1:9" x14ac:dyDescent="0.25">
      <c r="A381" s="72" t="s">
        <v>2318</v>
      </c>
      <c r="B381" s="73" t="s">
        <v>2320</v>
      </c>
      <c r="C381" s="72" t="s">
        <v>1738</v>
      </c>
      <c r="D381" s="25">
        <v>68</v>
      </c>
      <c r="E381" s="25">
        <v>68</v>
      </c>
      <c r="F381" s="74">
        <v>4.4973999999999995E-3</v>
      </c>
      <c r="G381" s="26">
        <f t="shared" si="10"/>
        <v>270.36569839999999</v>
      </c>
      <c r="H381" s="25">
        <f>IFERROR(VLOOKUP(C381,consumo_agua!$A$7:$X$202,24,0),0)</f>
        <v>2.9752000000000001</v>
      </c>
      <c r="I381" s="26">
        <f t="shared" si="11"/>
        <v>273.34089839999996</v>
      </c>
    </row>
    <row r="382" spans="1:9" x14ac:dyDescent="0.25">
      <c r="A382" s="72" t="s">
        <v>2318</v>
      </c>
      <c r="B382" s="73" t="s">
        <v>2320</v>
      </c>
      <c r="C382" s="72" t="s">
        <v>2185</v>
      </c>
      <c r="D382" s="25">
        <v>0</v>
      </c>
      <c r="E382" s="25">
        <v>0</v>
      </c>
      <c r="F382" s="74">
        <v>1.2690000000000002E-3</v>
      </c>
      <c r="G382" s="26">
        <f t="shared" si="10"/>
        <v>76.287204000000003</v>
      </c>
      <c r="H382" s="25">
        <f>IFERROR(VLOOKUP(C382,consumo_agua!$A$7:$X$202,24,0),0)</f>
        <v>0</v>
      </c>
      <c r="I382" s="26">
        <f t="shared" si="11"/>
        <v>76.287204000000003</v>
      </c>
    </row>
    <row r="383" spans="1:9" x14ac:dyDescent="0.25">
      <c r="A383" s="72" t="s">
        <v>2064</v>
      </c>
      <c r="B383" s="73" t="s">
        <v>2065</v>
      </c>
      <c r="C383" s="72" t="s">
        <v>2064</v>
      </c>
      <c r="D383" s="25">
        <v>0</v>
      </c>
      <c r="E383" s="25">
        <v>0</v>
      </c>
      <c r="F383" s="74">
        <v>0</v>
      </c>
      <c r="G383" s="26">
        <f t="shared" si="10"/>
        <v>0</v>
      </c>
      <c r="H383" s="25">
        <f>IFERROR(VLOOKUP(C383,consumo_agua!$A$7:$X$202,24,0),0)</f>
        <v>142.80959999999999</v>
      </c>
      <c r="I383" s="26">
        <f t="shared" si="11"/>
        <v>142.80959999999999</v>
      </c>
    </row>
    <row r="384" spans="1:9" x14ac:dyDescent="0.25">
      <c r="A384" s="76"/>
      <c r="B384" s="17"/>
      <c r="C384" s="76"/>
      <c r="D384" s="25">
        <f t="shared" ref="D384:I384" si="12">SUM(D1:D383)</f>
        <v>12835.370000000023</v>
      </c>
      <c r="E384" s="25">
        <f t="shared" si="12"/>
        <v>12955.950000000023</v>
      </c>
      <c r="F384" s="77">
        <f t="shared" si="12"/>
        <v>1.0057665999999978</v>
      </c>
      <c r="G384" s="26">
        <f t="shared" si="12"/>
        <v>60462.664925599871</v>
      </c>
      <c r="H384" s="26">
        <f t="shared" si="12"/>
        <v>3879.3484040000003</v>
      </c>
      <c r="I384" s="26">
        <f t="shared" si="12"/>
        <v>64342.013329600013</v>
      </c>
    </row>
  </sheetData>
  <autoFilter ref="A1:I384" xr:uid="{F40A3E88-760C-4EB0-A93A-59D9B504118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E92F-ECDA-462A-ADFB-B65A8F4C0703}">
  <dimension ref="A1:E168"/>
  <sheetViews>
    <sheetView zoomScale="175" zoomScaleNormal="175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1.140625" style="4" bestFit="1" customWidth="1"/>
    <col min="2" max="2" width="27.140625" bestFit="1" customWidth="1"/>
    <col min="3" max="3" width="11.7109375" style="9" bestFit="1" customWidth="1"/>
    <col min="4" max="4" width="19.42578125" bestFit="1" customWidth="1"/>
    <col min="5" max="5" width="27.5703125" bestFit="1" customWidth="1"/>
  </cols>
  <sheetData>
    <row r="1" spans="1:5" x14ac:dyDescent="0.25">
      <c r="A1" s="5" t="s">
        <v>0</v>
      </c>
      <c r="B1" s="1" t="s">
        <v>1</v>
      </c>
      <c r="C1" s="6" t="s">
        <v>2</v>
      </c>
      <c r="D1" s="1" t="s">
        <v>3</v>
      </c>
      <c r="E1" s="1" t="s">
        <v>4</v>
      </c>
    </row>
    <row r="2" spans="1:5" x14ac:dyDescent="0.25">
      <c r="A2" s="4">
        <v>45895</v>
      </c>
      <c r="B2" s="3" t="s">
        <v>28</v>
      </c>
      <c r="C2" s="8">
        <v>-6.35</v>
      </c>
      <c r="D2" s="3" t="s">
        <v>7</v>
      </c>
      <c r="E2" s="3" t="s">
        <v>5</v>
      </c>
    </row>
    <row r="3" spans="1:5" x14ac:dyDescent="0.25">
      <c r="A3" s="4">
        <v>45898</v>
      </c>
      <c r="B3" s="2" t="s">
        <v>28</v>
      </c>
      <c r="C3" s="7">
        <v>-0.1</v>
      </c>
      <c r="D3" s="2" t="s">
        <v>7</v>
      </c>
      <c r="E3" s="2" t="s">
        <v>5</v>
      </c>
    </row>
    <row r="4" spans="1:5" x14ac:dyDescent="0.25">
      <c r="A4" s="4">
        <v>45899</v>
      </c>
      <c r="B4" s="2" t="s">
        <v>12</v>
      </c>
      <c r="C4" s="7">
        <v>-5.5</v>
      </c>
      <c r="D4" s="2" t="s">
        <v>13</v>
      </c>
      <c r="E4" s="2" t="s">
        <v>5</v>
      </c>
    </row>
    <row r="5" spans="1:5" x14ac:dyDescent="0.25">
      <c r="A5" s="4">
        <v>45900</v>
      </c>
      <c r="B5" s="2" t="s">
        <v>6</v>
      </c>
      <c r="C5" s="7">
        <v>-35</v>
      </c>
      <c r="D5" s="2" t="s">
        <v>7</v>
      </c>
      <c r="E5" s="2" t="s">
        <v>5</v>
      </c>
    </row>
    <row r="6" spans="1:5" x14ac:dyDescent="0.25">
      <c r="A6" s="4">
        <v>45905</v>
      </c>
      <c r="B6" s="2" t="s">
        <v>28</v>
      </c>
      <c r="C6" s="7">
        <v>-0.05</v>
      </c>
      <c r="D6" s="2" t="s">
        <v>7</v>
      </c>
      <c r="E6" s="2" t="s">
        <v>5</v>
      </c>
    </row>
    <row r="7" spans="1:5" x14ac:dyDescent="0.25">
      <c r="A7" s="4">
        <v>45909</v>
      </c>
      <c r="B7" s="2" t="s">
        <v>201</v>
      </c>
      <c r="C7" s="7">
        <v>-50016.5</v>
      </c>
      <c r="D7" s="2" t="s">
        <v>202</v>
      </c>
      <c r="E7" s="2" t="s">
        <v>5</v>
      </c>
    </row>
    <row r="8" spans="1:5" x14ac:dyDescent="0.25">
      <c r="A8" s="4">
        <v>45909</v>
      </c>
      <c r="B8" s="3" t="s">
        <v>28</v>
      </c>
      <c r="C8" s="8">
        <v>-2.5</v>
      </c>
      <c r="D8" s="3" t="s">
        <v>7</v>
      </c>
      <c r="E8" s="3" t="s">
        <v>5</v>
      </c>
    </row>
    <row r="9" spans="1:5" x14ac:dyDescent="0.25">
      <c r="A9" s="4">
        <v>45925</v>
      </c>
      <c r="B9" s="2" t="s">
        <v>146</v>
      </c>
      <c r="C9" s="7">
        <v>-50014</v>
      </c>
      <c r="D9" s="2" t="s">
        <v>147</v>
      </c>
      <c r="E9" s="2" t="s">
        <v>5</v>
      </c>
    </row>
    <row r="10" spans="1:5" x14ac:dyDescent="0.25">
      <c r="A10" s="4">
        <v>45925</v>
      </c>
      <c r="B10" s="3" t="s">
        <v>148</v>
      </c>
      <c r="C10" s="8">
        <v>-60</v>
      </c>
      <c r="D10" s="3" t="s">
        <v>149</v>
      </c>
      <c r="E10" s="3" t="s">
        <v>5</v>
      </c>
    </row>
    <row r="11" spans="1:5" x14ac:dyDescent="0.25">
      <c r="A11" s="4">
        <v>45930</v>
      </c>
      <c r="B11" s="2" t="s">
        <v>6</v>
      </c>
      <c r="C11" s="7">
        <v>-35</v>
      </c>
      <c r="D11" s="2" t="s">
        <v>7</v>
      </c>
      <c r="E11" s="2" t="s">
        <v>5</v>
      </c>
    </row>
    <row r="12" spans="1:5" x14ac:dyDescent="0.25">
      <c r="A12" s="4">
        <v>45930</v>
      </c>
      <c r="B12" s="3" t="s">
        <v>12</v>
      </c>
      <c r="C12" s="8">
        <v>-5.5</v>
      </c>
      <c r="D12" s="3" t="s">
        <v>88</v>
      </c>
      <c r="E12" s="3" t="s">
        <v>5</v>
      </c>
    </row>
    <row r="13" spans="1:5" x14ac:dyDescent="0.25">
      <c r="A13" s="4">
        <v>45937</v>
      </c>
      <c r="B13" s="3" t="s">
        <v>28</v>
      </c>
      <c r="C13" s="8">
        <v>-0.05</v>
      </c>
      <c r="D13" s="3" t="s">
        <v>7</v>
      </c>
      <c r="E13" s="3" t="s">
        <v>5</v>
      </c>
    </row>
    <row r="14" spans="1:5" x14ac:dyDescent="0.25">
      <c r="A14" s="4">
        <v>45945</v>
      </c>
      <c r="B14" s="2" t="s">
        <v>260</v>
      </c>
      <c r="C14" s="7">
        <v>-1724</v>
      </c>
      <c r="D14" s="2" t="s">
        <v>432</v>
      </c>
      <c r="E14" s="2" t="s">
        <v>433</v>
      </c>
    </row>
    <row r="15" spans="1:5" x14ac:dyDescent="0.25">
      <c r="A15" s="4">
        <v>45945</v>
      </c>
      <c r="B15" s="3" t="s">
        <v>330</v>
      </c>
      <c r="C15" s="8">
        <v>-1084.3</v>
      </c>
      <c r="D15" s="3" t="s">
        <v>434</v>
      </c>
      <c r="E15" s="3" t="s">
        <v>5</v>
      </c>
    </row>
    <row r="16" spans="1:5" x14ac:dyDescent="0.25">
      <c r="A16" s="4">
        <v>45945</v>
      </c>
      <c r="B16" s="2" t="s">
        <v>263</v>
      </c>
      <c r="C16" s="7">
        <v>-804</v>
      </c>
      <c r="D16" s="2" t="s">
        <v>435</v>
      </c>
      <c r="E16" s="2" t="s">
        <v>436</v>
      </c>
    </row>
    <row r="17" spans="1:5" x14ac:dyDescent="0.25">
      <c r="A17" s="4">
        <v>45945</v>
      </c>
      <c r="B17" s="3" t="s">
        <v>437</v>
      </c>
      <c r="C17" s="8">
        <v>-500</v>
      </c>
      <c r="D17" s="3" t="s">
        <v>438</v>
      </c>
      <c r="E17" s="3" t="s">
        <v>351</v>
      </c>
    </row>
    <row r="18" spans="1:5" x14ac:dyDescent="0.25">
      <c r="A18" s="4">
        <v>45945</v>
      </c>
      <c r="B18" s="2" t="s">
        <v>439</v>
      </c>
      <c r="C18" s="7">
        <v>-430</v>
      </c>
      <c r="D18" s="2" t="s">
        <v>440</v>
      </c>
      <c r="E18" s="2" t="s">
        <v>351</v>
      </c>
    </row>
    <row r="19" spans="1:5" x14ac:dyDescent="0.25">
      <c r="A19" s="4">
        <v>45945</v>
      </c>
      <c r="B19" s="3" t="s">
        <v>272</v>
      </c>
      <c r="C19" s="8">
        <v>-300</v>
      </c>
      <c r="D19" s="3" t="s">
        <v>441</v>
      </c>
      <c r="E19" s="3" t="s">
        <v>442</v>
      </c>
    </row>
    <row r="20" spans="1:5" x14ac:dyDescent="0.25">
      <c r="A20" s="4">
        <v>45945</v>
      </c>
      <c r="B20" s="3" t="s">
        <v>28</v>
      </c>
      <c r="C20" s="8">
        <v>-0.1</v>
      </c>
      <c r="D20" s="3" t="s">
        <v>7</v>
      </c>
      <c r="E20" s="3" t="s">
        <v>5</v>
      </c>
    </row>
    <row r="21" spans="1:5" x14ac:dyDescent="0.25">
      <c r="A21" s="4">
        <v>45950</v>
      </c>
      <c r="B21" s="2" t="s">
        <v>28</v>
      </c>
      <c r="C21" s="7">
        <v>-0.05</v>
      </c>
      <c r="D21" s="2" t="s">
        <v>7</v>
      </c>
      <c r="E21" s="2" t="s">
        <v>5</v>
      </c>
    </row>
    <row r="22" spans="1:5" x14ac:dyDescent="0.25">
      <c r="A22" s="4">
        <v>45953</v>
      </c>
      <c r="B22" s="2" t="s">
        <v>28</v>
      </c>
      <c r="C22" s="7">
        <v>-0.05</v>
      </c>
      <c r="D22" s="2" t="s">
        <v>7</v>
      </c>
      <c r="E22" s="2" t="s">
        <v>5</v>
      </c>
    </row>
    <row r="23" spans="1:5" x14ac:dyDescent="0.25">
      <c r="A23" s="4">
        <v>45954</v>
      </c>
      <c r="B23" s="2" t="s">
        <v>330</v>
      </c>
      <c r="C23" s="7">
        <v>-24430.3</v>
      </c>
      <c r="D23" s="2" t="s">
        <v>331</v>
      </c>
      <c r="E23" s="2" t="s">
        <v>5</v>
      </c>
    </row>
    <row r="24" spans="1:5" x14ac:dyDescent="0.25">
      <c r="A24" s="4">
        <v>45954</v>
      </c>
      <c r="B24" s="3" t="s">
        <v>332</v>
      </c>
      <c r="C24" s="8">
        <v>-1374</v>
      </c>
      <c r="D24" s="3" t="s">
        <v>333</v>
      </c>
      <c r="E24" s="3" t="s">
        <v>334</v>
      </c>
    </row>
    <row r="25" spans="1:5" x14ac:dyDescent="0.25">
      <c r="A25" s="4">
        <v>45954</v>
      </c>
      <c r="B25" s="2" t="s">
        <v>281</v>
      </c>
      <c r="C25" s="7">
        <v>-1000</v>
      </c>
      <c r="D25" s="2" t="s">
        <v>335</v>
      </c>
      <c r="E25" s="2" t="s">
        <v>336</v>
      </c>
    </row>
    <row r="26" spans="1:5" x14ac:dyDescent="0.25">
      <c r="A26" s="4">
        <v>45954</v>
      </c>
      <c r="B26" s="3" t="s">
        <v>337</v>
      </c>
      <c r="C26" s="8">
        <v>-580</v>
      </c>
      <c r="D26" s="3" t="s">
        <v>338</v>
      </c>
      <c r="E26" s="3" t="s">
        <v>339</v>
      </c>
    </row>
    <row r="27" spans="1:5" x14ac:dyDescent="0.25">
      <c r="A27" s="4">
        <v>45954</v>
      </c>
      <c r="B27" s="2" t="s">
        <v>340</v>
      </c>
      <c r="C27" s="7">
        <v>-500</v>
      </c>
      <c r="D27" s="2" t="s">
        <v>341</v>
      </c>
      <c r="E27" s="2" t="s">
        <v>342</v>
      </c>
    </row>
    <row r="28" spans="1:5" x14ac:dyDescent="0.25">
      <c r="A28" s="4">
        <v>45954</v>
      </c>
      <c r="B28" s="3" t="s">
        <v>343</v>
      </c>
      <c r="C28" s="8">
        <v>-500</v>
      </c>
      <c r="D28" s="3" t="s">
        <v>344</v>
      </c>
      <c r="E28" s="3" t="s">
        <v>345</v>
      </c>
    </row>
    <row r="29" spans="1:5" x14ac:dyDescent="0.25">
      <c r="A29" s="4">
        <v>45954</v>
      </c>
      <c r="B29" s="2" t="s">
        <v>346</v>
      </c>
      <c r="C29" s="7">
        <v>-500</v>
      </c>
      <c r="D29" s="2" t="s">
        <v>347</v>
      </c>
      <c r="E29" s="2" t="s">
        <v>348</v>
      </c>
    </row>
    <row r="30" spans="1:5" x14ac:dyDescent="0.25">
      <c r="A30" s="4">
        <v>45954</v>
      </c>
      <c r="B30" s="3" t="s">
        <v>349</v>
      </c>
      <c r="C30" s="8">
        <v>-450</v>
      </c>
      <c r="D30" s="3" t="s">
        <v>350</v>
      </c>
      <c r="E30" s="3" t="s">
        <v>351</v>
      </c>
    </row>
    <row r="31" spans="1:5" x14ac:dyDescent="0.25">
      <c r="A31" s="4">
        <v>45954</v>
      </c>
      <c r="B31" s="2" t="s">
        <v>352</v>
      </c>
      <c r="C31" s="7">
        <v>-430</v>
      </c>
      <c r="D31" s="2" t="s">
        <v>353</v>
      </c>
      <c r="E31" s="2" t="s">
        <v>342</v>
      </c>
    </row>
    <row r="32" spans="1:5" x14ac:dyDescent="0.25">
      <c r="A32" s="4">
        <v>45954</v>
      </c>
      <c r="B32" s="3" t="s">
        <v>354</v>
      </c>
      <c r="C32" s="8">
        <v>-330</v>
      </c>
      <c r="D32" s="3" t="s">
        <v>355</v>
      </c>
      <c r="E32" s="3" t="s">
        <v>356</v>
      </c>
    </row>
    <row r="33" spans="1:5" x14ac:dyDescent="0.25">
      <c r="A33" s="4">
        <v>45954</v>
      </c>
      <c r="B33" s="2" t="s">
        <v>357</v>
      </c>
      <c r="C33" s="7">
        <v>-300</v>
      </c>
      <c r="D33" s="2" t="s">
        <v>358</v>
      </c>
      <c r="E33" s="2" t="s">
        <v>359</v>
      </c>
    </row>
    <row r="34" spans="1:5" x14ac:dyDescent="0.25">
      <c r="A34" s="4">
        <v>45954</v>
      </c>
      <c r="B34" s="3" t="s">
        <v>360</v>
      </c>
      <c r="C34" s="8">
        <v>-167.9</v>
      </c>
      <c r="D34" s="3" t="s">
        <v>361</v>
      </c>
      <c r="E34" s="3" t="s">
        <v>362</v>
      </c>
    </row>
    <row r="35" spans="1:5" x14ac:dyDescent="0.25">
      <c r="A35" s="4">
        <v>45954</v>
      </c>
      <c r="B35" s="2" t="s">
        <v>363</v>
      </c>
      <c r="C35" s="7">
        <v>-100</v>
      </c>
      <c r="D35" s="2" t="s">
        <v>364</v>
      </c>
      <c r="E35" s="2" t="s">
        <v>365</v>
      </c>
    </row>
    <row r="36" spans="1:5" x14ac:dyDescent="0.25">
      <c r="A36" s="4">
        <v>45954</v>
      </c>
      <c r="B36" s="3" t="s">
        <v>366</v>
      </c>
      <c r="C36" s="8">
        <v>-100</v>
      </c>
      <c r="D36" s="3" t="s">
        <v>367</v>
      </c>
      <c r="E36" s="3" t="s">
        <v>368</v>
      </c>
    </row>
    <row r="37" spans="1:5" x14ac:dyDescent="0.25">
      <c r="A37" s="4">
        <v>45954</v>
      </c>
      <c r="B37" s="2" t="s">
        <v>281</v>
      </c>
      <c r="C37" s="7">
        <v>-99.9</v>
      </c>
      <c r="D37" s="2" t="s">
        <v>369</v>
      </c>
      <c r="E37" s="2" t="s">
        <v>370</v>
      </c>
    </row>
    <row r="38" spans="1:5" x14ac:dyDescent="0.25">
      <c r="A38" s="4">
        <v>45954</v>
      </c>
      <c r="B38" s="3" t="s">
        <v>28</v>
      </c>
      <c r="C38" s="8">
        <v>-1.3</v>
      </c>
      <c r="D38" s="3" t="s">
        <v>7</v>
      </c>
      <c r="E38" s="3" t="s">
        <v>5</v>
      </c>
    </row>
    <row r="39" spans="1:5" x14ac:dyDescent="0.25">
      <c r="A39" s="4">
        <v>45958</v>
      </c>
      <c r="B39" s="3" t="s">
        <v>269</v>
      </c>
      <c r="C39" s="8">
        <v>-2080</v>
      </c>
      <c r="D39" s="3" t="s">
        <v>298</v>
      </c>
      <c r="E39" s="3" t="s">
        <v>299</v>
      </c>
    </row>
    <row r="40" spans="1:5" x14ac:dyDescent="0.25">
      <c r="A40" s="4">
        <v>45958</v>
      </c>
      <c r="B40" s="2" t="s">
        <v>269</v>
      </c>
      <c r="C40" s="7">
        <v>-2080</v>
      </c>
      <c r="D40" s="2" t="s">
        <v>300</v>
      </c>
      <c r="E40" s="2" t="s">
        <v>301</v>
      </c>
    </row>
    <row r="41" spans="1:5" x14ac:dyDescent="0.25">
      <c r="A41" s="4">
        <v>45958</v>
      </c>
      <c r="B41" s="3" t="s">
        <v>302</v>
      </c>
      <c r="C41" s="8">
        <v>-690</v>
      </c>
      <c r="D41" s="3" t="s">
        <v>303</v>
      </c>
      <c r="E41" s="3" t="s">
        <v>304</v>
      </c>
    </row>
    <row r="42" spans="1:5" x14ac:dyDescent="0.25">
      <c r="A42" s="4">
        <v>45958</v>
      </c>
      <c r="B42" s="2" t="s">
        <v>28</v>
      </c>
      <c r="C42" s="7">
        <v>-0.2</v>
      </c>
      <c r="D42" s="2" t="s">
        <v>7</v>
      </c>
      <c r="E42" s="2" t="s">
        <v>5</v>
      </c>
    </row>
    <row r="43" spans="1:5" x14ac:dyDescent="0.25">
      <c r="A43" s="4">
        <v>45960</v>
      </c>
      <c r="B43" s="2" t="s">
        <v>260</v>
      </c>
      <c r="C43" s="7">
        <v>-2986</v>
      </c>
      <c r="D43" s="2" t="s">
        <v>261</v>
      </c>
      <c r="E43" s="2" t="s">
        <v>262</v>
      </c>
    </row>
    <row r="44" spans="1:5" x14ac:dyDescent="0.25">
      <c r="A44" s="4">
        <v>45960</v>
      </c>
      <c r="B44" s="3" t="s">
        <v>263</v>
      </c>
      <c r="C44" s="8">
        <v>-1206</v>
      </c>
      <c r="D44" s="3" t="s">
        <v>264</v>
      </c>
      <c r="E44" s="3" t="s">
        <v>265</v>
      </c>
    </row>
    <row r="45" spans="1:5" x14ac:dyDescent="0.25">
      <c r="A45" s="4">
        <v>45960</v>
      </c>
      <c r="B45" s="2" t="s">
        <v>266</v>
      </c>
      <c r="C45" s="7">
        <v>-950</v>
      </c>
      <c r="D45" s="2" t="s">
        <v>267</v>
      </c>
      <c r="E45" s="2" t="s">
        <v>268</v>
      </c>
    </row>
    <row r="46" spans="1:5" x14ac:dyDescent="0.25">
      <c r="A46" s="4">
        <v>45960</v>
      </c>
      <c r="B46" s="3" t="s">
        <v>269</v>
      </c>
      <c r="C46" s="8">
        <v>-320</v>
      </c>
      <c r="D46" s="3" t="s">
        <v>270</v>
      </c>
      <c r="E46" s="3" t="s">
        <v>271</v>
      </c>
    </row>
    <row r="47" spans="1:5" x14ac:dyDescent="0.25">
      <c r="A47" s="4">
        <v>45960</v>
      </c>
      <c r="B47" s="2" t="s">
        <v>272</v>
      </c>
      <c r="C47" s="7">
        <v>-300</v>
      </c>
      <c r="D47" s="2" t="s">
        <v>273</v>
      </c>
      <c r="E47" s="2" t="s">
        <v>274</v>
      </c>
    </row>
    <row r="48" spans="1:5" x14ac:dyDescent="0.25">
      <c r="A48" s="4">
        <v>45960</v>
      </c>
      <c r="B48" s="3" t="s">
        <v>275</v>
      </c>
      <c r="C48" s="8">
        <v>-200</v>
      </c>
      <c r="D48" s="3" t="s">
        <v>276</v>
      </c>
      <c r="E48" s="3" t="s">
        <v>277</v>
      </c>
    </row>
    <row r="49" spans="1:5" x14ac:dyDescent="0.25">
      <c r="A49" s="4">
        <v>45960</v>
      </c>
      <c r="B49" s="2" t="s">
        <v>278</v>
      </c>
      <c r="C49" s="7">
        <v>-180</v>
      </c>
      <c r="D49" s="2" t="s">
        <v>279</v>
      </c>
      <c r="E49" s="2" t="s">
        <v>280</v>
      </c>
    </row>
    <row r="50" spans="1:5" x14ac:dyDescent="0.25">
      <c r="A50" s="4">
        <v>45960</v>
      </c>
      <c r="B50" s="3" t="s">
        <v>281</v>
      </c>
      <c r="C50" s="8">
        <v>-164</v>
      </c>
      <c r="D50" s="3" t="s">
        <v>282</v>
      </c>
      <c r="E50" s="3" t="s">
        <v>283</v>
      </c>
    </row>
    <row r="51" spans="1:5" x14ac:dyDescent="0.25">
      <c r="A51" s="4">
        <v>45960</v>
      </c>
      <c r="B51" s="2" t="s">
        <v>284</v>
      </c>
      <c r="C51" s="7">
        <v>-100</v>
      </c>
      <c r="D51" s="2" t="s">
        <v>285</v>
      </c>
      <c r="E51" s="2" t="s">
        <v>286</v>
      </c>
    </row>
    <row r="52" spans="1:5" x14ac:dyDescent="0.25">
      <c r="A52" s="4">
        <v>45960</v>
      </c>
      <c r="B52" s="3" t="s">
        <v>287</v>
      </c>
      <c r="C52" s="8">
        <v>-13.85</v>
      </c>
      <c r="D52" s="3" t="s">
        <v>7</v>
      </c>
      <c r="E52" s="3" t="s">
        <v>5</v>
      </c>
    </row>
    <row r="53" spans="1:5" x14ac:dyDescent="0.25">
      <c r="A53" s="4">
        <v>45960</v>
      </c>
      <c r="B53" s="3" t="s">
        <v>28</v>
      </c>
      <c r="C53" s="8">
        <v>-0.15</v>
      </c>
      <c r="D53" s="3" t="s">
        <v>7</v>
      </c>
      <c r="E53" s="3" t="s">
        <v>5</v>
      </c>
    </row>
    <row r="54" spans="1:5" x14ac:dyDescent="0.25">
      <c r="A54" s="4">
        <v>45961</v>
      </c>
      <c r="B54" s="2" t="s">
        <v>6</v>
      </c>
      <c r="C54" s="7">
        <v>-35</v>
      </c>
      <c r="D54" s="2" t="s">
        <v>7</v>
      </c>
      <c r="E54" s="2" t="s">
        <v>5</v>
      </c>
    </row>
    <row r="55" spans="1:5" x14ac:dyDescent="0.25">
      <c r="A55" s="4">
        <v>45961</v>
      </c>
      <c r="B55" s="3" t="s">
        <v>12</v>
      </c>
      <c r="C55" s="8">
        <v>-5.5</v>
      </c>
      <c r="D55" s="3" t="s">
        <v>252</v>
      </c>
      <c r="E55" s="3" t="s">
        <v>5</v>
      </c>
    </row>
    <row r="56" spans="1:5" x14ac:dyDescent="0.25">
      <c r="A56" s="4">
        <v>45964</v>
      </c>
      <c r="B56" s="2" t="s">
        <v>592</v>
      </c>
      <c r="C56" s="7">
        <v>-16552</v>
      </c>
      <c r="D56" s="2" t="s">
        <v>850</v>
      </c>
      <c r="E56" s="2" t="s">
        <v>5</v>
      </c>
    </row>
    <row r="57" spans="1:5" x14ac:dyDescent="0.25">
      <c r="A57" s="4">
        <v>45964</v>
      </c>
      <c r="B57" s="3" t="s">
        <v>594</v>
      </c>
      <c r="C57" s="8">
        <v>-5072.3999999999996</v>
      </c>
      <c r="D57" s="3" t="s">
        <v>851</v>
      </c>
      <c r="E57" s="3" t="s">
        <v>5</v>
      </c>
    </row>
    <row r="58" spans="1:5" x14ac:dyDescent="0.25">
      <c r="A58" s="4">
        <v>45964</v>
      </c>
      <c r="B58" s="2" t="s">
        <v>302</v>
      </c>
      <c r="C58" s="7">
        <v>-1435</v>
      </c>
      <c r="D58" s="2" t="s">
        <v>852</v>
      </c>
      <c r="E58" s="2" t="s">
        <v>853</v>
      </c>
    </row>
    <row r="59" spans="1:5" x14ac:dyDescent="0.25">
      <c r="A59" s="4">
        <v>45964</v>
      </c>
      <c r="B59" s="3" t="s">
        <v>596</v>
      </c>
      <c r="C59" s="8">
        <v>-1000</v>
      </c>
      <c r="D59" s="3" t="s">
        <v>854</v>
      </c>
      <c r="E59" s="3" t="s">
        <v>855</v>
      </c>
    </row>
    <row r="60" spans="1:5" x14ac:dyDescent="0.25">
      <c r="A60" s="4">
        <v>45964</v>
      </c>
      <c r="B60" s="2" t="s">
        <v>266</v>
      </c>
      <c r="C60" s="7">
        <v>-950</v>
      </c>
      <c r="D60" s="2" t="s">
        <v>856</v>
      </c>
      <c r="E60" s="2" t="s">
        <v>857</v>
      </c>
    </row>
    <row r="61" spans="1:5" x14ac:dyDescent="0.25">
      <c r="A61" s="4">
        <v>45964</v>
      </c>
      <c r="B61" s="3" t="s">
        <v>858</v>
      </c>
      <c r="C61" s="8">
        <v>-500</v>
      </c>
      <c r="D61" s="3" t="s">
        <v>859</v>
      </c>
      <c r="E61" s="3" t="s">
        <v>860</v>
      </c>
    </row>
    <row r="62" spans="1:5" x14ac:dyDescent="0.25">
      <c r="A62" s="4">
        <v>45964</v>
      </c>
      <c r="B62" s="2" t="s">
        <v>861</v>
      </c>
      <c r="C62" s="7">
        <v>-500</v>
      </c>
      <c r="D62" s="2" t="s">
        <v>862</v>
      </c>
      <c r="E62" s="2" t="s">
        <v>863</v>
      </c>
    </row>
    <row r="63" spans="1:5" x14ac:dyDescent="0.25">
      <c r="A63" s="4">
        <v>45964</v>
      </c>
      <c r="B63" s="3" t="s">
        <v>864</v>
      </c>
      <c r="C63" s="8">
        <v>-430</v>
      </c>
      <c r="D63" s="3" t="s">
        <v>865</v>
      </c>
      <c r="E63" s="3" t="s">
        <v>866</v>
      </c>
    </row>
    <row r="64" spans="1:5" x14ac:dyDescent="0.25">
      <c r="A64" s="4">
        <v>45964</v>
      </c>
      <c r="B64" s="2" t="s">
        <v>708</v>
      </c>
      <c r="C64" s="7">
        <v>-173</v>
      </c>
      <c r="D64" s="2" t="s">
        <v>867</v>
      </c>
      <c r="E64" s="2" t="s">
        <v>5</v>
      </c>
    </row>
    <row r="65" spans="1:5" x14ac:dyDescent="0.25">
      <c r="A65" s="4">
        <v>45964</v>
      </c>
      <c r="B65" s="3" t="s">
        <v>868</v>
      </c>
      <c r="C65" s="8">
        <v>-105.9</v>
      </c>
      <c r="D65" s="3" t="s">
        <v>869</v>
      </c>
      <c r="E65" s="3" t="s">
        <v>5</v>
      </c>
    </row>
    <row r="66" spans="1:5" x14ac:dyDescent="0.25">
      <c r="A66" s="4">
        <v>45964</v>
      </c>
      <c r="B66" s="2" t="s">
        <v>337</v>
      </c>
      <c r="C66" s="7">
        <v>-100</v>
      </c>
      <c r="D66" s="2" t="s">
        <v>870</v>
      </c>
      <c r="E66" s="2" t="s">
        <v>871</v>
      </c>
    </row>
    <row r="67" spans="1:5" x14ac:dyDescent="0.25">
      <c r="A67" s="4">
        <v>45964</v>
      </c>
      <c r="B67" s="3" t="s">
        <v>28</v>
      </c>
      <c r="C67" s="8">
        <v>-1.1499999999999999</v>
      </c>
      <c r="D67" s="3" t="s">
        <v>7</v>
      </c>
      <c r="E67" s="3" t="s">
        <v>5</v>
      </c>
    </row>
    <row r="68" spans="1:5" x14ac:dyDescent="0.25">
      <c r="A68" s="4">
        <v>45966</v>
      </c>
      <c r="B68" s="3" t="s">
        <v>28</v>
      </c>
      <c r="C68" s="8">
        <v>-0.05</v>
      </c>
      <c r="D68" s="3" t="s">
        <v>7</v>
      </c>
      <c r="E68" s="3" t="s">
        <v>5</v>
      </c>
    </row>
    <row r="69" spans="1:5" x14ac:dyDescent="0.25">
      <c r="A69" s="4">
        <v>45968</v>
      </c>
      <c r="B69" s="2" t="s">
        <v>28</v>
      </c>
      <c r="C69" s="7">
        <v>-0.05</v>
      </c>
      <c r="D69" s="2" t="s">
        <v>7</v>
      </c>
      <c r="E69" s="2" t="s">
        <v>5</v>
      </c>
    </row>
    <row r="70" spans="1:5" x14ac:dyDescent="0.25">
      <c r="A70" s="4">
        <v>45969</v>
      </c>
      <c r="B70" s="3" t="s">
        <v>596</v>
      </c>
      <c r="C70" s="8">
        <v>-1500</v>
      </c>
      <c r="D70" s="3" t="s">
        <v>808</v>
      </c>
      <c r="E70" s="3" t="s">
        <v>809</v>
      </c>
    </row>
    <row r="71" spans="1:5" x14ac:dyDescent="0.25">
      <c r="A71" s="4">
        <v>45969</v>
      </c>
      <c r="B71" s="2" t="s">
        <v>596</v>
      </c>
      <c r="C71" s="7">
        <v>-1000</v>
      </c>
      <c r="D71" s="2" t="s">
        <v>810</v>
      </c>
      <c r="E71" s="2" t="s">
        <v>811</v>
      </c>
    </row>
    <row r="72" spans="1:5" x14ac:dyDescent="0.25">
      <c r="A72" s="4">
        <v>45969</v>
      </c>
      <c r="B72" s="3" t="s">
        <v>275</v>
      </c>
      <c r="C72" s="8">
        <v>-200</v>
      </c>
      <c r="D72" s="3" t="s">
        <v>812</v>
      </c>
      <c r="E72" s="3" t="s">
        <v>813</v>
      </c>
    </row>
    <row r="73" spans="1:5" x14ac:dyDescent="0.25">
      <c r="A73" s="4">
        <v>45970</v>
      </c>
      <c r="B73" s="3" t="s">
        <v>28</v>
      </c>
      <c r="C73" s="8">
        <v>-0.1</v>
      </c>
      <c r="D73" s="3" t="s">
        <v>7</v>
      </c>
      <c r="E73" s="3" t="s">
        <v>5</v>
      </c>
    </row>
    <row r="74" spans="1:5" x14ac:dyDescent="0.25">
      <c r="A74" s="4">
        <v>45974</v>
      </c>
      <c r="B74" s="3" t="s">
        <v>693</v>
      </c>
      <c r="C74" s="8">
        <v>-925</v>
      </c>
      <c r="D74" s="3" t="s">
        <v>765</v>
      </c>
      <c r="E74" s="3" t="s">
        <v>766</v>
      </c>
    </row>
    <row r="75" spans="1:5" x14ac:dyDescent="0.25">
      <c r="A75" s="4">
        <v>45974</v>
      </c>
      <c r="B75" s="2" t="s">
        <v>357</v>
      </c>
      <c r="C75" s="7">
        <v>-500</v>
      </c>
      <c r="D75" s="2" t="s">
        <v>767</v>
      </c>
      <c r="E75" s="2" t="s">
        <v>768</v>
      </c>
    </row>
    <row r="76" spans="1:5" x14ac:dyDescent="0.25">
      <c r="A76" s="4">
        <v>45974</v>
      </c>
      <c r="B76" s="3" t="s">
        <v>769</v>
      </c>
      <c r="C76" s="8">
        <v>-100</v>
      </c>
      <c r="D76" s="3" t="s">
        <v>770</v>
      </c>
      <c r="E76" s="3" t="s">
        <v>771</v>
      </c>
    </row>
    <row r="77" spans="1:5" x14ac:dyDescent="0.25">
      <c r="A77" s="4">
        <v>45974</v>
      </c>
      <c r="B77" s="2" t="s">
        <v>772</v>
      </c>
      <c r="C77" s="7">
        <v>-100</v>
      </c>
      <c r="D77" s="2" t="s">
        <v>773</v>
      </c>
      <c r="E77" s="2" t="s">
        <v>774</v>
      </c>
    </row>
    <row r="78" spans="1:5" x14ac:dyDescent="0.25">
      <c r="A78" s="4">
        <v>45975</v>
      </c>
      <c r="B78" s="2" t="s">
        <v>330</v>
      </c>
      <c r="C78" s="7">
        <v>-354.3</v>
      </c>
      <c r="D78" s="2" t="s">
        <v>750</v>
      </c>
      <c r="E78" s="2" t="s">
        <v>5</v>
      </c>
    </row>
    <row r="79" spans="1:5" x14ac:dyDescent="0.25">
      <c r="A79" s="4">
        <v>45975</v>
      </c>
      <c r="B79" s="3" t="s">
        <v>751</v>
      </c>
      <c r="C79" s="8">
        <v>-280</v>
      </c>
      <c r="D79" s="3" t="s">
        <v>752</v>
      </c>
      <c r="E79" s="3" t="s">
        <v>753</v>
      </c>
    </row>
    <row r="80" spans="1:5" x14ac:dyDescent="0.25">
      <c r="A80" s="4">
        <v>45977</v>
      </c>
      <c r="B80" s="2" t="s">
        <v>28</v>
      </c>
      <c r="C80" s="7">
        <v>-0.05</v>
      </c>
      <c r="D80" s="2" t="s">
        <v>7</v>
      </c>
      <c r="E80" s="2" t="s">
        <v>5</v>
      </c>
    </row>
    <row r="81" spans="1:5" x14ac:dyDescent="0.25">
      <c r="A81" s="4">
        <v>45978</v>
      </c>
      <c r="B81" s="2" t="s">
        <v>28</v>
      </c>
      <c r="C81" s="7">
        <v>-0.05</v>
      </c>
      <c r="D81" s="2" t="s">
        <v>7</v>
      </c>
      <c r="E81" s="2" t="s">
        <v>5</v>
      </c>
    </row>
    <row r="82" spans="1:5" x14ac:dyDescent="0.25">
      <c r="A82" s="4">
        <v>45979</v>
      </c>
      <c r="B82" s="2" t="s">
        <v>28</v>
      </c>
      <c r="C82" s="7">
        <v>-0.1</v>
      </c>
      <c r="D82" s="2" t="s">
        <v>7</v>
      </c>
      <c r="E82" s="2" t="s">
        <v>5</v>
      </c>
    </row>
    <row r="83" spans="1:5" x14ac:dyDescent="0.25">
      <c r="A83" s="4">
        <v>45981</v>
      </c>
      <c r="B83" s="3" t="s">
        <v>330</v>
      </c>
      <c r="C83" s="8">
        <v>-24430.3</v>
      </c>
      <c r="D83" s="3" t="s">
        <v>692</v>
      </c>
      <c r="E83" s="3" t="s">
        <v>5</v>
      </c>
    </row>
    <row r="84" spans="1:5" x14ac:dyDescent="0.25">
      <c r="A84" s="4">
        <v>45981</v>
      </c>
      <c r="B84" s="2" t="s">
        <v>693</v>
      </c>
      <c r="C84" s="7">
        <v>-925</v>
      </c>
      <c r="D84" s="2" t="s">
        <v>694</v>
      </c>
      <c r="E84" s="2" t="s">
        <v>695</v>
      </c>
    </row>
    <row r="85" spans="1:5" x14ac:dyDescent="0.25">
      <c r="A85" s="4">
        <v>45981</v>
      </c>
      <c r="B85" s="3" t="s">
        <v>281</v>
      </c>
      <c r="C85" s="8">
        <v>-920.4</v>
      </c>
      <c r="D85" s="3" t="s">
        <v>696</v>
      </c>
      <c r="E85" s="3" t="s">
        <v>697</v>
      </c>
    </row>
    <row r="86" spans="1:5" x14ac:dyDescent="0.25">
      <c r="A86" s="4">
        <v>45981</v>
      </c>
      <c r="B86" s="2" t="s">
        <v>260</v>
      </c>
      <c r="C86" s="7">
        <v>-600</v>
      </c>
      <c r="D86" s="2" t="s">
        <v>698</v>
      </c>
      <c r="E86" s="2" t="s">
        <v>699</v>
      </c>
    </row>
    <row r="87" spans="1:5" x14ac:dyDescent="0.25">
      <c r="A87" s="4">
        <v>45981</v>
      </c>
      <c r="B87" s="3" t="s">
        <v>357</v>
      </c>
      <c r="C87" s="8">
        <v>-500</v>
      </c>
      <c r="D87" s="3" t="s">
        <v>700</v>
      </c>
      <c r="E87" s="3" t="s">
        <v>701</v>
      </c>
    </row>
    <row r="88" spans="1:5" x14ac:dyDescent="0.25">
      <c r="A88" s="4">
        <v>45981</v>
      </c>
      <c r="B88" s="2" t="s">
        <v>702</v>
      </c>
      <c r="C88" s="7">
        <v>-500</v>
      </c>
      <c r="D88" s="2" t="s">
        <v>703</v>
      </c>
      <c r="E88" s="2" t="s">
        <v>704</v>
      </c>
    </row>
    <row r="89" spans="1:5" x14ac:dyDescent="0.25">
      <c r="A89" s="4">
        <v>45981</v>
      </c>
      <c r="B89" s="3" t="s">
        <v>705</v>
      </c>
      <c r="C89" s="8">
        <v>-500</v>
      </c>
      <c r="D89" s="3" t="s">
        <v>706</v>
      </c>
      <c r="E89" s="3" t="s">
        <v>707</v>
      </c>
    </row>
    <row r="90" spans="1:5" x14ac:dyDescent="0.25">
      <c r="A90" s="4">
        <v>45981</v>
      </c>
      <c r="B90" s="2" t="s">
        <v>708</v>
      </c>
      <c r="C90" s="7">
        <v>-141.5</v>
      </c>
      <c r="D90" s="2" t="s">
        <v>709</v>
      </c>
      <c r="E90" s="2" t="s">
        <v>5</v>
      </c>
    </row>
    <row r="91" spans="1:5" x14ac:dyDescent="0.25">
      <c r="A91" s="4">
        <v>45981</v>
      </c>
      <c r="B91" s="2" t="s">
        <v>28</v>
      </c>
      <c r="C91" s="7">
        <v>-1.2</v>
      </c>
      <c r="D91" s="2" t="s">
        <v>7</v>
      </c>
      <c r="E91" s="2" t="s">
        <v>5</v>
      </c>
    </row>
    <row r="92" spans="1:5" x14ac:dyDescent="0.25">
      <c r="A92" s="4">
        <v>45984</v>
      </c>
      <c r="B92" s="2" t="s">
        <v>28</v>
      </c>
      <c r="C92" s="7">
        <v>-0.1</v>
      </c>
      <c r="D92" s="2" t="s">
        <v>7</v>
      </c>
      <c r="E92" s="2" t="s">
        <v>5</v>
      </c>
    </row>
    <row r="93" spans="1:5" x14ac:dyDescent="0.25">
      <c r="A93" s="4">
        <v>45985</v>
      </c>
      <c r="B93" s="3" t="s">
        <v>28</v>
      </c>
      <c r="C93" s="8">
        <v>-0.05</v>
      </c>
      <c r="D93" s="3" t="s">
        <v>7</v>
      </c>
      <c r="E93" s="3" t="s">
        <v>5</v>
      </c>
    </row>
    <row r="94" spans="1:5" x14ac:dyDescent="0.25">
      <c r="A94" s="4">
        <v>45986</v>
      </c>
      <c r="B94" s="3" t="s">
        <v>28</v>
      </c>
      <c r="C94" s="8">
        <v>-0.1</v>
      </c>
      <c r="D94" s="3" t="s">
        <v>7</v>
      </c>
      <c r="E94" s="3" t="s">
        <v>5</v>
      </c>
    </row>
    <row r="95" spans="1:5" x14ac:dyDescent="0.25">
      <c r="A95" s="4">
        <v>45987</v>
      </c>
      <c r="B95" s="3" t="s">
        <v>643</v>
      </c>
      <c r="C95" s="8">
        <v>-41.45</v>
      </c>
      <c r="D95" s="3" t="s">
        <v>7</v>
      </c>
      <c r="E95" s="3" t="s">
        <v>5</v>
      </c>
    </row>
    <row r="96" spans="1:5" x14ac:dyDescent="0.25">
      <c r="A96" s="4">
        <v>45988</v>
      </c>
      <c r="B96" s="2" t="s">
        <v>28</v>
      </c>
      <c r="C96" s="7">
        <v>-0.55000000000000004</v>
      </c>
      <c r="D96" s="2" t="s">
        <v>7</v>
      </c>
      <c r="E96" s="2" t="s">
        <v>5</v>
      </c>
    </row>
    <row r="97" spans="1:5" x14ac:dyDescent="0.25">
      <c r="A97" s="4">
        <v>45989</v>
      </c>
      <c r="B97" s="3" t="s">
        <v>592</v>
      </c>
      <c r="C97" s="8">
        <v>-14598</v>
      </c>
      <c r="D97" s="3" t="s">
        <v>593</v>
      </c>
      <c r="E97" s="3" t="s">
        <v>5</v>
      </c>
    </row>
    <row r="98" spans="1:5" x14ac:dyDescent="0.25">
      <c r="A98" s="4">
        <v>45989</v>
      </c>
      <c r="B98" s="2" t="s">
        <v>594</v>
      </c>
      <c r="C98" s="7">
        <v>-5193.1000000000004</v>
      </c>
      <c r="D98" s="2" t="s">
        <v>595</v>
      </c>
      <c r="E98" s="2" t="s">
        <v>5</v>
      </c>
    </row>
    <row r="99" spans="1:5" x14ac:dyDescent="0.25">
      <c r="A99" s="4">
        <v>45989</v>
      </c>
      <c r="B99" s="3" t="s">
        <v>596</v>
      </c>
      <c r="C99" s="8">
        <v>-1000</v>
      </c>
      <c r="D99" s="3" t="s">
        <v>597</v>
      </c>
      <c r="E99" s="3" t="s">
        <v>598</v>
      </c>
    </row>
    <row r="100" spans="1:5" x14ac:dyDescent="0.25">
      <c r="A100" s="4">
        <v>45989</v>
      </c>
      <c r="B100" s="2" t="s">
        <v>363</v>
      </c>
      <c r="C100" s="7">
        <v>-500</v>
      </c>
      <c r="D100" s="2" t="s">
        <v>599</v>
      </c>
      <c r="E100" s="2" t="s">
        <v>600</v>
      </c>
    </row>
    <row r="101" spans="1:5" x14ac:dyDescent="0.25">
      <c r="A101" s="4">
        <v>45989</v>
      </c>
      <c r="B101" s="3" t="s">
        <v>601</v>
      </c>
      <c r="C101" s="8">
        <v>-500</v>
      </c>
      <c r="D101" s="3" t="s">
        <v>602</v>
      </c>
      <c r="E101" s="3" t="s">
        <v>603</v>
      </c>
    </row>
    <row r="102" spans="1:5" x14ac:dyDescent="0.25">
      <c r="A102" s="4">
        <v>45989</v>
      </c>
      <c r="B102" s="2" t="s">
        <v>604</v>
      </c>
      <c r="C102" s="7">
        <v>-500</v>
      </c>
      <c r="D102" s="2" t="s">
        <v>605</v>
      </c>
      <c r="E102" s="2" t="s">
        <v>606</v>
      </c>
    </row>
    <row r="103" spans="1:5" x14ac:dyDescent="0.25">
      <c r="A103" s="4">
        <v>45989</v>
      </c>
      <c r="B103" s="3" t="s">
        <v>437</v>
      </c>
      <c r="C103" s="8">
        <v>-430</v>
      </c>
      <c r="D103" s="3" t="s">
        <v>607</v>
      </c>
      <c r="E103" s="3" t="s">
        <v>608</v>
      </c>
    </row>
    <row r="104" spans="1:5" x14ac:dyDescent="0.25">
      <c r="A104" s="4">
        <v>45989</v>
      </c>
      <c r="B104" s="2" t="s">
        <v>609</v>
      </c>
      <c r="C104" s="7">
        <v>-430</v>
      </c>
      <c r="D104" s="2" t="s">
        <v>610</v>
      </c>
      <c r="E104" s="2" t="s">
        <v>611</v>
      </c>
    </row>
    <row r="105" spans="1:5" x14ac:dyDescent="0.25">
      <c r="A105" s="4">
        <v>45989</v>
      </c>
      <c r="B105" s="3" t="s">
        <v>281</v>
      </c>
      <c r="C105" s="8">
        <v>-237</v>
      </c>
      <c r="D105" s="3" t="s">
        <v>612</v>
      </c>
      <c r="E105" s="3" t="s">
        <v>613</v>
      </c>
    </row>
    <row r="106" spans="1:5" x14ac:dyDescent="0.25">
      <c r="A106" s="4">
        <v>45989</v>
      </c>
      <c r="B106" s="2" t="s">
        <v>366</v>
      </c>
      <c r="C106" s="7">
        <v>-100</v>
      </c>
      <c r="D106" s="2" t="s">
        <v>614</v>
      </c>
      <c r="E106" s="2" t="s">
        <v>615</v>
      </c>
    </row>
    <row r="107" spans="1:5" x14ac:dyDescent="0.25">
      <c r="A107" s="4">
        <v>45989</v>
      </c>
      <c r="B107" s="3" t="s">
        <v>616</v>
      </c>
      <c r="C107" s="8">
        <v>-29.9</v>
      </c>
      <c r="D107" s="3" t="s">
        <v>617</v>
      </c>
      <c r="E107" s="3" t="s">
        <v>5</v>
      </c>
    </row>
    <row r="108" spans="1:5" x14ac:dyDescent="0.25">
      <c r="A108" s="4">
        <v>45989</v>
      </c>
      <c r="B108" s="2" t="s">
        <v>28</v>
      </c>
      <c r="C108" s="7">
        <v>-1</v>
      </c>
      <c r="D108" s="2" t="s">
        <v>7</v>
      </c>
      <c r="E108" s="2" t="s">
        <v>5</v>
      </c>
    </row>
    <row r="109" spans="1:5" x14ac:dyDescent="0.25">
      <c r="A109" s="4">
        <v>45990</v>
      </c>
      <c r="B109" s="2" t="s">
        <v>12</v>
      </c>
      <c r="C109" s="7">
        <v>-5.5</v>
      </c>
      <c r="D109" s="2" t="s">
        <v>576</v>
      </c>
      <c r="E109" s="2" t="s">
        <v>5</v>
      </c>
    </row>
    <row r="110" spans="1:5" x14ac:dyDescent="0.25">
      <c r="A110" s="4">
        <v>45991</v>
      </c>
      <c r="B110" s="2" t="s">
        <v>6</v>
      </c>
      <c r="C110" s="7">
        <v>-35</v>
      </c>
      <c r="D110" s="2" t="s">
        <v>7</v>
      </c>
      <c r="E110" s="2" t="s">
        <v>5</v>
      </c>
    </row>
    <row r="111" spans="1:5" x14ac:dyDescent="0.25">
      <c r="A111" s="4">
        <v>45992</v>
      </c>
      <c r="B111" s="2" t="s">
        <v>596</v>
      </c>
      <c r="C111" s="7">
        <v>-1000</v>
      </c>
      <c r="D111" s="2" t="s">
        <v>1177</v>
      </c>
      <c r="E111" s="2" t="s">
        <v>1178</v>
      </c>
    </row>
    <row r="112" spans="1:5" x14ac:dyDescent="0.25">
      <c r="A112" s="4">
        <v>45992</v>
      </c>
      <c r="B112" s="3" t="s">
        <v>332</v>
      </c>
      <c r="C112" s="8">
        <v>-963</v>
      </c>
      <c r="D112" s="3" t="s">
        <v>1179</v>
      </c>
      <c r="E112" s="3" t="s">
        <v>1180</v>
      </c>
    </row>
    <row r="113" spans="1:5" x14ac:dyDescent="0.25">
      <c r="A113" s="4">
        <v>45992</v>
      </c>
      <c r="B113" s="2" t="s">
        <v>272</v>
      </c>
      <c r="C113" s="7">
        <v>-300</v>
      </c>
      <c r="D113" s="2" t="s">
        <v>1181</v>
      </c>
      <c r="E113" s="2" t="s">
        <v>1182</v>
      </c>
    </row>
    <row r="114" spans="1:5" x14ac:dyDescent="0.25">
      <c r="A114" s="4">
        <v>45992</v>
      </c>
      <c r="B114" s="3" t="s">
        <v>903</v>
      </c>
      <c r="C114" s="8">
        <v>-120</v>
      </c>
      <c r="D114" s="3" t="s">
        <v>1183</v>
      </c>
      <c r="E114" s="3" t="s">
        <v>1184</v>
      </c>
    </row>
    <row r="115" spans="1:5" x14ac:dyDescent="0.25">
      <c r="A115" s="4">
        <v>45992</v>
      </c>
      <c r="B115" s="2" t="s">
        <v>868</v>
      </c>
      <c r="C115" s="7">
        <v>-109.9</v>
      </c>
      <c r="D115" s="2" t="s">
        <v>1185</v>
      </c>
      <c r="E115" s="2" t="s">
        <v>5</v>
      </c>
    </row>
    <row r="116" spans="1:5" x14ac:dyDescent="0.25">
      <c r="A116" s="4">
        <v>45992</v>
      </c>
      <c r="B116" s="3" t="s">
        <v>900</v>
      </c>
      <c r="C116" s="8">
        <v>-100</v>
      </c>
      <c r="D116" s="3" t="s">
        <v>1186</v>
      </c>
      <c r="E116" s="3" t="s">
        <v>1187</v>
      </c>
    </row>
    <row r="117" spans="1:5" x14ac:dyDescent="0.25">
      <c r="A117" s="4">
        <v>45992</v>
      </c>
      <c r="B117" s="2" t="s">
        <v>278</v>
      </c>
      <c r="C117" s="7">
        <v>-60</v>
      </c>
      <c r="D117" s="2" t="s">
        <v>1188</v>
      </c>
      <c r="E117" s="2" t="s">
        <v>1187</v>
      </c>
    </row>
    <row r="118" spans="1:5" x14ac:dyDescent="0.25">
      <c r="A118" s="4">
        <v>45992</v>
      </c>
      <c r="B118" s="3" t="s">
        <v>28</v>
      </c>
      <c r="C118" s="8">
        <v>-0.25</v>
      </c>
      <c r="D118" s="3" t="s">
        <v>7</v>
      </c>
      <c r="E118" s="3" t="s">
        <v>5</v>
      </c>
    </row>
    <row r="119" spans="1:5" x14ac:dyDescent="0.25">
      <c r="A119" s="4">
        <v>45995</v>
      </c>
      <c r="B119" s="2" t="s">
        <v>281</v>
      </c>
      <c r="C119" s="7">
        <v>-3000</v>
      </c>
      <c r="D119" s="2" t="s">
        <v>1151</v>
      </c>
      <c r="E119" s="2" t="s">
        <v>1152</v>
      </c>
    </row>
    <row r="120" spans="1:5" x14ac:dyDescent="0.25">
      <c r="A120" s="4">
        <v>45995</v>
      </c>
      <c r="B120" s="3" t="s">
        <v>1153</v>
      </c>
      <c r="C120" s="8">
        <v>-500</v>
      </c>
      <c r="D120" s="3" t="s">
        <v>1154</v>
      </c>
      <c r="E120" s="3" t="s">
        <v>1155</v>
      </c>
    </row>
    <row r="121" spans="1:5" x14ac:dyDescent="0.25">
      <c r="A121" s="4">
        <v>45995</v>
      </c>
      <c r="B121" s="2" t="s">
        <v>330</v>
      </c>
      <c r="C121" s="7">
        <v>-104.3</v>
      </c>
      <c r="D121" s="2" t="s">
        <v>1156</v>
      </c>
      <c r="E121" s="2" t="s">
        <v>5</v>
      </c>
    </row>
    <row r="122" spans="1:5" x14ac:dyDescent="0.25">
      <c r="A122" s="4">
        <v>45995</v>
      </c>
      <c r="B122" s="3" t="s">
        <v>28</v>
      </c>
      <c r="C122" s="8">
        <v>-0.2</v>
      </c>
      <c r="D122" s="3" t="s">
        <v>7</v>
      </c>
      <c r="E122" s="3" t="s">
        <v>5</v>
      </c>
    </row>
    <row r="123" spans="1:5" x14ac:dyDescent="0.25">
      <c r="A123" s="4">
        <v>45996</v>
      </c>
      <c r="B123" s="2" t="s">
        <v>1147</v>
      </c>
      <c r="C123" s="7">
        <v>-160</v>
      </c>
      <c r="D123" s="2" t="s">
        <v>1148</v>
      </c>
      <c r="E123" s="2" t="s">
        <v>5</v>
      </c>
    </row>
    <row r="124" spans="1:5" x14ac:dyDescent="0.25">
      <c r="A124" s="4">
        <v>46001</v>
      </c>
      <c r="B124" s="3" t="s">
        <v>946</v>
      </c>
      <c r="C124" s="8">
        <v>-3000</v>
      </c>
      <c r="D124" s="3" t="s">
        <v>1104</v>
      </c>
      <c r="E124" s="3" t="s">
        <v>1105</v>
      </c>
    </row>
    <row r="125" spans="1:5" x14ac:dyDescent="0.25">
      <c r="A125" s="4">
        <v>46001</v>
      </c>
      <c r="B125" s="2" t="s">
        <v>28</v>
      </c>
      <c r="C125" s="7">
        <v>-0.15</v>
      </c>
      <c r="D125" s="2" t="s">
        <v>7</v>
      </c>
      <c r="E125" s="2" t="s">
        <v>5</v>
      </c>
    </row>
    <row r="126" spans="1:5" x14ac:dyDescent="0.25">
      <c r="A126" s="4">
        <v>46003</v>
      </c>
      <c r="B126" s="2" t="s">
        <v>946</v>
      </c>
      <c r="C126" s="7">
        <v>-2000</v>
      </c>
      <c r="D126" s="2" t="s">
        <v>1071</v>
      </c>
      <c r="E126" s="2" t="s">
        <v>1061</v>
      </c>
    </row>
    <row r="127" spans="1:5" x14ac:dyDescent="0.25">
      <c r="A127" s="4">
        <v>46003</v>
      </c>
      <c r="B127" s="3" t="s">
        <v>266</v>
      </c>
      <c r="C127" s="8">
        <v>-1250</v>
      </c>
      <c r="D127" s="3" t="s">
        <v>1072</v>
      </c>
      <c r="E127" s="3" t="s">
        <v>1073</v>
      </c>
    </row>
    <row r="128" spans="1:5" x14ac:dyDescent="0.25">
      <c r="A128" s="4">
        <v>46003</v>
      </c>
      <c r="B128" s="2" t="s">
        <v>596</v>
      </c>
      <c r="C128" s="7">
        <v>-1000</v>
      </c>
      <c r="D128" s="2" t="s">
        <v>1074</v>
      </c>
      <c r="E128" s="2" t="s">
        <v>1075</v>
      </c>
    </row>
    <row r="129" spans="1:5" x14ac:dyDescent="0.25">
      <c r="A129" s="4">
        <v>46003</v>
      </c>
      <c r="B129" s="3" t="s">
        <v>1076</v>
      </c>
      <c r="C129" s="8">
        <v>-580</v>
      </c>
      <c r="D129" s="3" t="s">
        <v>1077</v>
      </c>
      <c r="E129" s="3" t="s">
        <v>1078</v>
      </c>
    </row>
    <row r="130" spans="1:5" x14ac:dyDescent="0.25">
      <c r="A130" s="4">
        <v>46003</v>
      </c>
      <c r="B130" s="2" t="s">
        <v>363</v>
      </c>
      <c r="C130" s="7">
        <v>-500</v>
      </c>
      <c r="D130" s="2" t="s">
        <v>1079</v>
      </c>
      <c r="E130" s="2" t="s">
        <v>1080</v>
      </c>
    </row>
    <row r="131" spans="1:5" x14ac:dyDescent="0.25">
      <c r="A131" s="4">
        <v>46003</v>
      </c>
      <c r="B131" s="3" t="s">
        <v>366</v>
      </c>
      <c r="C131" s="8">
        <v>-500</v>
      </c>
      <c r="D131" s="3" t="s">
        <v>1081</v>
      </c>
      <c r="E131" s="3" t="s">
        <v>1082</v>
      </c>
    </row>
    <row r="132" spans="1:5" x14ac:dyDescent="0.25">
      <c r="A132" s="4">
        <v>46003</v>
      </c>
      <c r="B132" s="2" t="s">
        <v>346</v>
      </c>
      <c r="C132" s="7">
        <v>-500</v>
      </c>
      <c r="D132" s="2" t="s">
        <v>1083</v>
      </c>
      <c r="E132" s="2" t="s">
        <v>1084</v>
      </c>
    </row>
    <row r="133" spans="1:5" x14ac:dyDescent="0.25">
      <c r="A133" s="4">
        <v>46003</v>
      </c>
      <c r="B133" s="3" t="s">
        <v>366</v>
      </c>
      <c r="C133" s="8">
        <v>-500</v>
      </c>
      <c r="D133" s="3" t="s">
        <v>1085</v>
      </c>
      <c r="E133" s="3" t="s">
        <v>1086</v>
      </c>
    </row>
    <row r="134" spans="1:5" x14ac:dyDescent="0.25">
      <c r="A134" s="4">
        <v>46003</v>
      </c>
      <c r="B134" s="2" t="s">
        <v>1087</v>
      </c>
      <c r="C134" s="7">
        <v>-430</v>
      </c>
      <c r="D134" s="2" t="s">
        <v>1088</v>
      </c>
      <c r="E134" s="2" t="s">
        <v>1089</v>
      </c>
    </row>
    <row r="135" spans="1:5" x14ac:dyDescent="0.25">
      <c r="A135" s="4">
        <v>46003</v>
      </c>
      <c r="B135" s="3" t="s">
        <v>275</v>
      </c>
      <c r="C135" s="8">
        <v>-400</v>
      </c>
      <c r="D135" s="3" t="s">
        <v>1090</v>
      </c>
      <c r="E135" s="3" t="s">
        <v>1091</v>
      </c>
    </row>
    <row r="136" spans="1:5" x14ac:dyDescent="0.25">
      <c r="A136" s="4">
        <v>46003</v>
      </c>
      <c r="B136" s="3" t="s">
        <v>28</v>
      </c>
      <c r="C136" s="8">
        <v>-0.2</v>
      </c>
      <c r="D136" s="3" t="s">
        <v>7</v>
      </c>
      <c r="E136" s="3" t="s">
        <v>5</v>
      </c>
    </row>
    <row r="137" spans="1:5" x14ac:dyDescent="0.25">
      <c r="A137" s="4">
        <v>46004</v>
      </c>
      <c r="B137" s="2" t="s">
        <v>946</v>
      </c>
      <c r="C137" s="7">
        <v>-6115.3</v>
      </c>
      <c r="D137" s="2" t="s">
        <v>1060</v>
      </c>
      <c r="E137" s="2" t="s">
        <v>1061</v>
      </c>
    </row>
    <row r="138" spans="1:5" x14ac:dyDescent="0.25">
      <c r="A138" s="4">
        <v>46005</v>
      </c>
      <c r="B138" s="2" t="s">
        <v>28</v>
      </c>
      <c r="C138" s="7">
        <v>-0.3</v>
      </c>
      <c r="D138" s="2" t="s">
        <v>7</v>
      </c>
      <c r="E138" s="2" t="s">
        <v>5</v>
      </c>
    </row>
    <row r="139" spans="1:5" x14ac:dyDescent="0.25">
      <c r="A139" s="4">
        <v>46006</v>
      </c>
      <c r="B139" s="2" t="s">
        <v>28</v>
      </c>
      <c r="C139" s="7">
        <v>-0.05</v>
      </c>
      <c r="D139" s="2" t="s">
        <v>7</v>
      </c>
      <c r="E139" s="2" t="s">
        <v>5</v>
      </c>
    </row>
    <row r="140" spans="1:5" x14ac:dyDescent="0.25">
      <c r="A140" s="4">
        <v>46008</v>
      </c>
      <c r="B140" s="2" t="s">
        <v>28</v>
      </c>
      <c r="C140" s="7">
        <v>-0.05</v>
      </c>
      <c r="D140" s="2" t="s">
        <v>7</v>
      </c>
      <c r="E140" s="2" t="s">
        <v>5</v>
      </c>
    </row>
    <row r="141" spans="1:5" x14ac:dyDescent="0.25">
      <c r="A141" s="4">
        <v>46011</v>
      </c>
      <c r="B141" s="2" t="s">
        <v>596</v>
      </c>
      <c r="C141" s="7">
        <v>-550</v>
      </c>
      <c r="D141" s="2" t="s">
        <v>1007</v>
      </c>
      <c r="E141" s="2" t="s">
        <v>1008</v>
      </c>
    </row>
    <row r="142" spans="1:5" x14ac:dyDescent="0.25">
      <c r="A142" s="4">
        <v>46011</v>
      </c>
      <c r="B142" s="3" t="s">
        <v>330</v>
      </c>
      <c r="C142" s="8">
        <v>-504.3</v>
      </c>
      <c r="D142" s="3" t="s">
        <v>1009</v>
      </c>
      <c r="E142" s="3" t="s">
        <v>5</v>
      </c>
    </row>
    <row r="143" spans="1:5" x14ac:dyDescent="0.25">
      <c r="A143" s="4">
        <v>46011</v>
      </c>
      <c r="B143" s="2" t="s">
        <v>1010</v>
      </c>
      <c r="C143" s="7">
        <v>-500</v>
      </c>
      <c r="D143" s="2" t="s">
        <v>1011</v>
      </c>
      <c r="E143" s="2" t="s">
        <v>1012</v>
      </c>
    </row>
    <row r="144" spans="1:5" x14ac:dyDescent="0.25">
      <c r="A144" s="4">
        <v>46011</v>
      </c>
      <c r="B144" s="3" t="s">
        <v>1010</v>
      </c>
      <c r="C144" s="8">
        <v>-500</v>
      </c>
      <c r="D144" s="3" t="s">
        <v>1013</v>
      </c>
      <c r="E144" s="3" t="s">
        <v>1014</v>
      </c>
    </row>
    <row r="145" spans="1:5" x14ac:dyDescent="0.25">
      <c r="A145" s="4">
        <v>46011</v>
      </c>
      <c r="B145" s="2" t="s">
        <v>343</v>
      </c>
      <c r="C145" s="7">
        <v>-430</v>
      </c>
      <c r="D145" s="2" t="s">
        <v>1015</v>
      </c>
      <c r="E145" s="2" t="s">
        <v>1016</v>
      </c>
    </row>
    <row r="146" spans="1:5" x14ac:dyDescent="0.25">
      <c r="A146" s="4">
        <v>46011</v>
      </c>
      <c r="B146" s="3" t="s">
        <v>1017</v>
      </c>
      <c r="C146" s="8">
        <v>-380</v>
      </c>
      <c r="D146" s="3" t="s">
        <v>1018</v>
      </c>
      <c r="E146" s="3" t="s">
        <v>1019</v>
      </c>
    </row>
    <row r="147" spans="1:5" x14ac:dyDescent="0.25">
      <c r="A147" s="4">
        <v>46014</v>
      </c>
      <c r="B147" s="3" t="s">
        <v>330</v>
      </c>
      <c r="C147" s="8">
        <v>-24430.3</v>
      </c>
      <c r="D147" s="3" t="s">
        <v>980</v>
      </c>
      <c r="E147" s="3" t="s">
        <v>5</v>
      </c>
    </row>
    <row r="148" spans="1:5" x14ac:dyDescent="0.25">
      <c r="A148" s="4">
        <v>46014</v>
      </c>
      <c r="B148" s="2" t="s">
        <v>332</v>
      </c>
      <c r="C148" s="7">
        <v>-1320</v>
      </c>
      <c r="D148" s="2" t="s">
        <v>981</v>
      </c>
      <c r="E148" s="2" t="s">
        <v>982</v>
      </c>
    </row>
    <row r="149" spans="1:5" x14ac:dyDescent="0.25">
      <c r="A149" s="4">
        <v>46014</v>
      </c>
      <c r="B149" s="2" t="s">
        <v>28</v>
      </c>
      <c r="C149" s="7">
        <v>-1.25</v>
      </c>
      <c r="D149" s="2" t="s">
        <v>7</v>
      </c>
      <c r="E149" s="2" t="s">
        <v>5</v>
      </c>
    </row>
    <row r="150" spans="1:5" x14ac:dyDescent="0.25">
      <c r="A150" s="4">
        <v>46018</v>
      </c>
      <c r="B150" s="2" t="s">
        <v>946</v>
      </c>
      <c r="C150" s="7">
        <v>-11115.3</v>
      </c>
      <c r="D150" s="2" t="s">
        <v>947</v>
      </c>
      <c r="E150" s="2" t="s">
        <v>948</v>
      </c>
    </row>
    <row r="151" spans="1:5" x14ac:dyDescent="0.25">
      <c r="A151" s="4">
        <v>46018</v>
      </c>
      <c r="B151" s="3" t="s">
        <v>949</v>
      </c>
      <c r="C151" s="8">
        <v>-430</v>
      </c>
      <c r="D151" s="3" t="s">
        <v>950</v>
      </c>
      <c r="E151" s="3" t="s">
        <v>951</v>
      </c>
    </row>
    <row r="152" spans="1:5" x14ac:dyDescent="0.25">
      <c r="A152" s="4">
        <v>46018</v>
      </c>
      <c r="B152" s="2" t="s">
        <v>952</v>
      </c>
      <c r="C152" s="7">
        <v>-430</v>
      </c>
      <c r="D152" s="2" t="s">
        <v>953</v>
      </c>
      <c r="E152" s="2" t="s">
        <v>954</v>
      </c>
    </row>
    <row r="153" spans="1:5" x14ac:dyDescent="0.25">
      <c r="A153" s="4">
        <v>46018</v>
      </c>
      <c r="B153" s="3" t="s">
        <v>349</v>
      </c>
      <c r="C153" s="8">
        <v>-430</v>
      </c>
      <c r="D153" s="3" t="s">
        <v>955</v>
      </c>
      <c r="E153" s="3" t="s">
        <v>956</v>
      </c>
    </row>
    <row r="154" spans="1:5" x14ac:dyDescent="0.25">
      <c r="A154" s="4">
        <v>46019</v>
      </c>
      <c r="B154" s="2" t="s">
        <v>28</v>
      </c>
      <c r="C154" s="7">
        <v>-0.55000000000000004</v>
      </c>
      <c r="D154" s="2" t="s">
        <v>7</v>
      </c>
      <c r="E154" s="2" t="s">
        <v>5</v>
      </c>
    </row>
    <row r="155" spans="1:5" x14ac:dyDescent="0.25">
      <c r="A155" s="4">
        <v>46021</v>
      </c>
      <c r="B155" s="3" t="s">
        <v>919</v>
      </c>
      <c r="C155" s="8">
        <v>-41.26</v>
      </c>
      <c r="D155" s="3" t="s">
        <v>7</v>
      </c>
      <c r="E155" s="3" t="s">
        <v>5</v>
      </c>
    </row>
    <row r="156" spans="1:5" x14ac:dyDescent="0.25">
      <c r="A156" s="4">
        <v>46022</v>
      </c>
      <c r="B156" s="3" t="s">
        <v>592</v>
      </c>
      <c r="C156" s="8">
        <v>-15536</v>
      </c>
      <c r="D156" s="3" t="s">
        <v>889</v>
      </c>
      <c r="E156" s="3" t="s">
        <v>5</v>
      </c>
    </row>
    <row r="157" spans="1:5" x14ac:dyDescent="0.25">
      <c r="A157" s="4">
        <v>46022</v>
      </c>
      <c r="B157" s="2" t="s">
        <v>594</v>
      </c>
      <c r="C157" s="7">
        <v>-4776.3999999999996</v>
      </c>
      <c r="D157" s="2" t="s">
        <v>890</v>
      </c>
      <c r="E157" s="2" t="s">
        <v>5</v>
      </c>
    </row>
    <row r="158" spans="1:5" x14ac:dyDescent="0.25">
      <c r="A158" s="4">
        <v>46022</v>
      </c>
      <c r="B158" s="3" t="s">
        <v>891</v>
      </c>
      <c r="C158" s="8">
        <v>-2000</v>
      </c>
      <c r="D158" s="3" t="s">
        <v>892</v>
      </c>
      <c r="E158" s="3" t="s">
        <v>893</v>
      </c>
    </row>
    <row r="159" spans="1:5" x14ac:dyDescent="0.25">
      <c r="A159" s="4">
        <v>46022</v>
      </c>
      <c r="B159" s="2" t="s">
        <v>596</v>
      </c>
      <c r="C159" s="7">
        <v>-1000</v>
      </c>
      <c r="D159" s="2" t="s">
        <v>894</v>
      </c>
      <c r="E159" s="2" t="s">
        <v>895</v>
      </c>
    </row>
    <row r="160" spans="1:5" x14ac:dyDescent="0.25">
      <c r="A160" s="4">
        <v>46022</v>
      </c>
      <c r="B160" s="3" t="s">
        <v>275</v>
      </c>
      <c r="C160" s="8">
        <v>-400</v>
      </c>
      <c r="D160" s="3" t="s">
        <v>896</v>
      </c>
      <c r="E160" s="3" t="s">
        <v>897</v>
      </c>
    </row>
    <row r="161" spans="1:5" x14ac:dyDescent="0.25">
      <c r="A161" s="4">
        <v>46022</v>
      </c>
      <c r="B161" s="2" t="s">
        <v>272</v>
      </c>
      <c r="C161" s="7">
        <v>-300</v>
      </c>
      <c r="D161" s="2" t="s">
        <v>898</v>
      </c>
      <c r="E161" s="2" t="s">
        <v>899</v>
      </c>
    </row>
    <row r="162" spans="1:5" x14ac:dyDescent="0.25">
      <c r="A162" s="4">
        <v>46022</v>
      </c>
      <c r="B162" s="3" t="s">
        <v>900</v>
      </c>
      <c r="C162" s="8">
        <v>-260</v>
      </c>
      <c r="D162" s="3" t="s">
        <v>901</v>
      </c>
      <c r="E162" s="3" t="s">
        <v>902</v>
      </c>
    </row>
    <row r="163" spans="1:5" x14ac:dyDescent="0.25">
      <c r="A163" s="4">
        <v>46022</v>
      </c>
      <c r="B163" s="2" t="s">
        <v>903</v>
      </c>
      <c r="C163" s="7">
        <v>-240</v>
      </c>
      <c r="D163" s="2" t="s">
        <v>904</v>
      </c>
      <c r="E163" s="2" t="s">
        <v>905</v>
      </c>
    </row>
    <row r="164" spans="1:5" x14ac:dyDescent="0.25">
      <c r="A164" s="4">
        <v>46022</v>
      </c>
      <c r="B164" s="3" t="s">
        <v>906</v>
      </c>
      <c r="C164" s="8">
        <v>-109.8</v>
      </c>
      <c r="D164" s="3" t="s">
        <v>907</v>
      </c>
      <c r="E164" s="3" t="s">
        <v>5</v>
      </c>
    </row>
    <row r="165" spans="1:5" x14ac:dyDescent="0.25">
      <c r="A165" s="4">
        <v>46022</v>
      </c>
      <c r="B165" s="2" t="s">
        <v>708</v>
      </c>
      <c r="C165" s="7">
        <v>-61</v>
      </c>
      <c r="D165" s="2" t="s">
        <v>908</v>
      </c>
      <c r="E165" s="2" t="s">
        <v>5</v>
      </c>
    </row>
    <row r="166" spans="1:5" x14ac:dyDescent="0.25">
      <c r="A166" s="4">
        <v>46022</v>
      </c>
      <c r="B166" s="3" t="s">
        <v>6</v>
      </c>
      <c r="C166" s="8">
        <v>-35</v>
      </c>
      <c r="D166" s="3" t="s">
        <v>7</v>
      </c>
      <c r="E166" s="3" t="s">
        <v>5</v>
      </c>
    </row>
    <row r="167" spans="1:5" x14ac:dyDescent="0.25">
      <c r="A167" s="4">
        <v>46022</v>
      </c>
      <c r="B167" s="2" t="s">
        <v>12</v>
      </c>
      <c r="C167" s="7">
        <v>-5.5</v>
      </c>
      <c r="D167" s="2" t="s">
        <v>888</v>
      </c>
      <c r="E167" s="2" t="s">
        <v>5</v>
      </c>
    </row>
    <row r="168" spans="1:5" x14ac:dyDescent="0.25">
      <c r="A168" s="4">
        <v>46022</v>
      </c>
      <c r="B168" s="2" t="s">
        <v>28</v>
      </c>
      <c r="C168" s="7">
        <v>-1.1000000000000001</v>
      </c>
      <c r="D168" s="2" t="s">
        <v>7</v>
      </c>
      <c r="E168" s="2" t="s">
        <v>5</v>
      </c>
    </row>
  </sheetData>
  <autoFilter ref="A1:E168" xr:uid="{E05CAD5A-E6FB-48CE-884D-D589205992A2}">
    <sortState xmlns:xlrd2="http://schemas.microsoft.com/office/spreadsheetml/2017/richdata2" ref="A2:E168">
      <sortCondition ref="A1:A16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92D7-A728-4E14-B934-A972B3C708D4}">
  <dimension ref="A1:A20"/>
  <sheetViews>
    <sheetView workbookViewId="0"/>
  </sheetViews>
  <sheetFormatPr baseColWidth="10" defaultRowHeight="15" x14ac:dyDescent="0.25"/>
  <cols>
    <col min="1" max="1" width="22.85546875" customWidth="1"/>
  </cols>
  <sheetData>
    <row r="1" spans="1:1" x14ac:dyDescent="0.25">
      <c r="A1" s="23" t="s">
        <v>1483</v>
      </c>
    </row>
    <row r="2" spans="1:1" x14ac:dyDescent="0.25">
      <c r="A2" s="24" t="s">
        <v>1484</v>
      </c>
    </row>
    <row r="3" spans="1:1" x14ac:dyDescent="0.25">
      <c r="A3" s="24" t="s">
        <v>1485</v>
      </c>
    </row>
    <row r="4" spans="1:1" x14ac:dyDescent="0.25">
      <c r="A4" s="24" t="s">
        <v>1486</v>
      </c>
    </row>
    <row r="5" spans="1:1" x14ac:dyDescent="0.25">
      <c r="A5" s="24" t="s">
        <v>1487</v>
      </c>
    </row>
    <row r="6" spans="1:1" x14ac:dyDescent="0.25">
      <c r="A6" s="24" t="s">
        <v>1488</v>
      </c>
    </row>
    <row r="7" spans="1:1" x14ac:dyDescent="0.25">
      <c r="A7" s="24" t="s">
        <v>1489</v>
      </c>
    </row>
    <row r="8" spans="1:1" x14ac:dyDescent="0.25">
      <c r="A8" s="24" t="s">
        <v>1490</v>
      </c>
    </row>
    <row r="9" spans="1:1" x14ac:dyDescent="0.25">
      <c r="A9" s="24" t="s">
        <v>1491</v>
      </c>
    </row>
    <row r="10" spans="1:1" x14ac:dyDescent="0.25">
      <c r="A10" s="24" t="s">
        <v>1492</v>
      </c>
    </row>
    <row r="11" spans="1:1" x14ac:dyDescent="0.25">
      <c r="A11" s="24" t="s">
        <v>1493</v>
      </c>
    </row>
    <row r="12" spans="1:1" x14ac:dyDescent="0.25">
      <c r="A12" s="24" t="s">
        <v>1494</v>
      </c>
    </row>
    <row r="13" spans="1:1" x14ac:dyDescent="0.25">
      <c r="A13" s="24" t="s">
        <v>1495</v>
      </c>
    </row>
    <row r="14" spans="1:1" x14ac:dyDescent="0.25">
      <c r="A14" s="24" t="s">
        <v>2069</v>
      </c>
    </row>
    <row r="15" spans="1:1" x14ac:dyDescent="0.25">
      <c r="A15" s="24" t="s">
        <v>1497</v>
      </c>
    </row>
    <row r="16" spans="1:1" x14ac:dyDescent="0.25">
      <c r="A16" s="24" t="s">
        <v>1499</v>
      </c>
    </row>
    <row r="17" spans="1:1" x14ac:dyDescent="0.25">
      <c r="A17" s="24" t="s">
        <v>1500</v>
      </c>
    </row>
    <row r="18" spans="1:1" x14ac:dyDescent="0.25">
      <c r="A18" s="24" t="s">
        <v>1498</v>
      </c>
    </row>
    <row r="19" spans="1:1" x14ac:dyDescent="0.25">
      <c r="A19" s="24" t="s">
        <v>1496</v>
      </c>
    </row>
    <row r="20" spans="1:1" x14ac:dyDescent="0.25">
      <c r="A20" s="24" t="s">
        <v>2068</v>
      </c>
    </row>
  </sheetData>
  <autoFilter ref="A1:A20" xr:uid="{571692D7-A728-4E14-B934-A972B3C708D4}"/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842F-0AD2-446B-B146-3ECE764CF17C}">
  <dimension ref="A1:C205"/>
  <sheetViews>
    <sheetView showGridLines="0" workbookViewId="0">
      <pane ySplit="1" topLeftCell="A197" activePane="bottomLeft" state="frozen"/>
      <selection pane="bottomLeft" activeCell="B204" sqref="B204"/>
    </sheetView>
  </sheetViews>
  <sheetFormatPr baseColWidth="10" defaultRowHeight="15" x14ac:dyDescent="0.25"/>
  <cols>
    <col min="1" max="1" width="8.7109375" bestFit="1" customWidth="1"/>
    <col min="2" max="2" width="81.42578125" bestFit="1" customWidth="1"/>
    <col min="3" max="3" width="10.28515625" style="11" bestFit="1" customWidth="1"/>
  </cols>
  <sheetData>
    <row r="1" spans="1:3" x14ac:dyDescent="0.25">
      <c r="A1" s="23" t="s">
        <v>1509</v>
      </c>
      <c r="B1" s="23" t="s">
        <v>1510</v>
      </c>
      <c r="C1" s="24" t="s">
        <v>1511</v>
      </c>
    </row>
    <row r="2" spans="1:3" x14ac:dyDescent="0.25">
      <c r="A2" s="14" t="s">
        <v>1512</v>
      </c>
      <c r="B2" s="17" t="s">
        <v>1513</v>
      </c>
      <c r="C2" s="14" t="s">
        <v>1514</v>
      </c>
    </row>
    <row r="3" spans="1:3" x14ac:dyDescent="0.25">
      <c r="A3" s="14" t="s">
        <v>1501</v>
      </c>
      <c r="B3" s="17" t="s">
        <v>1515</v>
      </c>
      <c r="C3" s="14" t="s">
        <v>1516</v>
      </c>
    </row>
    <row r="4" spans="1:3" x14ac:dyDescent="0.25">
      <c r="A4" s="14" t="s">
        <v>1517</v>
      </c>
      <c r="B4" s="17" t="s">
        <v>1518</v>
      </c>
      <c r="C4" s="14" t="s">
        <v>1519</v>
      </c>
    </row>
    <row r="5" spans="1:3" x14ac:dyDescent="0.25">
      <c r="A5" s="14" t="s">
        <v>1520</v>
      </c>
      <c r="B5" s="17" t="s">
        <v>1521</v>
      </c>
      <c r="C5" s="14" t="s">
        <v>1522</v>
      </c>
    </row>
    <row r="6" spans="1:3" x14ac:dyDescent="0.25">
      <c r="A6" s="14" t="s">
        <v>1523</v>
      </c>
      <c r="B6" s="17" t="s">
        <v>1524</v>
      </c>
      <c r="C6" s="14" t="s">
        <v>1525</v>
      </c>
    </row>
    <row r="7" spans="1:3" x14ac:dyDescent="0.25">
      <c r="A7" s="14" t="s">
        <v>1526</v>
      </c>
      <c r="B7" s="17" t="s">
        <v>1294</v>
      </c>
      <c r="C7" s="14" t="s">
        <v>1527</v>
      </c>
    </row>
    <row r="8" spans="1:3" x14ac:dyDescent="0.25">
      <c r="A8" s="14" t="s">
        <v>1528</v>
      </c>
      <c r="B8" s="17" t="s">
        <v>1422</v>
      </c>
      <c r="C8" s="14" t="s">
        <v>1529</v>
      </c>
    </row>
    <row r="9" spans="1:3" x14ac:dyDescent="0.25">
      <c r="A9" s="14" t="s">
        <v>1530</v>
      </c>
      <c r="B9" s="17" t="s">
        <v>1531</v>
      </c>
      <c r="C9" s="14" t="s">
        <v>1532</v>
      </c>
    </row>
    <row r="10" spans="1:3" x14ac:dyDescent="0.25">
      <c r="A10" s="14" t="s">
        <v>1533</v>
      </c>
      <c r="B10" s="17" t="s">
        <v>1427</v>
      </c>
      <c r="C10" s="14" t="s">
        <v>1534</v>
      </c>
    </row>
    <row r="11" spans="1:3" x14ac:dyDescent="0.25">
      <c r="A11" s="14" t="s">
        <v>1535</v>
      </c>
      <c r="B11" s="17" t="s">
        <v>1536</v>
      </c>
      <c r="C11" s="14" t="s">
        <v>1537</v>
      </c>
    </row>
    <row r="12" spans="1:3" x14ac:dyDescent="0.25">
      <c r="A12" s="14" t="s">
        <v>1538</v>
      </c>
      <c r="B12" s="17" t="s">
        <v>1539</v>
      </c>
      <c r="C12" s="14" t="s">
        <v>1540</v>
      </c>
    </row>
    <row r="13" spans="1:3" x14ac:dyDescent="0.25">
      <c r="A13" s="14" t="s">
        <v>1502</v>
      </c>
      <c r="B13" s="17" t="s">
        <v>1541</v>
      </c>
      <c r="C13" s="14" t="s">
        <v>1542</v>
      </c>
    </row>
    <row r="14" spans="1:3" x14ac:dyDescent="0.25">
      <c r="A14" s="14" t="s">
        <v>1543</v>
      </c>
      <c r="B14" s="17" t="s">
        <v>1393</v>
      </c>
      <c r="C14" s="14" t="s">
        <v>1544</v>
      </c>
    </row>
    <row r="15" spans="1:3" x14ac:dyDescent="0.25">
      <c r="A15" s="14" t="s">
        <v>1545</v>
      </c>
      <c r="B15" s="17" t="s">
        <v>1546</v>
      </c>
      <c r="C15" s="14" t="s">
        <v>1547</v>
      </c>
    </row>
    <row r="16" spans="1:3" x14ac:dyDescent="0.25">
      <c r="A16" s="14" t="s">
        <v>1548</v>
      </c>
      <c r="B16" s="17" t="s">
        <v>1549</v>
      </c>
      <c r="C16" s="14" t="s">
        <v>1550</v>
      </c>
    </row>
    <row r="17" spans="1:3" x14ac:dyDescent="0.25">
      <c r="A17" s="14" t="s">
        <v>1551</v>
      </c>
      <c r="B17" s="17" t="s">
        <v>1552</v>
      </c>
      <c r="C17" s="14" t="s">
        <v>1553</v>
      </c>
    </row>
    <row r="18" spans="1:3" x14ac:dyDescent="0.25">
      <c r="A18" s="14" t="s">
        <v>1554</v>
      </c>
      <c r="B18" s="17" t="s">
        <v>1555</v>
      </c>
      <c r="C18" s="14" t="s">
        <v>1556</v>
      </c>
    </row>
    <row r="19" spans="1:3" x14ac:dyDescent="0.25">
      <c r="A19" s="14" t="s">
        <v>1557</v>
      </c>
      <c r="B19" s="17" t="s">
        <v>1558</v>
      </c>
      <c r="C19" s="14" t="s">
        <v>1559</v>
      </c>
    </row>
    <row r="20" spans="1:3" x14ac:dyDescent="0.25">
      <c r="A20" s="14" t="s">
        <v>1560</v>
      </c>
      <c r="B20" s="17" t="s">
        <v>1561</v>
      </c>
      <c r="C20" s="14" t="s">
        <v>1562</v>
      </c>
    </row>
    <row r="21" spans="1:3" x14ac:dyDescent="0.25">
      <c r="A21" s="14" t="s">
        <v>1563</v>
      </c>
      <c r="B21" s="17" t="s">
        <v>1300</v>
      </c>
      <c r="C21" s="14" t="s">
        <v>1564</v>
      </c>
    </row>
    <row r="22" spans="1:3" x14ac:dyDescent="0.25">
      <c r="A22" s="14" t="s">
        <v>1565</v>
      </c>
      <c r="B22" s="17" t="s">
        <v>1566</v>
      </c>
      <c r="C22" s="14" t="s">
        <v>1567</v>
      </c>
    </row>
    <row r="23" spans="1:3" x14ac:dyDescent="0.25">
      <c r="A23" s="14" t="s">
        <v>1505</v>
      </c>
      <c r="B23" s="17" t="s">
        <v>1568</v>
      </c>
      <c r="C23" s="14" t="s">
        <v>1569</v>
      </c>
    </row>
    <row r="24" spans="1:3" x14ac:dyDescent="0.25">
      <c r="A24" s="14" t="s">
        <v>1570</v>
      </c>
      <c r="B24" s="17" t="s">
        <v>1213</v>
      </c>
      <c r="C24" s="14" t="s">
        <v>1571</v>
      </c>
    </row>
    <row r="25" spans="1:3" x14ac:dyDescent="0.25">
      <c r="A25" s="14" t="s">
        <v>1572</v>
      </c>
      <c r="B25" s="17" t="s">
        <v>1268</v>
      </c>
      <c r="C25" s="14" t="s">
        <v>1573</v>
      </c>
    </row>
    <row r="26" spans="1:3" x14ac:dyDescent="0.25">
      <c r="A26" s="14" t="s">
        <v>1574</v>
      </c>
      <c r="B26" s="17" t="s">
        <v>1575</v>
      </c>
      <c r="C26" s="14" t="s">
        <v>1576</v>
      </c>
    </row>
    <row r="27" spans="1:3" x14ac:dyDescent="0.25">
      <c r="A27" s="14" t="s">
        <v>1577</v>
      </c>
      <c r="B27" s="17" t="s">
        <v>1440</v>
      </c>
      <c r="C27" s="14" t="s">
        <v>1578</v>
      </c>
    </row>
    <row r="28" spans="1:3" x14ac:dyDescent="0.25">
      <c r="A28" s="14" t="s">
        <v>1579</v>
      </c>
      <c r="B28" s="17" t="s">
        <v>1580</v>
      </c>
      <c r="C28" s="14" t="s">
        <v>1581</v>
      </c>
    </row>
    <row r="29" spans="1:3" x14ac:dyDescent="0.25">
      <c r="A29" s="14" t="s">
        <v>1582</v>
      </c>
      <c r="B29" s="17" t="s">
        <v>1583</v>
      </c>
      <c r="C29" s="14" t="s">
        <v>1584</v>
      </c>
    </row>
    <row r="30" spans="1:3" x14ac:dyDescent="0.25">
      <c r="A30" s="14" t="s">
        <v>1585</v>
      </c>
      <c r="B30" s="17" t="s">
        <v>1586</v>
      </c>
      <c r="C30" s="14" t="s">
        <v>1587</v>
      </c>
    </row>
    <row r="31" spans="1:3" x14ac:dyDescent="0.25">
      <c r="A31" s="14" t="s">
        <v>1588</v>
      </c>
      <c r="B31" s="17" t="s">
        <v>1327</v>
      </c>
      <c r="C31" s="14" t="s">
        <v>1589</v>
      </c>
    </row>
    <row r="32" spans="1:3" x14ac:dyDescent="0.25">
      <c r="A32" s="14" t="s">
        <v>1590</v>
      </c>
      <c r="B32" s="17" t="s">
        <v>1462</v>
      </c>
      <c r="C32" s="14" t="s">
        <v>1591</v>
      </c>
    </row>
    <row r="33" spans="1:3" x14ac:dyDescent="0.25">
      <c r="A33" s="14" t="s">
        <v>1503</v>
      </c>
      <c r="B33" s="17" t="s">
        <v>1287</v>
      </c>
      <c r="C33" s="14" t="s">
        <v>1592</v>
      </c>
    </row>
    <row r="34" spans="1:3" x14ac:dyDescent="0.25">
      <c r="A34" s="14" t="s">
        <v>1593</v>
      </c>
      <c r="B34" s="17" t="s">
        <v>1594</v>
      </c>
      <c r="C34" s="14" t="s">
        <v>1595</v>
      </c>
    </row>
    <row r="35" spans="1:3" x14ac:dyDescent="0.25">
      <c r="A35" s="14" t="s">
        <v>1596</v>
      </c>
      <c r="B35" s="17" t="s">
        <v>1597</v>
      </c>
      <c r="C35" s="14" t="s">
        <v>1598</v>
      </c>
    </row>
    <row r="36" spans="1:3" x14ac:dyDescent="0.25">
      <c r="A36" s="14" t="s">
        <v>1599</v>
      </c>
      <c r="B36" s="17" t="s">
        <v>1600</v>
      </c>
      <c r="C36" s="14" t="s">
        <v>1601</v>
      </c>
    </row>
    <row r="37" spans="1:3" x14ac:dyDescent="0.25">
      <c r="A37" s="14" t="s">
        <v>1602</v>
      </c>
      <c r="B37" s="17" t="s">
        <v>1603</v>
      </c>
      <c r="C37" s="14" t="s">
        <v>1604</v>
      </c>
    </row>
    <row r="38" spans="1:3" x14ac:dyDescent="0.25">
      <c r="A38" s="14" t="s">
        <v>1605</v>
      </c>
      <c r="B38" s="17" t="s">
        <v>1606</v>
      </c>
      <c r="C38" s="14" t="s">
        <v>1607</v>
      </c>
    </row>
    <row r="39" spans="1:3" x14ac:dyDescent="0.25">
      <c r="A39" s="14" t="s">
        <v>1608</v>
      </c>
      <c r="B39" s="17" t="s">
        <v>1609</v>
      </c>
      <c r="C39" s="14" t="s">
        <v>1610</v>
      </c>
    </row>
    <row r="40" spans="1:3" x14ac:dyDescent="0.25">
      <c r="A40" s="14" t="s">
        <v>1611</v>
      </c>
      <c r="B40" s="17" t="s">
        <v>1612</v>
      </c>
      <c r="C40" s="14" t="s">
        <v>1613</v>
      </c>
    </row>
    <row r="41" spans="1:3" x14ac:dyDescent="0.25">
      <c r="A41" s="14" t="s">
        <v>1614</v>
      </c>
      <c r="B41" s="17" t="s">
        <v>1615</v>
      </c>
      <c r="C41" s="14" t="s">
        <v>1616</v>
      </c>
    </row>
    <row r="42" spans="1:3" x14ac:dyDescent="0.25">
      <c r="A42" s="14" t="s">
        <v>1617</v>
      </c>
      <c r="B42" s="17" t="s">
        <v>1234</v>
      </c>
      <c r="C42" s="14" t="s">
        <v>1618</v>
      </c>
    </row>
    <row r="43" spans="1:3" x14ac:dyDescent="0.25">
      <c r="A43" s="14" t="s">
        <v>1504</v>
      </c>
      <c r="B43" s="17" t="s">
        <v>1619</v>
      </c>
      <c r="C43" s="14" t="s">
        <v>1620</v>
      </c>
    </row>
    <row r="44" spans="1:3" x14ac:dyDescent="0.25">
      <c r="A44" s="14" t="s">
        <v>1621</v>
      </c>
      <c r="B44" s="17" t="s">
        <v>1622</v>
      </c>
      <c r="C44" s="14" t="s">
        <v>1623</v>
      </c>
    </row>
    <row r="45" spans="1:3" x14ac:dyDescent="0.25">
      <c r="A45" s="14" t="s">
        <v>1624</v>
      </c>
      <c r="B45" s="17" t="s">
        <v>1466</v>
      </c>
      <c r="C45" s="14" t="s">
        <v>1625</v>
      </c>
    </row>
    <row r="46" spans="1:3" x14ac:dyDescent="0.25">
      <c r="A46" s="14" t="s">
        <v>1626</v>
      </c>
      <c r="B46" s="17" t="s">
        <v>1627</v>
      </c>
      <c r="C46" s="14" t="s">
        <v>1628</v>
      </c>
    </row>
    <row r="47" spans="1:3" x14ac:dyDescent="0.25">
      <c r="A47" s="14" t="s">
        <v>1629</v>
      </c>
      <c r="B47" s="17" t="s">
        <v>1630</v>
      </c>
      <c r="C47" s="14" t="s">
        <v>1631</v>
      </c>
    </row>
    <row r="48" spans="1:3" x14ac:dyDescent="0.25">
      <c r="A48" s="14" t="s">
        <v>1632</v>
      </c>
      <c r="B48" s="17" t="s">
        <v>1633</v>
      </c>
      <c r="C48" s="14" t="s">
        <v>1634</v>
      </c>
    </row>
    <row r="49" spans="1:3" x14ac:dyDescent="0.25">
      <c r="A49" s="14" t="s">
        <v>1635</v>
      </c>
      <c r="B49" s="17" t="s">
        <v>1636</v>
      </c>
      <c r="C49" s="14" t="s">
        <v>1637</v>
      </c>
    </row>
    <row r="50" spans="1:3" x14ac:dyDescent="0.25">
      <c r="A50" s="14" t="s">
        <v>1638</v>
      </c>
      <c r="B50" s="17" t="s">
        <v>1356</v>
      </c>
      <c r="C50" s="14" t="s">
        <v>1639</v>
      </c>
    </row>
    <row r="51" spans="1:3" x14ac:dyDescent="0.25">
      <c r="A51" s="14" t="s">
        <v>1640</v>
      </c>
      <c r="B51" s="17" t="s">
        <v>1349</v>
      </c>
      <c r="C51" s="14" t="s">
        <v>1641</v>
      </c>
    </row>
    <row r="52" spans="1:3" x14ac:dyDescent="0.25">
      <c r="A52" s="14" t="s">
        <v>1642</v>
      </c>
      <c r="B52" s="17" t="s">
        <v>1643</v>
      </c>
      <c r="C52" s="14" t="s">
        <v>1644</v>
      </c>
    </row>
    <row r="53" spans="1:3" x14ac:dyDescent="0.25">
      <c r="A53" s="14" t="s">
        <v>1507</v>
      </c>
      <c r="B53" s="17" t="s">
        <v>1645</v>
      </c>
      <c r="C53" s="14" t="s">
        <v>1646</v>
      </c>
    </row>
    <row r="54" spans="1:3" x14ac:dyDescent="0.25">
      <c r="A54" s="14" t="s">
        <v>1647</v>
      </c>
      <c r="B54" s="17" t="s">
        <v>1648</v>
      </c>
      <c r="C54" s="14" t="s">
        <v>1649</v>
      </c>
    </row>
    <row r="55" spans="1:3" x14ac:dyDescent="0.25">
      <c r="A55" s="14" t="s">
        <v>1650</v>
      </c>
      <c r="B55" s="17" t="s">
        <v>1651</v>
      </c>
      <c r="C55" s="14" t="s">
        <v>1652</v>
      </c>
    </row>
    <row r="56" spans="1:3" x14ac:dyDescent="0.25">
      <c r="A56" s="14" t="s">
        <v>1653</v>
      </c>
      <c r="B56" s="17" t="s">
        <v>1654</v>
      </c>
      <c r="C56" s="14" t="s">
        <v>1655</v>
      </c>
    </row>
    <row r="57" spans="1:3" x14ac:dyDescent="0.25">
      <c r="A57" s="14" t="s">
        <v>1656</v>
      </c>
      <c r="B57" s="17" t="s">
        <v>1657</v>
      </c>
      <c r="C57" s="14" t="s">
        <v>1658</v>
      </c>
    </row>
    <row r="58" spans="1:3" x14ac:dyDescent="0.25">
      <c r="A58" s="14" t="s">
        <v>1659</v>
      </c>
      <c r="B58" s="17" t="s">
        <v>1319</v>
      </c>
      <c r="C58" s="14" t="s">
        <v>1660</v>
      </c>
    </row>
    <row r="59" spans="1:3" x14ac:dyDescent="0.25">
      <c r="A59" s="14" t="s">
        <v>1661</v>
      </c>
      <c r="B59" s="17" t="s">
        <v>1662</v>
      </c>
      <c r="C59" s="14" t="s">
        <v>1663</v>
      </c>
    </row>
    <row r="60" spans="1:3" x14ac:dyDescent="0.25">
      <c r="A60" s="14" t="s">
        <v>1664</v>
      </c>
      <c r="B60" s="17" t="s">
        <v>1665</v>
      </c>
      <c r="C60" s="14" t="s">
        <v>1666</v>
      </c>
    </row>
    <row r="61" spans="1:3" x14ac:dyDescent="0.25">
      <c r="A61" s="14" t="s">
        <v>1667</v>
      </c>
      <c r="B61" s="17" t="s">
        <v>1668</v>
      </c>
      <c r="C61" s="14" t="s">
        <v>1669</v>
      </c>
    </row>
    <row r="62" spans="1:3" x14ac:dyDescent="0.25">
      <c r="A62" s="14" t="s">
        <v>1670</v>
      </c>
      <c r="B62" s="17" t="s">
        <v>1671</v>
      </c>
      <c r="C62" s="14" t="s">
        <v>1672</v>
      </c>
    </row>
    <row r="63" spans="1:3" x14ac:dyDescent="0.25">
      <c r="A63" s="14" t="s">
        <v>1506</v>
      </c>
      <c r="B63" s="17" t="s">
        <v>1673</v>
      </c>
      <c r="C63" s="14" t="s">
        <v>1674</v>
      </c>
    </row>
    <row r="64" spans="1:3" x14ac:dyDescent="0.25">
      <c r="A64" s="14" t="s">
        <v>1675</v>
      </c>
      <c r="B64" s="17" t="s">
        <v>1270</v>
      </c>
      <c r="C64" s="14" t="s">
        <v>1676</v>
      </c>
    </row>
    <row r="65" spans="1:3" x14ac:dyDescent="0.25">
      <c r="A65" s="14" t="s">
        <v>1677</v>
      </c>
      <c r="B65" s="17" t="s">
        <v>1678</v>
      </c>
      <c r="C65" s="14" t="s">
        <v>1679</v>
      </c>
    </row>
    <row r="66" spans="1:3" x14ac:dyDescent="0.25">
      <c r="A66" s="14" t="s">
        <v>1680</v>
      </c>
      <c r="B66" s="17" t="s">
        <v>1681</v>
      </c>
      <c r="C66" s="14" t="s">
        <v>1682</v>
      </c>
    </row>
    <row r="67" spans="1:3" x14ac:dyDescent="0.25">
      <c r="A67" s="14" t="s">
        <v>1683</v>
      </c>
      <c r="B67" s="17" t="s">
        <v>1446</v>
      </c>
      <c r="C67" s="14" t="s">
        <v>1684</v>
      </c>
    </row>
    <row r="68" spans="1:3" x14ac:dyDescent="0.25">
      <c r="A68" s="14" t="s">
        <v>1685</v>
      </c>
      <c r="B68" s="17" t="s">
        <v>1686</v>
      </c>
      <c r="C68" s="14" t="s">
        <v>1687</v>
      </c>
    </row>
    <row r="69" spans="1:3" x14ac:dyDescent="0.25">
      <c r="A69" s="14" t="s">
        <v>1688</v>
      </c>
      <c r="B69" s="17" t="s">
        <v>1689</v>
      </c>
      <c r="C69" s="14" t="s">
        <v>1690</v>
      </c>
    </row>
    <row r="70" spans="1:3" x14ac:dyDescent="0.25">
      <c r="A70" s="14" t="s">
        <v>1691</v>
      </c>
      <c r="B70" s="17" t="s">
        <v>1692</v>
      </c>
      <c r="C70" s="14" t="s">
        <v>1693</v>
      </c>
    </row>
    <row r="71" spans="1:3" x14ac:dyDescent="0.25">
      <c r="A71" s="14" t="s">
        <v>1694</v>
      </c>
      <c r="B71" s="17" t="s">
        <v>1695</v>
      </c>
      <c r="C71" s="14" t="s">
        <v>1696</v>
      </c>
    </row>
    <row r="72" spans="1:3" x14ac:dyDescent="0.25">
      <c r="A72" s="14" t="s">
        <v>1697</v>
      </c>
      <c r="B72" s="17" t="s">
        <v>1698</v>
      </c>
      <c r="C72" s="14" t="s">
        <v>1699</v>
      </c>
    </row>
    <row r="73" spans="1:3" x14ac:dyDescent="0.25">
      <c r="A73" s="14" t="s">
        <v>1700</v>
      </c>
      <c r="B73" s="17" t="s">
        <v>1701</v>
      </c>
      <c r="C73" s="14" t="s">
        <v>1702</v>
      </c>
    </row>
    <row r="74" spans="1:3" x14ac:dyDescent="0.25">
      <c r="A74" s="14" t="s">
        <v>1703</v>
      </c>
      <c r="B74" s="17" t="s">
        <v>1704</v>
      </c>
      <c r="C74" s="14" t="s">
        <v>1705</v>
      </c>
    </row>
    <row r="75" spans="1:3" x14ac:dyDescent="0.25">
      <c r="A75" s="14" t="s">
        <v>1706</v>
      </c>
      <c r="B75" s="17" t="s">
        <v>1707</v>
      </c>
      <c r="C75" s="14" t="s">
        <v>1708</v>
      </c>
    </row>
    <row r="76" spans="1:3" x14ac:dyDescent="0.25">
      <c r="A76" s="14" t="s">
        <v>1709</v>
      </c>
      <c r="B76" s="17" t="s">
        <v>1263</v>
      </c>
      <c r="C76" s="14" t="s">
        <v>1710</v>
      </c>
    </row>
    <row r="77" spans="1:3" x14ac:dyDescent="0.25">
      <c r="A77" s="14" t="s">
        <v>1711</v>
      </c>
      <c r="B77" s="17" t="s">
        <v>1712</v>
      </c>
      <c r="C77" s="14" t="s">
        <v>1713</v>
      </c>
    </row>
    <row r="78" spans="1:3" x14ac:dyDescent="0.25">
      <c r="A78" s="14" t="s">
        <v>1714</v>
      </c>
      <c r="B78" s="17" t="s">
        <v>1715</v>
      </c>
      <c r="C78" s="14" t="s">
        <v>1716</v>
      </c>
    </row>
    <row r="79" spans="1:3" x14ac:dyDescent="0.25">
      <c r="A79" s="14" t="s">
        <v>1717</v>
      </c>
      <c r="B79" s="17" t="s">
        <v>1718</v>
      </c>
      <c r="C79" s="14" t="s">
        <v>1719</v>
      </c>
    </row>
    <row r="80" spans="1:3" x14ac:dyDescent="0.25">
      <c r="A80" s="14" t="s">
        <v>1720</v>
      </c>
      <c r="B80" s="17" t="s">
        <v>1721</v>
      </c>
      <c r="C80" s="14" t="s">
        <v>1722</v>
      </c>
    </row>
    <row r="81" spans="1:3" x14ac:dyDescent="0.25">
      <c r="A81" s="14" t="s">
        <v>1723</v>
      </c>
      <c r="B81" s="17" t="s">
        <v>1724</v>
      </c>
      <c r="C81" s="14" t="s">
        <v>1725</v>
      </c>
    </row>
    <row r="82" spans="1:3" x14ac:dyDescent="0.25">
      <c r="A82" s="14" t="s">
        <v>1726</v>
      </c>
      <c r="B82" s="17" t="s">
        <v>1223</v>
      </c>
      <c r="C82" s="14" t="s">
        <v>1727</v>
      </c>
    </row>
    <row r="83" spans="1:3" x14ac:dyDescent="0.25">
      <c r="A83" s="14" t="s">
        <v>1728</v>
      </c>
      <c r="B83" s="17" t="s">
        <v>1729</v>
      </c>
      <c r="C83" s="14" t="s">
        <v>1730</v>
      </c>
    </row>
    <row r="84" spans="1:3" x14ac:dyDescent="0.25">
      <c r="A84" s="14" t="s">
        <v>1731</v>
      </c>
      <c r="B84" s="17" t="s">
        <v>1217</v>
      </c>
      <c r="C84" s="14" t="s">
        <v>1732</v>
      </c>
    </row>
    <row r="85" spans="1:3" x14ac:dyDescent="0.25">
      <c r="A85" s="14" t="s">
        <v>1733</v>
      </c>
      <c r="B85" s="17" t="s">
        <v>1734</v>
      </c>
      <c r="C85" s="14" t="s">
        <v>1735</v>
      </c>
    </row>
    <row r="86" spans="1:3" x14ac:dyDescent="0.25">
      <c r="A86" s="14" t="s">
        <v>1736</v>
      </c>
      <c r="B86" s="17" t="s">
        <v>1737</v>
      </c>
      <c r="C86" s="14" t="s">
        <v>1738</v>
      </c>
    </row>
    <row r="87" spans="1:3" x14ac:dyDescent="0.25">
      <c r="A87" s="14" t="s">
        <v>1739</v>
      </c>
      <c r="B87" s="17" t="s">
        <v>1740</v>
      </c>
      <c r="C87" s="14" t="s">
        <v>1741</v>
      </c>
    </row>
    <row r="88" spans="1:3" x14ac:dyDescent="0.25">
      <c r="A88" s="14" t="s">
        <v>1742</v>
      </c>
      <c r="B88" s="17" t="s">
        <v>1278</v>
      </c>
      <c r="C88" s="14" t="s">
        <v>1743</v>
      </c>
    </row>
    <row r="89" spans="1:3" x14ac:dyDescent="0.25">
      <c r="A89" s="14" t="s">
        <v>1744</v>
      </c>
      <c r="B89" s="17" t="s">
        <v>1745</v>
      </c>
      <c r="C89" s="14" t="s">
        <v>1746</v>
      </c>
    </row>
    <row r="90" spans="1:3" x14ac:dyDescent="0.25">
      <c r="A90" s="14" t="s">
        <v>1747</v>
      </c>
      <c r="B90" s="17" t="s">
        <v>1748</v>
      </c>
      <c r="C90" s="14" t="s">
        <v>1749</v>
      </c>
    </row>
    <row r="91" spans="1:3" x14ac:dyDescent="0.25">
      <c r="A91" s="14" t="s">
        <v>1750</v>
      </c>
      <c r="B91" s="17" t="s">
        <v>1751</v>
      </c>
      <c r="C91" s="14" t="s">
        <v>1752</v>
      </c>
    </row>
    <row r="92" spans="1:3" x14ac:dyDescent="0.25">
      <c r="A92" s="14" t="s">
        <v>1753</v>
      </c>
      <c r="B92" s="17" t="s">
        <v>1754</v>
      </c>
      <c r="C92" s="14" t="s">
        <v>1755</v>
      </c>
    </row>
    <row r="93" spans="1:3" x14ac:dyDescent="0.25">
      <c r="A93" s="14" t="s">
        <v>1756</v>
      </c>
      <c r="B93" s="17" t="s">
        <v>1439</v>
      </c>
      <c r="C93" s="14" t="s">
        <v>1757</v>
      </c>
    </row>
    <row r="94" spans="1:3" x14ac:dyDescent="0.25">
      <c r="A94" s="14" t="s">
        <v>1758</v>
      </c>
      <c r="B94" s="17" t="s">
        <v>1759</v>
      </c>
      <c r="C94" s="14" t="s">
        <v>1760</v>
      </c>
    </row>
    <row r="95" spans="1:3" x14ac:dyDescent="0.25">
      <c r="A95" s="14" t="s">
        <v>1761</v>
      </c>
      <c r="B95" s="17" t="s">
        <v>1762</v>
      </c>
      <c r="C95" s="14" t="s">
        <v>1763</v>
      </c>
    </row>
    <row r="96" spans="1:3" x14ac:dyDescent="0.25">
      <c r="A96" s="14" t="s">
        <v>1764</v>
      </c>
      <c r="B96" s="17" t="s">
        <v>1765</v>
      </c>
      <c r="C96" s="14" t="s">
        <v>1766</v>
      </c>
    </row>
    <row r="97" spans="1:3" x14ac:dyDescent="0.25">
      <c r="A97" s="14" t="s">
        <v>1767</v>
      </c>
      <c r="B97" s="17" t="s">
        <v>1768</v>
      </c>
      <c r="C97" s="14" t="s">
        <v>1769</v>
      </c>
    </row>
    <row r="98" spans="1:3" x14ac:dyDescent="0.25">
      <c r="A98" s="14" t="s">
        <v>1770</v>
      </c>
      <c r="B98" s="17" t="s">
        <v>1771</v>
      </c>
      <c r="C98" s="14" t="s">
        <v>1772</v>
      </c>
    </row>
    <row r="99" spans="1:3" x14ac:dyDescent="0.25">
      <c r="A99" s="14" t="s">
        <v>1773</v>
      </c>
      <c r="B99" s="17" t="s">
        <v>1358</v>
      </c>
      <c r="C99" s="14" t="s">
        <v>1774</v>
      </c>
    </row>
    <row r="100" spans="1:3" x14ac:dyDescent="0.25">
      <c r="A100" s="14" t="s">
        <v>1775</v>
      </c>
      <c r="B100" s="17" t="s">
        <v>1776</v>
      </c>
      <c r="C100" s="14" t="s">
        <v>1777</v>
      </c>
    </row>
    <row r="101" spans="1:3" x14ac:dyDescent="0.25">
      <c r="A101" s="14" t="s">
        <v>1778</v>
      </c>
      <c r="B101" s="17" t="s">
        <v>1779</v>
      </c>
      <c r="C101" s="14" t="s">
        <v>1780</v>
      </c>
    </row>
    <row r="102" spans="1:3" x14ac:dyDescent="0.25">
      <c r="A102" s="14" t="s">
        <v>1781</v>
      </c>
      <c r="B102" s="17" t="s">
        <v>1782</v>
      </c>
      <c r="C102" s="14" t="s">
        <v>1783</v>
      </c>
    </row>
    <row r="103" spans="1:3" x14ac:dyDescent="0.25">
      <c r="A103" s="14" t="s">
        <v>1784</v>
      </c>
      <c r="B103" s="17" t="s">
        <v>1274</v>
      </c>
      <c r="C103" s="14" t="s">
        <v>1785</v>
      </c>
    </row>
    <row r="104" spans="1:3" x14ac:dyDescent="0.25">
      <c r="A104" s="14" t="s">
        <v>1786</v>
      </c>
      <c r="B104" s="17" t="s">
        <v>1787</v>
      </c>
      <c r="C104" s="14" t="s">
        <v>1788</v>
      </c>
    </row>
    <row r="105" spans="1:3" x14ac:dyDescent="0.25">
      <c r="A105" s="14" t="s">
        <v>1789</v>
      </c>
      <c r="B105" s="17" t="s">
        <v>1790</v>
      </c>
      <c r="C105" s="14" t="s">
        <v>1791</v>
      </c>
    </row>
    <row r="106" spans="1:3" x14ac:dyDescent="0.25">
      <c r="A106" s="14" t="s">
        <v>1792</v>
      </c>
      <c r="B106" s="17" t="s">
        <v>1793</v>
      </c>
      <c r="C106" s="14" t="s">
        <v>1794</v>
      </c>
    </row>
    <row r="107" spans="1:3" x14ac:dyDescent="0.25">
      <c r="A107" s="14" t="s">
        <v>1795</v>
      </c>
      <c r="B107" s="17" t="s">
        <v>1796</v>
      </c>
      <c r="C107" s="14" t="s">
        <v>1797</v>
      </c>
    </row>
    <row r="108" spans="1:3" x14ac:dyDescent="0.25">
      <c r="A108" s="14" t="s">
        <v>1798</v>
      </c>
      <c r="B108" s="17" t="s">
        <v>1799</v>
      </c>
      <c r="C108" s="14" t="s">
        <v>1800</v>
      </c>
    </row>
    <row r="109" spans="1:3" x14ac:dyDescent="0.25">
      <c r="A109" s="14" t="s">
        <v>1801</v>
      </c>
      <c r="B109" s="17" t="s">
        <v>1802</v>
      </c>
      <c r="C109" s="14" t="s">
        <v>1803</v>
      </c>
    </row>
    <row r="110" spans="1:3" x14ac:dyDescent="0.25">
      <c r="A110" s="14" t="s">
        <v>1804</v>
      </c>
      <c r="B110" s="17" t="s">
        <v>1215</v>
      </c>
      <c r="C110" s="14" t="s">
        <v>1805</v>
      </c>
    </row>
    <row r="111" spans="1:3" x14ac:dyDescent="0.25">
      <c r="A111" s="14" t="s">
        <v>1806</v>
      </c>
      <c r="B111" s="17" t="s">
        <v>1807</v>
      </c>
      <c r="C111" s="14" t="s">
        <v>1808</v>
      </c>
    </row>
    <row r="112" spans="1:3" x14ac:dyDescent="0.25">
      <c r="A112" s="14" t="s">
        <v>1809</v>
      </c>
      <c r="B112" s="17" t="s">
        <v>1810</v>
      </c>
      <c r="C112" s="14" t="s">
        <v>1811</v>
      </c>
    </row>
    <row r="113" spans="1:3" x14ac:dyDescent="0.25">
      <c r="A113" s="14" t="s">
        <v>1812</v>
      </c>
      <c r="B113" s="17" t="s">
        <v>1813</v>
      </c>
      <c r="C113" s="14" t="s">
        <v>1814</v>
      </c>
    </row>
    <row r="114" spans="1:3" x14ac:dyDescent="0.25">
      <c r="A114" s="14" t="s">
        <v>1815</v>
      </c>
      <c r="B114" s="17" t="s">
        <v>1816</v>
      </c>
      <c r="C114" s="14" t="s">
        <v>1817</v>
      </c>
    </row>
    <row r="115" spans="1:3" x14ac:dyDescent="0.25">
      <c r="A115" s="14" t="s">
        <v>1818</v>
      </c>
      <c r="B115" s="17" t="s">
        <v>1395</v>
      </c>
      <c r="C115" s="14" t="s">
        <v>1819</v>
      </c>
    </row>
    <row r="116" spans="1:3" x14ac:dyDescent="0.25">
      <c r="A116" s="14" t="s">
        <v>1820</v>
      </c>
      <c r="B116" s="17" t="s">
        <v>1821</v>
      </c>
      <c r="C116" s="14" t="s">
        <v>1822</v>
      </c>
    </row>
    <row r="117" spans="1:3" x14ac:dyDescent="0.25">
      <c r="A117" s="14" t="s">
        <v>1823</v>
      </c>
      <c r="B117" s="17" t="s">
        <v>1824</v>
      </c>
      <c r="C117" s="14" t="s">
        <v>1825</v>
      </c>
    </row>
    <row r="118" spans="1:3" x14ac:dyDescent="0.25">
      <c r="A118" s="14" t="s">
        <v>1826</v>
      </c>
      <c r="B118" s="17" t="s">
        <v>1332</v>
      </c>
      <c r="C118" s="14" t="s">
        <v>1827</v>
      </c>
    </row>
    <row r="119" spans="1:3" x14ac:dyDescent="0.25">
      <c r="A119" s="14" t="s">
        <v>1828</v>
      </c>
      <c r="B119" s="17" t="s">
        <v>1385</v>
      </c>
      <c r="C119" s="14" t="s">
        <v>1829</v>
      </c>
    </row>
    <row r="120" spans="1:3" x14ac:dyDescent="0.25">
      <c r="A120" s="14" t="s">
        <v>1830</v>
      </c>
      <c r="B120" s="17" t="s">
        <v>1235</v>
      </c>
      <c r="C120" s="14" t="s">
        <v>1831</v>
      </c>
    </row>
    <row r="121" spans="1:3" x14ac:dyDescent="0.25">
      <c r="A121" s="14" t="s">
        <v>1832</v>
      </c>
      <c r="B121" s="17" t="s">
        <v>1833</v>
      </c>
      <c r="C121" s="14" t="s">
        <v>1834</v>
      </c>
    </row>
    <row r="122" spans="1:3" x14ac:dyDescent="0.25">
      <c r="A122" s="14" t="s">
        <v>1835</v>
      </c>
      <c r="B122" s="17" t="s">
        <v>1836</v>
      </c>
      <c r="C122" s="14" t="s">
        <v>1837</v>
      </c>
    </row>
    <row r="123" spans="1:3" x14ac:dyDescent="0.25">
      <c r="A123" s="14" t="s">
        <v>1838</v>
      </c>
      <c r="B123" s="17" t="s">
        <v>1839</v>
      </c>
      <c r="C123" s="14" t="s">
        <v>1840</v>
      </c>
    </row>
    <row r="124" spans="1:3" x14ac:dyDescent="0.25">
      <c r="A124" s="14" t="s">
        <v>1841</v>
      </c>
      <c r="B124" s="17" t="s">
        <v>1218</v>
      </c>
      <c r="C124" s="14" t="s">
        <v>1842</v>
      </c>
    </row>
    <row r="125" spans="1:3" x14ac:dyDescent="0.25">
      <c r="A125" s="14" t="s">
        <v>1843</v>
      </c>
      <c r="B125" s="17" t="s">
        <v>1242</v>
      </c>
      <c r="C125" s="14" t="s">
        <v>1844</v>
      </c>
    </row>
    <row r="126" spans="1:3" x14ac:dyDescent="0.25">
      <c r="A126" s="14" t="s">
        <v>1845</v>
      </c>
      <c r="B126" s="17" t="s">
        <v>1251</v>
      </c>
      <c r="C126" s="14" t="s">
        <v>1846</v>
      </c>
    </row>
    <row r="127" spans="1:3" x14ac:dyDescent="0.25">
      <c r="A127" s="14" t="s">
        <v>1847</v>
      </c>
      <c r="B127" s="17" t="s">
        <v>1322</v>
      </c>
      <c r="C127" s="14" t="s">
        <v>1848</v>
      </c>
    </row>
    <row r="128" spans="1:3" x14ac:dyDescent="0.25">
      <c r="A128" s="14" t="s">
        <v>1849</v>
      </c>
      <c r="B128" s="17" t="s">
        <v>1850</v>
      </c>
      <c r="C128" s="14" t="s">
        <v>1851</v>
      </c>
    </row>
    <row r="129" spans="1:3" x14ac:dyDescent="0.25">
      <c r="A129" s="14" t="s">
        <v>1852</v>
      </c>
      <c r="B129" s="17" t="s">
        <v>1853</v>
      </c>
      <c r="C129" s="14" t="s">
        <v>1854</v>
      </c>
    </row>
    <row r="130" spans="1:3" x14ac:dyDescent="0.25">
      <c r="A130" s="14" t="s">
        <v>1855</v>
      </c>
      <c r="B130" s="17" t="s">
        <v>1856</v>
      </c>
      <c r="C130" s="14" t="s">
        <v>1857</v>
      </c>
    </row>
    <row r="131" spans="1:3" x14ac:dyDescent="0.25">
      <c r="A131" s="14" t="s">
        <v>1858</v>
      </c>
      <c r="B131" s="17" t="s">
        <v>1859</v>
      </c>
      <c r="C131" s="14" t="s">
        <v>1860</v>
      </c>
    </row>
    <row r="132" spans="1:3" x14ac:dyDescent="0.25">
      <c r="A132" s="14" t="s">
        <v>1861</v>
      </c>
      <c r="B132" s="17" t="s">
        <v>1862</v>
      </c>
      <c r="C132" s="14" t="s">
        <v>1863</v>
      </c>
    </row>
    <row r="133" spans="1:3" x14ac:dyDescent="0.25">
      <c r="A133" s="14" t="s">
        <v>1864</v>
      </c>
      <c r="B133" s="17" t="s">
        <v>1865</v>
      </c>
      <c r="C133" s="14" t="s">
        <v>1866</v>
      </c>
    </row>
    <row r="134" spans="1:3" x14ac:dyDescent="0.25">
      <c r="A134" s="14" t="s">
        <v>1867</v>
      </c>
      <c r="B134" s="17" t="s">
        <v>1868</v>
      </c>
      <c r="C134" s="14" t="s">
        <v>1869</v>
      </c>
    </row>
    <row r="135" spans="1:3" x14ac:dyDescent="0.25">
      <c r="A135" s="14" t="s">
        <v>1870</v>
      </c>
      <c r="B135" s="17" t="s">
        <v>1871</v>
      </c>
      <c r="C135" s="14" t="s">
        <v>1872</v>
      </c>
    </row>
    <row r="136" spans="1:3" x14ac:dyDescent="0.25">
      <c r="A136" s="14" t="s">
        <v>1873</v>
      </c>
      <c r="B136" s="17" t="s">
        <v>1874</v>
      </c>
      <c r="C136" s="14" t="s">
        <v>1875</v>
      </c>
    </row>
    <row r="137" spans="1:3" x14ac:dyDescent="0.25">
      <c r="A137" s="14" t="s">
        <v>1876</v>
      </c>
      <c r="B137" s="17" t="s">
        <v>1877</v>
      </c>
      <c r="C137" s="14" t="s">
        <v>1878</v>
      </c>
    </row>
    <row r="138" spans="1:3" x14ac:dyDescent="0.25">
      <c r="A138" s="14" t="s">
        <v>1879</v>
      </c>
      <c r="B138" s="17" t="s">
        <v>1880</v>
      </c>
      <c r="C138" s="14" t="s">
        <v>1881</v>
      </c>
    </row>
    <row r="139" spans="1:3" x14ac:dyDescent="0.25">
      <c r="A139" s="14" t="s">
        <v>1882</v>
      </c>
      <c r="B139" s="17" t="s">
        <v>1429</v>
      </c>
      <c r="C139" s="14" t="s">
        <v>1883</v>
      </c>
    </row>
    <row r="140" spans="1:3" x14ac:dyDescent="0.25">
      <c r="A140" s="14" t="s">
        <v>1884</v>
      </c>
      <c r="B140" s="17" t="s">
        <v>1431</v>
      </c>
      <c r="C140" s="14" t="s">
        <v>1885</v>
      </c>
    </row>
    <row r="141" spans="1:3" x14ac:dyDescent="0.25">
      <c r="A141" s="14" t="s">
        <v>1886</v>
      </c>
      <c r="B141" s="17" t="s">
        <v>1471</v>
      </c>
      <c r="C141" s="14" t="s">
        <v>1887</v>
      </c>
    </row>
    <row r="142" spans="1:3" x14ac:dyDescent="0.25">
      <c r="A142" s="14" t="s">
        <v>1888</v>
      </c>
      <c r="B142" s="17" t="s">
        <v>1889</v>
      </c>
      <c r="C142" s="14" t="s">
        <v>1890</v>
      </c>
    </row>
    <row r="143" spans="1:3" x14ac:dyDescent="0.25">
      <c r="A143" s="14" t="s">
        <v>1891</v>
      </c>
      <c r="B143" s="17" t="s">
        <v>1892</v>
      </c>
      <c r="C143" s="14" t="s">
        <v>1893</v>
      </c>
    </row>
    <row r="144" spans="1:3" x14ac:dyDescent="0.25">
      <c r="A144" s="14" t="s">
        <v>1894</v>
      </c>
      <c r="B144" s="17" t="s">
        <v>1895</v>
      </c>
      <c r="C144" s="14" t="s">
        <v>1896</v>
      </c>
    </row>
    <row r="145" spans="1:3" x14ac:dyDescent="0.25">
      <c r="A145" s="14" t="s">
        <v>1897</v>
      </c>
      <c r="B145" s="17" t="s">
        <v>1898</v>
      </c>
      <c r="C145" s="14" t="s">
        <v>1899</v>
      </c>
    </row>
    <row r="146" spans="1:3" x14ac:dyDescent="0.25">
      <c r="A146" s="14" t="s">
        <v>1900</v>
      </c>
      <c r="B146" s="17" t="s">
        <v>1901</v>
      </c>
      <c r="C146" s="14" t="s">
        <v>1902</v>
      </c>
    </row>
    <row r="147" spans="1:3" x14ac:dyDescent="0.25">
      <c r="A147" s="14" t="s">
        <v>1903</v>
      </c>
      <c r="B147" s="17" t="s">
        <v>1904</v>
      </c>
      <c r="C147" s="14" t="s">
        <v>1905</v>
      </c>
    </row>
    <row r="148" spans="1:3" x14ac:dyDescent="0.25">
      <c r="A148" s="14" t="s">
        <v>1906</v>
      </c>
      <c r="B148" s="17" t="s">
        <v>1907</v>
      </c>
      <c r="C148" s="14" t="s">
        <v>1908</v>
      </c>
    </row>
    <row r="149" spans="1:3" x14ac:dyDescent="0.25">
      <c r="A149" s="14" t="s">
        <v>1909</v>
      </c>
      <c r="B149" s="17" t="s">
        <v>1910</v>
      </c>
      <c r="C149" s="14" t="s">
        <v>1911</v>
      </c>
    </row>
    <row r="150" spans="1:3" x14ac:dyDescent="0.25">
      <c r="A150" s="14" t="s">
        <v>1912</v>
      </c>
      <c r="B150" s="17" t="s">
        <v>1913</v>
      </c>
      <c r="C150" s="14" t="s">
        <v>1914</v>
      </c>
    </row>
    <row r="151" spans="1:3" x14ac:dyDescent="0.25">
      <c r="A151" s="14" t="s">
        <v>1915</v>
      </c>
      <c r="B151" s="17" t="s">
        <v>1916</v>
      </c>
      <c r="C151" s="14" t="s">
        <v>1917</v>
      </c>
    </row>
    <row r="152" spans="1:3" x14ac:dyDescent="0.25">
      <c r="A152" s="14" t="s">
        <v>1918</v>
      </c>
      <c r="B152" s="17" t="s">
        <v>1919</v>
      </c>
      <c r="C152" s="14" t="s">
        <v>1920</v>
      </c>
    </row>
    <row r="153" spans="1:3" x14ac:dyDescent="0.25">
      <c r="A153" s="14" t="s">
        <v>1921</v>
      </c>
      <c r="B153" s="17" t="s">
        <v>1922</v>
      </c>
      <c r="C153" s="14" t="s">
        <v>1923</v>
      </c>
    </row>
    <row r="154" spans="1:3" x14ac:dyDescent="0.25">
      <c r="A154" s="14" t="s">
        <v>1924</v>
      </c>
      <c r="B154" s="17" t="s">
        <v>1925</v>
      </c>
      <c r="C154" s="14" t="s">
        <v>1926</v>
      </c>
    </row>
    <row r="155" spans="1:3" x14ac:dyDescent="0.25">
      <c r="A155" s="14" t="s">
        <v>1927</v>
      </c>
      <c r="B155" s="17" t="s">
        <v>1928</v>
      </c>
      <c r="C155" s="14" t="s">
        <v>1929</v>
      </c>
    </row>
    <row r="156" spans="1:3" x14ac:dyDescent="0.25">
      <c r="A156" s="14" t="s">
        <v>1930</v>
      </c>
      <c r="B156" s="17" t="s">
        <v>1931</v>
      </c>
      <c r="C156" s="14" t="s">
        <v>1932</v>
      </c>
    </row>
    <row r="157" spans="1:3" x14ac:dyDescent="0.25">
      <c r="A157" s="14" t="s">
        <v>1933</v>
      </c>
      <c r="B157" s="17" t="s">
        <v>1934</v>
      </c>
      <c r="C157" s="14" t="s">
        <v>1935</v>
      </c>
    </row>
    <row r="158" spans="1:3" x14ac:dyDescent="0.25">
      <c r="A158" s="14" t="s">
        <v>1936</v>
      </c>
      <c r="B158" s="17" t="s">
        <v>1364</v>
      </c>
      <c r="C158" s="14" t="s">
        <v>1937</v>
      </c>
    </row>
    <row r="159" spans="1:3" x14ac:dyDescent="0.25">
      <c r="A159" s="14" t="s">
        <v>1938</v>
      </c>
      <c r="B159" s="17" t="s">
        <v>1939</v>
      </c>
      <c r="C159" s="14" t="s">
        <v>1940</v>
      </c>
    </row>
    <row r="160" spans="1:3" x14ac:dyDescent="0.25">
      <c r="A160" s="14" t="s">
        <v>1941</v>
      </c>
      <c r="B160" s="17" t="s">
        <v>1239</v>
      </c>
      <c r="C160" s="14" t="s">
        <v>1942</v>
      </c>
    </row>
    <row r="161" spans="1:3" x14ac:dyDescent="0.25">
      <c r="A161" s="14" t="s">
        <v>1943</v>
      </c>
      <c r="B161" s="17" t="s">
        <v>1944</v>
      </c>
      <c r="C161" s="14" t="s">
        <v>1945</v>
      </c>
    </row>
    <row r="162" spans="1:3" x14ac:dyDescent="0.25">
      <c r="A162" s="14" t="s">
        <v>1946</v>
      </c>
      <c r="B162" s="17" t="s">
        <v>1947</v>
      </c>
      <c r="C162" s="14" t="s">
        <v>1948</v>
      </c>
    </row>
    <row r="163" spans="1:3" x14ac:dyDescent="0.25">
      <c r="A163" s="14" t="s">
        <v>1949</v>
      </c>
      <c r="B163" s="17" t="s">
        <v>1950</v>
      </c>
      <c r="C163" s="14" t="s">
        <v>1951</v>
      </c>
    </row>
    <row r="164" spans="1:3" x14ac:dyDescent="0.25">
      <c r="A164" s="14" t="s">
        <v>1952</v>
      </c>
      <c r="B164" s="17" t="s">
        <v>1953</v>
      </c>
      <c r="C164" s="14" t="s">
        <v>1954</v>
      </c>
    </row>
    <row r="165" spans="1:3" x14ac:dyDescent="0.25">
      <c r="A165" s="14" t="s">
        <v>1955</v>
      </c>
      <c r="B165" s="17" t="s">
        <v>1956</v>
      </c>
      <c r="C165" s="14" t="s">
        <v>1957</v>
      </c>
    </row>
    <row r="166" spans="1:3" x14ac:dyDescent="0.25">
      <c r="A166" s="14" t="s">
        <v>1958</v>
      </c>
      <c r="B166" s="17" t="s">
        <v>1959</v>
      </c>
      <c r="C166" s="14" t="s">
        <v>1960</v>
      </c>
    </row>
    <row r="167" spans="1:3" x14ac:dyDescent="0.25">
      <c r="A167" s="14" t="s">
        <v>1961</v>
      </c>
      <c r="B167" s="17" t="s">
        <v>1295</v>
      </c>
      <c r="C167" s="14" t="s">
        <v>1962</v>
      </c>
    </row>
    <row r="168" spans="1:3" x14ac:dyDescent="0.25">
      <c r="A168" s="14" t="s">
        <v>1963</v>
      </c>
      <c r="B168" s="17" t="s">
        <v>1964</v>
      </c>
      <c r="C168" s="14" t="s">
        <v>1965</v>
      </c>
    </row>
    <row r="169" spans="1:3" x14ac:dyDescent="0.25">
      <c r="A169" s="14" t="s">
        <v>1966</v>
      </c>
      <c r="B169" s="17" t="s">
        <v>1967</v>
      </c>
      <c r="C169" s="14" t="s">
        <v>1968</v>
      </c>
    </row>
    <row r="170" spans="1:3" x14ac:dyDescent="0.25">
      <c r="A170" s="14" t="s">
        <v>1969</v>
      </c>
      <c r="B170" s="17" t="s">
        <v>1970</v>
      </c>
      <c r="C170" s="14" t="s">
        <v>1971</v>
      </c>
    </row>
    <row r="171" spans="1:3" x14ac:dyDescent="0.25">
      <c r="A171" s="14" t="s">
        <v>1972</v>
      </c>
      <c r="B171" s="17" t="s">
        <v>1973</v>
      </c>
      <c r="C171" s="14" t="s">
        <v>1974</v>
      </c>
    </row>
    <row r="172" spans="1:3" x14ac:dyDescent="0.25">
      <c r="A172" s="14" t="s">
        <v>1975</v>
      </c>
      <c r="B172" s="17" t="s">
        <v>1976</v>
      </c>
      <c r="C172" s="14" t="s">
        <v>1977</v>
      </c>
    </row>
    <row r="173" spans="1:3" x14ac:dyDescent="0.25">
      <c r="A173" s="14" t="s">
        <v>1978</v>
      </c>
      <c r="B173" s="17" t="s">
        <v>1979</v>
      </c>
      <c r="C173" s="14" t="s">
        <v>1980</v>
      </c>
    </row>
    <row r="174" spans="1:3" x14ac:dyDescent="0.25">
      <c r="A174" s="14" t="s">
        <v>1981</v>
      </c>
      <c r="B174" s="17" t="s">
        <v>1982</v>
      </c>
      <c r="C174" s="14" t="s">
        <v>1983</v>
      </c>
    </row>
    <row r="175" spans="1:3" x14ac:dyDescent="0.25">
      <c r="A175" s="14" t="s">
        <v>1984</v>
      </c>
      <c r="B175" s="17" t="s">
        <v>1394</v>
      </c>
      <c r="C175" s="14" t="s">
        <v>1985</v>
      </c>
    </row>
    <row r="176" spans="1:3" x14ac:dyDescent="0.25">
      <c r="A176" s="14" t="s">
        <v>1986</v>
      </c>
      <c r="B176" s="17" t="s">
        <v>1227</v>
      </c>
      <c r="C176" s="14" t="s">
        <v>1987</v>
      </c>
    </row>
    <row r="177" spans="1:3" x14ac:dyDescent="0.25">
      <c r="A177" s="14" t="s">
        <v>1988</v>
      </c>
      <c r="B177" s="17" t="s">
        <v>1989</v>
      </c>
      <c r="C177" s="14" t="s">
        <v>1990</v>
      </c>
    </row>
    <row r="178" spans="1:3" x14ac:dyDescent="0.25">
      <c r="A178" s="14" t="s">
        <v>1991</v>
      </c>
      <c r="B178" s="17" t="s">
        <v>1343</v>
      </c>
      <c r="C178" s="14" t="s">
        <v>1992</v>
      </c>
    </row>
    <row r="179" spans="1:3" x14ac:dyDescent="0.25">
      <c r="A179" s="14" t="s">
        <v>1993</v>
      </c>
      <c r="B179" s="17" t="s">
        <v>1994</v>
      </c>
      <c r="C179" s="14" t="s">
        <v>1995</v>
      </c>
    </row>
    <row r="180" spans="1:3" x14ac:dyDescent="0.25">
      <c r="A180" s="14" t="s">
        <v>1996</v>
      </c>
      <c r="B180" s="17" t="s">
        <v>1309</v>
      </c>
      <c r="C180" s="14" t="s">
        <v>1997</v>
      </c>
    </row>
    <row r="181" spans="1:3" x14ac:dyDescent="0.25">
      <c r="A181" s="14" t="s">
        <v>1998</v>
      </c>
      <c r="B181" s="17" t="s">
        <v>1999</v>
      </c>
      <c r="C181" s="14" t="s">
        <v>2000</v>
      </c>
    </row>
    <row r="182" spans="1:3" x14ac:dyDescent="0.25">
      <c r="A182" s="14" t="s">
        <v>2001</v>
      </c>
      <c r="B182" s="17" t="s">
        <v>2002</v>
      </c>
      <c r="C182" s="14" t="s">
        <v>2003</v>
      </c>
    </row>
    <row r="183" spans="1:3" x14ac:dyDescent="0.25">
      <c r="A183" s="14" t="s">
        <v>2004</v>
      </c>
      <c r="B183" s="17" t="s">
        <v>2005</v>
      </c>
      <c r="C183" s="14" t="s">
        <v>2006</v>
      </c>
    </row>
    <row r="184" spans="1:3" x14ac:dyDescent="0.25">
      <c r="A184" s="14" t="s">
        <v>2007</v>
      </c>
      <c r="B184" s="17" t="s">
        <v>2008</v>
      </c>
      <c r="C184" s="14" t="s">
        <v>2009</v>
      </c>
    </row>
    <row r="185" spans="1:3" x14ac:dyDescent="0.25">
      <c r="A185" s="14" t="s">
        <v>2010</v>
      </c>
      <c r="B185" s="17" t="s">
        <v>2011</v>
      </c>
      <c r="C185" s="14" t="s">
        <v>2012</v>
      </c>
    </row>
    <row r="186" spans="1:3" x14ac:dyDescent="0.25">
      <c r="A186" s="14" t="s">
        <v>2013</v>
      </c>
      <c r="B186" s="17" t="s">
        <v>2014</v>
      </c>
      <c r="C186" s="14" t="s">
        <v>2015</v>
      </c>
    </row>
    <row r="187" spans="1:3" x14ac:dyDescent="0.25">
      <c r="A187" s="14" t="s">
        <v>2016</v>
      </c>
      <c r="B187" s="17" t="s">
        <v>2017</v>
      </c>
      <c r="C187" s="14" t="s">
        <v>2018</v>
      </c>
    </row>
    <row r="188" spans="1:3" x14ac:dyDescent="0.25">
      <c r="A188" s="14" t="s">
        <v>2019</v>
      </c>
      <c r="B188" s="17" t="s">
        <v>2020</v>
      </c>
      <c r="C188" s="14" t="s">
        <v>2021</v>
      </c>
    </row>
    <row r="189" spans="1:3" x14ac:dyDescent="0.25">
      <c r="A189" s="14" t="s">
        <v>2022</v>
      </c>
      <c r="B189" s="17" t="s">
        <v>2023</v>
      </c>
      <c r="C189" s="14" t="s">
        <v>2024</v>
      </c>
    </row>
    <row r="190" spans="1:3" x14ac:dyDescent="0.25">
      <c r="A190" s="14" t="s">
        <v>2025</v>
      </c>
      <c r="B190" s="17" t="s">
        <v>1308</v>
      </c>
      <c r="C190" s="14" t="s">
        <v>2026</v>
      </c>
    </row>
    <row r="191" spans="1:3" x14ac:dyDescent="0.25">
      <c r="A191" s="14" t="s">
        <v>2027</v>
      </c>
      <c r="B191" s="17" t="s">
        <v>2028</v>
      </c>
      <c r="C191" s="14" t="s">
        <v>2029</v>
      </c>
    </row>
    <row r="192" spans="1:3" x14ac:dyDescent="0.25">
      <c r="A192" s="14" t="s">
        <v>2030</v>
      </c>
      <c r="B192" s="17" t="s">
        <v>1476</v>
      </c>
      <c r="C192" s="14" t="s">
        <v>2031</v>
      </c>
    </row>
    <row r="193" spans="1:3" x14ac:dyDescent="0.25">
      <c r="A193" s="14" t="s">
        <v>2032</v>
      </c>
      <c r="B193" s="17" t="s">
        <v>2033</v>
      </c>
      <c r="C193" s="14" t="s">
        <v>2034</v>
      </c>
    </row>
    <row r="194" spans="1:3" x14ac:dyDescent="0.25">
      <c r="A194" s="14" t="s">
        <v>2035</v>
      </c>
      <c r="B194" s="17" t="s">
        <v>1444</v>
      </c>
      <c r="C194" s="14" t="s">
        <v>2036</v>
      </c>
    </row>
    <row r="195" spans="1:3" x14ac:dyDescent="0.25">
      <c r="A195" s="14" t="s">
        <v>2037</v>
      </c>
      <c r="B195" s="17" t="s">
        <v>2038</v>
      </c>
      <c r="C195" s="14" t="s">
        <v>2039</v>
      </c>
    </row>
    <row r="196" spans="1:3" x14ac:dyDescent="0.25">
      <c r="A196" s="14" t="s">
        <v>2040</v>
      </c>
      <c r="B196" s="17" t="s">
        <v>2041</v>
      </c>
      <c r="C196" s="14" t="s">
        <v>2042</v>
      </c>
    </row>
    <row r="197" spans="1:3" x14ac:dyDescent="0.25">
      <c r="A197" s="14" t="s">
        <v>2043</v>
      </c>
      <c r="B197" s="17" t="s">
        <v>2044</v>
      </c>
      <c r="C197" s="14" t="s">
        <v>2045</v>
      </c>
    </row>
    <row r="198" spans="1:3" x14ac:dyDescent="0.25">
      <c r="A198" s="14" t="s">
        <v>2046</v>
      </c>
      <c r="B198" s="17" t="s">
        <v>2047</v>
      </c>
      <c r="C198" s="14" t="s">
        <v>2048</v>
      </c>
    </row>
    <row r="199" spans="1:3" x14ac:dyDescent="0.25">
      <c r="A199" s="14" t="s">
        <v>2049</v>
      </c>
      <c r="B199" s="17" t="s">
        <v>2050</v>
      </c>
      <c r="C199" s="14" t="s">
        <v>2051</v>
      </c>
    </row>
    <row r="200" spans="1:3" x14ac:dyDescent="0.25">
      <c r="A200" s="14" t="s">
        <v>2052</v>
      </c>
      <c r="B200" s="17" t="s">
        <v>2053</v>
      </c>
      <c r="C200" s="14" t="s">
        <v>2054</v>
      </c>
    </row>
    <row r="201" spans="1:3" x14ac:dyDescent="0.25">
      <c r="A201" s="14" t="s">
        <v>2055</v>
      </c>
      <c r="B201" s="17" t="s">
        <v>2056</v>
      </c>
      <c r="C201" s="14" t="s">
        <v>2057</v>
      </c>
    </row>
    <row r="202" spans="1:3" x14ac:dyDescent="0.25">
      <c r="A202" s="14" t="s">
        <v>2058</v>
      </c>
      <c r="B202" s="17" t="s">
        <v>2059</v>
      </c>
      <c r="C202" s="14" t="s">
        <v>2060</v>
      </c>
    </row>
    <row r="203" spans="1:3" x14ac:dyDescent="0.25">
      <c r="A203" s="14" t="s">
        <v>2061</v>
      </c>
      <c r="B203" s="17" t="s">
        <v>2062</v>
      </c>
      <c r="C203" s="14" t="s">
        <v>2063</v>
      </c>
    </row>
    <row r="204" spans="1:3" x14ac:dyDescent="0.25">
      <c r="A204" s="14" t="s">
        <v>2318</v>
      </c>
      <c r="B204" s="17" t="s">
        <v>2319</v>
      </c>
      <c r="C204" s="14" t="s">
        <v>1738</v>
      </c>
    </row>
    <row r="205" spans="1:3" x14ac:dyDescent="0.25">
      <c r="A205" s="14" t="s">
        <v>2064</v>
      </c>
      <c r="B205" s="17" t="s">
        <v>2065</v>
      </c>
      <c r="C205" s="14" t="s">
        <v>2064</v>
      </c>
    </row>
  </sheetData>
  <autoFilter ref="A1:C205" xr:uid="{E13D842F-0AD2-446B-B146-3ECE764CF17C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AD5A-E6FB-48CE-884D-D589205992A2}">
  <sheetPr filterMode="1">
    <tabColor rgb="FF00B0F0"/>
  </sheetPr>
  <dimension ref="A1:M1004"/>
  <sheetViews>
    <sheetView showGridLines="0" zoomScaleNormal="100" workbookViewId="0">
      <pane ySplit="1" topLeftCell="A40" activePane="bottomLeft" state="frozen"/>
      <selection pane="bottomLeft" activeCell="A40" sqref="A40"/>
    </sheetView>
  </sheetViews>
  <sheetFormatPr baseColWidth="10" defaultRowHeight="15" x14ac:dyDescent="0.25"/>
  <cols>
    <col min="2" max="2" width="11.140625" style="4" bestFit="1" customWidth="1"/>
    <col min="3" max="3" width="27.140625" bestFit="1" customWidth="1"/>
    <col min="4" max="4" width="16.7109375" style="9" bestFit="1" customWidth="1"/>
    <col min="5" max="5" width="19.42578125" style="10" bestFit="1" customWidth="1"/>
    <col min="6" max="6" width="19.42578125" style="12" customWidth="1"/>
    <col min="7" max="7" width="19.42578125" style="10" customWidth="1"/>
    <col min="8" max="8" width="47.42578125" bestFit="1" customWidth="1"/>
  </cols>
  <sheetData>
    <row r="1" spans="1:9" x14ac:dyDescent="0.25">
      <c r="A1" s="18" t="s">
        <v>2067</v>
      </c>
      <c r="B1" s="18" t="s">
        <v>1477</v>
      </c>
      <c r="C1" s="19" t="s">
        <v>1478</v>
      </c>
      <c r="D1" s="20" t="s">
        <v>1479</v>
      </c>
      <c r="E1" s="21" t="s">
        <v>1480</v>
      </c>
      <c r="F1" s="21" t="s">
        <v>1482</v>
      </c>
      <c r="G1" s="21" t="s">
        <v>1483</v>
      </c>
      <c r="H1" s="19" t="s">
        <v>1481</v>
      </c>
    </row>
    <row r="2" spans="1:9" hidden="1" x14ac:dyDescent="0.25">
      <c r="A2" s="14">
        <v>8</v>
      </c>
      <c r="B2" s="13">
        <v>45870</v>
      </c>
      <c r="C2" s="19" t="s">
        <v>2309</v>
      </c>
      <c r="D2" s="20">
        <v>0</v>
      </c>
      <c r="E2" s="21" t="s">
        <v>2310</v>
      </c>
      <c r="F2" s="21" t="s">
        <v>1512</v>
      </c>
      <c r="G2" s="21"/>
      <c r="H2" s="19" t="s">
        <v>2311</v>
      </c>
    </row>
    <row r="3" spans="1:9" hidden="1" x14ac:dyDescent="0.25">
      <c r="A3" s="14">
        <v>8</v>
      </c>
      <c r="B3" s="13">
        <v>45895</v>
      </c>
      <c r="C3" s="17" t="s">
        <v>16</v>
      </c>
      <c r="D3" s="15">
        <v>306.42</v>
      </c>
      <c r="E3" s="16" t="s">
        <v>82</v>
      </c>
      <c r="F3" s="14" t="s">
        <v>1557</v>
      </c>
      <c r="G3" s="16" t="s">
        <v>1491</v>
      </c>
      <c r="H3" s="17" t="s">
        <v>1214</v>
      </c>
      <c r="I3" s="11">
        <v>5</v>
      </c>
    </row>
    <row r="4" spans="1:9" hidden="1" x14ac:dyDescent="0.25">
      <c r="A4" s="14">
        <v>8</v>
      </c>
      <c r="B4" s="13">
        <v>45895</v>
      </c>
      <c r="C4" s="17" t="s">
        <v>8</v>
      </c>
      <c r="D4" s="15">
        <v>580</v>
      </c>
      <c r="E4" s="16" t="s">
        <v>75</v>
      </c>
      <c r="F4" s="14"/>
      <c r="G4" s="16" t="s">
        <v>1499</v>
      </c>
      <c r="H4" s="17" t="s">
        <v>1207</v>
      </c>
      <c r="I4" s="11">
        <v>6</v>
      </c>
    </row>
    <row r="5" spans="1:9" hidden="1" x14ac:dyDescent="0.25">
      <c r="A5" s="14">
        <v>8</v>
      </c>
      <c r="B5" s="13">
        <v>45895</v>
      </c>
      <c r="C5" s="17" t="s">
        <v>8</v>
      </c>
      <c r="D5" s="15">
        <v>333.9</v>
      </c>
      <c r="E5" s="16" t="s">
        <v>81</v>
      </c>
      <c r="F5" s="14" t="s">
        <v>1570</v>
      </c>
      <c r="G5" s="16" t="s">
        <v>1490</v>
      </c>
      <c r="H5" s="17" t="s">
        <v>1213</v>
      </c>
      <c r="I5" s="11">
        <v>5</v>
      </c>
    </row>
    <row r="6" spans="1:9" hidden="1" x14ac:dyDescent="0.25">
      <c r="A6" s="14">
        <v>8</v>
      </c>
      <c r="B6" s="13">
        <v>45895</v>
      </c>
      <c r="C6" s="17" t="s">
        <v>8</v>
      </c>
      <c r="D6" s="15">
        <v>411.38</v>
      </c>
      <c r="E6" s="16" t="s">
        <v>77</v>
      </c>
      <c r="F6" s="14" t="s">
        <v>1855</v>
      </c>
      <c r="G6" s="16" t="s">
        <v>1491</v>
      </c>
      <c r="H6" s="17" t="s">
        <v>1209</v>
      </c>
      <c r="I6" s="11">
        <v>7</v>
      </c>
    </row>
    <row r="7" spans="1:9" hidden="1" x14ac:dyDescent="0.25">
      <c r="A7" s="14">
        <v>8</v>
      </c>
      <c r="B7" s="13">
        <v>45895</v>
      </c>
      <c r="C7" s="17" t="s">
        <v>8</v>
      </c>
      <c r="D7" s="15">
        <v>275.58</v>
      </c>
      <c r="E7" s="16" t="s">
        <v>84</v>
      </c>
      <c r="F7" s="14" t="s">
        <v>1753</v>
      </c>
      <c r="G7" s="16" t="s">
        <v>1491</v>
      </c>
      <c r="H7" s="17" t="s">
        <v>1216</v>
      </c>
      <c r="I7" s="11">
        <v>5</v>
      </c>
    </row>
    <row r="8" spans="1:9" hidden="1" x14ac:dyDescent="0.25">
      <c r="A8" s="14">
        <v>8</v>
      </c>
      <c r="B8" s="13">
        <v>45895</v>
      </c>
      <c r="C8" s="17" t="s">
        <v>8</v>
      </c>
      <c r="D8" s="15">
        <v>168.8</v>
      </c>
      <c r="E8" s="16" t="s">
        <v>85</v>
      </c>
      <c r="F8" s="14" t="s">
        <v>1731</v>
      </c>
      <c r="G8" s="16" t="s">
        <v>1491</v>
      </c>
      <c r="H8" s="17" t="s">
        <v>1217</v>
      </c>
      <c r="I8" s="11">
        <v>5</v>
      </c>
    </row>
    <row r="9" spans="1:9" hidden="1" x14ac:dyDescent="0.25">
      <c r="A9" s="14">
        <v>8</v>
      </c>
      <c r="B9" s="13">
        <v>45895</v>
      </c>
      <c r="C9" s="17" t="s">
        <v>32</v>
      </c>
      <c r="D9" s="15">
        <v>23.37</v>
      </c>
      <c r="E9" s="16" t="s">
        <v>87</v>
      </c>
      <c r="F9" s="14" t="s">
        <v>1614</v>
      </c>
      <c r="G9" s="16" t="s">
        <v>1491</v>
      </c>
      <c r="H9" s="17" t="s">
        <v>1219</v>
      </c>
      <c r="I9" s="11">
        <v>5</v>
      </c>
    </row>
    <row r="10" spans="1:9" hidden="1" x14ac:dyDescent="0.25">
      <c r="A10" s="14">
        <v>8</v>
      </c>
      <c r="B10" s="13">
        <v>45895</v>
      </c>
      <c r="C10" s="17" t="s">
        <v>32</v>
      </c>
      <c r="D10" s="15">
        <v>372.01</v>
      </c>
      <c r="E10" s="16" t="s">
        <v>80</v>
      </c>
      <c r="F10" s="14" t="s">
        <v>2030</v>
      </c>
      <c r="G10" s="16" t="s">
        <v>1491</v>
      </c>
      <c r="H10" s="17" t="s">
        <v>1212</v>
      </c>
      <c r="I10" s="11">
        <v>5</v>
      </c>
    </row>
    <row r="11" spans="1:9" hidden="1" x14ac:dyDescent="0.25">
      <c r="A11" s="14">
        <v>8</v>
      </c>
      <c r="B11" s="13">
        <v>45895</v>
      </c>
      <c r="C11" s="17" t="s">
        <v>8</v>
      </c>
      <c r="D11" s="15">
        <v>301.72000000000003</v>
      </c>
      <c r="E11" s="16" t="s">
        <v>83</v>
      </c>
      <c r="F11" s="14" t="s">
        <v>1804</v>
      </c>
      <c r="G11" s="16" t="s">
        <v>1491</v>
      </c>
      <c r="H11" s="17" t="s">
        <v>1215</v>
      </c>
      <c r="I11" s="11">
        <v>4</v>
      </c>
    </row>
    <row r="12" spans="1:9" hidden="1" x14ac:dyDescent="0.25">
      <c r="A12" s="14">
        <v>8</v>
      </c>
      <c r="B12" s="13">
        <v>45895</v>
      </c>
      <c r="C12" s="17" t="s">
        <v>8</v>
      </c>
      <c r="D12" s="15">
        <v>455.51</v>
      </c>
      <c r="E12" s="16" t="s">
        <v>76</v>
      </c>
      <c r="F12" s="14" t="s">
        <v>1832</v>
      </c>
      <c r="G12" s="16" t="s">
        <v>1491</v>
      </c>
      <c r="H12" s="17" t="s">
        <v>1208</v>
      </c>
      <c r="I12" s="11">
        <v>7</v>
      </c>
    </row>
    <row r="13" spans="1:9" hidden="1" x14ac:dyDescent="0.25">
      <c r="A13" s="14">
        <v>8</v>
      </c>
      <c r="B13" s="13">
        <v>45895</v>
      </c>
      <c r="C13" s="17" t="s">
        <v>23</v>
      </c>
      <c r="D13" s="15">
        <v>168.8</v>
      </c>
      <c r="E13" s="16" t="s">
        <v>86</v>
      </c>
      <c r="F13" s="14" t="s">
        <v>1841</v>
      </c>
      <c r="G13" s="16" t="s">
        <v>1491</v>
      </c>
      <c r="H13" s="17" t="s">
        <v>1218</v>
      </c>
      <c r="I13" s="11">
        <v>5</v>
      </c>
    </row>
    <row r="14" spans="1:9" hidden="1" x14ac:dyDescent="0.25">
      <c r="A14" s="14">
        <v>8</v>
      </c>
      <c r="B14" s="13">
        <v>45895</v>
      </c>
      <c r="C14" s="17" t="s">
        <v>16</v>
      </c>
      <c r="D14" s="15">
        <v>404.47</v>
      </c>
      <c r="E14" s="16" t="s">
        <v>78</v>
      </c>
      <c r="F14" s="14" t="s">
        <v>1858</v>
      </c>
      <c r="G14" s="16" t="s">
        <v>1491</v>
      </c>
      <c r="H14" s="17" t="s">
        <v>1210</v>
      </c>
      <c r="I14" s="11">
        <v>6</v>
      </c>
    </row>
    <row r="15" spans="1:9" hidden="1" x14ac:dyDescent="0.25">
      <c r="A15" s="14">
        <v>8</v>
      </c>
      <c r="B15" s="13">
        <v>45895</v>
      </c>
      <c r="C15" s="17" t="s">
        <v>8</v>
      </c>
      <c r="D15" s="15">
        <v>380.04</v>
      </c>
      <c r="E15" s="16" t="s">
        <v>79</v>
      </c>
      <c r="F15" s="14" t="s">
        <v>1903</v>
      </c>
      <c r="G15" s="16" t="s">
        <v>1491</v>
      </c>
      <c r="H15" s="17" t="s">
        <v>1211</v>
      </c>
      <c r="I15" s="11">
        <v>6</v>
      </c>
    </row>
    <row r="16" spans="1:9" hidden="1" x14ac:dyDescent="0.25">
      <c r="A16" s="14">
        <v>8</v>
      </c>
      <c r="B16" s="13">
        <v>45895</v>
      </c>
      <c r="C16" s="17" t="s">
        <v>73</v>
      </c>
      <c r="D16" s="15">
        <v>127565.13</v>
      </c>
      <c r="E16" s="16" t="s">
        <v>74</v>
      </c>
      <c r="F16" s="14" t="s">
        <v>1508</v>
      </c>
      <c r="G16" s="16" t="s">
        <v>2068</v>
      </c>
      <c r="H16" s="17" t="s">
        <v>1206</v>
      </c>
      <c r="I16" s="11">
        <v>3</v>
      </c>
    </row>
    <row r="17" spans="1:9" hidden="1" x14ac:dyDescent="0.25">
      <c r="A17" s="14">
        <v>8</v>
      </c>
      <c r="B17" s="13">
        <v>45896</v>
      </c>
      <c r="C17" s="17" t="s">
        <v>8</v>
      </c>
      <c r="D17" s="15">
        <v>365.78</v>
      </c>
      <c r="E17" s="16" t="s">
        <v>63</v>
      </c>
      <c r="F17" s="14" t="s">
        <v>1505</v>
      </c>
      <c r="G17" s="16" t="s">
        <v>1491</v>
      </c>
      <c r="H17" s="17" t="s">
        <v>1224</v>
      </c>
      <c r="I17" s="11">
        <v>5</v>
      </c>
    </row>
    <row r="18" spans="1:9" hidden="1" x14ac:dyDescent="0.25">
      <c r="A18" s="14">
        <v>8</v>
      </c>
      <c r="B18" s="13">
        <v>45896</v>
      </c>
      <c r="C18" s="17" t="s">
        <v>32</v>
      </c>
      <c r="D18" s="15">
        <v>172.54</v>
      </c>
      <c r="E18" s="16" t="s">
        <v>70</v>
      </c>
      <c r="F18" s="14" t="s">
        <v>1642</v>
      </c>
      <c r="G18" s="16" t="s">
        <v>1491</v>
      </c>
      <c r="H18" s="17" t="s">
        <v>1230</v>
      </c>
      <c r="I18" s="11">
        <v>5</v>
      </c>
    </row>
    <row r="19" spans="1:9" hidden="1" x14ac:dyDescent="0.25">
      <c r="A19" s="14">
        <v>8</v>
      </c>
      <c r="B19" s="13">
        <v>45896</v>
      </c>
      <c r="C19" s="17" t="s">
        <v>8</v>
      </c>
      <c r="D19" s="15">
        <v>5</v>
      </c>
      <c r="E19" s="16" t="s">
        <v>72</v>
      </c>
      <c r="F19" s="14" t="s">
        <v>1508</v>
      </c>
      <c r="G19" s="16" t="s">
        <v>2068</v>
      </c>
      <c r="H19" s="17" t="s">
        <v>1232</v>
      </c>
      <c r="I19" s="11">
        <v>3</v>
      </c>
    </row>
    <row r="20" spans="1:9" hidden="1" x14ac:dyDescent="0.25">
      <c r="A20" s="14">
        <v>8</v>
      </c>
      <c r="B20" s="13">
        <v>45896</v>
      </c>
      <c r="C20" s="17" t="s">
        <v>8</v>
      </c>
      <c r="D20" s="15">
        <v>365.8</v>
      </c>
      <c r="E20" s="16" t="s">
        <v>62</v>
      </c>
      <c r="F20" s="14" t="s">
        <v>1726</v>
      </c>
      <c r="G20" s="16" t="s">
        <v>1491</v>
      </c>
      <c r="H20" s="17" t="s">
        <v>1223</v>
      </c>
      <c r="I20" s="11">
        <v>4</v>
      </c>
    </row>
    <row r="21" spans="1:9" hidden="1" x14ac:dyDescent="0.25">
      <c r="A21" s="14">
        <v>8</v>
      </c>
      <c r="B21" s="13">
        <v>45896</v>
      </c>
      <c r="C21" s="17" t="s">
        <v>20</v>
      </c>
      <c r="D21" s="15">
        <v>173.01</v>
      </c>
      <c r="E21" s="16" t="s">
        <v>69</v>
      </c>
      <c r="F21" s="14" t="s">
        <v>1520</v>
      </c>
      <c r="G21" s="16" t="s">
        <v>1491</v>
      </c>
      <c r="H21" s="17" t="s">
        <v>1229</v>
      </c>
      <c r="I21" s="11">
        <v>5</v>
      </c>
    </row>
    <row r="22" spans="1:9" hidden="1" x14ac:dyDescent="0.25">
      <c r="A22" s="14">
        <v>8</v>
      </c>
      <c r="B22" s="13">
        <v>45896</v>
      </c>
      <c r="C22" s="17" t="s">
        <v>8</v>
      </c>
      <c r="D22" s="15">
        <v>242.83</v>
      </c>
      <c r="E22" s="16" t="s">
        <v>66</v>
      </c>
      <c r="F22" s="14" t="s">
        <v>1688</v>
      </c>
      <c r="G22" s="16" t="s">
        <v>1491</v>
      </c>
      <c r="H22" s="17" t="s">
        <v>1226</v>
      </c>
      <c r="I22" s="11">
        <v>4</v>
      </c>
    </row>
    <row r="23" spans="1:9" hidden="1" x14ac:dyDescent="0.25">
      <c r="A23" s="14">
        <v>8</v>
      </c>
      <c r="B23" s="13">
        <v>45896</v>
      </c>
      <c r="C23" s="17" t="s">
        <v>8</v>
      </c>
      <c r="D23" s="15">
        <v>261.5</v>
      </c>
      <c r="E23" s="16" t="s">
        <v>65</v>
      </c>
      <c r="F23" s="14" t="s">
        <v>1764</v>
      </c>
      <c r="G23" s="16" t="s">
        <v>1491</v>
      </c>
      <c r="H23" s="17" t="s">
        <v>1225</v>
      </c>
      <c r="I23" s="11">
        <v>5</v>
      </c>
    </row>
    <row r="24" spans="1:9" hidden="1" x14ac:dyDescent="0.25">
      <c r="A24" s="14">
        <v>8</v>
      </c>
      <c r="B24" s="13">
        <v>45896</v>
      </c>
      <c r="C24" s="17" t="s">
        <v>8</v>
      </c>
      <c r="D24" s="15">
        <v>580</v>
      </c>
      <c r="E24" s="16" t="s">
        <v>57</v>
      </c>
      <c r="F24" s="14"/>
      <c r="G24" s="16" t="s">
        <v>1499</v>
      </c>
      <c r="H24" s="17" t="s">
        <v>1220</v>
      </c>
      <c r="I24" s="11">
        <v>6</v>
      </c>
    </row>
    <row r="25" spans="1:9" hidden="1" x14ac:dyDescent="0.25">
      <c r="A25" s="14">
        <v>8</v>
      </c>
      <c r="B25" s="13">
        <v>45896</v>
      </c>
      <c r="C25" s="17" t="s">
        <v>8</v>
      </c>
      <c r="D25" s="15">
        <v>265.23</v>
      </c>
      <c r="E25" s="16" t="s">
        <v>64</v>
      </c>
      <c r="F25" s="14" t="s">
        <v>1632</v>
      </c>
      <c r="G25" s="16" t="s">
        <v>1491</v>
      </c>
      <c r="H25" s="17" t="s">
        <v>1220</v>
      </c>
      <c r="I25" s="11">
        <v>6</v>
      </c>
    </row>
    <row r="26" spans="1:9" hidden="1" x14ac:dyDescent="0.25">
      <c r="A26" s="14">
        <v>8</v>
      </c>
      <c r="B26" s="13">
        <v>45896</v>
      </c>
      <c r="C26" s="17" t="s">
        <v>16</v>
      </c>
      <c r="D26" s="15">
        <v>507.9</v>
      </c>
      <c r="E26" s="16" t="s">
        <v>58</v>
      </c>
      <c r="F26" s="14" t="s">
        <v>1882</v>
      </c>
      <c r="G26" s="16" t="s">
        <v>1491</v>
      </c>
      <c r="H26" s="17" t="s">
        <v>1221</v>
      </c>
      <c r="I26" s="11">
        <v>6</v>
      </c>
    </row>
    <row r="27" spans="1:9" hidden="1" x14ac:dyDescent="0.25">
      <c r="A27" s="14">
        <v>8</v>
      </c>
      <c r="B27" s="13">
        <v>45896</v>
      </c>
      <c r="C27" s="17" t="s">
        <v>8</v>
      </c>
      <c r="D27" s="15">
        <v>379.48</v>
      </c>
      <c r="E27" s="16" t="s">
        <v>61</v>
      </c>
      <c r="F27" s="14" t="s">
        <v>1629</v>
      </c>
      <c r="G27" s="16" t="s">
        <v>1491</v>
      </c>
      <c r="H27" s="17" t="s">
        <v>1222</v>
      </c>
      <c r="I27" s="11">
        <v>5</v>
      </c>
    </row>
    <row r="28" spans="1:9" hidden="1" x14ac:dyDescent="0.25">
      <c r="A28" s="14">
        <v>8</v>
      </c>
      <c r="B28" s="13">
        <v>45896</v>
      </c>
      <c r="C28" s="17" t="s">
        <v>8</v>
      </c>
      <c r="D28" s="15">
        <v>175.82</v>
      </c>
      <c r="E28" s="16" t="s">
        <v>68</v>
      </c>
      <c r="F28" s="14" t="s">
        <v>1728</v>
      </c>
      <c r="G28" s="16" t="s">
        <v>1491</v>
      </c>
      <c r="H28" s="17" t="s">
        <v>1228</v>
      </c>
      <c r="I28" s="11">
        <v>5</v>
      </c>
    </row>
    <row r="29" spans="1:9" hidden="1" x14ac:dyDescent="0.25">
      <c r="A29" s="14">
        <v>8</v>
      </c>
      <c r="B29" s="13">
        <v>45896</v>
      </c>
      <c r="C29" s="17" t="s">
        <v>8</v>
      </c>
      <c r="D29" s="15">
        <v>195.06</v>
      </c>
      <c r="E29" s="16" t="s">
        <v>67</v>
      </c>
      <c r="F29" s="14" t="s">
        <v>1986</v>
      </c>
      <c r="G29" s="16" t="s">
        <v>1491</v>
      </c>
      <c r="H29" s="17" t="s">
        <v>1227</v>
      </c>
      <c r="I29" s="11">
        <v>8</v>
      </c>
    </row>
    <row r="30" spans="1:9" hidden="1" x14ac:dyDescent="0.25">
      <c r="A30" s="14">
        <v>8</v>
      </c>
      <c r="B30" s="13">
        <v>45896</v>
      </c>
      <c r="C30" s="17" t="s">
        <v>8</v>
      </c>
      <c r="D30" s="15">
        <v>165.07</v>
      </c>
      <c r="E30" s="16" t="s">
        <v>71</v>
      </c>
      <c r="F30" s="14" t="s">
        <v>1988</v>
      </c>
      <c r="G30" s="16" t="s">
        <v>1491</v>
      </c>
      <c r="H30" s="17" t="s">
        <v>1231</v>
      </c>
      <c r="I30" s="11">
        <v>2</v>
      </c>
    </row>
    <row r="31" spans="1:9" hidden="1" x14ac:dyDescent="0.25">
      <c r="A31" s="14">
        <v>8</v>
      </c>
      <c r="B31" s="13">
        <v>45896</v>
      </c>
      <c r="C31" s="17" t="s">
        <v>59</v>
      </c>
      <c r="D31" s="15">
        <v>468</v>
      </c>
      <c r="E31" s="16" t="s">
        <v>60</v>
      </c>
      <c r="F31" s="14" t="s">
        <v>2019</v>
      </c>
      <c r="G31" s="16" t="s">
        <v>1491</v>
      </c>
      <c r="H31" s="17"/>
      <c r="I31" s="11">
        <v>5</v>
      </c>
    </row>
    <row r="32" spans="1:9" hidden="1" x14ac:dyDescent="0.25">
      <c r="A32" s="14">
        <v>8</v>
      </c>
      <c r="B32" s="13">
        <v>45897</v>
      </c>
      <c r="C32" s="17" t="s">
        <v>46</v>
      </c>
      <c r="D32" s="15">
        <v>429.4</v>
      </c>
      <c r="E32" s="16" t="s">
        <v>47</v>
      </c>
      <c r="F32" s="14" t="s">
        <v>1664</v>
      </c>
      <c r="G32" s="16" t="s">
        <v>1491</v>
      </c>
      <c r="H32" s="17" t="s">
        <v>1233</v>
      </c>
      <c r="I32" s="11">
        <v>5</v>
      </c>
    </row>
    <row r="33" spans="1:9" hidden="1" x14ac:dyDescent="0.25">
      <c r="A33" s="14">
        <v>8</v>
      </c>
      <c r="B33" s="13">
        <v>45897</v>
      </c>
      <c r="C33" s="17" t="s">
        <v>8</v>
      </c>
      <c r="D33" s="15">
        <v>374.56</v>
      </c>
      <c r="E33" s="16" t="s">
        <v>48</v>
      </c>
      <c r="F33" s="14" t="s">
        <v>1617</v>
      </c>
      <c r="G33" s="16" t="s">
        <v>1491</v>
      </c>
      <c r="H33" s="17" t="s">
        <v>1234</v>
      </c>
      <c r="I33" s="11">
        <v>7</v>
      </c>
    </row>
    <row r="34" spans="1:9" hidden="1" x14ac:dyDescent="0.25">
      <c r="A34" s="14">
        <v>8</v>
      </c>
      <c r="B34" s="13">
        <v>45897</v>
      </c>
      <c r="C34" s="17" t="s">
        <v>20</v>
      </c>
      <c r="D34" s="15">
        <v>181.74</v>
      </c>
      <c r="E34" s="16" t="s">
        <v>54</v>
      </c>
      <c r="F34" s="14" t="s">
        <v>1535</v>
      </c>
      <c r="G34" s="16" t="s">
        <v>1491</v>
      </c>
      <c r="H34" s="17" t="s">
        <v>1240</v>
      </c>
      <c r="I34" s="11">
        <v>5</v>
      </c>
    </row>
    <row r="35" spans="1:9" hidden="1" x14ac:dyDescent="0.25">
      <c r="A35" s="14">
        <v>8</v>
      </c>
      <c r="B35" s="13">
        <v>45897</v>
      </c>
      <c r="C35" s="17" t="s">
        <v>16</v>
      </c>
      <c r="D35" s="15">
        <v>316.64999999999998</v>
      </c>
      <c r="E35" s="16" t="s">
        <v>50</v>
      </c>
      <c r="F35" s="14" t="s">
        <v>1894</v>
      </c>
      <c r="G35" s="16" t="s">
        <v>1491</v>
      </c>
      <c r="H35" s="17" t="s">
        <v>1236</v>
      </c>
      <c r="I35" s="11">
        <v>5</v>
      </c>
    </row>
    <row r="36" spans="1:9" hidden="1" x14ac:dyDescent="0.25">
      <c r="A36" s="14">
        <v>8</v>
      </c>
      <c r="B36" s="13">
        <v>45897</v>
      </c>
      <c r="C36" s="17" t="s">
        <v>8</v>
      </c>
      <c r="D36" s="15">
        <v>243.49</v>
      </c>
      <c r="E36" s="16" t="s">
        <v>52</v>
      </c>
      <c r="F36" s="14" t="s">
        <v>2013</v>
      </c>
      <c r="G36" s="16" t="s">
        <v>1491</v>
      </c>
      <c r="H36" s="17" t="s">
        <v>1238</v>
      </c>
      <c r="I36" s="11">
        <v>5</v>
      </c>
    </row>
    <row r="37" spans="1:9" hidden="1" x14ac:dyDescent="0.25">
      <c r="A37" s="14">
        <v>8</v>
      </c>
      <c r="B37" s="13">
        <v>45897</v>
      </c>
      <c r="C37" s="17" t="s">
        <v>8</v>
      </c>
      <c r="D37" s="15">
        <v>202.41</v>
      </c>
      <c r="E37" s="16" t="s">
        <v>53</v>
      </c>
      <c r="F37" s="14" t="s">
        <v>1941</v>
      </c>
      <c r="G37" s="16" t="s">
        <v>1491</v>
      </c>
      <c r="H37" s="17" t="s">
        <v>1239</v>
      </c>
      <c r="I37" s="11">
        <v>4</v>
      </c>
    </row>
    <row r="38" spans="1:9" hidden="1" x14ac:dyDescent="0.25">
      <c r="A38" s="14">
        <v>8</v>
      </c>
      <c r="B38" s="13">
        <v>45897</v>
      </c>
      <c r="C38" s="17" t="s">
        <v>8</v>
      </c>
      <c r="D38" s="15">
        <v>312.92</v>
      </c>
      <c r="E38" s="16" t="s">
        <v>51</v>
      </c>
      <c r="F38" s="14" t="s">
        <v>1691</v>
      </c>
      <c r="G38" s="16" t="s">
        <v>1491</v>
      </c>
      <c r="H38" s="17" t="s">
        <v>1237</v>
      </c>
      <c r="I38" s="11">
        <v>6</v>
      </c>
    </row>
    <row r="39" spans="1:9" hidden="1" x14ac:dyDescent="0.25">
      <c r="A39" s="14">
        <v>8</v>
      </c>
      <c r="B39" s="13">
        <v>45897</v>
      </c>
      <c r="C39" s="17" t="s">
        <v>16</v>
      </c>
      <c r="D39" s="15">
        <v>175.66</v>
      </c>
      <c r="E39" s="16" t="s">
        <v>55</v>
      </c>
      <c r="F39" s="14" t="s">
        <v>1786</v>
      </c>
      <c r="G39" s="16" t="s">
        <v>1491</v>
      </c>
      <c r="H39" s="17" t="s">
        <v>1241</v>
      </c>
      <c r="I39" s="11">
        <v>7</v>
      </c>
    </row>
    <row r="40" spans="1:9" x14ac:dyDescent="0.25">
      <c r="A40" s="14">
        <v>8</v>
      </c>
      <c r="B40" s="13">
        <v>45897</v>
      </c>
      <c r="C40" s="17" t="s">
        <v>8</v>
      </c>
      <c r="D40" s="15">
        <v>372.01</v>
      </c>
      <c r="E40" s="16" t="s">
        <v>49</v>
      </c>
      <c r="F40" s="14" t="s">
        <v>1830</v>
      </c>
      <c r="G40" s="16" t="s">
        <v>1491</v>
      </c>
      <c r="H40" s="17" t="s">
        <v>1235</v>
      </c>
      <c r="I40" s="11">
        <v>7</v>
      </c>
    </row>
    <row r="41" spans="1:9" hidden="1" x14ac:dyDescent="0.25">
      <c r="A41" s="14">
        <v>8</v>
      </c>
      <c r="B41" s="13">
        <v>45897</v>
      </c>
      <c r="C41" s="17" t="s">
        <v>23</v>
      </c>
      <c r="D41" s="15">
        <v>77.760000000000005</v>
      </c>
      <c r="E41" s="16" t="s">
        <v>56</v>
      </c>
      <c r="F41" s="14" t="s">
        <v>1843</v>
      </c>
      <c r="G41" s="16" t="s">
        <v>1490</v>
      </c>
      <c r="H41" s="17" t="s">
        <v>1242</v>
      </c>
      <c r="I41" s="11">
        <v>10</v>
      </c>
    </row>
    <row r="42" spans="1:9" hidden="1" x14ac:dyDescent="0.25">
      <c r="A42" s="14">
        <v>8</v>
      </c>
      <c r="B42" s="13">
        <v>45898</v>
      </c>
      <c r="C42" s="17" t="s">
        <v>29</v>
      </c>
      <c r="D42" s="15">
        <v>2056.59</v>
      </c>
      <c r="E42" s="16" t="s">
        <v>30</v>
      </c>
      <c r="F42" s="14" t="s">
        <v>1554</v>
      </c>
      <c r="G42" s="16" t="s">
        <v>1491</v>
      </c>
      <c r="H42" s="17" t="s">
        <v>1243</v>
      </c>
      <c r="I42" s="11">
        <v>3</v>
      </c>
    </row>
    <row r="43" spans="1:9" hidden="1" x14ac:dyDescent="0.25">
      <c r="A43" s="14">
        <v>8</v>
      </c>
      <c r="B43" s="13">
        <v>45898</v>
      </c>
      <c r="C43" s="17" t="s">
        <v>8</v>
      </c>
      <c r="D43" s="15">
        <v>389.76</v>
      </c>
      <c r="E43" s="16" t="s">
        <v>37</v>
      </c>
      <c r="F43" s="14" t="s">
        <v>1626</v>
      </c>
      <c r="G43" s="16" t="s">
        <v>1490</v>
      </c>
      <c r="H43" s="17" t="s">
        <v>1249</v>
      </c>
      <c r="I43" s="11">
        <v>5</v>
      </c>
    </row>
    <row r="44" spans="1:9" hidden="1" x14ac:dyDescent="0.25">
      <c r="A44" s="14">
        <v>8</v>
      </c>
      <c r="B44" s="13">
        <v>45898</v>
      </c>
      <c r="C44" s="17" t="s">
        <v>8</v>
      </c>
      <c r="D44" s="15">
        <v>401.88</v>
      </c>
      <c r="E44" s="16" t="s">
        <v>36</v>
      </c>
      <c r="F44" s="14" t="s">
        <v>1503</v>
      </c>
      <c r="G44" s="16" t="s">
        <v>1491</v>
      </c>
      <c r="H44" s="17" t="s">
        <v>1248</v>
      </c>
      <c r="I44" s="11">
        <v>5</v>
      </c>
    </row>
    <row r="45" spans="1:9" hidden="1" x14ac:dyDescent="0.25">
      <c r="A45" s="14">
        <v>8</v>
      </c>
      <c r="B45" s="13">
        <v>45898</v>
      </c>
      <c r="C45" s="17" t="s">
        <v>8</v>
      </c>
      <c r="D45" s="15">
        <v>425.63</v>
      </c>
      <c r="E45" s="16" t="s">
        <v>35</v>
      </c>
      <c r="F45" s="14" t="s">
        <v>1548</v>
      </c>
      <c r="G45" s="16" t="s">
        <v>1491</v>
      </c>
      <c r="H45" s="17" t="s">
        <v>1247</v>
      </c>
      <c r="I45" s="11">
        <v>5</v>
      </c>
    </row>
    <row r="46" spans="1:9" hidden="1" x14ac:dyDescent="0.25">
      <c r="A46" s="14">
        <v>8</v>
      </c>
      <c r="B46" s="13">
        <v>45898</v>
      </c>
      <c r="C46" s="17" t="s">
        <v>16</v>
      </c>
      <c r="D46" s="15">
        <v>171.23</v>
      </c>
      <c r="E46" s="16" t="s">
        <v>44</v>
      </c>
      <c r="F46" s="14" t="s">
        <v>1861</v>
      </c>
      <c r="G46" s="16" t="s">
        <v>1491</v>
      </c>
      <c r="H46" s="17" t="s">
        <v>1256</v>
      </c>
      <c r="I46" s="11">
        <v>5</v>
      </c>
    </row>
    <row r="47" spans="1:9" hidden="1" x14ac:dyDescent="0.25">
      <c r="A47" s="14">
        <v>8</v>
      </c>
      <c r="B47" s="13">
        <v>45898</v>
      </c>
      <c r="C47" s="17" t="s">
        <v>16</v>
      </c>
      <c r="D47" s="15">
        <v>77.760000000000005</v>
      </c>
      <c r="E47" s="16" t="s">
        <v>45</v>
      </c>
      <c r="F47" s="14" t="s">
        <v>2055</v>
      </c>
      <c r="G47" s="16" t="s">
        <v>1491</v>
      </c>
      <c r="H47" s="17" t="s">
        <v>1256</v>
      </c>
      <c r="I47" s="11">
        <v>1</v>
      </c>
    </row>
    <row r="48" spans="1:9" hidden="1" x14ac:dyDescent="0.25">
      <c r="A48" s="14">
        <v>8</v>
      </c>
      <c r="B48" s="13">
        <v>45898</v>
      </c>
      <c r="C48" s="17" t="s">
        <v>16</v>
      </c>
      <c r="D48" s="15">
        <v>254.03</v>
      </c>
      <c r="E48" s="16" t="s">
        <v>41</v>
      </c>
      <c r="F48" s="14" t="s">
        <v>1756</v>
      </c>
      <c r="G48" s="16" t="s">
        <v>1491</v>
      </c>
      <c r="H48" s="17" t="s">
        <v>1253</v>
      </c>
      <c r="I48" s="11">
        <v>4</v>
      </c>
    </row>
    <row r="49" spans="1:9" hidden="1" x14ac:dyDescent="0.25">
      <c r="A49" s="14">
        <v>8</v>
      </c>
      <c r="B49" s="13">
        <v>45898</v>
      </c>
      <c r="C49" s="17" t="s">
        <v>8</v>
      </c>
      <c r="D49" s="15">
        <v>381.5</v>
      </c>
      <c r="E49" s="16" t="s">
        <v>38</v>
      </c>
      <c r="F49" s="14" t="s">
        <v>1770</v>
      </c>
      <c r="G49" s="16" t="s">
        <v>1491</v>
      </c>
      <c r="H49" s="17" t="s">
        <v>1250</v>
      </c>
      <c r="I49" s="11">
        <v>5</v>
      </c>
    </row>
    <row r="50" spans="1:9" hidden="1" x14ac:dyDescent="0.25">
      <c r="A50" s="14">
        <v>8</v>
      </c>
      <c r="B50" s="13">
        <v>45898</v>
      </c>
      <c r="C50" s="17" t="s">
        <v>8</v>
      </c>
      <c r="D50" s="15">
        <v>868.33</v>
      </c>
      <c r="E50" s="16" t="s">
        <v>31</v>
      </c>
      <c r="F50" s="14" t="s">
        <v>1574</v>
      </c>
      <c r="G50" s="16" t="s">
        <v>1491</v>
      </c>
      <c r="H50" s="17" t="s">
        <v>1244</v>
      </c>
      <c r="I50" s="11">
        <v>5</v>
      </c>
    </row>
    <row r="51" spans="1:9" hidden="1" x14ac:dyDescent="0.25">
      <c r="A51" s="14">
        <v>8</v>
      </c>
      <c r="B51" s="13">
        <v>45898</v>
      </c>
      <c r="C51" s="17" t="s">
        <v>8</v>
      </c>
      <c r="D51" s="15">
        <v>319.19</v>
      </c>
      <c r="E51" s="16" t="s">
        <v>39</v>
      </c>
      <c r="F51" s="14" t="s">
        <v>1845</v>
      </c>
      <c r="G51" s="16" t="s">
        <v>1491</v>
      </c>
      <c r="H51" s="17" t="s">
        <v>1251</v>
      </c>
      <c r="I51" s="11">
        <v>3</v>
      </c>
    </row>
    <row r="52" spans="1:9" hidden="1" x14ac:dyDescent="0.25">
      <c r="A52" s="14">
        <v>8</v>
      </c>
      <c r="B52" s="13">
        <v>45898</v>
      </c>
      <c r="C52" s="17" t="s">
        <v>32</v>
      </c>
      <c r="D52" s="15">
        <v>489.12</v>
      </c>
      <c r="E52" s="16" t="s">
        <v>33</v>
      </c>
      <c r="F52" s="14" t="s">
        <v>1812</v>
      </c>
      <c r="G52" s="16" t="s">
        <v>1491</v>
      </c>
      <c r="H52" s="17" t="s">
        <v>1245</v>
      </c>
      <c r="I52" s="11">
        <v>6</v>
      </c>
    </row>
    <row r="53" spans="1:9" hidden="1" x14ac:dyDescent="0.25">
      <c r="A53" s="14">
        <v>8</v>
      </c>
      <c r="B53" s="13">
        <v>45898</v>
      </c>
      <c r="C53" s="17" t="s">
        <v>8</v>
      </c>
      <c r="D53" s="15">
        <v>488.43</v>
      </c>
      <c r="E53" s="16" t="s">
        <v>34</v>
      </c>
      <c r="F53" s="14" t="s">
        <v>1849</v>
      </c>
      <c r="G53" s="16" t="s">
        <v>1491</v>
      </c>
      <c r="H53" s="17" t="s">
        <v>1246</v>
      </c>
      <c r="I53" s="11">
        <v>6</v>
      </c>
    </row>
    <row r="54" spans="1:9" hidden="1" x14ac:dyDescent="0.25">
      <c r="A54" s="14">
        <v>8</v>
      </c>
      <c r="B54" s="13">
        <v>45898</v>
      </c>
      <c r="C54" s="17" t="s">
        <v>8</v>
      </c>
      <c r="D54" s="15">
        <v>250.3</v>
      </c>
      <c r="E54" s="16" t="s">
        <v>42</v>
      </c>
      <c r="F54" s="14" t="s">
        <v>1879</v>
      </c>
      <c r="G54" s="16" t="s">
        <v>1491</v>
      </c>
      <c r="H54" s="17" t="s">
        <v>1254</v>
      </c>
      <c r="I54" s="11">
        <v>4</v>
      </c>
    </row>
    <row r="55" spans="1:9" hidden="1" x14ac:dyDescent="0.25">
      <c r="A55" s="14">
        <v>8</v>
      </c>
      <c r="B55" s="13">
        <v>45898</v>
      </c>
      <c r="C55" s="17" t="s">
        <v>8</v>
      </c>
      <c r="D55" s="15">
        <v>191.21</v>
      </c>
      <c r="E55" s="16" t="s">
        <v>43</v>
      </c>
      <c r="F55" s="14" t="s">
        <v>1906</v>
      </c>
      <c r="G55" s="16" t="s">
        <v>1491</v>
      </c>
      <c r="H55" s="17" t="s">
        <v>1255</v>
      </c>
      <c r="I55" s="11">
        <v>6</v>
      </c>
    </row>
    <row r="56" spans="1:9" hidden="1" x14ac:dyDescent="0.25">
      <c r="A56" s="14">
        <v>8</v>
      </c>
      <c r="B56" s="13">
        <v>45898</v>
      </c>
      <c r="C56" s="17" t="s">
        <v>8</v>
      </c>
      <c r="D56" s="15">
        <v>269.08</v>
      </c>
      <c r="E56" s="16" t="s">
        <v>40</v>
      </c>
      <c r="F56" s="14" t="s">
        <v>1918</v>
      </c>
      <c r="G56" s="16" t="s">
        <v>1491</v>
      </c>
      <c r="H56" s="17" t="s">
        <v>1252</v>
      </c>
      <c r="I56" s="11">
        <v>5</v>
      </c>
    </row>
    <row r="57" spans="1:9" hidden="1" x14ac:dyDescent="0.25">
      <c r="A57" s="14">
        <v>8</v>
      </c>
      <c r="B57" s="13">
        <v>45899</v>
      </c>
      <c r="C57" s="17" t="s">
        <v>23</v>
      </c>
      <c r="D57" s="15">
        <v>294.25</v>
      </c>
      <c r="E57" s="16" t="s">
        <v>24</v>
      </c>
      <c r="F57" s="14" t="s">
        <v>1767</v>
      </c>
      <c r="G57" s="16" t="s">
        <v>1491</v>
      </c>
      <c r="H57" s="17" t="s">
        <v>1264</v>
      </c>
      <c r="I57" s="11">
        <v>5</v>
      </c>
    </row>
    <row r="58" spans="1:9" hidden="1" x14ac:dyDescent="0.25">
      <c r="A58" s="14">
        <v>8</v>
      </c>
      <c r="B58" s="13">
        <v>45899</v>
      </c>
      <c r="C58" s="17" t="s">
        <v>16</v>
      </c>
      <c r="D58" s="15">
        <v>191.21</v>
      </c>
      <c r="E58" s="16" t="s">
        <v>25</v>
      </c>
      <c r="F58" s="14" t="s">
        <v>1602</v>
      </c>
      <c r="G58" s="16" t="s">
        <v>1491</v>
      </c>
      <c r="H58" s="17" t="s">
        <v>1265</v>
      </c>
      <c r="I58" s="11">
        <v>5</v>
      </c>
    </row>
    <row r="59" spans="1:9" hidden="1" x14ac:dyDescent="0.25">
      <c r="A59" s="14">
        <v>8</v>
      </c>
      <c r="B59" s="13">
        <v>45899</v>
      </c>
      <c r="C59" s="17" t="s">
        <v>20</v>
      </c>
      <c r="D59" s="15">
        <v>30</v>
      </c>
      <c r="E59" s="16" t="s">
        <v>27</v>
      </c>
      <c r="F59" s="14"/>
      <c r="G59" s="16" t="s">
        <v>1497</v>
      </c>
      <c r="H59" s="17" t="s">
        <v>1267</v>
      </c>
      <c r="I59" s="11">
        <v>6</v>
      </c>
    </row>
    <row r="60" spans="1:9" hidden="1" x14ac:dyDescent="0.25">
      <c r="A60" s="14">
        <v>8</v>
      </c>
      <c r="B60" s="13">
        <v>45899</v>
      </c>
      <c r="C60" s="17" t="s">
        <v>8</v>
      </c>
      <c r="D60" s="15">
        <v>394.41</v>
      </c>
      <c r="E60" s="16" t="s">
        <v>18</v>
      </c>
      <c r="F60" s="14" t="s">
        <v>2004</v>
      </c>
      <c r="G60" s="16" t="s">
        <v>1491</v>
      </c>
      <c r="H60" s="17" t="s">
        <v>1260</v>
      </c>
      <c r="I60" s="11">
        <v>5</v>
      </c>
    </row>
    <row r="61" spans="1:9" hidden="1" x14ac:dyDescent="0.25">
      <c r="A61" s="14">
        <v>8</v>
      </c>
      <c r="B61" s="13">
        <v>45899</v>
      </c>
      <c r="C61" s="17" t="s">
        <v>8</v>
      </c>
      <c r="D61" s="15">
        <v>189.6</v>
      </c>
      <c r="E61" s="16" t="s">
        <v>26</v>
      </c>
      <c r="F61" s="14" t="s">
        <v>1838</v>
      </c>
      <c r="G61" s="16" t="s">
        <v>1491</v>
      </c>
      <c r="H61" s="17" t="s">
        <v>1266</v>
      </c>
      <c r="I61" s="11">
        <v>7</v>
      </c>
    </row>
    <row r="62" spans="1:9" hidden="1" x14ac:dyDescent="0.25">
      <c r="A62" s="14">
        <v>8</v>
      </c>
      <c r="B62" s="13">
        <v>45899</v>
      </c>
      <c r="C62" s="17" t="s">
        <v>8</v>
      </c>
      <c r="D62" s="15">
        <v>368.27</v>
      </c>
      <c r="E62" s="16" t="s">
        <v>22</v>
      </c>
      <c r="F62" s="14" t="s">
        <v>1709</v>
      </c>
      <c r="G62" s="16" t="s">
        <v>1491</v>
      </c>
      <c r="H62" s="17" t="s">
        <v>1263</v>
      </c>
      <c r="I62" s="11">
        <v>4</v>
      </c>
    </row>
    <row r="63" spans="1:9" hidden="1" x14ac:dyDescent="0.25">
      <c r="A63" s="14">
        <v>8</v>
      </c>
      <c r="B63" s="13">
        <v>45899</v>
      </c>
      <c r="C63" s="17" t="s">
        <v>20</v>
      </c>
      <c r="D63" s="15">
        <v>375.74</v>
      </c>
      <c r="E63" s="16" t="s">
        <v>21</v>
      </c>
      <c r="F63" s="14" t="s">
        <v>1758</v>
      </c>
      <c r="G63" s="16" t="s">
        <v>1491</v>
      </c>
      <c r="H63" s="17" t="s">
        <v>1262</v>
      </c>
      <c r="I63" s="11">
        <v>6</v>
      </c>
    </row>
    <row r="64" spans="1:9" hidden="1" x14ac:dyDescent="0.25">
      <c r="A64" s="14">
        <v>8</v>
      </c>
      <c r="B64" s="13">
        <v>45899</v>
      </c>
      <c r="C64" s="17" t="s">
        <v>8</v>
      </c>
      <c r="D64" s="15">
        <v>407.07</v>
      </c>
      <c r="E64" s="16" t="s">
        <v>14</v>
      </c>
      <c r="F64" s="14" t="s">
        <v>1739</v>
      </c>
      <c r="G64" s="16" t="s">
        <v>1491</v>
      </c>
      <c r="H64" s="17" t="s">
        <v>1257</v>
      </c>
      <c r="I64" s="11">
        <v>4</v>
      </c>
    </row>
    <row r="65" spans="1:9" hidden="1" x14ac:dyDescent="0.25">
      <c r="A65" s="14">
        <v>8</v>
      </c>
      <c r="B65" s="13">
        <v>45899</v>
      </c>
      <c r="C65" s="17" t="s">
        <v>16</v>
      </c>
      <c r="D65" s="15">
        <v>383.21</v>
      </c>
      <c r="E65" s="16" t="s">
        <v>17</v>
      </c>
      <c r="F65" s="14" t="s">
        <v>1621</v>
      </c>
      <c r="G65" s="16" t="s">
        <v>1491</v>
      </c>
      <c r="H65" s="17" t="s">
        <v>1259</v>
      </c>
      <c r="I65" s="11">
        <v>7</v>
      </c>
    </row>
    <row r="66" spans="1:9" hidden="1" x14ac:dyDescent="0.25">
      <c r="A66" s="14">
        <v>8</v>
      </c>
      <c r="B66" s="13">
        <v>45899</v>
      </c>
      <c r="C66" s="17" t="s">
        <v>16</v>
      </c>
      <c r="D66" s="15">
        <v>12.550000000000011</v>
      </c>
      <c r="E66" s="16" t="s">
        <v>17</v>
      </c>
      <c r="F66" s="14" t="s">
        <v>1621</v>
      </c>
      <c r="G66" s="16" t="s">
        <v>1492</v>
      </c>
      <c r="H66" s="17" t="s">
        <v>1259</v>
      </c>
      <c r="I66" s="11">
        <v>7</v>
      </c>
    </row>
    <row r="67" spans="1:9" hidden="1" x14ac:dyDescent="0.25">
      <c r="A67" s="14">
        <v>8</v>
      </c>
      <c r="B67" s="13">
        <v>45899</v>
      </c>
      <c r="C67" s="17" t="s">
        <v>8</v>
      </c>
      <c r="D67" s="15">
        <v>378.24</v>
      </c>
      <c r="E67" s="16" t="s">
        <v>19</v>
      </c>
      <c r="F67" s="14" t="s">
        <v>1978</v>
      </c>
      <c r="G67" s="16" t="s">
        <v>1491</v>
      </c>
      <c r="H67" s="17" t="s">
        <v>1261</v>
      </c>
      <c r="I67" s="11">
        <v>6</v>
      </c>
    </row>
    <row r="68" spans="1:9" hidden="1" x14ac:dyDescent="0.25">
      <c r="A68" s="14">
        <v>8</v>
      </c>
      <c r="B68" s="13">
        <v>45899</v>
      </c>
      <c r="C68" s="17" t="s">
        <v>8</v>
      </c>
      <c r="D68" s="15">
        <v>405.61</v>
      </c>
      <c r="E68" s="16" t="s">
        <v>15</v>
      </c>
      <c r="F68" s="14" t="s">
        <v>2037</v>
      </c>
      <c r="G68" s="16" t="s">
        <v>1491</v>
      </c>
      <c r="H68" s="17" t="s">
        <v>1258</v>
      </c>
      <c r="I68" s="11">
        <v>6</v>
      </c>
    </row>
    <row r="69" spans="1:9" hidden="1" x14ac:dyDescent="0.25">
      <c r="A69" s="14">
        <v>8</v>
      </c>
      <c r="B69" s="13">
        <v>45900</v>
      </c>
      <c r="C69" s="17" t="s">
        <v>8</v>
      </c>
      <c r="D69" s="15">
        <v>328.03</v>
      </c>
      <c r="E69" s="16" t="s">
        <v>9</v>
      </c>
      <c r="F69" s="14" t="s">
        <v>1572</v>
      </c>
      <c r="G69" s="16" t="s">
        <v>1490</v>
      </c>
      <c r="H69" s="17" t="s">
        <v>1268</v>
      </c>
      <c r="I69" s="11">
        <v>3</v>
      </c>
    </row>
    <row r="70" spans="1:9" hidden="1" x14ac:dyDescent="0.25">
      <c r="A70" s="14">
        <v>8</v>
      </c>
      <c r="B70" s="13">
        <v>45900</v>
      </c>
      <c r="C70" s="17" t="s">
        <v>8</v>
      </c>
      <c r="D70" s="15">
        <v>327.97</v>
      </c>
      <c r="E70" s="16" t="s">
        <v>9</v>
      </c>
      <c r="F70" s="14" t="s">
        <v>1572</v>
      </c>
      <c r="G70" s="16" t="s">
        <v>1491</v>
      </c>
      <c r="H70" s="17" t="s">
        <v>1268</v>
      </c>
      <c r="I70" s="11">
        <v>3</v>
      </c>
    </row>
    <row r="71" spans="1:9" hidden="1" x14ac:dyDescent="0.25">
      <c r="A71" s="14">
        <v>8</v>
      </c>
      <c r="B71" s="13">
        <v>45900</v>
      </c>
      <c r="C71" s="17" t="s">
        <v>8</v>
      </c>
      <c r="D71" s="15">
        <v>77.760000000000005</v>
      </c>
      <c r="E71" s="16" t="s">
        <v>11</v>
      </c>
      <c r="F71" s="14" t="s">
        <v>1675</v>
      </c>
      <c r="G71" s="16" t="s">
        <v>1491</v>
      </c>
      <c r="H71" s="17" t="s">
        <v>1270</v>
      </c>
      <c r="I71" s="11">
        <v>10</v>
      </c>
    </row>
    <row r="72" spans="1:9" hidden="1" x14ac:dyDescent="0.25">
      <c r="A72" s="14">
        <v>8</v>
      </c>
      <c r="B72" s="13">
        <v>45900</v>
      </c>
      <c r="C72" s="17" t="s">
        <v>8</v>
      </c>
      <c r="D72" s="15">
        <v>639.25</v>
      </c>
      <c r="E72" s="16" t="s">
        <v>10</v>
      </c>
      <c r="F72" s="14" t="s">
        <v>1949</v>
      </c>
      <c r="G72" s="16" t="s">
        <v>1491</v>
      </c>
      <c r="H72" s="17" t="s">
        <v>1269</v>
      </c>
      <c r="I72" s="11">
        <v>4</v>
      </c>
    </row>
    <row r="73" spans="1:9" hidden="1" x14ac:dyDescent="0.25">
      <c r="A73" s="14">
        <v>9</v>
      </c>
      <c r="B73" s="13">
        <v>45901</v>
      </c>
      <c r="C73" s="17" t="s">
        <v>8</v>
      </c>
      <c r="D73" s="15">
        <v>395.76</v>
      </c>
      <c r="E73" s="16" t="s">
        <v>242</v>
      </c>
      <c r="F73" s="14" t="s">
        <v>1703</v>
      </c>
      <c r="G73" s="16" t="s">
        <v>1491</v>
      </c>
      <c r="H73" s="17" t="s">
        <v>1277</v>
      </c>
      <c r="I73" s="11">
        <v>7</v>
      </c>
    </row>
    <row r="74" spans="1:9" hidden="1" x14ac:dyDescent="0.25">
      <c r="A74" s="14">
        <v>9</v>
      </c>
      <c r="B74" s="13">
        <v>45901</v>
      </c>
      <c r="C74" s="17" t="s">
        <v>16</v>
      </c>
      <c r="D74" s="15">
        <v>383.21</v>
      </c>
      <c r="E74" s="16" t="s">
        <v>244</v>
      </c>
      <c r="F74" s="14" t="s">
        <v>2007</v>
      </c>
      <c r="G74" s="16" t="s">
        <v>1491</v>
      </c>
      <c r="H74" s="17" t="s">
        <v>1279</v>
      </c>
      <c r="I74" s="11">
        <v>5</v>
      </c>
    </row>
    <row r="75" spans="1:9" hidden="1" x14ac:dyDescent="0.25">
      <c r="A75" s="14">
        <v>9</v>
      </c>
      <c r="B75" s="13">
        <v>45901</v>
      </c>
      <c r="C75" s="17" t="s">
        <v>20</v>
      </c>
      <c r="D75" s="15">
        <v>420.55</v>
      </c>
      <c r="E75" s="16" t="s">
        <v>239</v>
      </c>
      <c r="F75" s="14" t="s">
        <v>2016</v>
      </c>
      <c r="G75" s="16" t="s">
        <v>1491</v>
      </c>
      <c r="H75" s="17" t="s">
        <v>1275</v>
      </c>
      <c r="I75" s="11">
        <v>5</v>
      </c>
    </row>
    <row r="76" spans="1:9" hidden="1" x14ac:dyDescent="0.25">
      <c r="A76" s="14">
        <v>9</v>
      </c>
      <c r="B76" s="13">
        <v>45901</v>
      </c>
      <c r="C76" s="17" t="s">
        <v>32</v>
      </c>
      <c r="D76" s="15">
        <v>398.15</v>
      </c>
      <c r="E76" s="16" t="s">
        <v>241</v>
      </c>
      <c r="F76" s="14" t="s">
        <v>1720</v>
      </c>
      <c r="G76" s="16" t="s">
        <v>1491</v>
      </c>
      <c r="H76" s="17" t="s">
        <v>1276</v>
      </c>
      <c r="I76" s="11">
        <v>4</v>
      </c>
    </row>
    <row r="77" spans="1:9" hidden="1" x14ac:dyDescent="0.25">
      <c r="A77" s="14">
        <v>9</v>
      </c>
      <c r="B77" s="13">
        <v>45901</v>
      </c>
      <c r="C77" s="17" t="s">
        <v>16</v>
      </c>
      <c r="D77" s="15">
        <v>339.26</v>
      </c>
      <c r="E77" s="16" t="s">
        <v>248</v>
      </c>
      <c r="F77" s="14" t="s">
        <v>1795</v>
      </c>
      <c r="G77" s="16" t="s">
        <v>1491</v>
      </c>
      <c r="H77" s="17" t="s">
        <v>1283</v>
      </c>
      <c r="I77" s="11">
        <v>4</v>
      </c>
    </row>
    <row r="78" spans="1:9" hidden="1" x14ac:dyDescent="0.25">
      <c r="A78" s="14">
        <v>9</v>
      </c>
      <c r="B78" s="13">
        <v>45901</v>
      </c>
      <c r="C78" s="17" t="s">
        <v>20</v>
      </c>
      <c r="D78" s="15">
        <v>413.2</v>
      </c>
      <c r="E78" s="16" t="s">
        <v>240</v>
      </c>
      <c r="F78" s="14" t="s">
        <v>1640</v>
      </c>
      <c r="G78" s="16" t="s">
        <v>1491</v>
      </c>
      <c r="H78" s="17" t="s">
        <v>1349</v>
      </c>
      <c r="I78" s="11">
        <v>5</v>
      </c>
    </row>
    <row r="79" spans="1:9" hidden="1" x14ac:dyDescent="0.25">
      <c r="A79" s="14">
        <v>9</v>
      </c>
      <c r="B79" s="13">
        <v>45901</v>
      </c>
      <c r="C79" s="17" t="s">
        <v>8</v>
      </c>
      <c r="D79" s="15">
        <v>389.14</v>
      </c>
      <c r="E79" s="16" t="s">
        <v>243</v>
      </c>
      <c r="F79" s="14" t="s">
        <v>1742</v>
      </c>
      <c r="G79" s="16" t="s">
        <v>1491</v>
      </c>
      <c r="H79" s="17" t="s">
        <v>1278</v>
      </c>
      <c r="I79" s="11">
        <v>8</v>
      </c>
    </row>
    <row r="80" spans="1:9" hidden="1" x14ac:dyDescent="0.25">
      <c r="A80" s="14">
        <v>9</v>
      </c>
      <c r="B80" s="13">
        <v>45901</v>
      </c>
      <c r="C80" s="17" t="s">
        <v>32</v>
      </c>
      <c r="D80" s="15">
        <v>176.27</v>
      </c>
      <c r="E80" s="16" t="s">
        <v>251</v>
      </c>
      <c r="F80" s="14" t="s">
        <v>1972</v>
      </c>
      <c r="G80" s="16" t="s">
        <v>1491</v>
      </c>
      <c r="H80" s="17" t="s">
        <v>1286</v>
      </c>
      <c r="I80" s="11">
        <v>4</v>
      </c>
    </row>
    <row r="81" spans="1:9" hidden="1" x14ac:dyDescent="0.25">
      <c r="A81" s="14">
        <v>9</v>
      </c>
      <c r="B81" s="13">
        <v>45901</v>
      </c>
      <c r="C81" s="17" t="s">
        <v>8</v>
      </c>
      <c r="D81" s="15">
        <v>379.5</v>
      </c>
      <c r="E81" s="16" t="s">
        <v>246</v>
      </c>
      <c r="F81" s="14" t="s">
        <v>1523</v>
      </c>
      <c r="G81" s="16" t="s">
        <v>1491</v>
      </c>
      <c r="H81" s="17" t="s">
        <v>1281</v>
      </c>
      <c r="I81" s="11">
        <v>5</v>
      </c>
    </row>
    <row r="82" spans="1:9" hidden="1" x14ac:dyDescent="0.25">
      <c r="A82" s="14">
        <v>9</v>
      </c>
      <c r="B82" s="13">
        <v>45901</v>
      </c>
      <c r="C82" s="17" t="s">
        <v>8</v>
      </c>
      <c r="D82" s="15">
        <v>507.13</v>
      </c>
      <c r="E82" s="16" t="s">
        <v>237</v>
      </c>
      <c r="F82" s="14" t="s">
        <v>1784</v>
      </c>
      <c r="G82" s="16" t="s">
        <v>1491</v>
      </c>
      <c r="H82" s="17" t="s">
        <v>1274</v>
      </c>
      <c r="I82" s="11">
        <v>5</v>
      </c>
    </row>
    <row r="83" spans="1:9" hidden="1" x14ac:dyDescent="0.25">
      <c r="A83" s="14">
        <v>9</v>
      </c>
      <c r="B83" s="13">
        <v>45901</v>
      </c>
      <c r="C83" s="17" t="s">
        <v>8</v>
      </c>
      <c r="D83" s="15">
        <v>580</v>
      </c>
      <c r="E83" s="16" t="s">
        <v>235</v>
      </c>
      <c r="F83" s="14"/>
      <c r="G83" s="16" t="s">
        <v>1499</v>
      </c>
      <c r="H83" s="17" t="s">
        <v>1272</v>
      </c>
      <c r="I83" s="11">
        <v>0</v>
      </c>
    </row>
    <row r="84" spans="1:9" hidden="1" x14ac:dyDescent="0.25">
      <c r="A84" s="14">
        <v>9</v>
      </c>
      <c r="B84" s="13">
        <v>45901</v>
      </c>
      <c r="C84" s="17" t="s">
        <v>8</v>
      </c>
      <c r="D84" s="15">
        <v>282.24</v>
      </c>
      <c r="E84" s="16" t="s">
        <v>249</v>
      </c>
      <c r="F84" s="14" t="s">
        <v>1873</v>
      </c>
      <c r="G84" s="16" t="s">
        <v>1491</v>
      </c>
      <c r="H84" s="17" t="s">
        <v>1284</v>
      </c>
      <c r="I84" s="11">
        <v>6</v>
      </c>
    </row>
    <row r="85" spans="1:9" hidden="1" x14ac:dyDescent="0.25">
      <c r="A85" s="14">
        <v>9</v>
      </c>
      <c r="B85" s="13">
        <v>45901</v>
      </c>
      <c r="C85" s="17" t="s">
        <v>8</v>
      </c>
      <c r="D85" s="15">
        <v>463.74</v>
      </c>
      <c r="E85" s="16" t="s">
        <v>238</v>
      </c>
      <c r="F85" s="14" t="s">
        <v>1739</v>
      </c>
      <c r="G85" s="16" t="s">
        <v>1490</v>
      </c>
      <c r="H85" s="17" t="s">
        <v>1257</v>
      </c>
      <c r="I85" s="11">
        <v>4</v>
      </c>
    </row>
    <row r="86" spans="1:9" hidden="1" x14ac:dyDescent="0.25">
      <c r="A86" s="14">
        <v>9</v>
      </c>
      <c r="B86" s="13">
        <v>45901</v>
      </c>
      <c r="C86" s="17" t="s">
        <v>20</v>
      </c>
      <c r="D86" s="15">
        <v>180.01</v>
      </c>
      <c r="E86" s="16" t="s">
        <v>250</v>
      </c>
      <c r="F86" s="14" t="s">
        <v>1843</v>
      </c>
      <c r="G86" s="16" t="s">
        <v>1491</v>
      </c>
      <c r="H86" s="17" t="s">
        <v>1285</v>
      </c>
      <c r="I86" s="11">
        <v>10</v>
      </c>
    </row>
    <row r="87" spans="1:9" hidden="1" x14ac:dyDescent="0.25">
      <c r="A87" s="14">
        <v>9</v>
      </c>
      <c r="B87" s="13">
        <v>45901</v>
      </c>
      <c r="C87" s="17" t="s">
        <v>8</v>
      </c>
      <c r="D87" s="15">
        <v>712.81</v>
      </c>
      <c r="E87" s="16" t="s">
        <v>234</v>
      </c>
      <c r="F87" s="14" t="s">
        <v>1680</v>
      </c>
      <c r="G87" s="16" t="s">
        <v>1491</v>
      </c>
      <c r="H87" s="17" t="s">
        <v>1271</v>
      </c>
      <c r="I87" s="11">
        <v>7</v>
      </c>
    </row>
    <row r="88" spans="1:9" hidden="1" x14ac:dyDescent="0.25">
      <c r="A88" s="14">
        <v>9</v>
      </c>
      <c r="B88" s="13">
        <v>45901</v>
      </c>
      <c r="C88" s="17" t="s">
        <v>8</v>
      </c>
      <c r="D88" s="15">
        <v>379.48</v>
      </c>
      <c r="E88" s="16" t="s">
        <v>247</v>
      </c>
      <c r="F88" s="14" t="s">
        <v>1943</v>
      </c>
      <c r="G88" s="16" t="s">
        <v>1491</v>
      </c>
      <c r="H88" s="17" t="s">
        <v>1282</v>
      </c>
      <c r="I88" s="11">
        <v>5</v>
      </c>
    </row>
    <row r="89" spans="1:9" hidden="1" x14ac:dyDescent="0.25">
      <c r="A89" s="14">
        <v>9</v>
      </c>
      <c r="B89" s="13">
        <v>45901</v>
      </c>
      <c r="C89" s="17" t="s">
        <v>8</v>
      </c>
      <c r="D89" s="15">
        <v>543.97</v>
      </c>
      <c r="E89" s="16" t="s">
        <v>236</v>
      </c>
      <c r="F89" s="14" t="s">
        <v>1888</v>
      </c>
      <c r="G89" s="16" t="s">
        <v>1491</v>
      </c>
      <c r="H89" s="17" t="s">
        <v>1273</v>
      </c>
      <c r="I89" s="11">
        <v>4</v>
      </c>
    </row>
    <row r="90" spans="1:9" hidden="1" x14ac:dyDescent="0.25">
      <c r="A90" s="14">
        <v>9</v>
      </c>
      <c r="B90" s="13">
        <v>45901</v>
      </c>
      <c r="C90" s="17" t="s">
        <v>8</v>
      </c>
      <c r="D90" s="15">
        <v>383.21</v>
      </c>
      <c r="E90" s="16" t="s">
        <v>245</v>
      </c>
      <c r="F90" s="14" t="s">
        <v>2001</v>
      </c>
      <c r="G90" s="16" t="s">
        <v>1491</v>
      </c>
      <c r="H90" s="17" t="s">
        <v>1280</v>
      </c>
      <c r="I90" s="11">
        <v>4</v>
      </c>
    </row>
    <row r="91" spans="1:9" hidden="1" x14ac:dyDescent="0.25">
      <c r="A91" s="14">
        <v>9</v>
      </c>
      <c r="B91" s="13">
        <v>45902</v>
      </c>
      <c r="C91" s="17" t="s">
        <v>8</v>
      </c>
      <c r="D91" s="15">
        <v>360.8</v>
      </c>
      <c r="E91" s="16" t="s">
        <v>229</v>
      </c>
      <c r="F91" s="14" t="s">
        <v>1750</v>
      </c>
      <c r="G91" s="16" t="s">
        <v>1491</v>
      </c>
      <c r="H91" s="17" t="s">
        <v>1290</v>
      </c>
      <c r="I91" s="11">
        <v>7</v>
      </c>
    </row>
    <row r="92" spans="1:9" hidden="1" x14ac:dyDescent="0.25">
      <c r="A92" s="14">
        <v>9</v>
      </c>
      <c r="B92" s="13">
        <v>45902</v>
      </c>
      <c r="C92" s="17" t="s">
        <v>8</v>
      </c>
      <c r="D92" s="15">
        <v>580</v>
      </c>
      <c r="E92" s="16" t="s">
        <v>225</v>
      </c>
      <c r="F92" s="14"/>
      <c r="G92" s="16" t="s">
        <v>1499</v>
      </c>
      <c r="H92" s="17" t="s">
        <v>1287</v>
      </c>
      <c r="I92" s="11">
        <v>5</v>
      </c>
    </row>
    <row r="93" spans="1:9" s="28" customFormat="1" hidden="1" x14ac:dyDescent="0.25">
      <c r="A93" s="14">
        <v>9</v>
      </c>
      <c r="B93" s="13">
        <v>45902</v>
      </c>
      <c r="C93" s="17" t="s">
        <v>23</v>
      </c>
      <c r="D93" s="15">
        <v>172.54</v>
      </c>
      <c r="E93" s="16" t="s">
        <v>233</v>
      </c>
      <c r="F93" s="14" t="s">
        <v>2032</v>
      </c>
      <c r="G93" s="16" t="s">
        <v>1491</v>
      </c>
      <c r="H93" s="17" t="s">
        <v>1293</v>
      </c>
      <c r="I93" s="11">
        <v>4</v>
      </c>
    </row>
    <row r="94" spans="1:9" s="28" customFormat="1" hidden="1" x14ac:dyDescent="0.25">
      <c r="A94" s="14">
        <v>9</v>
      </c>
      <c r="B94" s="13">
        <v>45902</v>
      </c>
      <c r="C94" s="17" t="s">
        <v>8</v>
      </c>
      <c r="D94" s="15">
        <v>261.5</v>
      </c>
      <c r="E94" s="16" t="s">
        <v>231</v>
      </c>
      <c r="F94" s="14" t="s">
        <v>1864</v>
      </c>
      <c r="G94" s="16" t="s">
        <v>1491</v>
      </c>
      <c r="H94" s="17" t="s">
        <v>1278</v>
      </c>
      <c r="I94" s="11">
        <v>5</v>
      </c>
    </row>
    <row r="95" spans="1:9" s="28" customFormat="1" hidden="1" x14ac:dyDescent="0.25">
      <c r="A95" s="14">
        <v>9</v>
      </c>
      <c r="B95" s="13">
        <v>45902</v>
      </c>
      <c r="C95" s="17" t="s">
        <v>8</v>
      </c>
      <c r="D95" s="15">
        <v>372.79</v>
      </c>
      <c r="E95" s="16" t="s">
        <v>227</v>
      </c>
      <c r="F95" s="14" t="s">
        <v>2027</v>
      </c>
      <c r="G95" s="16" t="s">
        <v>1491</v>
      </c>
      <c r="H95" s="17" t="s">
        <v>1250</v>
      </c>
      <c r="I95" s="11">
        <v>4</v>
      </c>
    </row>
    <row r="96" spans="1:9" hidden="1" x14ac:dyDescent="0.25">
      <c r="A96" s="14">
        <v>9</v>
      </c>
      <c r="B96" s="13">
        <v>45902</v>
      </c>
      <c r="C96" s="17" t="s">
        <v>8</v>
      </c>
      <c r="D96" s="15">
        <v>178.67</v>
      </c>
      <c r="E96" s="16" t="s">
        <v>232</v>
      </c>
      <c r="F96" s="14" t="s">
        <v>1792</v>
      </c>
      <c r="G96" s="16" t="s">
        <v>1490</v>
      </c>
      <c r="H96" s="17" t="s">
        <v>1292</v>
      </c>
      <c r="I96" s="11">
        <v>5</v>
      </c>
    </row>
    <row r="97" spans="1:9" hidden="1" x14ac:dyDescent="0.25">
      <c r="A97" s="14">
        <v>9</v>
      </c>
      <c r="B97" s="13">
        <v>45902</v>
      </c>
      <c r="C97" s="17" t="s">
        <v>16</v>
      </c>
      <c r="D97" s="15">
        <v>381.36</v>
      </c>
      <c r="E97" s="16" t="s">
        <v>226</v>
      </c>
      <c r="F97" s="14" t="s">
        <v>1835</v>
      </c>
      <c r="G97" s="16" t="s">
        <v>1490</v>
      </c>
      <c r="H97" s="17" t="s">
        <v>1288</v>
      </c>
      <c r="I97" s="11">
        <v>5</v>
      </c>
    </row>
    <row r="98" spans="1:9" hidden="1" x14ac:dyDescent="0.25">
      <c r="A98" s="14">
        <v>9</v>
      </c>
      <c r="B98" s="13">
        <v>45902</v>
      </c>
      <c r="C98" s="17" t="s">
        <v>32</v>
      </c>
      <c r="D98" s="15">
        <v>364.54</v>
      </c>
      <c r="E98" s="16" t="s">
        <v>228</v>
      </c>
      <c r="F98" s="14" t="s">
        <v>1952</v>
      </c>
      <c r="G98" s="16" t="s">
        <v>1491</v>
      </c>
      <c r="H98" s="17" t="s">
        <v>1289</v>
      </c>
      <c r="I98" s="11">
        <v>5</v>
      </c>
    </row>
    <row r="99" spans="1:9" hidden="1" x14ac:dyDescent="0.25">
      <c r="A99" s="14">
        <v>9</v>
      </c>
      <c r="B99" s="13">
        <v>45902</v>
      </c>
      <c r="C99" s="17" t="s">
        <v>8</v>
      </c>
      <c r="D99" s="15">
        <v>304.70999999999998</v>
      </c>
      <c r="E99" s="16" t="s">
        <v>230</v>
      </c>
      <c r="F99" s="14" t="s">
        <v>1775</v>
      </c>
      <c r="G99" s="16" t="s">
        <v>1490</v>
      </c>
      <c r="H99" s="17" t="s">
        <v>1291</v>
      </c>
      <c r="I99" s="11">
        <v>2</v>
      </c>
    </row>
    <row r="100" spans="1:9" hidden="1" x14ac:dyDescent="0.25">
      <c r="A100" s="14">
        <v>9</v>
      </c>
      <c r="B100" s="13">
        <v>45903</v>
      </c>
      <c r="C100" s="17" t="s">
        <v>32</v>
      </c>
      <c r="D100" s="15">
        <v>265.23</v>
      </c>
      <c r="E100" s="16" t="s">
        <v>224</v>
      </c>
      <c r="F100" s="14" t="s">
        <v>1815</v>
      </c>
      <c r="G100" s="16" t="s">
        <v>1491</v>
      </c>
      <c r="H100" s="17" t="s">
        <v>1296</v>
      </c>
      <c r="I100" s="11">
        <v>4</v>
      </c>
    </row>
    <row r="101" spans="1:9" hidden="1" x14ac:dyDescent="0.25">
      <c r="A101" s="14">
        <v>9</v>
      </c>
      <c r="B101" s="13">
        <v>45903</v>
      </c>
      <c r="C101" s="17" t="s">
        <v>8</v>
      </c>
      <c r="D101" s="15">
        <v>386.94</v>
      </c>
      <c r="E101" s="16" t="s">
        <v>222</v>
      </c>
      <c r="F101" s="14" t="s">
        <v>1526</v>
      </c>
      <c r="G101" s="16" t="s">
        <v>1491</v>
      </c>
      <c r="H101" s="17" t="s">
        <v>1294</v>
      </c>
      <c r="I101" s="11">
        <v>5</v>
      </c>
    </row>
    <row r="102" spans="1:9" hidden="1" x14ac:dyDescent="0.25">
      <c r="A102" s="14">
        <v>9</v>
      </c>
      <c r="B102" s="13">
        <v>45903</v>
      </c>
      <c r="C102" s="17" t="s">
        <v>8</v>
      </c>
      <c r="D102" s="15">
        <v>383.21</v>
      </c>
      <c r="E102" s="16" t="s">
        <v>223</v>
      </c>
      <c r="F102" s="14" t="s">
        <v>1961</v>
      </c>
      <c r="G102" s="16" t="s">
        <v>1491</v>
      </c>
      <c r="H102" s="17" t="s">
        <v>1295</v>
      </c>
      <c r="I102" s="11">
        <v>5</v>
      </c>
    </row>
    <row r="103" spans="1:9" hidden="1" x14ac:dyDescent="0.25">
      <c r="A103" s="14">
        <v>9</v>
      </c>
      <c r="B103" s="13">
        <v>45904</v>
      </c>
      <c r="C103" s="17" t="s">
        <v>92</v>
      </c>
      <c r="D103" s="15">
        <v>392.7</v>
      </c>
      <c r="E103" s="16" t="s">
        <v>220</v>
      </c>
      <c r="F103" s="14" t="s">
        <v>1517</v>
      </c>
      <c r="G103" s="16" t="s">
        <v>1491</v>
      </c>
      <c r="H103" s="17" t="s">
        <v>1297</v>
      </c>
      <c r="I103" s="11">
        <v>5</v>
      </c>
    </row>
    <row r="104" spans="1:9" hidden="1" x14ac:dyDescent="0.25">
      <c r="A104" s="14">
        <v>9</v>
      </c>
      <c r="B104" s="13">
        <v>45904</v>
      </c>
      <c r="C104" s="17" t="s">
        <v>8</v>
      </c>
      <c r="D104" s="15">
        <v>368.27</v>
      </c>
      <c r="E104" s="16" t="s">
        <v>221</v>
      </c>
      <c r="F104" s="14" t="s">
        <v>1981</v>
      </c>
      <c r="G104" s="16" t="s">
        <v>1491</v>
      </c>
      <c r="H104" s="17" t="s">
        <v>1298</v>
      </c>
      <c r="I104" s="11">
        <v>4</v>
      </c>
    </row>
    <row r="105" spans="1:9" hidden="1" x14ac:dyDescent="0.25">
      <c r="A105" s="14">
        <v>9</v>
      </c>
      <c r="B105" s="13">
        <v>45905</v>
      </c>
      <c r="C105" s="17" t="s">
        <v>8</v>
      </c>
      <c r="D105" s="15">
        <v>369.75</v>
      </c>
      <c r="E105" s="16" t="s">
        <v>213</v>
      </c>
      <c r="F105" s="14" t="s">
        <v>1563</v>
      </c>
      <c r="G105" s="16" t="s">
        <v>1489</v>
      </c>
      <c r="H105" s="17" t="s">
        <v>1300</v>
      </c>
      <c r="I105" s="11">
        <v>4</v>
      </c>
    </row>
    <row r="106" spans="1:9" hidden="1" x14ac:dyDescent="0.25">
      <c r="A106" s="14">
        <v>9</v>
      </c>
      <c r="B106" s="13">
        <v>45905</v>
      </c>
      <c r="C106" s="17" t="s">
        <v>8</v>
      </c>
      <c r="D106" s="15">
        <v>377.49</v>
      </c>
      <c r="E106" s="16" t="s">
        <v>213</v>
      </c>
      <c r="F106" s="14" t="s">
        <v>1563</v>
      </c>
      <c r="G106" s="16" t="s">
        <v>1490</v>
      </c>
      <c r="H106" s="17" t="s">
        <v>1300</v>
      </c>
      <c r="I106" s="11">
        <v>4</v>
      </c>
    </row>
    <row r="107" spans="1:9" hidden="1" x14ac:dyDescent="0.25">
      <c r="A107" s="14">
        <v>9</v>
      </c>
      <c r="B107" s="13">
        <v>45905</v>
      </c>
      <c r="C107" s="17" t="s">
        <v>8</v>
      </c>
      <c r="D107" s="15">
        <v>365.88</v>
      </c>
      <c r="E107" s="16" t="s">
        <v>216</v>
      </c>
      <c r="F107" s="14" t="s">
        <v>1750</v>
      </c>
      <c r="G107" s="16" t="s">
        <v>1490</v>
      </c>
      <c r="H107" s="17" t="s">
        <v>1290</v>
      </c>
      <c r="I107" s="11">
        <v>7</v>
      </c>
    </row>
    <row r="108" spans="1:9" hidden="1" x14ac:dyDescent="0.25">
      <c r="A108" s="14">
        <v>9</v>
      </c>
      <c r="B108" s="13">
        <v>45905</v>
      </c>
      <c r="C108" s="17" t="s">
        <v>8</v>
      </c>
      <c r="D108" s="15">
        <v>404.58</v>
      </c>
      <c r="E108" s="16" t="s">
        <v>212</v>
      </c>
      <c r="F108" s="14" t="s">
        <v>1823</v>
      </c>
      <c r="G108" s="16" t="s">
        <v>1489</v>
      </c>
      <c r="H108" s="17" t="s">
        <v>1299</v>
      </c>
      <c r="I108" s="11">
        <v>6</v>
      </c>
    </row>
    <row r="109" spans="1:9" hidden="1" x14ac:dyDescent="0.25">
      <c r="A109" s="14">
        <v>9</v>
      </c>
      <c r="B109" s="13">
        <v>45905</v>
      </c>
      <c r="C109" s="17" t="s">
        <v>8</v>
      </c>
      <c r="D109" s="15">
        <v>400.71</v>
      </c>
      <c r="E109" s="16" t="s">
        <v>212</v>
      </c>
      <c r="F109" s="14" t="s">
        <v>1823</v>
      </c>
      <c r="G109" s="16" t="s">
        <v>1490</v>
      </c>
      <c r="H109" s="17" t="s">
        <v>1299</v>
      </c>
      <c r="I109" s="11">
        <v>6</v>
      </c>
    </row>
    <row r="110" spans="1:9" hidden="1" x14ac:dyDescent="0.25">
      <c r="A110" s="14">
        <v>9</v>
      </c>
      <c r="B110" s="13">
        <v>45905</v>
      </c>
      <c r="C110" s="17" t="s">
        <v>8</v>
      </c>
      <c r="D110" s="15">
        <v>371.71</v>
      </c>
      <c r="E110" s="16" t="s">
        <v>212</v>
      </c>
      <c r="F110" s="14" t="s">
        <v>1823</v>
      </c>
      <c r="G110" s="16" t="s">
        <v>1491</v>
      </c>
      <c r="H110" s="17" t="s">
        <v>1299</v>
      </c>
      <c r="I110" s="11">
        <v>6</v>
      </c>
    </row>
    <row r="111" spans="1:9" hidden="1" x14ac:dyDescent="0.25">
      <c r="A111" s="14">
        <v>9</v>
      </c>
      <c r="B111" s="13">
        <v>45905</v>
      </c>
      <c r="C111" s="17" t="s">
        <v>8</v>
      </c>
      <c r="D111" s="15">
        <v>368.34</v>
      </c>
      <c r="E111" s="16" t="s">
        <v>215</v>
      </c>
      <c r="F111" s="14" t="s">
        <v>1852</v>
      </c>
      <c r="G111" s="16" t="s">
        <v>1491</v>
      </c>
      <c r="H111" s="17" t="s">
        <v>1302</v>
      </c>
      <c r="I111" s="11">
        <v>7</v>
      </c>
    </row>
    <row r="112" spans="1:9" hidden="1" x14ac:dyDescent="0.25">
      <c r="A112" s="14">
        <v>9</v>
      </c>
      <c r="B112" s="13">
        <v>45905</v>
      </c>
      <c r="C112" s="17" t="s">
        <v>8</v>
      </c>
      <c r="D112" s="15">
        <v>172.12</v>
      </c>
      <c r="E112" s="16" t="s">
        <v>219</v>
      </c>
      <c r="F112" s="14" t="s">
        <v>1611</v>
      </c>
      <c r="G112" s="16" t="s">
        <v>1491</v>
      </c>
      <c r="H112" s="17" t="s">
        <v>1304</v>
      </c>
      <c r="I112" s="11">
        <v>4</v>
      </c>
    </row>
    <row r="113" spans="1:9" hidden="1" x14ac:dyDescent="0.25">
      <c r="A113" s="14">
        <v>9</v>
      </c>
      <c r="B113" s="13">
        <v>45905</v>
      </c>
      <c r="C113" s="17" t="s">
        <v>8</v>
      </c>
      <c r="D113" s="15">
        <v>580</v>
      </c>
      <c r="E113" s="16" t="s">
        <v>214</v>
      </c>
      <c r="F113" s="14"/>
      <c r="G113" s="16" t="s">
        <v>1499</v>
      </c>
      <c r="H113" s="17" t="s">
        <v>1301</v>
      </c>
      <c r="I113" s="11">
        <v>7</v>
      </c>
    </row>
    <row r="114" spans="1:9" hidden="1" x14ac:dyDescent="0.25">
      <c r="A114" s="14">
        <v>9</v>
      </c>
      <c r="B114" s="13">
        <v>45905</v>
      </c>
      <c r="C114" s="17" t="s">
        <v>217</v>
      </c>
      <c r="D114" s="15">
        <v>187.59</v>
      </c>
      <c r="E114" s="16" t="s">
        <v>218</v>
      </c>
      <c r="F114" s="14" t="s">
        <v>1747</v>
      </c>
      <c r="G114" s="16" t="s">
        <v>1491</v>
      </c>
      <c r="H114" s="17" t="s">
        <v>1303</v>
      </c>
      <c r="I114" s="11">
        <v>3</v>
      </c>
    </row>
    <row r="115" spans="1:9" hidden="1" x14ac:dyDescent="0.25">
      <c r="A115" s="14">
        <v>9</v>
      </c>
      <c r="B115" s="13">
        <v>45906</v>
      </c>
      <c r="C115" s="17" t="s">
        <v>16</v>
      </c>
      <c r="D115" s="15">
        <v>327.86</v>
      </c>
      <c r="E115" s="16" t="s">
        <v>211</v>
      </c>
      <c r="F115" s="14" t="s">
        <v>1647</v>
      </c>
      <c r="G115" s="16" t="s">
        <v>1491</v>
      </c>
      <c r="H115" s="17" t="s">
        <v>1305</v>
      </c>
      <c r="I115" s="11">
        <v>4</v>
      </c>
    </row>
    <row r="116" spans="1:9" hidden="1" x14ac:dyDescent="0.25">
      <c r="A116" s="14">
        <v>9</v>
      </c>
      <c r="B116" s="13">
        <v>45907</v>
      </c>
      <c r="C116" s="17" t="s">
        <v>8</v>
      </c>
      <c r="D116" s="15">
        <v>641.04999999999995</v>
      </c>
      <c r="E116" s="16" t="s">
        <v>210</v>
      </c>
      <c r="F116" s="14" t="s">
        <v>1545</v>
      </c>
      <c r="G116" s="16" t="s">
        <v>1491</v>
      </c>
      <c r="H116" s="17" t="s">
        <v>1306</v>
      </c>
      <c r="I116" s="11">
        <v>4</v>
      </c>
    </row>
    <row r="117" spans="1:9" hidden="1" x14ac:dyDescent="0.25">
      <c r="A117" s="14">
        <v>9</v>
      </c>
      <c r="B117" s="13">
        <v>45908</v>
      </c>
      <c r="C117" s="17" t="s">
        <v>8</v>
      </c>
      <c r="D117" s="15">
        <v>445.24</v>
      </c>
      <c r="E117" s="16" t="s">
        <v>204</v>
      </c>
      <c r="F117" s="14" t="s">
        <v>1551</v>
      </c>
      <c r="G117" s="16" t="s">
        <v>1491</v>
      </c>
      <c r="H117" s="17" t="s">
        <v>1307</v>
      </c>
      <c r="I117" s="11">
        <v>8</v>
      </c>
    </row>
    <row r="118" spans="1:9" hidden="1" x14ac:dyDescent="0.25">
      <c r="A118" s="14">
        <v>9</v>
      </c>
      <c r="B118" s="13">
        <v>45908</v>
      </c>
      <c r="C118" s="17" t="s">
        <v>8</v>
      </c>
      <c r="D118" s="15">
        <v>180.01</v>
      </c>
      <c r="E118" s="16" t="s">
        <v>204</v>
      </c>
      <c r="F118" s="14" t="s">
        <v>1927</v>
      </c>
      <c r="G118" s="16" t="s">
        <v>1491</v>
      </c>
      <c r="H118" s="17" t="s">
        <v>1307</v>
      </c>
      <c r="I118" s="11">
        <v>6</v>
      </c>
    </row>
    <row r="119" spans="1:9" hidden="1" x14ac:dyDescent="0.25">
      <c r="A119" s="14">
        <v>9</v>
      </c>
      <c r="B119" s="13">
        <v>45908</v>
      </c>
      <c r="C119" s="17" t="s">
        <v>8</v>
      </c>
      <c r="D119" s="15">
        <v>261.5</v>
      </c>
      <c r="E119" s="16" t="s">
        <v>204</v>
      </c>
      <c r="F119" s="14" t="s">
        <v>1955</v>
      </c>
      <c r="G119" s="16" t="s">
        <v>1491</v>
      </c>
      <c r="H119" s="17" t="s">
        <v>1307</v>
      </c>
      <c r="I119" s="11">
        <v>5</v>
      </c>
    </row>
    <row r="120" spans="1:9" hidden="1" x14ac:dyDescent="0.25">
      <c r="A120" s="14">
        <v>9</v>
      </c>
      <c r="B120" s="13">
        <v>45908</v>
      </c>
      <c r="C120" s="17" t="s">
        <v>8</v>
      </c>
      <c r="D120" s="15">
        <v>464.76</v>
      </c>
      <c r="E120" s="16" t="s">
        <v>205</v>
      </c>
      <c r="F120" s="14" t="s">
        <v>1938</v>
      </c>
      <c r="G120" s="16" t="s">
        <v>1491</v>
      </c>
      <c r="H120" s="17" t="s">
        <v>1207</v>
      </c>
      <c r="I120" s="11">
        <v>6</v>
      </c>
    </row>
    <row r="121" spans="1:9" hidden="1" x14ac:dyDescent="0.25">
      <c r="A121" s="14">
        <v>9</v>
      </c>
      <c r="B121" s="13">
        <v>45908</v>
      </c>
      <c r="C121" s="17" t="s">
        <v>32</v>
      </c>
      <c r="D121" s="15">
        <v>40</v>
      </c>
      <c r="E121" s="16" t="s">
        <v>208</v>
      </c>
      <c r="F121" s="14"/>
      <c r="G121" s="16" t="s">
        <v>1498</v>
      </c>
      <c r="H121" s="17" t="s">
        <v>1310</v>
      </c>
      <c r="I121" s="11">
        <v>4</v>
      </c>
    </row>
    <row r="122" spans="1:9" hidden="1" x14ac:dyDescent="0.25">
      <c r="A122" s="14">
        <v>9</v>
      </c>
      <c r="B122" s="13">
        <v>45908</v>
      </c>
      <c r="C122" s="17" t="s">
        <v>8</v>
      </c>
      <c r="D122" s="15">
        <v>401.88</v>
      </c>
      <c r="E122" s="16" t="s">
        <v>207</v>
      </c>
      <c r="F122" s="14" t="s">
        <v>1996</v>
      </c>
      <c r="G122" s="16" t="s">
        <v>1491</v>
      </c>
      <c r="H122" s="17" t="s">
        <v>1309</v>
      </c>
      <c r="I122" s="11">
        <v>6</v>
      </c>
    </row>
    <row r="123" spans="1:9" hidden="1" x14ac:dyDescent="0.25">
      <c r="A123" s="14">
        <v>9</v>
      </c>
      <c r="B123" s="13">
        <v>45908</v>
      </c>
      <c r="C123" s="17" t="s">
        <v>8</v>
      </c>
      <c r="D123" s="15">
        <v>40</v>
      </c>
      <c r="E123" s="16" t="s">
        <v>209</v>
      </c>
      <c r="F123" s="14"/>
      <c r="G123" s="16" t="s">
        <v>1498</v>
      </c>
      <c r="H123" s="17" t="s">
        <v>1309</v>
      </c>
      <c r="I123" s="11">
        <v>6</v>
      </c>
    </row>
    <row r="124" spans="1:9" hidden="1" x14ac:dyDescent="0.25">
      <c r="A124" s="14">
        <v>9</v>
      </c>
      <c r="B124" s="13">
        <v>45908</v>
      </c>
      <c r="C124" s="17" t="s">
        <v>8</v>
      </c>
      <c r="D124" s="15">
        <v>446.4</v>
      </c>
      <c r="E124" s="16" t="s">
        <v>206</v>
      </c>
      <c r="F124" s="14" t="s">
        <v>2025</v>
      </c>
      <c r="G124" s="16" t="s">
        <v>1491</v>
      </c>
      <c r="H124" s="17" t="s">
        <v>1308</v>
      </c>
      <c r="I124" s="11">
        <v>4</v>
      </c>
    </row>
    <row r="125" spans="1:9" hidden="1" x14ac:dyDescent="0.25">
      <c r="A125" s="14">
        <v>9</v>
      </c>
      <c r="B125" s="13">
        <v>45909</v>
      </c>
      <c r="C125" s="17" t="s">
        <v>32</v>
      </c>
      <c r="D125" s="15">
        <v>580</v>
      </c>
      <c r="E125" s="16" t="s">
        <v>203</v>
      </c>
      <c r="F125" s="14"/>
      <c r="G125" s="16" t="s">
        <v>1499</v>
      </c>
      <c r="H125" s="17" t="s">
        <v>1311</v>
      </c>
      <c r="I125" s="11">
        <v>5</v>
      </c>
    </row>
    <row r="126" spans="1:9" hidden="1" x14ac:dyDescent="0.25">
      <c r="A126" s="14">
        <v>9</v>
      </c>
      <c r="B126" s="13">
        <v>45910</v>
      </c>
      <c r="C126" s="17" t="s">
        <v>16</v>
      </c>
      <c r="D126" s="15">
        <v>502.27</v>
      </c>
      <c r="E126" s="16" t="s">
        <v>199</v>
      </c>
      <c r="F126" s="14" t="s">
        <v>1711</v>
      </c>
      <c r="G126" s="16" t="s">
        <v>1491</v>
      </c>
      <c r="H126" s="17" t="s">
        <v>1312</v>
      </c>
      <c r="I126" s="11">
        <v>5</v>
      </c>
    </row>
    <row r="127" spans="1:9" hidden="1" x14ac:dyDescent="0.25">
      <c r="A127" s="14">
        <v>9</v>
      </c>
      <c r="B127" s="13">
        <v>45910</v>
      </c>
      <c r="C127" s="17" t="s">
        <v>32</v>
      </c>
      <c r="D127" s="15">
        <v>394.36</v>
      </c>
      <c r="E127" s="16" t="s">
        <v>200</v>
      </c>
      <c r="F127" s="14" t="s">
        <v>1717</v>
      </c>
      <c r="G127" s="16" t="s">
        <v>1491</v>
      </c>
      <c r="H127" s="17" t="s">
        <v>1313</v>
      </c>
      <c r="I127" s="11">
        <v>4</v>
      </c>
    </row>
    <row r="128" spans="1:9" hidden="1" x14ac:dyDescent="0.25">
      <c r="A128" s="14">
        <v>9</v>
      </c>
      <c r="B128" s="13">
        <v>45911</v>
      </c>
      <c r="C128" s="17" t="s">
        <v>195</v>
      </c>
      <c r="D128" s="15">
        <v>178.4</v>
      </c>
      <c r="E128" s="16" t="s">
        <v>196</v>
      </c>
      <c r="F128" s="14" t="s">
        <v>2040</v>
      </c>
      <c r="G128" s="16" t="s">
        <v>1491</v>
      </c>
      <c r="H128" s="17" t="s">
        <v>2041</v>
      </c>
      <c r="I128" s="11">
        <v>4</v>
      </c>
    </row>
    <row r="129" spans="1:9" hidden="1" x14ac:dyDescent="0.25">
      <c r="A129" s="14">
        <v>9</v>
      </c>
      <c r="B129" s="13">
        <v>45911</v>
      </c>
      <c r="C129" s="17" t="s">
        <v>8</v>
      </c>
      <c r="D129" s="15">
        <v>80</v>
      </c>
      <c r="E129" s="16" t="s">
        <v>197</v>
      </c>
      <c r="F129" s="14"/>
      <c r="G129" s="16" t="s">
        <v>1498</v>
      </c>
      <c r="H129" s="17" t="s">
        <v>1314</v>
      </c>
      <c r="I129" s="11">
        <v>0</v>
      </c>
    </row>
    <row r="130" spans="1:9" hidden="1" x14ac:dyDescent="0.25">
      <c r="A130" s="14">
        <v>9</v>
      </c>
      <c r="B130" s="13">
        <v>45911</v>
      </c>
      <c r="C130" s="17" t="s">
        <v>8</v>
      </c>
      <c r="D130" s="15">
        <v>40</v>
      </c>
      <c r="E130" s="16" t="s">
        <v>198</v>
      </c>
      <c r="F130" s="14"/>
      <c r="G130" s="16" t="s">
        <v>1498</v>
      </c>
      <c r="H130" s="17" t="s">
        <v>1220</v>
      </c>
      <c r="I130" s="11">
        <v>6</v>
      </c>
    </row>
    <row r="131" spans="1:9" hidden="1" x14ac:dyDescent="0.25">
      <c r="A131" s="14">
        <v>9</v>
      </c>
      <c r="B131" s="13">
        <v>45911</v>
      </c>
      <c r="C131" s="17" t="s">
        <v>8</v>
      </c>
      <c r="D131" s="15">
        <v>272.7</v>
      </c>
      <c r="E131" s="16" t="s">
        <v>194</v>
      </c>
      <c r="F131" s="14" t="s">
        <v>1984</v>
      </c>
      <c r="G131" s="16" t="s">
        <v>1491</v>
      </c>
      <c r="H131" s="17" t="s">
        <v>1394</v>
      </c>
      <c r="I131" s="11">
        <v>3</v>
      </c>
    </row>
    <row r="132" spans="1:9" hidden="1" x14ac:dyDescent="0.25">
      <c r="A132" s="14">
        <v>9</v>
      </c>
      <c r="B132" s="13">
        <v>45912</v>
      </c>
      <c r="C132" s="17" t="s">
        <v>8</v>
      </c>
      <c r="D132" s="15">
        <v>40</v>
      </c>
      <c r="E132" s="16" t="s">
        <v>193</v>
      </c>
      <c r="F132" s="14"/>
      <c r="G132" s="16" t="s">
        <v>1498</v>
      </c>
      <c r="H132" s="17" t="s">
        <v>1207</v>
      </c>
      <c r="I132" s="11">
        <v>6</v>
      </c>
    </row>
    <row r="133" spans="1:9" hidden="1" x14ac:dyDescent="0.25">
      <c r="A133" s="14">
        <v>9</v>
      </c>
      <c r="B133" s="13">
        <v>45912</v>
      </c>
      <c r="C133" s="17" t="s">
        <v>16</v>
      </c>
      <c r="D133" s="15">
        <v>580</v>
      </c>
      <c r="E133" s="16" t="s">
        <v>189</v>
      </c>
      <c r="F133" s="14"/>
      <c r="G133" s="16" t="s">
        <v>1499</v>
      </c>
      <c r="H133" s="17" t="s">
        <v>1315</v>
      </c>
      <c r="I133" s="11">
        <v>9</v>
      </c>
    </row>
    <row r="134" spans="1:9" hidden="1" x14ac:dyDescent="0.25">
      <c r="A134" s="14">
        <v>9</v>
      </c>
      <c r="B134" s="13">
        <v>45912</v>
      </c>
      <c r="C134" s="17" t="s">
        <v>187</v>
      </c>
      <c r="D134" s="15">
        <v>598.16999999999996</v>
      </c>
      <c r="E134" s="16" t="s">
        <v>188</v>
      </c>
      <c r="F134" s="14" t="s">
        <v>1781</v>
      </c>
      <c r="G134" s="16" t="s">
        <v>1491</v>
      </c>
      <c r="H134" s="17" t="s">
        <v>1782</v>
      </c>
      <c r="I134" s="11">
        <v>9</v>
      </c>
    </row>
    <row r="135" spans="1:9" hidden="1" x14ac:dyDescent="0.25">
      <c r="A135" s="14">
        <v>9</v>
      </c>
      <c r="B135" s="13">
        <v>45912</v>
      </c>
      <c r="C135" s="17" t="s">
        <v>8</v>
      </c>
      <c r="D135" s="15">
        <v>580</v>
      </c>
      <c r="E135" s="16" t="s">
        <v>190</v>
      </c>
      <c r="F135" s="14"/>
      <c r="G135" s="16" t="s">
        <v>1499</v>
      </c>
      <c r="H135" s="17" t="s">
        <v>1316</v>
      </c>
      <c r="I135" s="11">
        <v>0</v>
      </c>
    </row>
    <row r="136" spans="1:9" hidden="1" x14ac:dyDescent="0.25">
      <c r="A136" s="14">
        <v>9</v>
      </c>
      <c r="B136" s="13">
        <v>45912</v>
      </c>
      <c r="C136" s="17" t="s">
        <v>23</v>
      </c>
      <c r="D136" s="15">
        <v>77.760000000000005</v>
      </c>
      <c r="E136" s="16" t="s">
        <v>192</v>
      </c>
      <c r="F136" s="14" t="s">
        <v>1843</v>
      </c>
      <c r="G136" s="16" t="s">
        <v>1491</v>
      </c>
      <c r="H136" s="17" t="s">
        <v>1242</v>
      </c>
      <c r="I136" s="11">
        <v>10</v>
      </c>
    </row>
    <row r="137" spans="1:9" hidden="1" x14ac:dyDescent="0.25">
      <c r="A137" s="14">
        <v>9</v>
      </c>
      <c r="B137" s="13">
        <v>45912</v>
      </c>
      <c r="C137" s="17" t="s">
        <v>16</v>
      </c>
      <c r="D137" s="15">
        <v>180.18</v>
      </c>
      <c r="E137" s="16" t="s">
        <v>191</v>
      </c>
      <c r="F137" s="14" t="s">
        <v>1579</v>
      </c>
      <c r="G137" s="16" t="s">
        <v>1490</v>
      </c>
      <c r="H137" s="17" t="s">
        <v>1317</v>
      </c>
      <c r="I137" s="11">
        <v>6</v>
      </c>
    </row>
    <row r="138" spans="1:9" hidden="1" x14ac:dyDescent="0.25">
      <c r="A138" s="14">
        <v>9</v>
      </c>
      <c r="B138" s="13">
        <v>45913</v>
      </c>
      <c r="C138" s="17" t="s">
        <v>32</v>
      </c>
      <c r="D138" s="15">
        <v>373.62</v>
      </c>
      <c r="E138" s="16" t="s">
        <v>181</v>
      </c>
      <c r="F138" s="14" t="s">
        <v>1677</v>
      </c>
      <c r="G138" s="16" t="s">
        <v>1490</v>
      </c>
      <c r="H138" s="17" t="s">
        <v>1318</v>
      </c>
      <c r="I138" s="11">
        <v>5</v>
      </c>
    </row>
    <row r="139" spans="1:9" hidden="1" x14ac:dyDescent="0.25">
      <c r="A139" s="14">
        <v>9</v>
      </c>
      <c r="B139" s="13">
        <v>45913</v>
      </c>
      <c r="C139" s="17" t="s">
        <v>32</v>
      </c>
      <c r="D139" s="15">
        <v>364.64</v>
      </c>
      <c r="E139" s="16" t="s">
        <v>181</v>
      </c>
      <c r="F139" s="14" t="s">
        <v>1677</v>
      </c>
      <c r="G139" s="16" t="s">
        <v>1491</v>
      </c>
      <c r="H139" s="17" t="s">
        <v>1318</v>
      </c>
      <c r="I139" s="11">
        <v>5</v>
      </c>
    </row>
    <row r="140" spans="1:9" hidden="1" x14ac:dyDescent="0.25">
      <c r="A140" s="14">
        <v>9</v>
      </c>
      <c r="B140" s="13">
        <v>45913</v>
      </c>
      <c r="C140" s="17" t="s">
        <v>8</v>
      </c>
      <c r="D140" s="15">
        <v>580</v>
      </c>
      <c r="E140" s="16" t="s">
        <v>182</v>
      </c>
      <c r="F140" s="14"/>
      <c r="G140" s="16" t="s">
        <v>1499</v>
      </c>
      <c r="H140" s="17" t="s">
        <v>1319</v>
      </c>
      <c r="I140" s="11">
        <v>6</v>
      </c>
    </row>
    <row r="141" spans="1:9" hidden="1" x14ac:dyDescent="0.25">
      <c r="A141" s="14">
        <v>9</v>
      </c>
      <c r="B141" s="13">
        <v>45913</v>
      </c>
      <c r="C141" s="17" t="s">
        <v>8</v>
      </c>
      <c r="D141" s="15">
        <v>40</v>
      </c>
      <c r="E141" s="16" t="s">
        <v>186</v>
      </c>
      <c r="F141" s="14"/>
      <c r="G141" s="16" t="s">
        <v>1498</v>
      </c>
      <c r="H141" s="17" t="s">
        <v>1319</v>
      </c>
      <c r="I141" s="11">
        <v>6</v>
      </c>
    </row>
    <row r="142" spans="1:9" hidden="1" x14ac:dyDescent="0.25">
      <c r="A142" s="14">
        <v>9</v>
      </c>
      <c r="B142" s="13">
        <v>45913</v>
      </c>
      <c r="C142" s="17" t="s">
        <v>8</v>
      </c>
      <c r="D142" s="15">
        <v>254.03</v>
      </c>
      <c r="E142" s="16" t="s">
        <v>184</v>
      </c>
      <c r="F142" s="14" t="s">
        <v>1806</v>
      </c>
      <c r="G142" s="16" t="s">
        <v>1491</v>
      </c>
      <c r="H142" s="17" t="s">
        <v>1321</v>
      </c>
      <c r="I142" s="11">
        <v>5</v>
      </c>
    </row>
    <row r="143" spans="1:9" hidden="1" x14ac:dyDescent="0.25">
      <c r="A143" s="14">
        <v>9</v>
      </c>
      <c r="B143" s="13">
        <v>45913</v>
      </c>
      <c r="C143" s="17" t="s">
        <v>8</v>
      </c>
      <c r="D143" s="15">
        <v>183.74</v>
      </c>
      <c r="E143" s="16" t="s">
        <v>185</v>
      </c>
      <c r="F143" s="14" t="s">
        <v>1847</v>
      </c>
      <c r="G143" s="16" t="s">
        <v>1491</v>
      </c>
      <c r="H143" s="17" t="s">
        <v>1322</v>
      </c>
      <c r="I143" s="11">
        <v>6</v>
      </c>
    </row>
    <row r="144" spans="1:9" hidden="1" x14ac:dyDescent="0.25">
      <c r="A144" s="14">
        <v>9</v>
      </c>
      <c r="B144" s="13">
        <v>45913</v>
      </c>
      <c r="C144" s="17" t="s">
        <v>8</v>
      </c>
      <c r="D144" s="15">
        <v>385.23</v>
      </c>
      <c r="E144" s="16" t="s">
        <v>183</v>
      </c>
      <c r="F144" s="14" t="s">
        <v>1504</v>
      </c>
      <c r="G144" s="16" t="s">
        <v>1490</v>
      </c>
      <c r="H144" s="17" t="s">
        <v>1320</v>
      </c>
      <c r="I144" s="11">
        <v>7</v>
      </c>
    </row>
    <row r="145" spans="1:9" hidden="1" x14ac:dyDescent="0.25">
      <c r="A145" s="14">
        <v>9</v>
      </c>
      <c r="B145" s="13">
        <v>45915</v>
      </c>
      <c r="C145" s="17" t="s">
        <v>16</v>
      </c>
      <c r="D145" s="15">
        <v>401.88</v>
      </c>
      <c r="E145" s="16" t="s">
        <v>177</v>
      </c>
      <c r="F145" s="14" t="s">
        <v>1585</v>
      </c>
      <c r="G145" s="16" t="s">
        <v>1491</v>
      </c>
      <c r="H145" s="17" t="s">
        <v>1323</v>
      </c>
      <c r="I145" s="11">
        <v>6</v>
      </c>
    </row>
    <row r="146" spans="1:9" hidden="1" x14ac:dyDescent="0.25">
      <c r="A146" s="14">
        <v>9</v>
      </c>
      <c r="B146" s="13">
        <v>45915</v>
      </c>
      <c r="C146" s="17" t="s">
        <v>8</v>
      </c>
      <c r="D146" s="15">
        <v>374.56</v>
      </c>
      <c r="E146" s="16" t="s">
        <v>178</v>
      </c>
      <c r="F146" s="14" t="s">
        <v>1617</v>
      </c>
      <c r="G146" s="16" t="s">
        <v>1492</v>
      </c>
      <c r="H146" s="17" t="s">
        <v>1234</v>
      </c>
      <c r="I146" s="11">
        <v>7</v>
      </c>
    </row>
    <row r="147" spans="1:9" hidden="1" x14ac:dyDescent="0.25">
      <c r="A147" s="14">
        <v>9</v>
      </c>
      <c r="B147" s="13">
        <v>45915</v>
      </c>
      <c r="C147" s="17" t="s">
        <v>32</v>
      </c>
      <c r="D147" s="15">
        <v>294.25</v>
      </c>
      <c r="E147" s="16" t="s">
        <v>180</v>
      </c>
      <c r="F147" s="14" t="s">
        <v>1998</v>
      </c>
      <c r="G147" s="16" t="s">
        <v>1491</v>
      </c>
      <c r="H147" s="17" t="s">
        <v>1325</v>
      </c>
      <c r="I147" s="11">
        <v>5</v>
      </c>
    </row>
    <row r="148" spans="1:9" hidden="1" x14ac:dyDescent="0.25">
      <c r="A148" s="14">
        <v>9</v>
      </c>
      <c r="B148" s="13">
        <v>45915</v>
      </c>
      <c r="C148" s="17" t="s">
        <v>8</v>
      </c>
      <c r="D148" s="15">
        <v>372.01</v>
      </c>
      <c r="E148" s="16" t="s">
        <v>179</v>
      </c>
      <c r="F148" s="14" t="s">
        <v>1912</v>
      </c>
      <c r="G148" s="16" t="s">
        <v>1491</v>
      </c>
      <c r="H148" s="17" t="s">
        <v>1324</v>
      </c>
      <c r="I148" s="11">
        <v>6</v>
      </c>
    </row>
    <row r="149" spans="1:9" hidden="1" x14ac:dyDescent="0.25">
      <c r="A149" s="14">
        <v>9</v>
      </c>
      <c r="B149" s="13">
        <v>45916</v>
      </c>
      <c r="C149" s="17" t="s">
        <v>8</v>
      </c>
      <c r="D149" s="15">
        <v>411.66</v>
      </c>
      <c r="E149" s="16" t="s">
        <v>176</v>
      </c>
      <c r="F149" s="14" t="s">
        <v>1565</v>
      </c>
      <c r="G149" s="16" t="s">
        <v>1491</v>
      </c>
      <c r="H149" s="17" t="s">
        <v>1326</v>
      </c>
      <c r="I149" s="11">
        <v>5</v>
      </c>
    </row>
    <row r="150" spans="1:9" hidden="1" x14ac:dyDescent="0.25">
      <c r="A150" s="14">
        <v>9</v>
      </c>
      <c r="B150" s="13">
        <v>45917</v>
      </c>
      <c r="C150" s="17" t="s">
        <v>8</v>
      </c>
      <c r="D150" s="15">
        <v>379.48</v>
      </c>
      <c r="E150" s="16" t="s">
        <v>173</v>
      </c>
      <c r="F150" s="14" t="s">
        <v>1588</v>
      </c>
      <c r="G150" s="16" t="s">
        <v>1491</v>
      </c>
      <c r="H150" s="17" t="s">
        <v>1327</v>
      </c>
      <c r="I150" s="11">
        <v>6</v>
      </c>
    </row>
    <row r="151" spans="1:9" hidden="1" x14ac:dyDescent="0.25">
      <c r="A151" s="14">
        <v>9</v>
      </c>
      <c r="B151" s="13">
        <v>45917</v>
      </c>
      <c r="C151" s="17" t="s">
        <v>20</v>
      </c>
      <c r="D151" s="15">
        <v>255.32</v>
      </c>
      <c r="E151" s="16" t="s">
        <v>174</v>
      </c>
      <c r="F151" s="14" t="s">
        <v>1761</v>
      </c>
      <c r="G151" s="16" t="s">
        <v>1490</v>
      </c>
      <c r="H151" s="17" t="s">
        <v>1328</v>
      </c>
      <c r="I151" s="11">
        <v>4</v>
      </c>
    </row>
    <row r="152" spans="1:9" hidden="1" x14ac:dyDescent="0.25">
      <c r="A152" s="14">
        <v>9</v>
      </c>
      <c r="B152" s="13">
        <v>45917</v>
      </c>
      <c r="C152" s="17" t="s">
        <v>20</v>
      </c>
      <c r="D152" s="15">
        <v>30</v>
      </c>
      <c r="E152" s="16" t="s">
        <v>175</v>
      </c>
      <c r="F152" s="14"/>
      <c r="G152" s="16" t="s">
        <v>1497</v>
      </c>
      <c r="H152" s="17" t="s">
        <v>1329</v>
      </c>
      <c r="I152" s="11">
        <v>0</v>
      </c>
    </row>
    <row r="153" spans="1:9" hidden="1" x14ac:dyDescent="0.25">
      <c r="A153" s="14">
        <v>9</v>
      </c>
      <c r="B153" s="13">
        <v>45918</v>
      </c>
      <c r="C153" s="17" t="s">
        <v>8</v>
      </c>
      <c r="D153" s="15">
        <v>459.24</v>
      </c>
      <c r="E153" s="16" t="s">
        <v>169</v>
      </c>
      <c r="F153" s="14" t="s">
        <v>1714</v>
      </c>
      <c r="G153" s="16" t="s">
        <v>1491</v>
      </c>
      <c r="H153" s="17" t="s">
        <v>1330</v>
      </c>
      <c r="I153" s="11">
        <v>5</v>
      </c>
    </row>
    <row r="154" spans="1:9" hidden="1" x14ac:dyDescent="0.25">
      <c r="A154" s="14">
        <v>9</v>
      </c>
      <c r="B154" s="13">
        <v>45918</v>
      </c>
      <c r="C154" s="17" t="s">
        <v>8</v>
      </c>
      <c r="D154" s="15">
        <v>30</v>
      </c>
      <c r="E154" s="16" t="s">
        <v>172</v>
      </c>
      <c r="F154" s="14"/>
      <c r="G154" s="16" t="s">
        <v>1497</v>
      </c>
      <c r="H154" s="17" t="s">
        <v>1333</v>
      </c>
      <c r="I154" s="11">
        <v>0</v>
      </c>
    </row>
    <row r="155" spans="1:9" hidden="1" x14ac:dyDescent="0.25">
      <c r="A155" s="14">
        <v>9</v>
      </c>
      <c r="B155" s="13">
        <v>45918</v>
      </c>
      <c r="C155" s="17" t="s">
        <v>8</v>
      </c>
      <c r="D155" s="15">
        <v>77.760000000000005</v>
      </c>
      <c r="E155" s="16" t="s">
        <v>171</v>
      </c>
      <c r="F155" s="14" t="s">
        <v>1826</v>
      </c>
      <c r="G155" s="16" t="s">
        <v>1491</v>
      </c>
      <c r="H155" s="17" t="s">
        <v>1332</v>
      </c>
      <c r="I155" s="11">
        <v>5</v>
      </c>
    </row>
    <row r="156" spans="1:9" hidden="1" x14ac:dyDescent="0.25">
      <c r="A156" s="14">
        <v>9</v>
      </c>
      <c r="B156" s="13">
        <v>45918</v>
      </c>
      <c r="C156" s="17" t="s">
        <v>32</v>
      </c>
      <c r="D156" s="15">
        <v>242.83</v>
      </c>
      <c r="E156" s="16" t="s">
        <v>170</v>
      </c>
      <c r="F156" s="14" t="s">
        <v>1966</v>
      </c>
      <c r="G156" s="16" t="s">
        <v>1491</v>
      </c>
      <c r="H156" s="17" t="s">
        <v>1331</v>
      </c>
      <c r="I156" s="11">
        <v>4</v>
      </c>
    </row>
    <row r="157" spans="1:9" hidden="1" x14ac:dyDescent="0.25">
      <c r="A157" s="14">
        <v>9</v>
      </c>
      <c r="B157" s="13">
        <v>45919</v>
      </c>
      <c r="C157" s="17" t="s">
        <v>8</v>
      </c>
      <c r="D157" s="15">
        <v>391.13</v>
      </c>
      <c r="E157" s="16" t="s">
        <v>167</v>
      </c>
      <c r="F157" s="14" t="s">
        <v>1798</v>
      </c>
      <c r="G157" s="16" t="s">
        <v>1491</v>
      </c>
      <c r="H157" s="17" t="s">
        <v>1334</v>
      </c>
      <c r="I157" s="11">
        <v>8</v>
      </c>
    </row>
    <row r="158" spans="1:9" hidden="1" x14ac:dyDescent="0.25">
      <c r="A158" s="14">
        <v>9</v>
      </c>
      <c r="B158" s="13">
        <v>45919</v>
      </c>
      <c r="C158" s="17" t="s">
        <v>8</v>
      </c>
      <c r="D158" s="15">
        <v>77.75</v>
      </c>
      <c r="E158" s="16" t="s">
        <v>168</v>
      </c>
      <c r="F158" s="14" t="s">
        <v>1801</v>
      </c>
      <c r="G158" s="16" t="s">
        <v>1491</v>
      </c>
      <c r="H158" s="17" t="s">
        <v>1334</v>
      </c>
      <c r="I158" s="11">
        <v>5</v>
      </c>
    </row>
    <row r="159" spans="1:9" hidden="1" x14ac:dyDescent="0.25">
      <c r="A159" s="14">
        <v>9</v>
      </c>
      <c r="B159" s="13">
        <v>45920</v>
      </c>
      <c r="C159" s="17" t="s">
        <v>8</v>
      </c>
      <c r="D159" s="15">
        <v>40</v>
      </c>
      <c r="E159" s="16" t="s">
        <v>166</v>
      </c>
      <c r="F159" s="14"/>
      <c r="G159" s="16" t="s">
        <v>1498</v>
      </c>
      <c r="H159" s="17" t="s">
        <v>1319</v>
      </c>
      <c r="I159" s="11">
        <v>6</v>
      </c>
    </row>
    <row r="160" spans="1:9" hidden="1" x14ac:dyDescent="0.25">
      <c r="A160" s="14">
        <v>9</v>
      </c>
      <c r="B160" s="13">
        <v>45920</v>
      </c>
      <c r="C160" s="17" t="s">
        <v>8</v>
      </c>
      <c r="D160" s="15">
        <v>190</v>
      </c>
      <c r="E160" s="16" t="s">
        <v>165</v>
      </c>
      <c r="F160" s="14" t="s">
        <v>1963</v>
      </c>
      <c r="G160" s="16" t="s">
        <v>1491</v>
      </c>
      <c r="H160" s="17" t="s">
        <v>1335</v>
      </c>
      <c r="I160" s="11">
        <v>6</v>
      </c>
    </row>
    <row r="161" spans="1:9" hidden="1" x14ac:dyDescent="0.25">
      <c r="A161" s="14">
        <v>9</v>
      </c>
      <c r="B161" s="13">
        <v>45921</v>
      </c>
      <c r="C161" s="17" t="s">
        <v>8</v>
      </c>
      <c r="D161" s="15">
        <v>30</v>
      </c>
      <c r="E161" s="16" t="s">
        <v>164</v>
      </c>
      <c r="F161" s="14"/>
      <c r="G161" s="16" t="s">
        <v>1497</v>
      </c>
      <c r="H161" s="17" t="s">
        <v>1320</v>
      </c>
      <c r="I161" s="11">
        <v>7</v>
      </c>
    </row>
    <row r="162" spans="1:9" hidden="1" x14ac:dyDescent="0.25">
      <c r="A162" s="14">
        <v>9</v>
      </c>
      <c r="B162" s="13">
        <v>45922</v>
      </c>
      <c r="C162" s="17" t="s">
        <v>16</v>
      </c>
      <c r="D162" s="15">
        <v>180.01</v>
      </c>
      <c r="E162" s="16" t="s">
        <v>163</v>
      </c>
      <c r="F162" s="14" t="s">
        <v>1697</v>
      </c>
      <c r="G162" s="16" t="s">
        <v>1491</v>
      </c>
      <c r="H162" s="17" t="s">
        <v>1336</v>
      </c>
      <c r="I162" s="11">
        <v>6</v>
      </c>
    </row>
    <row r="163" spans="1:9" hidden="1" x14ac:dyDescent="0.25">
      <c r="A163" s="14">
        <v>9</v>
      </c>
      <c r="B163" s="13">
        <v>45922</v>
      </c>
      <c r="C163" s="17" t="s">
        <v>161</v>
      </c>
      <c r="D163" s="15">
        <v>445</v>
      </c>
      <c r="E163" s="16" t="s">
        <v>162</v>
      </c>
      <c r="F163" s="14" t="s">
        <v>1560</v>
      </c>
      <c r="G163" s="16" t="s">
        <v>1491</v>
      </c>
      <c r="H163" s="17" t="s">
        <v>1206</v>
      </c>
      <c r="I163" s="11">
        <v>5</v>
      </c>
    </row>
    <row r="164" spans="1:9" hidden="1" x14ac:dyDescent="0.25">
      <c r="A164" s="14">
        <v>9</v>
      </c>
      <c r="B164" s="13">
        <v>45923</v>
      </c>
      <c r="C164" s="17" t="s">
        <v>8</v>
      </c>
      <c r="D164" s="15">
        <v>342.91</v>
      </c>
      <c r="E164" s="16" t="s">
        <v>160</v>
      </c>
      <c r="F164" s="14" t="s">
        <v>1570</v>
      </c>
      <c r="G164" s="16" t="s">
        <v>1491</v>
      </c>
      <c r="H164" s="17" t="s">
        <v>1213</v>
      </c>
      <c r="I164" s="11">
        <v>5</v>
      </c>
    </row>
    <row r="165" spans="1:9" hidden="1" x14ac:dyDescent="0.25">
      <c r="A165" s="14">
        <v>9</v>
      </c>
      <c r="B165" s="13">
        <v>45923</v>
      </c>
      <c r="C165" s="17" t="s">
        <v>8</v>
      </c>
      <c r="D165" s="15">
        <v>416.19</v>
      </c>
      <c r="E165" s="16" t="s">
        <v>159</v>
      </c>
      <c r="F165" s="14" t="s">
        <v>1635</v>
      </c>
      <c r="G165" s="16" t="s">
        <v>1490</v>
      </c>
      <c r="H165" s="17" t="s">
        <v>8</v>
      </c>
      <c r="I165" s="11">
        <v>4</v>
      </c>
    </row>
    <row r="166" spans="1:9" hidden="1" x14ac:dyDescent="0.25">
      <c r="A166" s="14">
        <v>9</v>
      </c>
      <c r="B166" s="13">
        <v>45924</v>
      </c>
      <c r="C166" s="17" t="s">
        <v>16</v>
      </c>
      <c r="D166" s="15">
        <v>580</v>
      </c>
      <c r="E166" s="16" t="s">
        <v>153</v>
      </c>
      <c r="F166" s="14"/>
      <c r="G166" s="16" t="s">
        <v>1499</v>
      </c>
      <c r="H166" s="17" t="s">
        <v>1337</v>
      </c>
      <c r="I166" s="11">
        <v>7</v>
      </c>
    </row>
    <row r="167" spans="1:9" hidden="1" x14ac:dyDescent="0.25">
      <c r="A167" s="14">
        <v>9</v>
      </c>
      <c r="B167" s="13">
        <v>45924</v>
      </c>
      <c r="C167" s="17" t="s">
        <v>16</v>
      </c>
      <c r="D167" s="15">
        <v>390.68</v>
      </c>
      <c r="E167" s="16" t="s">
        <v>157</v>
      </c>
      <c r="F167" s="14" t="s">
        <v>1835</v>
      </c>
      <c r="G167" s="16" t="s">
        <v>1491</v>
      </c>
      <c r="H167" s="17" t="s">
        <v>1288</v>
      </c>
      <c r="I167" s="11">
        <v>5</v>
      </c>
    </row>
    <row r="168" spans="1:9" hidden="1" x14ac:dyDescent="0.25">
      <c r="A168" s="14">
        <v>9</v>
      </c>
      <c r="B168" s="13">
        <v>45924</v>
      </c>
      <c r="C168" s="17" t="s">
        <v>8</v>
      </c>
      <c r="D168" s="15">
        <v>40</v>
      </c>
      <c r="E168" s="16" t="s">
        <v>158</v>
      </c>
      <c r="F168" s="14"/>
      <c r="G168" s="16" t="s">
        <v>1498</v>
      </c>
      <c r="H168" s="17" t="s">
        <v>1338</v>
      </c>
      <c r="I168" s="11">
        <v>0</v>
      </c>
    </row>
    <row r="169" spans="1:9" hidden="1" x14ac:dyDescent="0.25">
      <c r="A169" s="14">
        <v>9</v>
      </c>
      <c r="B169" s="13">
        <v>45924</v>
      </c>
      <c r="C169" s="17" t="s">
        <v>8</v>
      </c>
      <c r="D169" s="15">
        <v>397</v>
      </c>
      <c r="E169" s="16" t="s">
        <v>156</v>
      </c>
      <c r="F169" s="14" t="s">
        <v>1921</v>
      </c>
      <c r="G169" s="16" t="s">
        <v>1491</v>
      </c>
      <c r="H169" s="17" t="s">
        <v>8</v>
      </c>
      <c r="I169" s="11">
        <v>5</v>
      </c>
    </row>
    <row r="170" spans="1:9" hidden="1" x14ac:dyDescent="0.25">
      <c r="A170" s="14">
        <v>9</v>
      </c>
      <c r="B170" s="13">
        <v>45924</v>
      </c>
      <c r="C170" s="17" t="s">
        <v>154</v>
      </c>
      <c r="D170" s="15">
        <v>580</v>
      </c>
      <c r="E170" s="16" t="s">
        <v>155</v>
      </c>
      <c r="F170" s="14"/>
      <c r="G170" s="16" t="s">
        <v>1499</v>
      </c>
      <c r="H170" s="17" t="s">
        <v>1206</v>
      </c>
      <c r="I170" s="11">
        <v>0</v>
      </c>
    </row>
    <row r="171" spans="1:9" hidden="1" x14ac:dyDescent="0.25">
      <c r="A171" s="14">
        <v>9</v>
      </c>
      <c r="B171" s="13">
        <v>45925</v>
      </c>
      <c r="C171" s="17" t="s">
        <v>8</v>
      </c>
      <c r="D171" s="15">
        <v>165.07</v>
      </c>
      <c r="E171" s="16" t="s">
        <v>152</v>
      </c>
      <c r="F171" s="14" t="s">
        <v>2022</v>
      </c>
      <c r="G171" s="16" t="s">
        <v>1491</v>
      </c>
      <c r="H171" s="17" t="s">
        <v>1340</v>
      </c>
      <c r="I171" s="11">
        <v>4</v>
      </c>
    </row>
    <row r="172" spans="1:9" hidden="1" x14ac:dyDescent="0.25">
      <c r="A172" s="14">
        <v>9</v>
      </c>
      <c r="B172" s="13">
        <v>45925</v>
      </c>
      <c r="C172" s="17" t="s">
        <v>8</v>
      </c>
      <c r="D172" s="15">
        <v>580</v>
      </c>
      <c r="E172" s="16" t="s">
        <v>150</v>
      </c>
      <c r="F172" s="14"/>
      <c r="G172" s="16" t="s">
        <v>1499</v>
      </c>
      <c r="H172" s="17" t="s">
        <v>1339</v>
      </c>
      <c r="I172" s="11">
        <v>0</v>
      </c>
    </row>
    <row r="173" spans="1:9" hidden="1" x14ac:dyDescent="0.25">
      <c r="A173" s="14">
        <v>9</v>
      </c>
      <c r="B173" s="13">
        <v>45925</v>
      </c>
      <c r="C173" s="17" t="s">
        <v>23</v>
      </c>
      <c r="D173" s="15">
        <v>357.07</v>
      </c>
      <c r="E173" s="16" t="s">
        <v>151</v>
      </c>
      <c r="F173" s="14" t="s">
        <v>1543</v>
      </c>
      <c r="G173" s="16" t="s">
        <v>1491</v>
      </c>
      <c r="H173" s="17" t="s">
        <v>23</v>
      </c>
      <c r="I173" s="11">
        <v>4</v>
      </c>
    </row>
    <row r="174" spans="1:9" hidden="1" x14ac:dyDescent="0.25">
      <c r="A174" s="14">
        <v>9</v>
      </c>
      <c r="B174" s="13">
        <v>45926</v>
      </c>
      <c r="C174" s="17" t="s">
        <v>16</v>
      </c>
      <c r="D174" s="15">
        <v>580</v>
      </c>
      <c r="E174" s="16" t="s">
        <v>145</v>
      </c>
      <c r="F174" s="14"/>
      <c r="G174" s="16" t="s">
        <v>1499</v>
      </c>
      <c r="H174" s="17" t="s">
        <v>1315</v>
      </c>
      <c r="I174" s="11">
        <v>9</v>
      </c>
    </row>
    <row r="175" spans="1:9" hidden="1" x14ac:dyDescent="0.25">
      <c r="A175" s="14">
        <v>9</v>
      </c>
      <c r="B175" s="13">
        <v>45927</v>
      </c>
      <c r="C175" s="17" t="s">
        <v>32</v>
      </c>
      <c r="D175" s="15">
        <v>297.98</v>
      </c>
      <c r="E175" s="16" t="s">
        <v>138</v>
      </c>
      <c r="F175" s="14" t="s">
        <v>1608</v>
      </c>
      <c r="G175" s="16" t="s">
        <v>1491</v>
      </c>
      <c r="H175" s="17" t="s">
        <v>1344</v>
      </c>
      <c r="I175" s="11">
        <v>4</v>
      </c>
    </row>
    <row r="176" spans="1:9" hidden="1" x14ac:dyDescent="0.25">
      <c r="A176" s="14">
        <v>9</v>
      </c>
      <c r="B176" s="13">
        <v>45927</v>
      </c>
      <c r="C176" s="17" t="s">
        <v>32</v>
      </c>
      <c r="D176" s="15">
        <v>297.83</v>
      </c>
      <c r="E176" s="16" t="s">
        <v>139</v>
      </c>
      <c r="F176" s="14" t="s">
        <v>1608</v>
      </c>
      <c r="G176" s="16" t="s">
        <v>1492</v>
      </c>
      <c r="H176" s="17" t="s">
        <v>1344</v>
      </c>
      <c r="I176" s="11">
        <v>4</v>
      </c>
    </row>
    <row r="177" spans="1:9" hidden="1" x14ac:dyDescent="0.25">
      <c r="A177" s="14">
        <v>9</v>
      </c>
      <c r="B177" s="13">
        <v>45927</v>
      </c>
      <c r="C177" s="17" t="s">
        <v>8</v>
      </c>
      <c r="D177" s="15">
        <v>191.21</v>
      </c>
      <c r="E177" s="16" t="s">
        <v>133</v>
      </c>
      <c r="F177" s="14" t="s">
        <v>1891</v>
      </c>
      <c r="G177" s="16" t="s">
        <v>1491</v>
      </c>
      <c r="H177" s="17" t="s">
        <v>1342</v>
      </c>
      <c r="I177" s="11">
        <v>4</v>
      </c>
    </row>
    <row r="178" spans="1:9" hidden="1" x14ac:dyDescent="0.25">
      <c r="A178" s="14">
        <v>9</v>
      </c>
      <c r="B178" s="13">
        <v>45927</v>
      </c>
      <c r="C178" s="17" t="s">
        <v>8</v>
      </c>
      <c r="D178" s="15">
        <v>187.55</v>
      </c>
      <c r="E178" s="16" t="s">
        <v>133</v>
      </c>
      <c r="F178" s="14" t="s">
        <v>1891</v>
      </c>
      <c r="G178" s="16" t="s">
        <v>1492</v>
      </c>
      <c r="H178" s="17" t="s">
        <v>1342</v>
      </c>
      <c r="I178" s="11">
        <v>4</v>
      </c>
    </row>
    <row r="179" spans="1:9" hidden="1" x14ac:dyDescent="0.25">
      <c r="A179" s="14">
        <v>9</v>
      </c>
      <c r="B179" s="13">
        <v>45927</v>
      </c>
      <c r="C179" s="17" t="s">
        <v>8</v>
      </c>
      <c r="D179" s="15">
        <v>385.43</v>
      </c>
      <c r="E179" s="16" t="s">
        <v>130</v>
      </c>
      <c r="F179" s="14" t="s">
        <v>1505</v>
      </c>
      <c r="G179" s="16" t="s">
        <v>1492</v>
      </c>
      <c r="H179" s="17" t="s">
        <v>1224</v>
      </c>
      <c r="I179" s="11">
        <v>5</v>
      </c>
    </row>
    <row r="180" spans="1:9" hidden="1" x14ac:dyDescent="0.25">
      <c r="A180" s="14">
        <v>9</v>
      </c>
      <c r="B180" s="13">
        <v>45927</v>
      </c>
      <c r="C180" s="17" t="s">
        <v>16</v>
      </c>
      <c r="D180" s="15">
        <v>580</v>
      </c>
      <c r="E180" s="16" t="s">
        <v>126</v>
      </c>
      <c r="F180" s="14"/>
      <c r="G180" s="16" t="s">
        <v>1499</v>
      </c>
      <c r="H180" s="17" t="s">
        <v>1323</v>
      </c>
      <c r="I180" s="11">
        <v>6</v>
      </c>
    </row>
    <row r="181" spans="1:9" hidden="1" x14ac:dyDescent="0.25">
      <c r="A181" s="14">
        <v>9</v>
      </c>
      <c r="B181" s="13">
        <v>45927</v>
      </c>
      <c r="C181" s="17" t="s">
        <v>16</v>
      </c>
      <c r="D181" s="15">
        <v>30</v>
      </c>
      <c r="E181" s="16" t="s">
        <v>126</v>
      </c>
      <c r="F181" s="14"/>
      <c r="G181" s="16" t="s">
        <v>1497</v>
      </c>
      <c r="H181" s="17" t="s">
        <v>1323</v>
      </c>
      <c r="I181" s="11">
        <v>6</v>
      </c>
    </row>
    <row r="182" spans="1:9" hidden="1" x14ac:dyDescent="0.25">
      <c r="A182" s="14">
        <v>9</v>
      </c>
      <c r="B182" s="13">
        <v>45927</v>
      </c>
      <c r="C182" s="17" t="s">
        <v>16</v>
      </c>
      <c r="D182" s="15">
        <v>191.7</v>
      </c>
      <c r="E182" s="16" t="s">
        <v>141</v>
      </c>
      <c r="F182" s="14" t="s">
        <v>1602</v>
      </c>
      <c r="G182" s="16" t="s">
        <v>1492</v>
      </c>
      <c r="H182" s="17" t="s">
        <v>1265</v>
      </c>
      <c r="I182" s="11">
        <v>5</v>
      </c>
    </row>
    <row r="183" spans="1:9" hidden="1" x14ac:dyDescent="0.25">
      <c r="A183" s="14">
        <v>9</v>
      </c>
      <c r="B183" s="13">
        <v>45927</v>
      </c>
      <c r="C183" s="17" t="s">
        <v>8</v>
      </c>
      <c r="D183" s="15">
        <v>404.78</v>
      </c>
      <c r="E183" s="16" t="s">
        <v>127</v>
      </c>
      <c r="F183" s="14" t="s">
        <v>1744</v>
      </c>
      <c r="G183" s="16" t="s">
        <v>1486</v>
      </c>
      <c r="H183" s="17" t="s">
        <v>1341</v>
      </c>
      <c r="I183" s="11">
        <v>7</v>
      </c>
    </row>
    <row r="184" spans="1:9" hidden="1" x14ac:dyDescent="0.25">
      <c r="A184" s="14">
        <v>9</v>
      </c>
      <c r="B184" s="13">
        <v>45927</v>
      </c>
      <c r="C184" s="17" t="s">
        <v>8</v>
      </c>
      <c r="D184" s="15">
        <v>385.43</v>
      </c>
      <c r="E184" s="16" t="s">
        <v>129</v>
      </c>
      <c r="F184" s="14" t="s">
        <v>1744</v>
      </c>
      <c r="G184" s="16" t="s">
        <v>1485</v>
      </c>
      <c r="H184" s="17" t="s">
        <v>1341</v>
      </c>
      <c r="I184" s="11">
        <v>7</v>
      </c>
    </row>
    <row r="185" spans="1:9" hidden="1" x14ac:dyDescent="0.25">
      <c r="A185" s="14">
        <v>9</v>
      </c>
      <c r="B185" s="13">
        <v>45927</v>
      </c>
      <c r="C185" s="17" t="s">
        <v>8</v>
      </c>
      <c r="D185" s="15">
        <v>381.36</v>
      </c>
      <c r="E185" s="16" t="s">
        <v>131</v>
      </c>
      <c r="F185" s="14" t="s">
        <v>1744</v>
      </c>
      <c r="G185" s="16" t="s">
        <v>1488</v>
      </c>
      <c r="H185" s="17" t="s">
        <v>1341</v>
      </c>
      <c r="I185" s="11">
        <v>7</v>
      </c>
    </row>
    <row r="186" spans="1:9" hidden="1" x14ac:dyDescent="0.25">
      <c r="A186" s="14">
        <v>9</v>
      </c>
      <c r="B186" s="13">
        <v>45927</v>
      </c>
      <c r="C186" s="17" t="s">
        <v>8</v>
      </c>
      <c r="D186" s="15">
        <v>381.36</v>
      </c>
      <c r="E186" s="16" t="s">
        <v>132</v>
      </c>
      <c r="F186" s="14" t="s">
        <v>1744</v>
      </c>
      <c r="G186" s="16" t="s">
        <v>1489</v>
      </c>
      <c r="H186" s="17" t="s">
        <v>1341</v>
      </c>
      <c r="I186" s="11">
        <v>7</v>
      </c>
    </row>
    <row r="187" spans="1:9" hidden="1" x14ac:dyDescent="0.25">
      <c r="A187" s="14">
        <v>9</v>
      </c>
      <c r="B187" s="13">
        <v>45927</v>
      </c>
      <c r="C187" s="17" t="s">
        <v>8</v>
      </c>
      <c r="D187" s="15">
        <v>373.62</v>
      </c>
      <c r="E187" s="16" t="s">
        <v>134</v>
      </c>
      <c r="F187" s="14" t="s">
        <v>1744</v>
      </c>
      <c r="G187" s="16" t="s">
        <v>1487</v>
      </c>
      <c r="H187" s="17" t="s">
        <v>1341</v>
      </c>
      <c r="I187" s="11">
        <v>7</v>
      </c>
    </row>
    <row r="188" spans="1:9" hidden="1" x14ac:dyDescent="0.25">
      <c r="A188" s="14">
        <v>9</v>
      </c>
      <c r="B188" s="13">
        <v>45927</v>
      </c>
      <c r="C188" s="17" t="s">
        <v>8</v>
      </c>
      <c r="D188" s="15">
        <v>373.62</v>
      </c>
      <c r="E188" s="16" t="s">
        <v>135</v>
      </c>
      <c r="F188" s="14" t="s">
        <v>1744</v>
      </c>
      <c r="G188" s="16" t="s">
        <v>1490</v>
      </c>
      <c r="H188" s="17" t="s">
        <v>1341</v>
      </c>
      <c r="I188" s="11">
        <v>7</v>
      </c>
    </row>
    <row r="189" spans="1:9" hidden="1" x14ac:dyDescent="0.25">
      <c r="A189" s="14">
        <v>9</v>
      </c>
      <c r="B189" s="13">
        <v>45927</v>
      </c>
      <c r="C189" s="17" t="s">
        <v>8</v>
      </c>
      <c r="D189" s="15">
        <v>368.25</v>
      </c>
      <c r="E189" s="16" t="s">
        <v>136</v>
      </c>
      <c r="F189" s="14" t="s">
        <v>1744</v>
      </c>
      <c r="G189" s="16" t="s">
        <v>1491</v>
      </c>
      <c r="H189" s="17" t="s">
        <v>1341</v>
      </c>
      <c r="I189" s="11">
        <v>7</v>
      </c>
    </row>
    <row r="190" spans="1:9" hidden="1" x14ac:dyDescent="0.25">
      <c r="A190" s="14">
        <v>9</v>
      </c>
      <c r="B190" s="13">
        <v>45927</v>
      </c>
      <c r="C190" s="17" t="s">
        <v>8</v>
      </c>
      <c r="D190" s="15">
        <v>287.23</v>
      </c>
      <c r="E190" s="16" t="s">
        <v>140</v>
      </c>
      <c r="F190" s="14" t="s">
        <v>1873</v>
      </c>
      <c r="G190" s="16" t="s">
        <v>1492</v>
      </c>
      <c r="H190" s="17" t="s">
        <v>1284</v>
      </c>
      <c r="I190" s="11">
        <v>6</v>
      </c>
    </row>
    <row r="191" spans="1:9" hidden="1" x14ac:dyDescent="0.25">
      <c r="A191" s="14">
        <v>9</v>
      </c>
      <c r="B191" s="13">
        <v>45927</v>
      </c>
      <c r="C191" s="17" t="s">
        <v>8</v>
      </c>
      <c r="D191" s="15">
        <v>9.42</v>
      </c>
      <c r="E191" s="16" t="s">
        <v>144</v>
      </c>
      <c r="F191" s="14" t="s">
        <v>1873</v>
      </c>
      <c r="G191" s="16" t="s">
        <v>1492</v>
      </c>
      <c r="H191" s="17" t="s">
        <v>1284</v>
      </c>
      <c r="I191" s="11">
        <v>6</v>
      </c>
    </row>
    <row r="192" spans="1:9" x14ac:dyDescent="0.25">
      <c r="A192" s="14">
        <v>9</v>
      </c>
      <c r="B192" s="13">
        <v>45927</v>
      </c>
      <c r="C192" s="17" t="s">
        <v>8</v>
      </c>
      <c r="D192" s="15">
        <v>386.65</v>
      </c>
      <c r="E192" s="16" t="s">
        <v>128</v>
      </c>
      <c r="F192" s="14" t="s">
        <v>1830</v>
      </c>
      <c r="G192" s="16" t="s">
        <v>1492</v>
      </c>
      <c r="H192" s="17" t="s">
        <v>1301</v>
      </c>
      <c r="I192" s="11">
        <v>7</v>
      </c>
    </row>
    <row r="193" spans="1:9" hidden="1" x14ac:dyDescent="0.25">
      <c r="A193" s="14">
        <v>9</v>
      </c>
      <c r="B193" s="13">
        <v>45927</v>
      </c>
      <c r="C193" s="17" t="s">
        <v>8</v>
      </c>
      <c r="D193" s="15">
        <v>40</v>
      </c>
      <c r="E193" s="16" t="s">
        <v>143</v>
      </c>
      <c r="F193" s="14"/>
      <c r="G193" s="16" t="s">
        <v>1498</v>
      </c>
      <c r="H193" s="17" t="s">
        <v>1345</v>
      </c>
      <c r="I193" s="11">
        <v>6</v>
      </c>
    </row>
    <row r="194" spans="1:9" hidden="1" x14ac:dyDescent="0.25">
      <c r="A194" s="14">
        <v>9</v>
      </c>
      <c r="B194" s="13">
        <v>45927</v>
      </c>
      <c r="C194" s="17" t="s">
        <v>8</v>
      </c>
      <c r="D194" s="15">
        <v>309.19</v>
      </c>
      <c r="E194" s="16" t="s">
        <v>137</v>
      </c>
      <c r="F194" s="14" t="s">
        <v>1991</v>
      </c>
      <c r="G194" s="16" t="s">
        <v>1491</v>
      </c>
      <c r="H194" s="17" t="s">
        <v>1343</v>
      </c>
      <c r="I194" s="11">
        <v>8</v>
      </c>
    </row>
    <row r="195" spans="1:9" hidden="1" x14ac:dyDescent="0.25">
      <c r="A195" s="14">
        <v>9</v>
      </c>
      <c r="B195" s="13">
        <v>45927</v>
      </c>
      <c r="C195" s="17" t="s">
        <v>8</v>
      </c>
      <c r="D195" s="15">
        <v>40</v>
      </c>
      <c r="E195" s="16" t="s">
        <v>142</v>
      </c>
      <c r="F195" s="14"/>
      <c r="G195" s="16" t="s">
        <v>1498</v>
      </c>
      <c r="H195" s="17" t="s">
        <v>1309</v>
      </c>
      <c r="I195" s="11">
        <v>6</v>
      </c>
    </row>
    <row r="196" spans="1:9" hidden="1" x14ac:dyDescent="0.25">
      <c r="A196" s="14">
        <v>9</v>
      </c>
      <c r="B196" s="13">
        <v>45928</v>
      </c>
      <c r="C196" s="17" t="s">
        <v>20</v>
      </c>
      <c r="D196" s="15">
        <v>175.08</v>
      </c>
      <c r="E196" s="16" t="s">
        <v>124</v>
      </c>
      <c r="F196" s="14" t="s">
        <v>1642</v>
      </c>
      <c r="G196" s="16" t="s">
        <v>1492</v>
      </c>
      <c r="H196" s="17" t="s">
        <v>1230</v>
      </c>
      <c r="I196" s="11">
        <v>5</v>
      </c>
    </row>
    <row r="197" spans="1:9" hidden="1" x14ac:dyDescent="0.25">
      <c r="A197" s="14">
        <v>9</v>
      </c>
      <c r="B197" s="13">
        <v>45928</v>
      </c>
      <c r="C197" s="17" t="s">
        <v>16</v>
      </c>
      <c r="D197" s="15">
        <v>175.66</v>
      </c>
      <c r="E197" s="16" t="s">
        <v>123</v>
      </c>
      <c r="F197" s="14" t="s">
        <v>1786</v>
      </c>
      <c r="G197" s="16" t="s">
        <v>1492</v>
      </c>
      <c r="H197" s="17" t="s">
        <v>1241</v>
      </c>
      <c r="I197" s="11">
        <v>7</v>
      </c>
    </row>
    <row r="198" spans="1:9" hidden="1" x14ac:dyDescent="0.25">
      <c r="A198" s="14">
        <v>9</v>
      </c>
      <c r="B198" s="13">
        <v>45928</v>
      </c>
      <c r="C198" s="17" t="s">
        <v>20</v>
      </c>
      <c r="D198" s="15">
        <v>580</v>
      </c>
      <c r="E198" s="16" t="s">
        <v>121</v>
      </c>
      <c r="F198" s="14"/>
      <c r="G198" s="16" t="s">
        <v>1499</v>
      </c>
      <c r="H198" s="17" t="s">
        <v>1346</v>
      </c>
      <c r="I198" s="11">
        <v>5</v>
      </c>
    </row>
    <row r="199" spans="1:9" hidden="1" x14ac:dyDescent="0.25">
      <c r="A199" s="14">
        <v>9</v>
      </c>
      <c r="B199" s="13">
        <v>45928</v>
      </c>
      <c r="C199" s="17" t="s">
        <v>32</v>
      </c>
      <c r="D199" s="15">
        <v>40</v>
      </c>
      <c r="E199" s="16" t="s">
        <v>125</v>
      </c>
      <c r="F199" s="14"/>
      <c r="G199" s="16" t="s">
        <v>1498</v>
      </c>
      <c r="H199" s="17" t="s">
        <v>1347</v>
      </c>
      <c r="I199" s="11">
        <v>9</v>
      </c>
    </row>
    <row r="200" spans="1:9" hidden="1" x14ac:dyDescent="0.25">
      <c r="A200" s="14">
        <v>9</v>
      </c>
      <c r="B200" s="13">
        <v>45928</v>
      </c>
      <c r="C200" s="17" t="s">
        <v>8</v>
      </c>
      <c r="D200" s="15">
        <v>202.56</v>
      </c>
      <c r="E200" s="16" t="s">
        <v>122</v>
      </c>
      <c r="F200" s="14" t="s">
        <v>1986</v>
      </c>
      <c r="G200" s="16" t="s">
        <v>1492</v>
      </c>
      <c r="H200" s="17" t="s">
        <v>1227</v>
      </c>
      <c r="I200" s="11">
        <v>8</v>
      </c>
    </row>
    <row r="201" spans="1:9" hidden="1" x14ac:dyDescent="0.25">
      <c r="A201" s="14">
        <v>9</v>
      </c>
      <c r="B201" s="13">
        <v>45929</v>
      </c>
      <c r="C201" s="17" t="s">
        <v>8</v>
      </c>
      <c r="D201" s="15">
        <v>436.2</v>
      </c>
      <c r="E201" s="16" t="s">
        <v>111</v>
      </c>
      <c r="F201" s="14" t="s">
        <v>1855</v>
      </c>
      <c r="G201" s="16" t="s">
        <v>1492</v>
      </c>
      <c r="H201" s="17" t="s">
        <v>1209</v>
      </c>
      <c r="I201" s="11">
        <v>7</v>
      </c>
    </row>
    <row r="202" spans="1:9" hidden="1" x14ac:dyDescent="0.25">
      <c r="A202" s="14">
        <v>9</v>
      </c>
      <c r="B202" s="13">
        <v>45929</v>
      </c>
      <c r="C202" s="17" t="s">
        <v>109</v>
      </c>
      <c r="D202" s="15">
        <v>444.9</v>
      </c>
      <c r="E202" s="16" t="s">
        <v>110</v>
      </c>
      <c r="F202" s="14" t="s">
        <v>1664</v>
      </c>
      <c r="G202" s="16" t="s">
        <v>1492</v>
      </c>
      <c r="H202" s="17" t="s">
        <v>1233</v>
      </c>
      <c r="I202" s="11">
        <v>5</v>
      </c>
    </row>
    <row r="203" spans="1:9" hidden="1" x14ac:dyDescent="0.25">
      <c r="A203" s="14">
        <v>9</v>
      </c>
      <c r="B203" s="13">
        <v>45929</v>
      </c>
      <c r="C203" s="17" t="s">
        <v>8</v>
      </c>
      <c r="D203" s="15">
        <v>401.66</v>
      </c>
      <c r="E203" s="16" t="s">
        <v>112</v>
      </c>
      <c r="F203" s="14" t="s">
        <v>1640</v>
      </c>
      <c r="G203" s="16" t="s">
        <v>1492</v>
      </c>
      <c r="H203" s="17" t="s">
        <v>1349</v>
      </c>
      <c r="I203" s="11">
        <v>5</v>
      </c>
    </row>
    <row r="204" spans="1:9" hidden="1" x14ac:dyDescent="0.25">
      <c r="A204" s="14">
        <v>9</v>
      </c>
      <c r="B204" s="13">
        <v>45929</v>
      </c>
      <c r="C204" s="17" t="s">
        <v>8</v>
      </c>
      <c r="D204" s="15">
        <v>175.08</v>
      </c>
      <c r="E204" s="16" t="s">
        <v>120</v>
      </c>
      <c r="F204" s="14" t="s">
        <v>1731</v>
      </c>
      <c r="G204" s="16" t="s">
        <v>1492</v>
      </c>
      <c r="H204" s="17" t="s">
        <v>1217</v>
      </c>
      <c r="I204" s="11">
        <v>5</v>
      </c>
    </row>
    <row r="205" spans="1:9" hidden="1" x14ac:dyDescent="0.25">
      <c r="A205" s="14">
        <v>9</v>
      </c>
      <c r="B205" s="13">
        <v>45929</v>
      </c>
      <c r="C205" s="17" t="s">
        <v>32</v>
      </c>
      <c r="D205" s="15">
        <v>306.13</v>
      </c>
      <c r="E205" s="16" t="s">
        <v>117</v>
      </c>
      <c r="F205" s="14" t="s">
        <v>1998</v>
      </c>
      <c r="G205" s="16" t="s">
        <v>1492</v>
      </c>
      <c r="H205" s="17" t="s">
        <v>1325</v>
      </c>
      <c r="I205" s="11">
        <v>5</v>
      </c>
    </row>
    <row r="206" spans="1:9" hidden="1" x14ac:dyDescent="0.25">
      <c r="A206" s="14">
        <v>9</v>
      </c>
      <c r="B206" s="13">
        <v>45929</v>
      </c>
      <c r="C206" s="17" t="s">
        <v>8</v>
      </c>
      <c r="D206" s="15">
        <v>251.45</v>
      </c>
      <c r="E206" s="16" t="s">
        <v>118</v>
      </c>
      <c r="F206" s="14" t="s">
        <v>1688</v>
      </c>
      <c r="G206" s="16" t="s">
        <v>1492</v>
      </c>
      <c r="H206" s="17" t="s">
        <v>1226</v>
      </c>
      <c r="I206" s="11">
        <v>4</v>
      </c>
    </row>
    <row r="207" spans="1:9" hidden="1" x14ac:dyDescent="0.25">
      <c r="A207" s="14">
        <v>9</v>
      </c>
      <c r="B207" s="13">
        <v>45929</v>
      </c>
      <c r="C207" s="17" t="s">
        <v>8</v>
      </c>
      <c r="D207" s="15">
        <v>521.27</v>
      </c>
      <c r="E207" s="16" t="s">
        <v>107</v>
      </c>
      <c r="F207" s="14" t="s">
        <v>1784</v>
      </c>
      <c r="G207" s="16" t="s">
        <v>1492</v>
      </c>
      <c r="H207" s="17" t="s">
        <v>1274</v>
      </c>
      <c r="I207" s="11">
        <v>5</v>
      </c>
    </row>
    <row r="208" spans="1:9" hidden="1" x14ac:dyDescent="0.25">
      <c r="A208" s="14">
        <v>9</v>
      </c>
      <c r="B208" s="13">
        <v>45929</v>
      </c>
      <c r="C208" s="17" t="s">
        <v>8</v>
      </c>
      <c r="D208" s="15">
        <v>378.34</v>
      </c>
      <c r="E208" s="16" t="s">
        <v>115</v>
      </c>
      <c r="F208" s="14" t="s">
        <v>2046</v>
      </c>
      <c r="G208" s="16" t="s">
        <v>1492</v>
      </c>
      <c r="H208" s="17" t="s">
        <v>1351</v>
      </c>
      <c r="I208" s="11">
        <v>5</v>
      </c>
    </row>
    <row r="209" spans="1:9" hidden="1" x14ac:dyDescent="0.25">
      <c r="A209" s="14">
        <v>9</v>
      </c>
      <c r="B209" s="13">
        <v>45929</v>
      </c>
      <c r="C209" s="17" t="s">
        <v>113</v>
      </c>
      <c r="D209" s="15">
        <v>394.96</v>
      </c>
      <c r="E209" s="16" t="s">
        <v>114</v>
      </c>
      <c r="F209" s="14" t="s">
        <v>1629</v>
      </c>
      <c r="G209" s="16" t="s">
        <v>1492</v>
      </c>
      <c r="H209" s="17" t="s">
        <v>1350</v>
      </c>
      <c r="I209" s="11">
        <v>5</v>
      </c>
    </row>
    <row r="210" spans="1:9" hidden="1" x14ac:dyDescent="0.25">
      <c r="A210" s="14">
        <v>9</v>
      </c>
      <c r="B210" s="13">
        <v>45929</v>
      </c>
      <c r="C210" s="17" t="s">
        <v>8</v>
      </c>
      <c r="D210" s="15">
        <v>318.60000000000002</v>
      </c>
      <c r="E210" s="16" t="s">
        <v>116</v>
      </c>
      <c r="F210" s="14" t="s">
        <v>1691</v>
      </c>
      <c r="G210" s="16" t="s">
        <v>1492</v>
      </c>
      <c r="H210" s="17" t="s">
        <v>1237</v>
      </c>
      <c r="I210" s="11">
        <v>6</v>
      </c>
    </row>
    <row r="211" spans="1:9" hidden="1" x14ac:dyDescent="0.25">
      <c r="A211" s="14">
        <v>9</v>
      </c>
      <c r="B211" s="13">
        <v>45929</v>
      </c>
      <c r="C211" s="17" t="s">
        <v>16</v>
      </c>
      <c r="D211" s="15">
        <v>518.08000000000004</v>
      </c>
      <c r="E211" s="16" t="s">
        <v>108</v>
      </c>
      <c r="F211" s="14" t="s">
        <v>1882</v>
      </c>
      <c r="G211" s="16" t="s">
        <v>1492</v>
      </c>
      <c r="H211" s="17" t="s">
        <v>1221</v>
      </c>
      <c r="I211" s="11">
        <v>6</v>
      </c>
    </row>
    <row r="212" spans="1:9" hidden="1" x14ac:dyDescent="0.25">
      <c r="A212" s="14">
        <v>9</v>
      </c>
      <c r="B212" s="13">
        <v>45929</v>
      </c>
      <c r="C212" s="17" t="s">
        <v>8</v>
      </c>
      <c r="D212" s="15">
        <v>580</v>
      </c>
      <c r="E212" s="16" t="s">
        <v>106</v>
      </c>
      <c r="F212" s="14"/>
      <c r="G212" s="16" t="s">
        <v>1499</v>
      </c>
      <c r="H212" s="17" t="s">
        <v>1348</v>
      </c>
      <c r="I212" s="11">
        <v>6</v>
      </c>
    </row>
    <row r="213" spans="1:9" hidden="1" x14ac:dyDescent="0.25">
      <c r="A213" s="14">
        <v>9</v>
      </c>
      <c r="B213" s="13">
        <v>45929</v>
      </c>
      <c r="C213" s="17" t="s">
        <v>8</v>
      </c>
      <c r="D213" s="15">
        <v>205.53</v>
      </c>
      <c r="E213" s="16" t="s">
        <v>119</v>
      </c>
      <c r="F213" s="14" t="s">
        <v>1963</v>
      </c>
      <c r="G213" s="16" t="s">
        <v>1492</v>
      </c>
      <c r="H213" s="17" t="s">
        <v>1348</v>
      </c>
      <c r="I213" s="11">
        <v>6</v>
      </c>
    </row>
    <row r="214" spans="1:9" hidden="1" x14ac:dyDescent="0.25">
      <c r="A214" s="14">
        <v>9</v>
      </c>
      <c r="B214" s="13">
        <v>45930</v>
      </c>
      <c r="C214" s="17" t="s">
        <v>8</v>
      </c>
      <c r="D214" s="15">
        <v>365.88</v>
      </c>
      <c r="E214" s="16" t="s">
        <v>96</v>
      </c>
      <c r="F214" s="14" t="s">
        <v>1858</v>
      </c>
      <c r="G214" s="16" t="s">
        <v>1492</v>
      </c>
      <c r="H214" s="17" t="s">
        <v>1354</v>
      </c>
      <c r="I214" s="11">
        <v>6</v>
      </c>
    </row>
    <row r="215" spans="1:9" hidden="1" x14ac:dyDescent="0.25">
      <c r="A215" s="14">
        <v>9</v>
      </c>
      <c r="B215" s="13">
        <v>45930</v>
      </c>
      <c r="C215" s="17" t="s">
        <v>8</v>
      </c>
      <c r="D215" s="15">
        <v>48.56</v>
      </c>
      <c r="E215" s="16" t="s">
        <v>105</v>
      </c>
      <c r="F215" s="14" t="s">
        <v>1858</v>
      </c>
      <c r="G215" s="16" t="s">
        <v>1492</v>
      </c>
      <c r="H215" s="17" t="s">
        <v>1354</v>
      </c>
      <c r="I215" s="11">
        <v>6</v>
      </c>
    </row>
    <row r="216" spans="1:9" hidden="1" x14ac:dyDescent="0.25">
      <c r="A216" s="14">
        <v>9</v>
      </c>
      <c r="B216" s="13">
        <v>45930</v>
      </c>
      <c r="C216" s="17" t="s">
        <v>32</v>
      </c>
      <c r="D216" s="15">
        <v>272.22000000000003</v>
      </c>
      <c r="E216" s="16" t="s">
        <v>101</v>
      </c>
      <c r="F216" s="14" t="s">
        <v>1815</v>
      </c>
      <c r="G216" s="16" t="s">
        <v>1492</v>
      </c>
      <c r="H216" s="17" t="s">
        <v>1296</v>
      </c>
      <c r="I216" s="11">
        <v>4</v>
      </c>
    </row>
    <row r="217" spans="1:9" hidden="1" x14ac:dyDescent="0.25">
      <c r="A217" s="14">
        <v>9</v>
      </c>
      <c r="B217" s="13">
        <v>45930</v>
      </c>
      <c r="C217" s="17" t="s">
        <v>16</v>
      </c>
      <c r="D217" s="15">
        <v>320.47000000000003</v>
      </c>
      <c r="E217" s="16" t="s">
        <v>97</v>
      </c>
      <c r="F217" s="14" t="s">
        <v>1557</v>
      </c>
      <c r="G217" s="16" t="s">
        <v>1492</v>
      </c>
      <c r="H217" s="17" t="s">
        <v>1214</v>
      </c>
      <c r="I217" s="11">
        <v>5</v>
      </c>
    </row>
    <row r="218" spans="1:9" hidden="1" x14ac:dyDescent="0.25">
      <c r="A218" s="14">
        <v>9</v>
      </c>
      <c r="B218" s="13">
        <v>45930</v>
      </c>
      <c r="C218" s="17" t="s">
        <v>92</v>
      </c>
      <c r="D218" s="15">
        <v>404.17</v>
      </c>
      <c r="E218" s="16" t="s">
        <v>93</v>
      </c>
      <c r="F218" s="14" t="s">
        <v>1517</v>
      </c>
      <c r="G218" s="16" t="s">
        <v>1492</v>
      </c>
      <c r="H218" s="17" t="s">
        <v>1297</v>
      </c>
      <c r="I218" s="11">
        <v>5</v>
      </c>
    </row>
    <row r="219" spans="1:9" hidden="1" x14ac:dyDescent="0.25">
      <c r="A219" s="14">
        <v>9</v>
      </c>
      <c r="B219" s="13">
        <v>45930</v>
      </c>
      <c r="C219" s="17" t="s">
        <v>8</v>
      </c>
      <c r="D219" s="15">
        <v>285.36</v>
      </c>
      <c r="E219" s="16" t="s">
        <v>100</v>
      </c>
      <c r="F219" s="14" t="s">
        <v>1753</v>
      </c>
      <c r="G219" s="16" t="s">
        <v>1492</v>
      </c>
      <c r="H219" s="17" t="s">
        <v>1216</v>
      </c>
      <c r="I219" s="11">
        <v>5</v>
      </c>
    </row>
    <row r="220" spans="1:9" hidden="1" x14ac:dyDescent="0.25">
      <c r="A220" s="14">
        <v>9</v>
      </c>
      <c r="B220" s="13">
        <v>45930</v>
      </c>
      <c r="C220" s="17" t="s">
        <v>16</v>
      </c>
      <c r="D220" s="15">
        <v>318.60000000000002</v>
      </c>
      <c r="E220" s="16" t="s">
        <v>98</v>
      </c>
      <c r="F220" s="14" t="s">
        <v>1894</v>
      </c>
      <c r="G220" s="16" t="s">
        <v>1492</v>
      </c>
      <c r="H220" s="17" t="s">
        <v>1236</v>
      </c>
      <c r="I220" s="11">
        <v>5</v>
      </c>
    </row>
    <row r="221" spans="1:9" hidden="1" x14ac:dyDescent="0.25">
      <c r="A221" s="14">
        <v>9</v>
      </c>
      <c r="B221" s="13">
        <v>45930</v>
      </c>
      <c r="C221" s="17" t="s">
        <v>8</v>
      </c>
      <c r="D221" s="15">
        <v>80.52</v>
      </c>
      <c r="E221" s="16" t="s">
        <v>104</v>
      </c>
      <c r="F221" s="14" t="s">
        <v>1675</v>
      </c>
      <c r="G221" s="16" t="s">
        <v>1492</v>
      </c>
      <c r="H221" s="17" t="s">
        <v>1270</v>
      </c>
      <c r="I221" s="11">
        <v>10</v>
      </c>
    </row>
    <row r="222" spans="1:9" hidden="1" x14ac:dyDescent="0.25">
      <c r="A222" s="14">
        <v>9</v>
      </c>
      <c r="B222" s="13">
        <v>45930</v>
      </c>
      <c r="C222" s="17" t="s">
        <v>20</v>
      </c>
      <c r="D222" s="15">
        <v>386.65</v>
      </c>
      <c r="E222" s="16" t="s">
        <v>95</v>
      </c>
      <c r="F222" s="14" t="s">
        <v>1943</v>
      </c>
      <c r="G222" s="16" t="s">
        <v>1492</v>
      </c>
      <c r="H222" s="17" t="s">
        <v>1353</v>
      </c>
      <c r="I222" s="11">
        <v>5</v>
      </c>
    </row>
    <row r="223" spans="1:9" hidden="1" x14ac:dyDescent="0.25">
      <c r="A223" s="14">
        <v>9</v>
      </c>
      <c r="B223" s="13">
        <v>45930</v>
      </c>
      <c r="C223" s="17" t="s">
        <v>23</v>
      </c>
      <c r="D223" s="15">
        <v>179.93</v>
      </c>
      <c r="E223" s="16" t="s">
        <v>103</v>
      </c>
      <c r="F223" s="14" t="s">
        <v>1841</v>
      </c>
      <c r="G223" s="16" t="s">
        <v>1492</v>
      </c>
      <c r="H223" s="17" t="s">
        <v>1218</v>
      </c>
      <c r="I223" s="11">
        <v>5</v>
      </c>
    </row>
    <row r="224" spans="1:9" hidden="1" x14ac:dyDescent="0.25">
      <c r="A224" s="14">
        <v>9</v>
      </c>
      <c r="B224" s="13">
        <v>45930</v>
      </c>
      <c r="C224" s="17" t="s">
        <v>8</v>
      </c>
      <c r="D224" s="15">
        <v>455.7</v>
      </c>
      <c r="E224" s="16" t="s">
        <v>89</v>
      </c>
      <c r="F224" s="14" t="s">
        <v>1849</v>
      </c>
      <c r="G224" s="16" t="s">
        <v>1492</v>
      </c>
      <c r="H224" s="17" t="s">
        <v>1246</v>
      </c>
      <c r="I224" s="11">
        <v>6</v>
      </c>
    </row>
    <row r="225" spans="1:9" hidden="1" x14ac:dyDescent="0.25">
      <c r="A225" s="14">
        <v>9</v>
      </c>
      <c r="B225" s="13">
        <v>45930</v>
      </c>
      <c r="C225" s="17" t="s">
        <v>8</v>
      </c>
      <c r="D225" s="15">
        <v>191.7</v>
      </c>
      <c r="E225" s="16" t="s">
        <v>102</v>
      </c>
      <c r="F225" s="14" t="s">
        <v>1906</v>
      </c>
      <c r="G225" s="16" t="s">
        <v>1492</v>
      </c>
      <c r="H225" s="17" t="s">
        <v>1255</v>
      </c>
      <c r="I225" s="11">
        <v>6</v>
      </c>
    </row>
    <row r="226" spans="1:9" hidden="1" x14ac:dyDescent="0.25">
      <c r="A226" s="14">
        <v>9</v>
      </c>
      <c r="B226" s="13">
        <v>45930</v>
      </c>
      <c r="C226" s="17" t="s">
        <v>20</v>
      </c>
      <c r="D226" s="15">
        <v>424.02</v>
      </c>
      <c r="E226" s="16" t="s">
        <v>90</v>
      </c>
      <c r="F226" s="14" t="s">
        <v>1720</v>
      </c>
      <c r="G226" s="16" t="s">
        <v>1492</v>
      </c>
      <c r="H226" s="17" t="s">
        <v>1352</v>
      </c>
      <c r="I226" s="11">
        <v>4</v>
      </c>
    </row>
    <row r="227" spans="1:9" hidden="1" x14ac:dyDescent="0.25">
      <c r="A227" s="14">
        <v>9</v>
      </c>
      <c r="B227" s="13">
        <v>45930</v>
      </c>
      <c r="C227" s="17" t="s">
        <v>8</v>
      </c>
      <c r="D227" s="15">
        <v>310.29000000000002</v>
      </c>
      <c r="E227" s="16" t="s">
        <v>99</v>
      </c>
      <c r="F227" s="14" t="s">
        <v>1675</v>
      </c>
      <c r="G227" s="16" t="s">
        <v>1492</v>
      </c>
      <c r="H227" s="17" t="s">
        <v>1355</v>
      </c>
      <c r="I227" s="11">
        <v>10</v>
      </c>
    </row>
    <row r="228" spans="1:9" hidden="1" x14ac:dyDescent="0.25">
      <c r="A228" s="14">
        <v>9</v>
      </c>
      <c r="B228" s="13">
        <v>45930</v>
      </c>
      <c r="C228" s="17" t="s">
        <v>8</v>
      </c>
      <c r="D228" s="15">
        <v>399.12</v>
      </c>
      <c r="E228" s="16" t="s">
        <v>94</v>
      </c>
      <c r="F228" s="14" t="s">
        <v>1961</v>
      </c>
      <c r="G228" s="16" t="s">
        <v>1492</v>
      </c>
      <c r="H228" s="17" t="s">
        <v>1295</v>
      </c>
      <c r="I228" s="11">
        <v>5</v>
      </c>
    </row>
    <row r="229" spans="1:9" hidden="1" x14ac:dyDescent="0.25">
      <c r="A229" s="14">
        <v>9</v>
      </c>
      <c r="B229" s="13">
        <v>45930</v>
      </c>
      <c r="C229" s="17" t="s">
        <v>8</v>
      </c>
      <c r="D229" s="15">
        <v>411.58</v>
      </c>
      <c r="E229" s="16" t="s">
        <v>91</v>
      </c>
      <c r="F229" s="14" t="s">
        <v>2037</v>
      </c>
      <c r="G229" s="16" t="s">
        <v>1492</v>
      </c>
      <c r="H229" s="17" t="s">
        <v>1258</v>
      </c>
      <c r="I229" s="11">
        <v>6</v>
      </c>
    </row>
    <row r="230" spans="1:9" hidden="1" x14ac:dyDescent="0.25">
      <c r="A230" s="14">
        <v>10</v>
      </c>
      <c r="B230" s="13">
        <v>45931</v>
      </c>
      <c r="C230" s="17" t="s">
        <v>23</v>
      </c>
      <c r="D230" s="15">
        <v>339.37</v>
      </c>
      <c r="E230" s="16" t="s">
        <v>562</v>
      </c>
      <c r="F230" s="14" t="s">
        <v>1767</v>
      </c>
      <c r="G230" s="16" t="s">
        <v>1492</v>
      </c>
      <c r="H230" s="17" t="s">
        <v>1264</v>
      </c>
      <c r="I230" s="11">
        <v>5</v>
      </c>
    </row>
    <row r="231" spans="1:9" hidden="1" x14ac:dyDescent="0.25">
      <c r="A231" s="14">
        <v>10</v>
      </c>
      <c r="B231" s="13">
        <v>45931</v>
      </c>
      <c r="C231" s="17" t="s">
        <v>8</v>
      </c>
      <c r="D231" s="15">
        <v>311.33</v>
      </c>
      <c r="E231" s="16" t="s">
        <v>550</v>
      </c>
      <c r="F231" s="14" t="s">
        <v>1638</v>
      </c>
      <c r="G231" s="16" t="s">
        <v>1490</v>
      </c>
      <c r="H231" s="17" t="s">
        <v>1356</v>
      </c>
      <c r="I231" s="11">
        <v>6</v>
      </c>
    </row>
    <row r="232" spans="1:9" hidden="1" x14ac:dyDescent="0.25">
      <c r="A232" s="14">
        <v>10</v>
      </c>
      <c r="B232" s="13">
        <v>45931</v>
      </c>
      <c r="C232" s="17" t="s">
        <v>8</v>
      </c>
      <c r="D232" s="15">
        <v>308.12</v>
      </c>
      <c r="E232" s="16" t="s">
        <v>550</v>
      </c>
      <c r="F232" s="14" t="s">
        <v>1638</v>
      </c>
      <c r="G232" s="16" t="s">
        <v>1491</v>
      </c>
      <c r="H232" s="17" t="s">
        <v>1356</v>
      </c>
      <c r="I232" s="11">
        <v>6</v>
      </c>
    </row>
    <row r="233" spans="1:9" hidden="1" x14ac:dyDescent="0.25">
      <c r="A233" s="14">
        <v>10</v>
      </c>
      <c r="B233" s="13">
        <v>45931</v>
      </c>
      <c r="C233" s="17" t="s">
        <v>8</v>
      </c>
      <c r="D233" s="15">
        <v>324.64</v>
      </c>
      <c r="E233" s="16" t="s">
        <v>550</v>
      </c>
      <c r="F233" s="14" t="s">
        <v>1638</v>
      </c>
      <c r="G233" s="16" t="s">
        <v>1492</v>
      </c>
      <c r="H233" s="17" t="s">
        <v>1356</v>
      </c>
      <c r="I233" s="11">
        <v>6</v>
      </c>
    </row>
    <row r="234" spans="1:9" hidden="1" x14ac:dyDescent="0.25">
      <c r="A234" s="14">
        <v>10</v>
      </c>
      <c r="B234" s="13">
        <v>45931</v>
      </c>
      <c r="C234" s="17" t="s">
        <v>8</v>
      </c>
      <c r="D234" s="15">
        <v>415.74</v>
      </c>
      <c r="E234" s="16" t="s">
        <v>556</v>
      </c>
      <c r="F234" s="14" t="s">
        <v>1503</v>
      </c>
      <c r="G234" s="16" t="s">
        <v>1492</v>
      </c>
      <c r="H234" s="17" t="s">
        <v>1248</v>
      </c>
      <c r="I234" s="11">
        <v>5</v>
      </c>
    </row>
    <row r="235" spans="1:9" hidden="1" x14ac:dyDescent="0.25">
      <c r="A235" s="14">
        <v>10</v>
      </c>
      <c r="B235" s="13">
        <v>45931</v>
      </c>
      <c r="C235" s="17" t="s">
        <v>8</v>
      </c>
      <c r="D235" s="15">
        <v>374.19</v>
      </c>
      <c r="E235" s="16" t="s">
        <v>561</v>
      </c>
      <c r="F235" s="14" t="s">
        <v>1709</v>
      </c>
      <c r="G235" s="16" t="s">
        <v>1492</v>
      </c>
      <c r="H235" s="17" t="s">
        <v>1263</v>
      </c>
      <c r="I235" s="11">
        <v>4</v>
      </c>
    </row>
    <row r="236" spans="1:9" hidden="1" x14ac:dyDescent="0.25">
      <c r="A236" s="14">
        <v>10</v>
      </c>
      <c r="B236" s="13">
        <v>45931</v>
      </c>
      <c r="C236" s="17" t="s">
        <v>8</v>
      </c>
      <c r="D236" s="15">
        <v>180.86</v>
      </c>
      <c r="E236" s="16" t="s">
        <v>565</v>
      </c>
      <c r="F236" s="14" t="s">
        <v>1861</v>
      </c>
      <c r="G236" s="16" t="s">
        <v>1492</v>
      </c>
      <c r="H236" s="17" t="s">
        <v>1360</v>
      </c>
      <c r="I236" s="11">
        <v>5</v>
      </c>
    </row>
    <row r="237" spans="1:9" hidden="1" x14ac:dyDescent="0.25">
      <c r="A237" s="14">
        <v>10</v>
      </c>
      <c r="B237" s="13">
        <v>45931</v>
      </c>
      <c r="C237" s="17" t="s">
        <v>32</v>
      </c>
      <c r="D237" s="15">
        <v>23.37</v>
      </c>
      <c r="E237" s="16" t="s">
        <v>566</v>
      </c>
      <c r="F237" s="14" t="s">
        <v>1614</v>
      </c>
      <c r="G237" s="16" t="s">
        <v>1492</v>
      </c>
      <c r="H237" s="17" t="s">
        <v>1219</v>
      </c>
      <c r="I237" s="11">
        <v>5</v>
      </c>
    </row>
    <row r="238" spans="1:9" hidden="1" x14ac:dyDescent="0.25">
      <c r="A238" s="14">
        <v>10</v>
      </c>
      <c r="B238" s="13">
        <v>45931</v>
      </c>
      <c r="C238" s="17" t="s">
        <v>8</v>
      </c>
      <c r="D238" s="15">
        <v>653.11</v>
      </c>
      <c r="E238" s="16" t="s">
        <v>553</v>
      </c>
      <c r="F238" s="14" t="s">
        <v>1773</v>
      </c>
      <c r="G238" s="16" t="s">
        <v>1492</v>
      </c>
      <c r="H238" s="17" t="s">
        <v>1358</v>
      </c>
      <c r="I238" s="11">
        <v>5</v>
      </c>
    </row>
    <row r="239" spans="1:9" hidden="1" x14ac:dyDescent="0.25">
      <c r="A239" s="14">
        <v>10</v>
      </c>
      <c r="B239" s="13">
        <v>45931</v>
      </c>
      <c r="C239" s="17" t="s">
        <v>8</v>
      </c>
      <c r="D239" s="15">
        <v>641.09</v>
      </c>
      <c r="E239" s="16" t="s">
        <v>554</v>
      </c>
      <c r="F239" s="14" t="s">
        <v>1773</v>
      </c>
      <c r="G239" s="16" t="s">
        <v>1491</v>
      </c>
      <c r="H239" s="17" t="s">
        <v>1358</v>
      </c>
      <c r="I239" s="11">
        <v>5</v>
      </c>
    </row>
    <row r="240" spans="1:9" hidden="1" x14ac:dyDescent="0.25">
      <c r="A240" s="14">
        <v>10</v>
      </c>
      <c r="B240" s="13">
        <v>45931</v>
      </c>
      <c r="C240" s="17" t="s">
        <v>8</v>
      </c>
      <c r="D240" s="15">
        <v>266.93</v>
      </c>
      <c r="E240" s="16" t="s">
        <v>551</v>
      </c>
      <c r="F240" s="14" t="s">
        <v>1900</v>
      </c>
      <c r="G240" s="16" t="s">
        <v>1490</v>
      </c>
      <c r="H240" s="17" t="s">
        <v>1357</v>
      </c>
      <c r="I240" s="11">
        <v>7</v>
      </c>
    </row>
    <row r="241" spans="1:9" hidden="1" x14ac:dyDescent="0.25">
      <c r="A241" s="14">
        <v>10</v>
      </c>
      <c r="B241" s="13">
        <v>45931</v>
      </c>
      <c r="C241" s="17" t="s">
        <v>8</v>
      </c>
      <c r="D241" s="15">
        <v>261.5</v>
      </c>
      <c r="E241" s="16" t="s">
        <v>551</v>
      </c>
      <c r="F241" s="14" t="s">
        <v>1900</v>
      </c>
      <c r="G241" s="16" t="s">
        <v>1491</v>
      </c>
      <c r="H241" s="17" t="s">
        <v>1357</v>
      </c>
      <c r="I241" s="11">
        <v>7</v>
      </c>
    </row>
    <row r="242" spans="1:9" hidden="1" x14ac:dyDescent="0.25">
      <c r="A242" s="14">
        <v>10</v>
      </c>
      <c r="B242" s="13">
        <v>45931</v>
      </c>
      <c r="C242" s="17" t="s">
        <v>8</v>
      </c>
      <c r="D242" s="15">
        <v>268.07</v>
      </c>
      <c r="E242" s="16" t="s">
        <v>551</v>
      </c>
      <c r="F242" s="14" t="s">
        <v>1900</v>
      </c>
      <c r="G242" s="16" t="s">
        <v>1492</v>
      </c>
      <c r="H242" s="17" t="s">
        <v>1357</v>
      </c>
      <c r="I242" s="11">
        <v>7</v>
      </c>
    </row>
    <row r="243" spans="1:9" hidden="1" x14ac:dyDescent="0.25">
      <c r="A243" s="14">
        <v>10</v>
      </c>
      <c r="B243" s="13">
        <v>45931</v>
      </c>
      <c r="C243" s="17" t="s">
        <v>8</v>
      </c>
      <c r="D243" s="15">
        <v>982.26</v>
      </c>
      <c r="E243" s="16" t="s">
        <v>549</v>
      </c>
      <c r="F243" s="14" t="s">
        <v>1574</v>
      </c>
      <c r="G243" s="16" t="s">
        <v>1492</v>
      </c>
      <c r="H243" s="17" t="s">
        <v>1244</v>
      </c>
      <c r="I243" s="11">
        <v>5</v>
      </c>
    </row>
    <row r="244" spans="1:9" hidden="1" x14ac:dyDescent="0.25">
      <c r="A244" s="14">
        <v>10</v>
      </c>
      <c r="B244" s="13">
        <v>45931</v>
      </c>
      <c r="C244" s="17" t="s">
        <v>8</v>
      </c>
      <c r="D244" s="15">
        <v>259.76</v>
      </c>
      <c r="E244" s="16" t="s">
        <v>564</v>
      </c>
      <c r="F244" s="14" t="s">
        <v>1806</v>
      </c>
      <c r="G244" s="16" t="s">
        <v>1492</v>
      </c>
      <c r="H244" s="17" t="s">
        <v>1359</v>
      </c>
      <c r="I244" s="11">
        <v>5</v>
      </c>
    </row>
    <row r="245" spans="1:9" hidden="1" x14ac:dyDescent="0.25">
      <c r="A245" s="14">
        <v>10</v>
      </c>
      <c r="B245" s="13">
        <v>45931</v>
      </c>
      <c r="C245" s="17" t="s">
        <v>8</v>
      </c>
      <c r="D245" s="15">
        <v>272.22000000000003</v>
      </c>
      <c r="E245" s="16" t="s">
        <v>563</v>
      </c>
      <c r="F245" s="14" t="s">
        <v>1632</v>
      </c>
      <c r="G245" s="16" t="s">
        <v>1492</v>
      </c>
      <c r="H245" s="17" t="s">
        <v>1220</v>
      </c>
      <c r="I245" s="11">
        <v>6</v>
      </c>
    </row>
    <row r="246" spans="1:9" hidden="1" x14ac:dyDescent="0.25">
      <c r="A246" s="14">
        <v>10</v>
      </c>
      <c r="B246" s="13">
        <v>45931</v>
      </c>
      <c r="C246" s="17" t="s">
        <v>32</v>
      </c>
      <c r="D246" s="15">
        <v>507.23</v>
      </c>
      <c r="E246" s="16" t="s">
        <v>555</v>
      </c>
      <c r="F246" s="14" t="s">
        <v>1812</v>
      </c>
      <c r="G246" s="16" t="s">
        <v>1492</v>
      </c>
      <c r="H246" s="17" t="s">
        <v>1245</v>
      </c>
      <c r="I246" s="11">
        <v>6</v>
      </c>
    </row>
    <row r="247" spans="1:9" hidden="1" x14ac:dyDescent="0.25">
      <c r="A247" s="14">
        <v>10</v>
      </c>
      <c r="B247" s="13">
        <v>45931</v>
      </c>
      <c r="C247" s="17" t="s">
        <v>8</v>
      </c>
      <c r="D247" s="15">
        <v>390.2</v>
      </c>
      <c r="E247" s="16" t="s">
        <v>559</v>
      </c>
      <c r="F247" s="14" t="s">
        <v>1903</v>
      </c>
      <c r="G247" s="16" t="s">
        <v>1492</v>
      </c>
      <c r="H247" s="17" t="s">
        <v>1211</v>
      </c>
      <c r="I247" s="11">
        <v>6</v>
      </c>
    </row>
    <row r="248" spans="1:9" hidden="1" x14ac:dyDescent="0.25">
      <c r="A248" s="14">
        <v>10</v>
      </c>
      <c r="B248" s="13">
        <v>45931</v>
      </c>
      <c r="C248" s="17" t="s">
        <v>8</v>
      </c>
      <c r="D248" s="15">
        <v>763.06</v>
      </c>
      <c r="E248" s="16" t="s">
        <v>552</v>
      </c>
      <c r="F248" s="14" t="s">
        <v>1680</v>
      </c>
      <c r="G248" s="16" t="s">
        <v>1492</v>
      </c>
      <c r="H248" s="17" t="s">
        <v>1271</v>
      </c>
      <c r="I248" s="11">
        <v>7</v>
      </c>
    </row>
    <row r="249" spans="1:9" hidden="1" x14ac:dyDescent="0.25">
      <c r="A249" s="14">
        <v>10</v>
      </c>
      <c r="B249" s="13">
        <v>45931</v>
      </c>
      <c r="C249" s="17" t="s">
        <v>8</v>
      </c>
      <c r="D249" s="15">
        <v>394.96</v>
      </c>
      <c r="E249" s="16" t="s">
        <v>557</v>
      </c>
      <c r="F249" s="14" t="s">
        <v>1629</v>
      </c>
      <c r="G249" s="16" t="s">
        <v>1493</v>
      </c>
      <c r="H249" s="17" t="s">
        <v>1222</v>
      </c>
      <c r="I249" s="11">
        <v>5</v>
      </c>
    </row>
    <row r="250" spans="1:9" hidden="1" x14ac:dyDescent="0.25">
      <c r="A250" s="14">
        <v>10</v>
      </c>
      <c r="B250" s="13">
        <v>45931</v>
      </c>
      <c r="C250" s="17" t="s">
        <v>8</v>
      </c>
      <c r="D250" s="15">
        <v>382.39</v>
      </c>
      <c r="E250" s="16" t="s">
        <v>560</v>
      </c>
      <c r="F250" s="14" t="s">
        <v>1726</v>
      </c>
      <c r="G250" s="16" t="s">
        <v>1492</v>
      </c>
      <c r="H250" s="17" t="s">
        <v>8</v>
      </c>
      <c r="I250" s="11">
        <v>4</v>
      </c>
    </row>
    <row r="251" spans="1:9" hidden="1" x14ac:dyDescent="0.25">
      <c r="A251" s="14">
        <v>10</v>
      </c>
      <c r="B251" s="13">
        <v>45931</v>
      </c>
      <c r="C251" s="17" t="s">
        <v>8</v>
      </c>
      <c r="D251" s="15">
        <v>394.96</v>
      </c>
      <c r="E251" s="16" t="s">
        <v>558</v>
      </c>
      <c r="F251" s="14" t="s">
        <v>2001</v>
      </c>
      <c r="G251" s="16" t="s">
        <v>1492</v>
      </c>
      <c r="H251" s="17" t="s">
        <v>1280</v>
      </c>
      <c r="I251" s="11">
        <v>4</v>
      </c>
    </row>
    <row r="252" spans="1:9" hidden="1" x14ac:dyDescent="0.25">
      <c r="A252" s="14">
        <v>10</v>
      </c>
      <c r="B252" s="13">
        <v>45932</v>
      </c>
      <c r="C252" s="17" t="s">
        <v>20</v>
      </c>
      <c r="D252" s="15">
        <v>440.66</v>
      </c>
      <c r="E252" s="16" t="s">
        <v>541</v>
      </c>
      <c r="F252" s="14" t="s">
        <v>2016</v>
      </c>
      <c r="G252" s="16" t="s">
        <v>1492</v>
      </c>
      <c r="H252" s="17" t="s">
        <v>1275</v>
      </c>
      <c r="I252" s="11">
        <v>5</v>
      </c>
    </row>
    <row r="253" spans="1:9" hidden="1" x14ac:dyDescent="0.25">
      <c r="A253" s="14">
        <v>10</v>
      </c>
      <c r="B253" s="13">
        <v>45932</v>
      </c>
      <c r="C253" s="17" t="s">
        <v>16</v>
      </c>
      <c r="D253" s="15">
        <v>487.21</v>
      </c>
      <c r="E253" s="16" t="s">
        <v>539</v>
      </c>
      <c r="F253" s="14" t="s">
        <v>2049</v>
      </c>
      <c r="G253" s="16" t="s">
        <v>1492</v>
      </c>
      <c r="H253" s="17" t="s">
        <v>1361</v>
      </c>
      <c r="I253" s="11">
        <v>4</v>
      </c>
    </row>
    <row r="254" spans="1:9" hidden="1" x14ac:dyDescent="0.25">
      <c r="A254" s="14">
        <v>10</v>
      </c>
      <c r="B254" s="13">
        <v>45932</v>
      </c>
      <c r="C254" s="17" t="s">
        <v>8</v>
      </c>
      <c r="D254" s="15">
        <v>440.75</v>
      </c>
      <c r="E254" s="16" t="s">
        <v>540</v>
      </c>
      <c r="F254" s="14" t="s">
        <v>1548</v>
      </c>
      <c r="G254" s="16" t="s">
        <v>1492</v>
      </c>
      <c r="H254" s="17" t="s">
        <v>1247</v>
      </c>
      <c r="I254" s="11">
        <v>5</v>
      </c>
    </row>
    <row r="255" spans="1:9" hidden="1" x14ac:dyDescent="0.25">
      <c r="A255" s="14">
        <v>10</v>
      </c>
      <c r="B255" s="13">
        <v>45932</v>
      </c>
      <c r="C255" s="17" t="s">
        <v>8</v>
      </c>
      <c r="D255" s="15">
        <v>195.86</v>
      </c>
      <c r="E255" s="16" t="s">
        <v>547</v>
      </c>
      <c r="F255" s="14" t="s">
        <v>1941</v>
      </c>
      <c r="G255" s="16" t="s">
        <v>1492</v>
      </c>
      <c r="H255" s="17" t="s">
        <v>1239</v>
      </c>
      <c r="I255" s="11">
        <v>4</v>
      </c>
    </row>
    <row r="256" spans="1:9" hidden="1" x14ac:dyDescent="0.25">
      <c r="A256" s="14">
        <v>10</v>
      </c>
      <c r="B256" s="13">
        <v>45932</v>
      </c>
      <c r="C256" s="17" t="s">
        <v>8</v>
      </c>
      <c r="D256" s="15">
        <v>272.22000000000003</v>
      </c>
      <c r="E256" s="16" t="s">
        <v>544</v>
      </c>
      <c r="F256" s="14" t="s">
        <v>1764</v>
      </c>
      <c r="G256" s="16" t="s">
        <v>1492</v>
      </c>
      <c r="H256" s="17" t="s">
        <v>1225</v>
      </c>
      <c r="I256" s="11">
        <v>5</v>
      </c>
    </row>
    <row r="257" spans="1:9" hidden="1" x14ac:dyDescent="0.25">
      <c r="A257" s="14">
        <v>10</v>
      </c>
      <c r="B257" s="13">
        <v>45932</v>
      </c>
      <c r="C257" s="17" t="s">
        <v>8</v>
      </c>
      <c r="D257" s="15">
        <v>172.12</v>
      </c>
      <c r="E257" s="16" t="s">
        <v>548</v>
      </c>
      <c r="F257" s="14" t="s">
        <v>1611</v>
      </c>
      <c r="G257" s="16" t="s">
        <v>1492</v>
      </c>
      <c r="H257" s="17" t="s">
        <v>1304</v>
      </c>
      <c r="I257" s="11">
        <v>4</v>
      </c>
    </row>
    <row r="258" spans="1:9" hidden="1" x14ac:dyDescent="0.25">
      <c r="A258" s="14">
        <v>10</v>
      </c>
      <c r="B258" s="13">
        <v>45932</v>
      </c>
      <c r="C258" s="17" t="s">
        <v>8</v>
      </c>
      <c r="D258" s="15">
        <v>242.83</v>
      </c>
      <c r="E258" s="16" t="s">
        <v>546</v>
      </c>
      <c r="F258" s="14" t="s">
        <v>1975</v>
      </c>
      <c r="G258" s="16" t="s">
        <v>1491</v>
      </c>
      <c r="H258" s="17" t="s">
        <v>1362</v>
      </c>
      <c r="I258" s="11">
        <v>4</v>
      </c>
    </row>
    <row r="259" spans="1:9" hidden="1" x14ac:dyDescent="0.25">
      <c r="A259" s="14">
        <v>10</v>
      </c>
      <c r="B259" s="13">
        <v>45932</v>
      </c>
      <c r="C259" s="17" t="s">
        <v>8</v>
      </c>
      <c r="D259" s="15">
        <v>259.76</v>
      </c>
      <c r="E259" s="16" t="s">
        <v>545</v>
      </c>
      <c r="F259" s="14" t="s">
        <v>1879</v>
      </c>
      <c r="G259" s="16" t="s">
        <v>1492</v>
      </c>
      <c r="H259" s="17" t="s">
        <v>1254</v>
      </c>
      <c r="I259" s="11">
        <v>4</v>
      </c>
    </row>
    <row r="260" spans="1:9" hidden="1" x14ac:dyDescent="0.25">
      <c r="A260" s="14">
        <v>10</v>
      </c>
      <c r="B260" s="13">
        <v>45932</v>
      </c>
      <c r="C260" s="17" t="s">
        <v>8</v>
      </c>
      <c r="D260" s="15">
        <v>274.77</v>
      </c>
      <c r="E260" s="16" t="s">
        <v>543</v>
      </c>
      <c r="F260" s="14" t="s">
        <v>1918</v>
      </c>
      <c r="G260" s="16" t="s">
        <v>1492</v>
      </c>
      <c r="H260" s="17" t="s">
        <v>1252</v>
      </c>
      <c r="I260" s="11">
        <v>5</v>
      </c>
    </row>
    <row r="261" spans="1:9" hidden="1" x14ac:dyDescent="0.25">
      <c r="A261" s="14">
        <v>10</v>
      </c>
      <c r="B261" s="13">
        <v>45932</v>
      </c>
      <c r="C261" s="17" t="s">
        <v>8</v>
      </c>
      <c r="D261" s="15">
        <v>382.5</v>
      </c>
      <c r="E261" s="16" t="s">
        <v>542</v>
      </c>
      <c r="F261" s="14" t="s">
        <v>1981</v>
      </c>
      <c r="G261" s="16" t="s">
        <v>1492</v>
      </c>
      <c r="H261" s="17" t="s">
        <v>1298</v>
      </c>
      <c r="I261" s="11">
        <v>4</v>
      </c>
    </row>
    <row r="262" spans="1:9" hidden="1" x14ac:dyDescent="0.25">
      <c r="A262" s="14">
        <v>10</v>
      </c>
      <c r="B262" s="13">
        <v>45933</v>
      </c>
      <c r="C262" s="17" t="s">
        <v>8</v>
      </c>
      <c r="D262" s="15">
        <v>447.3</v>
      </c>
      <c r="E262" s="16" t="s">
        <v>522</v>
      </c>
      <c r="F262" s="14" t="s">
        <v>1551</v>
      </c>
      <c r="G262" s="16" t="s">
        <v>1492</v>
      </c>
      <c r="H262" s="17" t="s">
        <v>1307</v>
      </c>
      <c r="I262" s="11">
        <v>8</v>
      </c>
    </row>
    <row r="263" spans="1:9" hidden="1" x14ac:dyDescent="0.25">
      <c r="A263" s="14">
        <v>10</v>
      </c>
      <c r="B263" s="13">
        <v>45933</v>
      </c>
      <c r="C263" s="17" t="s">
        <v>8</v>
      </c>
      <c r="D263" s="15">
        <v>187.55</v>
      </c>
      <c r="E263" s="16" t="s">
        <v>534</v>
      </c>
      <c r="F263" s="14" t="s">
        <v>1927</v>
      </c>
      <c r="G263" s="16" t="s">
        <v>1492</v>
      </c>
      <c r="H263" s="17" t="s">
        <v>1307</v>
      </c>
      <c r="I263" s="11">
        <v>6</v>
      </c>
    </row>
    <row r="264" spans="1:9" hidden="1" x14ac:dyDescent="0.25">
      <c r="A264" s="14">
        <v>10</v>
      </c>
      <c r="B264" s="13">
        <v>45933</v>
      </c>
      <c r="C264" s="17" t="s">
        <v>8</v>
      </c>
      <c r="D264" s="15">
        <v>100</v>
      </c>
      <c r="E264" s="16" t="s">
        <v>537</v>
      </c>
      <c r="F264" s="14"/>
      <c r="G264" s="16" t="s">
        <v>2069</v>
      </c>
      <c r="H264" s="17" t="s">
        <v>1307</v>
      </c>
      <c r="I264" s="11">
        <v>6</v>
      </c>
    </row>
    <row r="265" spans="1:9" hidden="1" x14ac:dyDescent="0.25">
      <c r="A265" s="14">
        <v>10</v>
      </c>
      <c r="B265" s="13">
        <v>45933</v>
      </c>
      <c r="C265" s="17" t="s">
        <v>8</v>
      </c>
      <c r="D265" s="15">
        <v>263.91000000000003</v>
      </c>
      <c r="E265" s="16" t="s">
        <v>533</v>
      </c>
      <c r="F265" s="14" t="s">
        <v>1955</v>
      </c>
      <c r="G265" s="16" t="s">
        <v>1492</v>
      </c>
      <c r="H265" s="17" t="s">
        <v>1307</v>
      </c>
      <c r="I265" s="11">
        <v>5</v>
      </c>
    </row>
    <row r="266" spans="1:9" hidden="1" x14ac:dyDescent="0.25">
      <c r="A266" s="14">
        <v>10</v>
      </c>
      <c r="B266" s="13">
        <v>45933</v>
      </c>
      <c r="C266" s="17" t="s">
        <v>16</v>
      </c>
      <c r="D266" s="15">
        <v>378.34</v>
      </c>
      <c r="E266" s="16" t="s">
        <v>529</v>
      </c>
      <c r="F266" s="14" t="s">
        <v>2007</v>
      </c>
      <c r="G266" s="16" t="s">
        <v>1492</v>
      </c>
      <c r="H266" s="17" t="s">
        <v>1279</v>
      </c>
      <c r="I266" s="11">
        <v>5</v>
      </c>
    </row>
    <row r="267" spans="1:9" hidden="1" x14ac:dyDescent="0.25">
      <c r="A267" s="14">
        <v>10</v>
      </c>
      <c r="B267" s="13">
        <v>45933</v>
      </c>
      <c r="C267" s="17" t="s">
        <v>8</v>
      </c>
      <c r="D267" s="15">
        <v>411.58</v>
      </c>
      <c r="E267" s="16" t="s">
        <v>526</v>
      </c>
      <c r="F267" s="14" t="s">
        <v>1650</v>
      </c>
      <c r="G267" s="16" t="s">
        <v>1492</v>
      </c>
      <c r="H267" s="17" t="s">
        <v>1365</v>
      </c>
      <c r="I267" s="11">
        <v>4</v>
      </c>
    </row>
    <row r="268" spans="1:9" hidden="1" x14ac:dyDescent="0.25">
      <c r="A268" s="14">
        <v>10</v>
      </c>
      <c r="B268" s="13">
        <v>45933</v>
      </c>
      <c r="C268" s="17" t="s">
        <v>8</v>
      </c>
      <c r="D268" s="15">
        <v>353.34</v>
      </c>
      <c r="E268" s="16" t="s">
        <v>530</v>
      </c>
      <c r="F268" s="14" t="s">
        <v>1650</v>
      </c>
      <c r="G268" s="16" t="s">
        <v>1491</v>
      </c>
      <c r="H268" s="17" t="s">
        <v>1365</v>
      </c>
      <c r="I268" s="11">
        <v>4</v>
      </c>
    </row>
    <row r="269" spans="1:9" hidden="1" x14ac:dyDescent="0.25">
      <c r="A269" s="14">
        <v>10</v>
      </c>
      <c r="B269" s="13">
        <v>45933</v>
      </c>
      <c r="C269" s="17" t="s">
        <v>8</v>
      </c>
      <c r="D269" s="15">
        <v>181.69</v>
      </c>
      <c r="E269" s="16" t="s">
        <v>535</v>
      </c>
      <c r="F269" s="14" t="s">
        <v>1838</v>
      </c>
      <c r="G269" s="16" t="s">
        <v>1492</v>
      </c>
      <c r="H269" s="17" t="s">
        <v>1266</v>
      </c>
      <c r="I269" s="11">
        <v>7</v>
      </c>
    </row>
    <row r="270" spans="1:9" hidden="1" x14ac:dyDescent="0.25">
      <c r="A270" s="14">
        <v>10</v>
      </c>
      <c r="B270" s="13">
        <v>45933</v>
      </c>
      <c r="C270" s="17" t="s">
        <v>8</v>
      </c>
      <c r="D270" s="15">
        <v>80.52</v>
      </c>
      <c r="E270" s="16" t="s">
        <v>538</v>
      </c>
      <c r="F270" s="14" t="s">
        <v>2052</v>
      </c>
      <c r="G270" s="16" t="s">
        <v>1490</v>
      </c>
      <c r="H270" s="17" t="s">
        <v>1360</v>
      </c>
      <c r="I270" s="11">
        <v>5</v>
      </c>
    </row>
    <row r="271" spans="1:9" hidden="1" x14ac:dyDescent="0.25">
      <c r="A271" s="14">
        <v>10</v>
      </c>
      <c r="B271" s="13">
        <v>45933</v>
      </c>
      <c r="C271" s="17" t="s">
        <v>531</v>
      </c>
      <c r="D271" s="15">
        <v>165.56</v>
      </c>
      <c r="E271" s="16" t="s">
        <v>532</v>
      </c>
      <c r="F271" s="14" t="s">
        <v>1946</v>
      </c>
      <c r="G271" s="16" t="s">
        <v>1491</v>
      </c>
      <c r="H271" s="17" t="s">
        <v>1367</v>
      </c>
      <c r="I271" s="11">
        <v>5</v>
      </c>
    </row>
    <row r="272" spans="1:9" hidden="1" x14ac:dyDescent="0.25">
      <c r="A272" s="14">
        <v>10</v>
      </c>
      <c r="B272" s="13">
        <v>45933</v>
      </c>
      <c r="C272" s="17" t="s">
        <v>531</v>
      </c>
      <c r="D272" s="15">
        <v>172.28</v>
      </c>
      <c r="E272" s="16" t="s">
        <v>532</v>
      </c>
      <c r="F272" s="14" t="s">
        <v>1946</v>
      </c>
      <c r="G272" s="16" t="s">
        <v>1492</v>
      </c>
      <c r="H272" s="17" t="s">
        <v>1367</v>
      </c>
      <c r="I272" s="11">
        <v>5</v>
      </c>
    </row>
    <row r="273" spans="1:9" hidden="1" x14ac:dyDescent="0.25">
      <c r="A273" s="14">
        <v>10</v>
      </c>
      <c r="B273" s="13">
        <v>45933</v>
      </c>
      <c r="C273" s="17" t="s">
        <v>20</v>
      </c>
      <c r="D273" s="15">
        <v>179.66</v>
      </c>
      <c r="E273" s="16" t="s">
        <v>536</v>
      </c>
      <c r="F273" s="14" t="s">
        <v>1520</v>
      </c>
      <c r="G273" s="16" t="s">
        <v>1492</v>
      </c>
      <c r="H273" s="17" t="s">
        <v>1229</v>
      </c>
      <c r="I273" s="11">
        <v>5</v>
      </c>
    </row>
    <row r="274" spans="1:9" hidden="1" x14ac:dyDescent="0.25">
      <c r="A274" s="14">
        <v>10</v>
      </c>
      <c r="B274" s="13">
        <v>45933</v>
      </c>
      <c r="C274" s="17" t="s">
        <v>8</v>
      </c>
      <c r="D274" s="15">
        <v>396.48</v>
      </c>
      <c r="E274" s="16" t="s">
        <v>527</v>
      </c>
      <c r="F274" s="14" t="s">
        <v>2027</v>
      </c>
      <c r="G274" s="16" t="s">
        <v>1492</v>
      </c>
      <c r="H274" s="17" t="s">
        <v>1366</v>
      </c>
      <c r="I274" s="11">
        <v>4</v>
      </c>
    </row>
    <row r="275" spans="1:9" hidden="1" x14ac:dyDescent="0.25">
      <c r="A275" s="14">
        <v>10</v>
      </c>
      <c r="B275" s="13">
        <v>45933</v>
      </c>
      <c r="C275" s="17" t="s">
        <v>8</v>
      </c>
      <c r="D275" s="15">
        <v>424.05</v>
      </c>
      <c r="E275" s="16" t="s">
        <v>523</v>
      </c>
      <c r="F275" s="14" t="s">
        <v>1936</v>
      </c>
      <c r="G275" s="16" t="s">
        <v>1492</v>
      </c>
      <c r="H275" s="17" t="s">
        <v>1364</v>
      </c>
      <c r="I275" s="11">
        <v>5</v>
      </c>
    </row>
    <row r="276" spans="1:9" hidden="1" x14ac:dyDescent="0.25">
      <c r="A276" s="14">
        <v>10</v>
      </c>
      <c r="B276" s="13">
        <v>45933</v>
      </c>
      <c r="C276" s="17" t="s">
        <v>8</v>
      </c>
      <c r="D276" s="15">
        <v>386.95</v>
      </c>
      <c r="E276" s="16" t="s">
        <v>528</v>
      </c>
      <c r="F276" s="14" t="s">
        <v>1936</v>
      </c>
      <c r="G276" s="16" t="s">
        <v>1491</v>
      </c>
      <c r="H276" s="17" t="s">
        <v>1364</v>
      </c>
      <c r="I276" s="11">
        <v>5</v>
      </c>
    </row>
    <row r="277" spans="1:9" hidden="1" x14ac:dyDescent="0.25">
      <c r="A277" s="14">
        <v>10</v>
      </c>
      <c r="B277" s="13">
        <v>45933</v>
      </c>
      <c r="C277" s="17" t="s">
        <v>8</v>
      </c>
      <c r="D277" s="15">
        <v>580</v>
      </c>
      <c r="E277" s="16" t="s">
        <v>521</v>
      </c>
      <c r="F277" s="14"/>
      <c r="G277" s="16" t="s">
        <v>1499</v>
      </c>
      <c r="H277" s="17" t="s">
        <v>1363</v>
      </c>
      <c r="I277" s="11">
        <v>0</v>
      </c>
    </row>
    <row r="278" spans="1:9" hidden="1" x14ac:dyDescent="0.25">
      <c r="A278" s="14">
        <v>10</v>
      </c>
      <c r="B278" s="13">
        <v>45933</v>
      </c>
      <c r="C278" s="17" t="s">
        <v>524</v>
      </c>
      <c r="D278" s="15">
        <v>411.6</v>
      </c>
      <c r="E278" s="16" t="s">
        <v>525</v>
      </c>
      <c r="F278" s="14" t="s">
        <v>1703</v>
      </c>
      <c r="G278" s="16" t="s">
        <v>1492</v>
      </c>
      <c r="H278" s="17" t="s">
        <v>1206</v>
      </c>
      <c r="I278" s="11">
        <v>7</v>
      </c>
    </row>
    <row r="279" spans="1:9" hidden="1" x14ac:dyDescent="0.25">
      <c r="A279" s="14">
        <v>10</v>
      </c>
      <c r="B279" s="13">
        <v>45934</v>
      </c>
      <c r="C279" s="17" t="s">
        <v>8</v>
      </c>
      <c r="D279" s="15">
        <v>469.83</v>
      </c>
      <c r="E279" s="16" t="s">
        <v>514</v>
      </c>
      <c r="F279" s="14" t="s">
        <v>1714</v>
      </c>
      <c r="G279" s="16" t="s">
        <v>1492</v>
      </c>
      <c r="H279" s="17" t="s">
        <v>1330</v>
      </c>
      <c r="I279" s="11">
        <v>5</v>
      </c>
    </row>
    <row r="280" spans="1:9" hidden="1" x14ac:dyDescent="0.25">
      <c r="A280" s="14">
        <v>10</v>
      </c>
      <c r="B280" s="13">
        <v>45934</v>
      </c>
      <c r="C280" s="17" t="s">
        <v>8</v>
      </c>
      <c r="D280" s="15">
        <v>456.23</v>
      </c>
      <c r="E280" s="16" t="s">
        <v>515</v>
      </c>
      <c r="F280" s="14" t="s">
        <v>1714</v>
      </c>
      <c r="G280" s="16" t="s">
        <v>1490</v>
      </c>
      <c r="H280" s="17" t="s">
        <v>1330</v>
      </c>
      <c r="I280" s="11">
        <v>5</v>
      </c>
    </row>
    <row r="281" spans="1:9" hidden="1" x14ac:dyDescent="0.25">
      <c r="A281" s="14">
        <v>10</v>
      </c>
      <c r="B281" s="13">
        <v>45934</v>
      </c>
      <c r="C281" s="17" t="s">
        <v>8</v>
      </c>
      <c r="D281" s="15">
        <v>170.93</v>
      </c>
      <c r="E281" s="16" t="s">
        <v>519</v>
      </c>
      <c r="F281" s="14" t="s">
        <v>2013</v>
      </c>
      <c r="G281" s="16" t="s">
        <v>1492</v>
      </c>
      <c r="H281" s="17" t="s">
        <v>1369</v>
      </c>
      <c r="I281" s="11">
        <v>5</v>
      </c>
    </row>
    <row r="282" spans="1:9" hidden="1" x14ac:dyDescent="0.25">
      <c r="A282" s="14">
        <v>10</v>
      </c>
      <c r="B282" s="13">
        <v>45934</v>
      </c>
      <c r="C282" s="17" t="s">
        <v>8</v>
      </c>
      <c r="D282" s="15">
        <v>394.96</v>
      </c>
      <c r="E282" s="16" t="s">
        <v>516</v>
      </c>
      <c r="F282" s="14" t="s">
        <v>1750</v>
      </c>
      <c r="G282" s="16" t="s">
        <v>1492</v>
      </c>
      <c r="H282" s="17" t="s">
        <v>1290</v>
      </c>
      <c r="I282" s="11">
        <v>7</v>
      </c>
    </row>
    <row r="283" spans="1:9" hidden="1" x14ac:dyDescent="0.25">
      <c r="A283" s="14">
        <v>10</v>
      </c>
      <c r="B283" s="13">
        <v>45934</v>
      </c>
      <c r="C283" s="17" t="s">
        <v>8</v>
      </c>
      <c r="D283" s="15">
        <v>179.24</v>
      </c>
      <c r="E283" s="16" t="s">
        <v>518</v>
      </c>
      <c r="F283" s="14" t="s">
        <v>1792</v>
      </c>
      <c r="G283" s="16" t="s">
        <v>1492</v>
      </c>
      <c r="H283" s="17" t="s">
        <v>1292</v>
      </c>
      <c r="I283" s="11">
        <v>5</v>
      </c>
    </row>
    <row r="284" spans="1:9" hidden="1" x14ac:dyDescent="0.25">
      <c r="A284" s="14">
        <v>10</v>
      </c>
      <c r="B284" s="13">
        <v>45934</v>
      </c>
      <c r="C284" s="17" t="s">
        <v>8</v>
      </c>
      <c r="D284" s="15">
        <v>40</v>
      </c>
      <c r="E284" s="16" t="s">
        <v>520</v>
      </c>
      <c r="F284" s="14"/>
      <c r="G284" s="16" t="s">
        <v>1498</v>
      </c>
      <c r="H284" s="17" t="s">
        <v>1320</v>
      </c>
      <c r="I284" s="11">
        <v>7</v>
      </c>
    </row>
    <row r="285" spans="1:9" hidden="1" x14ac:dyDescent="0.25">
      <c r="A285" s="14">
        <v>10</v>
      </c>
      <c r="B285" s="13">
        <v>45934</v>
      </c>
      <c r="C285" s="17" t="s">
        <v>16</v>
      </c>
      <c r="D285" s="15">
        <v>364.54</v>
      </c>
      <c r="E285" s="16" t="s">
        <v>517</v>
      </c>
      <c r="F285" s="14" t="s">
        <v>1958</v>
      </c>
      <c r="G285" s="16" t="s">
        <v>1491</v>
      </c>
      <c r="H285" s="17" t="s">
        <v>1368</v>
      </c>
      <c r="I285" s="11">
        <v>3</v>
      </c>
    </row>
    <row r="286" spans="1:9" hidden="1" x14ac:dyDescent="0.25">
      <c r="A286" s="14">
        <v>10</v>
      </c>
      <c r="B286" s="13">
        <v>45935</v>
      </c>
      <c r="C286" s="17" t="s">
        <v>23</v>
      </c>
      <c r="D286" s="15">
        <v>77.760000000000005</v>
      </c>
      <c r="E286" s="16" t="s">
        <v>513</v>
      </c>
      <c r="F286" s="14" t="s">
        <v>1843</v>
      </c>
      <c r="G286" s="16" t="s">
        <v>1492</v>
      </c>
      <c r="H286" s="17" t="s">
        <v>1242</v>
      </c>
      <c r="I286" s="11">
        <v>10</v>
      </c>
    </row>
    <row r="287" spans="1:9" hidden="1" x14ac:dyDescent="0.25">
      <c r="A287" s="14">
        <v>10</v>
      </c>
      <c r="B287" s="13">
        <v>45936</v>
      </c>
      <c r="C287" s="17" t="s">
        <v>8</v>
      </c>
      <c r="D287" s="15">
        <v>386.65</v>
      </c>
      <c r="E287" s="16" t="s">
        <v>512</v>
      </c>
      <c r="F287" s="14" t="s">
        <v>1523</v>
      </c>
      <c r="G287" s="16" t="s">
        <v>1492</v>
      </c>
      <c r="H287" s="17" t="s">
        <v>1281</v>
      </c>
      <c r="I287" s="11">
        <v>5</v>
      </c>
    </row>
    <row r="288" spans="1:9" hidden="1" x14ac:dyDescent="0.25">
      <c r="A288" s="14">
        <v>10</v>
      </c>
      <c r="B288" s="13">
        <v>45936</v>
      </c>
      <c r="C288" s="17" t="s">
        <v>32</v>
      </c>
      <c r="D288" s="15">
        <v>386.65</v>
      </c>
      <c r="E288" s="16" t="s">
        <v>511</v>
      </c>
      <c r="F288" s="14" t="s">
        <v>2030</v>
      </c>
      <c r="G288" s="16" t="s">
        <v>1492</v>
      </c>
      <c r="H288" s="17" t="s">
        <v>1212</v>
      </c>
      <c r="I288" s="11">
        <v>5</v>
      </c>
    </row>
    <row r="289" spans="1:9" hidden="1" x14ac:dyDescent="0.25">
      <c r="A289" s="14">
        <v>10</v>
      </c>
      <c r="B289" s="13">
        <v>45937</v>
      </c>
      <c r="C289" s="17" t="s">
        <v>8</v>
      </c>
      <c r="D289" s="15">
        <v>409.51</v>
      </c>
      <c r="E289" s="16" t="s">
        <v>496</v>
      </c>
      <c r="F289" s="14" t="s">
        <v>1742</v>
      </c>
      <c r="G289" s="16" t="s">
        <v>1492</v>
      </c>
      <c r="H289" s="17" t="s">
        <v>1372</v>
      </c>
      <c r="I289" s="11">
        <v>8</v>
      </c>
    </row>
    <row r="290" spans="1:9" hidden="1" x14ac:dyDescent="0.25">
      <c r="A290" s="14">
        <v>10</v>
      </c>
      <c r="B290" s="13">
        <v>45937</v>
      </c>
      <c r="C290" s="17" t="s">
        <v>8</v>
      </c>
      <c r="D290" s="15">
        <v>263.91000000000003</v>
      </c>
      <c r="E290" s="16" t="s">
        <v>505</v>
      </c>
      <c r="F290" s="14" t="s">
        <v>1864</v>
      </c>
      <c r="G290" s="16" t="s">
        <v>1492</v>
      </c>
      <c r="H290" s="17" t="s">
        <v>1372</v>
      </c>
      <c r="I290" s="11">
        <v>5</v>
      </c>
    </row>
    <row r="291" spans="1:9" hidden="1" x14ac:dyDescent="0.25">
      <c r="A291" s="14">
        <v>10</v>
      </c>
      <c r="B291" s="13">
        <v>45937</v>
      </c>
      <c r="C291" s="17" t="s">
        <v>16</v>
      </c>
      <c r="D291" s="15">
        <v>170.93</v>
      </c>
      <c r="E291" s="16" t="s">
        <v>509</v>
      </c>
      <c r="F291" s="14" t="s">
        <v>2040</v>
      </c>
      <c r="G291" s="16" t="s">
        <v>1492</v>
      </c>
      <c r="H291" s="17" t="s">
        <v>1377</v>
      </c>
      <c r="I291" s="11">
        <v>4</v>
      </c>
    </row>
    <row r="292" spans="1:9" hidden="1" x14ac:dyDescent="0.25">
      <c r="A292" s="14">
        <v>10</v>
      </c>
      <c r="B292" s="13">
        <v>45937</v>
      </c>
      <c r="C292" s="17" t="s">
        <v>16</v>
      </c>
      <c r="D292" s="15">
        <v>344.43</v>
      </c>
      <c r="E292" s="16" t="s">
        <v>502</v>
      </c>
      <c r="F292" s="14" t="s">
        <v>1795</v>
      </c>
      <c r="G292" s="16" t="s">
        <v>1492</v>
      </c>
      <c r="H292" s="17" t="s">
        <v>1283</v>
      </c>
      <c r="I292" s="11">
        <v>4</v>
      </c>
    </row>
    <row r="293" spans="1:9" hidden="1" x14ac:dyDescent="0.25">
      <c r="A293" s="14">
        <v>10</v>
      </c>
      <c r="B293" s="13">
        <v>45937</v>
      </c>
      <c r="C293" s="17" t="s">
        <v>8</v>
      </c>
      <c r="D293" s="15">
        <v>654.98</v>
      </c>
      <c r="E293" s="16" t="s">
        <v>494</v>
      </c>
      <c r="F293" s="14" t="s">
        <v>1545</v>
      </c>
      <c r="G293" s="16" t="s">
        <v>1492</v>
      </c>
      <c r="H293" s="17" t="s">
        <v>1370</v>
      </c>
      <c r="I293" s="11">
        <v>4</v>
      </c>
    </row>
    <row r="294" spans="1:9" hidden="1" x14ac:dyDescent="0.25">
      <c r="A294" s="14">
        <v>10</v>
      </c>
      <c r="B294" s="13">
        <v>45937</v>
      </c>
      <c r="C294" s="17" t="s">
        <v>8</v>
      </c>
      <c r="D294" s="15">
        <v>674.36</v>
      </c>
      <c r="E294" s="16" t="s">
        <v>494</v>
      </c>
      <c r="F294" s="14" t="s">
        <v>1545</v>
      </c>
      <c r="G294" s="16" t="s">
        <v>1493</v>
      </c>
      <c r="H294" s="17" t="s">
        <v>1370</v>
      </c>
      <c r="I294" s="11">
        <v>4</v>
      </c>
    </row>
    <row r="295" spans="1:9" hidden="1" x14ac:dyDescent="0.25">
      <c r="A295" s="14">
        <v>10</v>
      </c>
      <c r="B295" s="13">
        <v>45937</v>
      </c>
      <c r="C295" s="17" t="s">
        <v>32</v>
      </c>
      <c r="D295" s="15">
        <v>374.19</v>
      </c>
      <c r="E295" s="16" t="s">
        <v>499</v>
      </c>
      <c r="F295" s="14" t="s">
        <v>1502</v>
      </c>
      <c r="G295" s="16" t="s">
        <v>1492</v>
      </c>
      <c r="H295" s="17" t="s">
        <v>1374</v>
      </c>
      <c r="I295" s="11">
        <v>6</v>
      </c>
    </row>
    <row r="296" spans="1:9" hidden="1" x14ac:dyDescent="0.25">
      <c r="A296" s="14">
        <v>10</v>
      </c>
      <c r="B296" s="13">
        <v>45937</v>
      </c>
      <c r="C296" s="17" t="s">
        <v>32</v>
      </c>
      <c r="D296" s="15">
        <v>357.07</v>
      </c>
      <c r="E296" s="16" t="s">
        <v>500</v>
      </c>
      <c r="F296" s="14" t="s">
        <v>1502</v>
      </c>
      <c r="G296" s="16" t="s">
        <v>1491</v>
      </c>
      <c r="H296" s="17" t="s">
        <v>1374</v>
      </c>
      <c r="I296" s="11">
        <v>6</v>
      </c>
    </row>
    <row r="297" spans="1:9" hidden="1" x14ac:dyDescent="0.25">
      <c r="A297" s="14">
        <v>10</v>
      </c>
      <c r="B297" s="13">
        <v>45937</v>
      </c>
      <c r="C297" s="17" t="s">
        <v>8</v>
      </c>
      <c r="D297" s="15">
        <v>390.81</v>
      </c>
      <c r="E297" s="16" t="s">
        <v>498</v>
      </c>
      <c r="F297" s="14" t="s">
        <v>1758</v>
      </c>
      <c r="G297" s="16" t="s">
        <v>1492</v>
      </c>
      <c r="H297" s="17" t="s">
        <v>1373</v>
      </c>
      <c r="I297" s="11">
        <v>6</v>
      </c>
    </row>
    <row r="298" spans="1:9" hidden="1" x14ac:dyDescent="0.25">
      <c r="A298" s="14">
        <v>10</v>
      </c>
      <c r="B298" s="13">
        <v>45937</v>
      </c>
      <c r="C298" s="17" t="s">
        <v>20</v>
      </c>
      <c r="D298" s="15">
        <v>250.3</v>
      </c>
      <c r="E298" s="16" t="s">
        <v>507</v>
      </c>
      <c r="F298" s="14" t="s">
        <v>1761</v>
      </c>
      <c r="G298" s="16" t="s">
        <v>1491</v>
      </c>
      <c r="H298" s="17" t="s">
        <v>1328</v>
      </c>
      <c r="I298" s="11">
        <v>4</v>
      </c>
    </row>
    <row r="299" spans="1:9" hidden="1" x14ac:dyDescent="0.25">
      <c r="A299" s="14">
        <v>10</v>
      </c>
      <c r="B299" s="13">
        <v>45937</v>
      </c>
      <c r="C299" s="17" t="s">
        <v>8</v>
      </c>
      <c r="D299" s="15">
        <v>580</v>
      </c>
      <c r="E299" s="16" t="s">
        <v>495</v>
      </c>
      <c r="F299" s="14"/>
      <c r="G299" s="16" t="s">
        <v>1499</v>
      </c>
      <c r="H299" s="17" t="s">
        <v>1371</v>
      </c>
      <c r="I299" s="11">
        <v>0</v>
      </c>
    </row>
    <row r="300" spans="1:9" hidden="1" x14ac:dyDescent="0.25">
      <c r="A300" s="14">
        <v>10</v>
      </c>
      <c r="B300" s="13">
        <v>45937</v>
      </c>
      <c r="C300" s="17" t="s">
        <v>8</v>
      </c>
      <c r="D300" s="15">
        <v>401.16</v>
      </c>
      <c r="E300" s="16" t="s">
        <v>497</v>
      </c>
      <c r="F300" s="14" t="s">
        <v>1798</v>
      </c>
      <c r="G300" s="16" t="s">
        <v>1492</v>
      </c>
      <c r="H300" s="17" t="s">
        <v>1334</v>
      </c>
      <c r="I300" s="11">
        <v>8</v>
      </c>
    </row>
    <row r="301" spans="1:9" hidden="1" x14ac:dyDescent="0.25">
      <c r="A301" s="14">
        <v>10</v>
      </c>
      <c r="B301" s="13">
        <v>45937</v>
      </c>
      <c r="C301" s="17" t="s">
        <v>8</v>
      </c>
      <c r="D301" s="15">
        <v>80.52</v>
      </c>
      <c r="E301" s="16" t="s">
        <v>510</v>
      </c>
      <c r="F301" s="14" t="s">
        <v>1801</v>
      </c>
      <c r="G301" s="16" t="s">
        <v>1492</v>
      </c>
      <c r="H301" s="17" t="s">
        <v>1334</v>
      </c>
      <c r="I301" s="11">
        <v>5</v>
      </c>
    </row>
    <row r="302" spans="1:9" hidden="1" x14ac:dyDescent="0.25">
      <c r="A302" s="14">
        <v>10</v>
      </c>
      <c r="B302" s="13">
        <v>45937</v>
      </c>
      <c r="C302" s="17" t="s">
        <v>8</v>
      </c>
      <c r="D302" s="15">
        <v>301.98</v>
      </c>
      <c r="E302" s="16" t="s">
        <v>503</v>
      </c>
      <c r="F302" s="14" t="s">
        <v>1804</v>
      </c>
      <c r="G302" s="16" t="s">
        <v>1492</v>
      </c>
      <c r="H302" s="17" t="s">
        <v>1215</v>
      </c>
      <c r="I302" s="11">
        <v>4</v>
      </c>
    </row>
    <row r="303" spans="1:9" hidden="1" x14ac:dyDescent="0.25">
      <c r="A303" s="14">
        <v>10</v>
      </c>
      <c r="B303" s="13">
        <v>45937</v>
      </c>
      <c r="C303" s="17" t="s">
        <v>8</v>
      </c>
      <c r="D303" s="15">
        <v>270.61</v>
      </c>
      <c r="E303" s="16" t="s">
        <v>504</v>
      </c>
      <c r="F303" s="14" t="s">
        <v>1809</v>
      </c>
      <c r="G303" s="16" t="s">
        <v>1493</v>
      </c>
      <c r="H303" s="17" t="s">
        <v>1376</v>
      </c>
      <c r="I303" s="11">
        <v>3</v>
      </c>
    </row>
    <row r="304" spans="1:9" hidden="1" x14ac:dyDescent="0.25">
      <c r="A304" s="14">
        <v>10</v>
      </c>
      <c r="B304" s="13">
        <v>45937</v>
      </c>
      <c r="C304" s="17" t="s">
        <v>8</v>
      </c>
      <c r="D304" s="15">
        <v>349.22</v>
      </c>
      <c r="E304" s="16" t="s">
        <v>501</v>
      </c>
      <c r="F304" s="14" t="s">
        <v>1867</v>
      </c>
      <c r="G304" s="16" t="s">
        <v>1493</v>
      </c>
      <c r="H304" s="17" t="s">
        <v>1375</v>
      </c>
      <c r="I304" s="11">
        <v>2</v>
      </c>
    </row>
    <row r="305" spans="1:9" hidden="1" x14ac:dyDescent="0.25">
      <c r="A305" s="14">
        <v>10</v>
      </c>
      <c r="B305" s="13">
        <v>45937</v>
      </c>
      <c r="C305" s="17" t="s">
        <v>32</v>
      </c>
      <c r="D305" s="15">
        <v>251.45</v>
      </c>
      <c r="E305" s="16" t="s">
        <v>506</v>
      </c>
      <c r="F305" s="14" t="s">
        <v>1966</v>
      </c>
      <c r="G305" s="16" t="s">
        <v>1493</v>
      </c>
      <c r="H305" s="17" t="s">
        <v>1331</v>
      </c>
      <c r="I305" s="11">
        <v>4</v>
      </c>
    </row>
    <row r="306" spans="1:9" hidden="1" x14ac:dyDescent="0.25">
      <c r="A306" s="14">
        <v>10</v>
      </c>
      <c r="B306" s="13">
        <v>45937</v>
      </c>
      <c r="C306" s="17" t="s">
        <v>8</v>
      </c>
      <c r="D306" s="15">
        <v>178.5</v>
      </c>
      <c r="E306" s="16" t="s">
        <v>508</v>
      </c>
      <c r="F306" s="14" t="s">
        <v>1728</v>
      </c>
      <c r="G306" s="16" t="s">
        <v>1493</v>
      </c>
      <c r="H306" s="17" t="s">
        <v>1228</v>
      </c>
      <c r="I306" s="11">
        <v>5</v>
      </c>
    </row>
    <row r="307" spans="1:9" hidden="1" x14ac:dyDescent="0.25">
      <c r="A307" s="14">
        <v>10</v>
      </c>
      <c r="B307" s="13">
        <v>45938</v>
      </c>
      <c r="C307" s="17" t="s">
        <v>16</v>
      </c>
      <c r="D307" s="15">
        <v>415.74</v>
      </c>
      <c r="E307" s="16" t="s">
        <v>490</v>
      </c>
      <c r="F307" s="14" t="s">
        <v>1823</v>
      </c>
      <c r="G307" s="16" t="s">
        <v>1492</v>
      </c>
      <c r="H307" s="17" t="s">
        <v>1378</v>
      </c>
      <c r="I307" s="11">
        <v>6</v>
      </c>
    </row>
    <row r="308" spans="1:9" hidden="1" x14ac:dyDescent="0.25">
      <c r="A308" s="14">
        <v>10</v>
      </c>
      <c r="B308" s="13">
        <v>45938</v>
      </c>
      <c r="C308" s="17" t="s">
        <v>8</v>
      </c>
      <c r="D308" s="15">
        <v>659.81</v>
      </c>
      <c r="E308" s="16" t="s">
        <v>488</v>
      </c>
      <c r="F308" s="14" t="s">
        <v>1773</v>
      </c>
      <c r="G308" s="16" t="s">
        <v>1493</v>
      </c>
      <c r="H308" s="17" t="s">
        <v>1358</v>
      </c>
      <c r="I308" s="11">
        <v>5</v>
      </c>
    </row>
    <row r="309" spans="1:9" hidden="1" x14ac:dyDescent="0.25">
      <c r="A309" s="14">
        <v>10</v>
      </c>
      <c r="B309" s="13">
        <v>45938</v>
      </c>
      <c r="C309" s="17" t="s">
        <v>32</v>
      </c>
      <c r="D309" s="15">
        <v>385.04</v>
      </c>
      <c r="E309" s="16" t="s">
        <v>492</v>
      </c>
      <c r="F309" s="14" t="s">
        <v>2030</v>
      </c>
      <c r="G309" s="16" t="s">
        <v>1493</v>
      </c>
      <c r="H309" s="17" t="s">
        <v>1212</v>
      </c>
      <c r="I309" s="11">
        <v>5</v>
      </c>
    </row>
    <row r="310" spans="1:9" hidden="1" x14ac:dyDescent="0.25">
      <c r="A310" s="14">
        <v>10</v>
      </c>
      <c r="B310" s="13">
        <v>45938</v>
      </c>
      <c r="C310" s="17" t="s">
        <v>8</v>
      </c>
      <c r="D310" s="15">
        <v>397.81</v>
      </c>
      <c r="E310" s="16" t="s">
        <v>491</v>
      </c>
      <c r="F310" s="14" t="s">
        <v>1936</v>
      </c>
      <c r="G310" s="16" t="s">
        <v>1493</v>
      </c>
      <c r="H310" s="17" t="s">
        <v>1364</v>
      </c>
      <c r="I310" s="11">
        <v>5</v>
      </c>
    </row>
    <row r="311" spans="1:9" hidden="1" x14ac:dyDescent="0.25">
      <c r="A311" s="14">
        <v>10</v>
      </c>
      <c r="B311" s="13">
        <v>45938</v>
      </c>
      <c r="C311" s="17" t="s">
        <v>32</v>
      </c>
      <c r="D311" s="15">
        <v>40</v>
      </c>
      <c r="E311" s="16" t="s">
        <v>493</v>
      </c>
      <c r="F311" s="14"/>
      <c r="G311" s="16" t="s">
        <v>1498</v>
      </c>
      <c r="H311" s="17" t="s">
        <v>1245</v>
      </c>
      <c r="I311" s="11">
        <v>6</v>
      </c>
    </row>
    <row r="312" spans="1:9" hidden="1" x14ac:dyDescent="0.25">
      <c r="A312" s="14">
        <v>10</v>
      </c>
      <c r="B312" s="13">
        <v>45938</v>
      </c>
      <c r="C312" s="17" t="s">
        <v>16</v>
      </c>
      <c r="D312" s="15">
        <v>515.15</v>
      </c>
      <c r="E312" s="16" t="s">
        <v>489</v>
      </c>
      <c r="F312" s="14" t="s">
        <v>1882</v>
      </c>
      <c r="G312" s="16" t="s">
        <v>1493</v>
      </c>
      <c r="H312" s="17" t="s">
        <v>16</v>
      </c>
      <c r="I312" s="11">
        <v>6</v>
      </c>
    </row>
    <row r="313" spans="1:9" hidden="1" x14ac:dyDescent="0.25">
      <c r="A313" s="14">
        <v>10</v>
      </c>
      <c r="B313" s="13">
        <v>45939</v>
      </c>
      <c r="C313" s="17" t="s">
        <v>8</v>
      </c>
      <c r="D313" s="15">
        <v>170.93</v>
      </c>
      <c r="E313" s="16" t="s">
        <v>487</v>
      </c>
      <c r="F313" s="14" t="s">
        <v>2022</v>
      </c>
      <c r="G313" s="16" t="s">
        <v>1492</v>
      </c>
      <c r="H313" s="17" t="s">
        <v>1340</v>
      </c>
      <c r="I313" s="11">
        <v>4</v>
      </c>
    </row>
    <row r="314" spans="1:9" hidden="1" x14ac:dyDescent="0.25">
      <c r="A314" s="14">
        <v>10</v>
      </c>
      <c r="B314" s="13">
        <v>45939</v>
      </c>
      <c r="C314" s="17" t="s">
        <v>32</v>
      </c>
      <c r="D314" s="15">
        <v>175.08</v>
      </c>
      <c r="E314" s="16" t="s">
        <v>485</v>
      </c>
      <c r="F314" s="14" t="s">
        <v>1972</v>
      </c>
      <c r="G314" s="16" t="s">
        <v>1492</v>
      </c>
      <c r="H314" s="17" t="s">
        <v>1286</v>
      </c>
      <c r="I314" s="11">
        <v>4</v>
      </c>
    </row>
    <row r="315" spans="1:9" hidden="1" x14ac:dyDescent="0.25">
      <c r="A315" s="14">
        <v>10</v>
      </c>
      <c r="B315" s="13">
        <v>45939</v>
      </c>
      <c r="C315" s="17" t="s">
        <v>16</v>
      </c>
      <c r="D315" s="15">
        <v>170.93</v>
      </c>
      <c r="E315" s="16" t="s">
        <v>486</v>
      </c>
      <c r="F315" s="14" t="s">
        <v>1786</v>
      </c>
      <c r="G315" s="16" t="s">
        <v>1493</v>
      </c>
      <c r="H315" s="17" t="s">
        <v>1241</v>
      </c>
      <c r="I315" s="11">
        <v>7</v>
      </c>
    </row>
    <row r="316" spans="1:9" hidden="1" x14ac:dyDescent="0.25">
      <c r="A316" s="14">
        <v>10</v>
      </c>
      <c r="B316" s="13">
        <v>45939</v>
      </c>
      <c r="C316" s="17" t="s">
        <v>483</v>
      </c>
      <c r="D316" s="15">
        <v>194.25</v>
      </c>
      <c r="E316" s="16" t="s">
        <v>484</v>
      </c>
      <c r="F316" s="14" t="s">
        <v>1747</v>
      </c>
      <c r="G316" s="16" t="s">
        <v>1493</v>
      </c>
      <c r="H316" s="17" t="s">
        <v>1206</v>
      </c>
      <c r="I316" s="11">
        <v>3</v>
      </c>
    </row>
    <row r="317" spans="1:9" hidden="1" x14ac:dyDescent="0.25">
      <c r="A317" s="14">
        <v>10</v>
      </c>
      <c r="B317" s="13">
        <v>45940</v>
      </c>
      <c r="C317" s="17" t="s">
        <v>8</v>
      </c>
      <c r="D317" s="15">
        <v>534.59</v>
      </c>
      <c r="E317" s="16" t="s">
        <v>474</v>
      </c>
      <c r="F317" s="14" t="s">
        <v>1711</v>
      </c>
      <c r="G317" s="16" t="s">
        <v>1494</v>
      </c>
      <c r="H317" s="17" t="s">
        <v>1379</v>
      </c>
      <c r="I317" s="11">
        <v>5</v>
      </c>
    </row>
    <row r="318" spans="1:9" hidden="1" x14ac:dyDescent="0.25">
      <c r="A318" s="14">
        <v>10</v>
      </c>
      <c r="B318" s="13">
        <v>45940</v>
      </c>
      <c r="C318" s="17" t="s">
        <v>8</v>
      </c>
      <c r="D318" s="15">
        <v>402.26</v>
      </c>
      <c r="E318" s="16" t="s">
        <v>480</v>
      </c>
      <c r="F318" s="14" t="s">
        <v>1685</v>
      </c>
      <c r="G318" s="16" t="s">
        <v>1491</v>
      </c>
      <c r="H318" s="17" t="s">
        <v>1232</v>
      </c>
      <c r="I318" s="11">
        <v>8</v>
      </c>
    </row>
    <row r="319" spans="1:9" hidden="1" x14ac:dyDescent="0.25">
      <c r="A319" s="14">
        <v>10</v>
      </c>
      <c r="B319" s="13">
        <v>45940</v>
      </c>
      <c r="C319" s="17" t="s">
        <v>8</v>
      </c>
      <c r="D319" s="15">
        <v>100</v>
      </c>
      <c r="E319" s="16" t="s">
        <v>481</v>
      </c>
      <c r="F319" s="14"/>
      <c r="G319" s="16" t="s">
        <v>2069</v>
      </c>
      <c r="H319" s="17" t="s">
        <v>1232</v>
      </c>
      <c r="I319" s="11">
        <v>8</v>
      </c>
    </row>
    <row r="320" spans="1:9" hidden="1" x14ac:dyDescent="0.25">
      <c r="A320" s="14">
        <v>10</v>
      </c>
      <c r="B320" s="13">
        <v>45940</v>
      </c>
      <c r="C320" s="17" t="s">
        <v>8</v>
      </c>
      <c r="D320" s="15">
        <v>440.75</v>
      </c>
      <c r="E320" s="16" t="s">
        <v>479</v>
      </c>
      <c r="F320" s="14" t="s">
        <v>1548</v>
      </c>
      <c r="G320" s="16" t="s">
        <v>1493</v>
      </c>
      <c r="H320" s="17" t="s">
        <v>1247</v>
      </c>
      <c r="I320" s="11">
        <v>5</v>
      </c>
    </row>
    <row r="321" spans="1:9" hidden="1" x14ac:dyDescent="0.25">
      <c r="A321" s="14">
        <v>10</v>
      </c>
      <c r="B321" s="13">
        <v>45940</v>
      </c>
      <c r="C321" s="17" t="s">
        <v>8</v>
      </c>
      <c r="D321" s="15">
        <v>40</v>
      </c>
      <c r="E321" s="16" t="s">
        <v>482</v>
      </c>
      <c r="F321" s="14"/>
      <c r="G321" s="16" t="s">
        <v>1498</v>
      </c>
      <c r="H321" s="17" t="s">
        <v>1235</v>
      </c>
      <c r="I321" s="11">
        <v>7</v>
      </c>
    </row>
    <row r="322" spans="1:9" hidden="1" x14ac:dyDescent="0.25">
      <c r="A322" s="14">
        <v>10</v>
      </c>
      <c r="B322" s="13">
        <v>45940</v>
      </c>
      <c r="C322" s="17" t="s">
        <v>8</v>
      </c>
      <c r="D322" s="15">
        <v>564.4</v>
      </c>
      <c r="E322" s="16" t="s">
        <v>473</v>
      </c>
      <c r="F322" s="14" t="s">
        <v>1949</v>
      </c>
      <c r="G322" s="16" t="s">
        <v>1492</v>
      </c>
      <c r="H322" s="17" t="s">
        <v>1269</v>
      </c>
      <c r="I322" s="11">
        <v>4</v>
      </c>
    </row>
    <row r="323" spans="1:9" hidden="1" x14ac:dyDescent="0.25">
      <c r="A323" s="14">
        <v>10</v>
      </c>
      <c r="B323" s="13">
        <v>45940</v>
      </c>
      <c r="C323" s="17" t="s">
        <v>475</v>
      </c>
      <c r="D323" s="15">
        <v>464.07</v>
      </c>
      <c r="E323" s="16" t="s">
        <v>476</v>
      </c>
      <c r="F323" s="14" t="s">
        <v>2019</v>
      </c>
      <c r="G323" s="16" t="s">
        <v>1492</v>
      </c>
      <c r="H323" s="17" t="s">
        <v>1206</v>
      </c>
      <c r="I323" s="11">
        <v>5</v>
      </c>
    </row>
    <row r="324" spans="1:9" hidden="1" x14ac:dyDescent="0.25">
      <c r="A324" s="14">
        <v>10</v>
      </c>
      <c r="B324" s="13">
        <v>45940</v>
      </c>
      <c r="C324" s="17" t="s">
        <v>477</v>
      </c>
      <c r="D324" s="15">
        <v>464.07</v>
      </c>
      <c r="E324" s="16" t="s">
        <v>478</v>
      </c>
      <c r="F324" s="14" t="s">
        <v>2019</v>
      </c>
      <c r="G324" s="16" t="s">
        <v>1493</v>
      </c>
      <c r="H324" s="17" t="s">
        <v>1206</v>
      </c>
      <c r="I324" s="11">
        <v>5</v>
      </c>
    </row>
    <row r="325" spans="1:9" hidden="1" x14ac:dyDescent="0.25">
      <c r="A325" s="14">
        <v>10</v>
      </c>
      <c r="B325" s="13">
        <v>45941</v>
      </c>
      <c r="C325" s="17" t="s">
        <v>8</v>
      </c>
      <c r="D325" s="15">
        <v>40</v>
      </c>
      <c r="E325" s="16" t="s">
        <v>472</v>
      </c>
      <c r="F325" s="14"/>
      <c r="G325" s="16" t="s">
        <v>1498</v>
      </c>
      <c r="H325" s="17" t="s">
        <v>1373</v>
      </c>
      <c r="I325" s="11">
        <v>6</v>
      </c>
    </row>
    <row r="326" spans="1:9" hidden="1" x14ac:dyDescent="0.25">
      <c r="A326" s="14">
        <v>10</v>
      </c>
      <c r="B326" s="13">
        <v>45941</v>
      </c>
      <c r="C326" s="17" t="s">
        <v>8</v>
      </c>
      <c r="D326" s="15">
        <v>398.15</v>
      </c>
      <c r="E326" s="16" t="s">
        <v>468</v>
      </c>
      <c r="F326" s="14" t="s">
        <v>1656</v>
      </c>
      <c r="G326" s="16" t="s">
        <v>1491</v>
      </c>
      <c r="H326" s="17" t="s">
        <v>1380</v>
      </c>
      <c r="I326" s="11">
        <v>2</v>
      </c>
    </row>
    <row r="327" spans="1:9" hidden="1" x14ac:dyDescent="0.25">
      <c r="A327" s="14">
        <v>10</v>
      </c>
      <c r="B327" s="13">
        <v>45941</v>
      </c>
      <c r="C327" s="17" t="s">
        <v>8</v>
      </c>
      <c r="D327" s="15">
        <v>399.12</v>
      </c>
      <c r="E327" s="16" t="s">
        <v>468</v>
      </c>
      <c r="F327" s="14" t="s">
        <v>1656</v>
      </c>
      <c r="G327" s="16" t="s">
        <v>1492</v>
      </c>
      <c r="H327" s="17" t="s">
        <v>1380</v>
      </c>
      <c r="I327" s="11">
        <v>2</v>
      </c>
    </row>
    <row r="328" spans="1:9" hidden="1" x14ac:dyDescent="0.25">
      <c r="A328" s="14">
        <v>10</v>
      </c>
      <c r="B328" s="13">
        <v>45941</v>
      </c>
      <c r="C328" s="17" t="s">
        <v>8</v>
      </c>
      <c r="D328" s="15">
        <v>378.34</v>
      </c>
      <c r="E328" s="16" t="s">
        <v>471</v>
      </c>
      <c r="F328" s="14" t="s">
        <v>1912</v>
      </c>
      <c r="G328" s="16" t="s">
        <v>1492</v>
      </c>
      <c r="H328" s="17" t="s">
        <v>1324</v>
      </c>
      <c r="I328" s="11">
        <v>6</v>
      </c>
    </row>
    <row r="329" spans="1:9" hidden="1" x14ac:dyDescent="0.25">
      <c r="A329" s="14">
        <v>10</v>
      </c>
      <c r="B329" s="13">
        <v>45941</v>
      </c>
      <c r="C329" s="17" t="s">
        <v>469</v>
      </c>
      <c r="D329" s="15">
        <v>404.2</v>
      </c>
      <c r="E329" s="16" t="s">
        <v>470</v>
      </c>
      <c r="F329" s="14" t="s">
        <v>1703</v>
      </c>
      <c r="G329" s="16" t="s">
        <v>1493</v>
      </c>
      <c r="H329" s="17" t="s">
        <v>1206</v>
      </c>
      <c r="I329" s="11">
        <v>7</v>
      </c>
    </row>
    <row r="330" spans="1:9" hidden="1" x14ac:dyDescent="0.25">
      <c r="A330" s="14">
        <v>10</v>
      </c>
      <c r="B330" s="13">
        <v>45942</v>
      </c>
      <c r="C330" s="17" t="s">
        <v>16</v>
      </c>
      <c r="D330" s="15">
        <v>168.8</v>
      </c>
      <c r="E330" s="16" t="s">
        <v>467</v>
      </c>
      <c r="F330" s="14" t="s">
        <v>1969</v>
      </c>
      <c r="G330" s="16" t="s">
        <v>1491</v>
      </c>
      <c r="H330" s="17" t="s">
        <v>1383</v>
      </c>
      <c r="I330" s="11">
        <v>3</v>
      </c>
    </row>
    <row r="331" spans="1:9" hidden="1" x14ac:dyDescent="0.25">
      <c r="A331" s="14">
        <v>10</v>
      </c>
      <c r="B331" s="13">
        <v>45942</v>
      </c>
      <c r="C331" s="17" t="s">
        <v>8</v>
      </c>
      <c r="D331" s="15">
        <v>390.81</v>
      </c>
      <c r="E331" s="16" t="s">
        <v>463</v>
      </c>
      <c r="F331" s="14" t="s">
        <v>1588</v>
      </c>
      <c r="G331" s="16" t="s">
        <v>1492</v>
      </c>
      <c r="H331" s="17" t="s">
        <v>1327</v>
      </c>
      <c r="I331" s="11">
        <v>6</v>
      </c>
    </row>
    <row r="332" spans="1:9" hidden="1" x14ac:dyDescent="0.25">
      <c r="A332" s="14">
        <v>10</v>
      </c>
      <c r="B332" s="13">
        <v>45942</v>
      </c>
      <c r="C332" s="17" t="s">
        <v>8</v>
      </c>
      <c r="D332" s="15">
        <v>175.57</v>
      </c>
      <c r="E332" s="16" t="s">
        <v>466</v>
      </c>
      <c r="F332" s="14" t="s">
        <v>1969</v>
      </c>
      <c r="G332" s="16" t="s">
        <v>1493</v>
      </c>
      <c r="H332" s="17" t="s">
        <v>1382</v>
      </c>
      <c r="I332" s="11">
        <v>3</v>
      </c>
    </row>
    <row r="333" spans="1:9" hidden="1" x14ac:dyDescent="0.25">
      <c r="A333" s="14">
        <v>10</v>
      </c>
      <c r="B333" s="13">
        <v>45942</v>
      </c>
      <c r="C333" s="17" t="s">
        <v>8</v>
      </c>
      <c r="D333" s="15">
        <v>197.87</v>
      </c>
      <c r="E333" s="16" t="s">
        <v>464</v>
      </c>
      <c r="F333" s="14" t="s">
        <v>1579</v>
      </c>
      <c r="G333" s="16" t="s">
        <v>1492</v>
      </c>
      <c r="H333" s="17" t="s">
        <v>1381</v>
      </c>
      <c r="I333" s="11">
        <v>6</v>
      </c>
    </row>
    <row r="334" spans="1:9" hidden="1" x14ac:dyDescent="0.25">
      <c r="A334" s="14">
        <v>10</v>
      </c>
      <c r="B334" s="13">
        <v>45942</v>
      </c>
      <c r="C334" s="17" t="s">
        <v>8</v>
      </c>
      <c r="D334" s="15">
        <v>187.7</v>
      </c>
      <c r="E334" s="16" t="s">
        <v>465</v>
      </c>
      <c r="F334" s="14" t="s">
        <v>1579</v>
      </c>
      <c r="G334" s="16" t="s">
        <v>1491</v>
      </c>
      <c r="H334" s="17" t="s">
        <v>1381</v>
      </c>
      <c r="I334" s="11">
        <v>6</v>
      </c>
    </row>
    <row r="335" spans="1:9" hidden="1" x14ac:dyDescent="0.25">
      <c r="A335" s="14">
        <v>10</v>
      </c>
      <c r="B335" s="13">
        <v>45943</v>
      </c>
      <c r="C335" s="17" t="s">
        <v>20</v>
      </c>
      <c r="D335" s="15">
        <v>80.52</v>
      </c>
      <c r="E335" s="16" t="s">
        <v>459</v>
      </c>
      <c r="F335" s="14" t="s">
        <v>1888</v>
      </c>
      <c r="G335" s="16" t="s">
        <v>1492</v>
      </c>
      <c r="H335" s="17" t="s">
        <v>1384</v>
      </c>
      <c r="I335" s="11">
        <v>4</v>
      </c>
    </row>
    <row r="336" spans="1:9" hidden="1" x14ac:dyDescent="0.25">
      <c r="A336" s="14">
        <v>10</v>
      </c>
      <c r="B336" s="13">
        <v>45943</v>
      </c>
      <c r="C336" s="17" t="s">
        <v>8</v>
      </c>
      <c r="D336" s="15">
        <v>500</v>
      </c>
      <c r="E336" s="16" t="s">
        <v>457</v>
      </c>
      <c r="F336" s="14"/>
      <c r="G336" s="16" t="s">
        <v>1499</v>
      </c>
      <c r="H336" s="17" t="s">
        <v>1334</v>
      </c>
      <c r="I336" s="11">
        <v>8</v>
      </c>
    </row>
    <row r="337" spans="1:9" hidden="1" x14ac:dyDescent="0.25">
      <c r="A337" s="14">
        <v>10</v>
      </c>
      <c r="B337" s="13">
        <v>45943</v>
      </c>
      <c r="C337" s="17" t="s">
        <v>8</v>
      </c>
      <c r="D337" s="15">
        <v>80</v>
      </c>
      <c r="E337" s="16" t="s">
        <v>460</v>
      </c>
      <c r="F337" s="14"/>
      <c r="G337" s="16" t="s">
        <v>1499</v>
      </c>
      <c r="H337" s="17" t="s">
        <v>1334</v>
      </c>
      <c r="I337" s="11">
        <v>8</v>
      </c>
    </row>
    <row r="338" spans="1:9" hidden="1" x14ac:dyDescent="0.25">
      <c r="A338" s="14">
        <v>10</v>
      </c>
      <c r="B338" s="13">
        <v>45943</v>
      </c>
      <c r="C338" s="17" t="s">
        <v>8</v>
      </c>
      <c r="D338" s="15">
        <v>40</v>
      </c>
      <c r="E338" s="16" t="s">
        <v>461</v>
      </c>
      <c r="F338" s="14"/>
      <c r="G338" s="16" t="s">
        <v>1498</v>
      </c>
      <c r="H338" s="17" t="s">
        <v>1334</v>
      </c>
      <c r="I338" s="11">
        <v>8</v>
      </c>
    </row>
    <row r="339" spans="1:9" hidden="1" x14ac:dyDescent="0.25">
      <c r="A339" s="14">
        <v>10</v>
      </c>
      <c r="B339" s="13">
        <v>45943</v>
      </c>
      <c r="C339" s="17" t="s">
        <v>8</v>
      </c>
      <c r="D339" s="15">
        <v>40</v>
      </c>
      <c r="E339" s="16" t="s">
        <v>462</v>
      </c>
      <c r="F339" s="14"/>
      <c r="G339" s="16" t="s">
        <v>1498</v>
      </c>
      <c r="H339" s="17" t="s">
        <v>1385</v>
      </c>
      <c r="I339" s="11">
        <v>6</v>
      </c>
    </row>
    <row r="340" spans="1:9" hidden="1" x14ac:dyDescent="0.25">
      <c r="A340" s="14">
        <v>10</v>
      </c>
      <c r="B340" s="13">
        <v>45943</v>
      </c>
      <c r="C340" s="17" t="s">
        <v>32</v>
      </c>
      <c r="D340" s="15">
        <v>255.6</v>
      </c>
      <c r="E340" s="16" t="s">
        <v>458</v>
      </c>
      <c r="F340" s="14" t="s">
        <v>1966</v>
      </c>
      <c r="G340" s="16" t="s">
        <v>1492</v>
      </c>
      <c r="H340" s="17" t="s">
        <v>1331</v>
      </c>
      <c r="I340" s="11">
        <v>4</v>
      </c>
    </row>
    <row r="341" spans="1:9" hidden="1" x14ac:dyDescent="0.25">
      <c r="A341" s="14">
        <v>10</v>
      </c>
      <c r="B341" s="13">
        <v>45944</v>
      </c>
      <c r="C341" s="17" t="s">
        <v>8</v>
      </c>
      <c r="D341" s="15">
        <v>462.85</v>
      </c>
      <c r="E341" s="16" t="s">
        <v>450</v>
      </c>
      <c r="F341" s="14" t="s">
        <v>1938</v>
      </c>
      <c r="G341" s="16" t="s">
        <v>1492</v>
      </c>
      <c r="H341" s="17" t="s">
        <v>1207</v>
      </c>
      <c r="I341" s="11">
        <v>6</v>
      </c>
    </row>
    <row r="342" spans="1:9" hidden="1" x14ac:dyDescent="0.25">
      <c r="A342" s="14">
        <v>10</v>
      </c>
      <c r="B342" s="13">
        <v>45944</v>
      </c>
      <c r="C342" s="17" t="s">
        <v>8</v>
      </c>
      <c r="D342" s="15">
        <v>580</v>
      </c>
      <c r="E342" s="16" t="s">
        <v>449</v>
      </c>
      <c r="F342" s="14"/>
      <c r="G342" s="16" t="s">
        <v>1499</v>
      </c>
      <c r="H342" s="17" t="s">
        <v>1209</v>
      </c>
      <c r="I342" s="11">
        <v>7</v>
      </c>
    </row>
    <row r="343" spans="1:9" hidden="1" x14ac:dyDescent="0.25">
      <c r="A343" s="14">
        <v>10</v>
      </c>
      <c r="B343" s="13">
        <v>45944</v>
      </c>
      <c r="C343" s="17" t="s">
        <v>8</v>
      </c>
      <c r="D343" s="15">
        <v>30</v>
      </c>
      <c r="E343" s="16" t="s">
        <v>456</v>
      </c>
      <c r="F343" s="14"/>
      <c r="G343" s="16" t="s">
        <v>1497</v>
      </c>
      <c r="H343" s="17" t="s">
        <v>1209</v>
      </c>
      <c r="I343" s="11">
        <v>7</v>
      </c>
    </row>
    <row r="344" spans="1:9" hidden="1" x14ac:dyDescent="0.25">
      <c r="A344" s="14">
        <v>10</v>
      </c>
      <c r="B344" s="13">
        <v>45944</v>
      </c>
      <c r="C344" s="17" t="s">
        <v>8</v>
      </c>
      <c r="D344" s="15">
        <v>434.56</v>
      </c>
      <c r="E344" s="16" t="s">
        <v>451</v>
      </c>
      <c r="F344" s="14" t="s">
        <v>1565</v>
      </c>
      <c r="G344" s="16" t="s">
        <v>1493</v>
      </c>
      <c r="H344" s="17" t="s">
        <v>1326</v>
      </c>
      <c r="I344" s="11">
        <v>5</v>
      </c>
    </row>
    <row r="345" spans="1:9" hidden="1" x14ac:dyDescent="0.25">
      <c r="A345" s="14">
        <v>10</v>
      </c>
      <c r="B345" s="13">
        <v>45944</v>
      </c>
      <c r="C345" s="17" t="s">
        <v>8</v>
      </c>
      <c r="D345" s="15">
        <v>306.13</v>
      </c>
      <c r="E345" s="16" t="s">
        <v>452</v>
      </c>
      <c r="F345" s="14" t="s">
        <v>1700</v>
      </c>
      <c r="G345" s="16" t="s">
        <v>1492</v>
      </c>
      <c r="H345" s="17" t="s">
        <v>1386</v>
      </c>
      <c r="I345" s="11">
        <v>4</v>
      </c>
    </row>
    <row r="346" spans="1:9" hidden="1" x14ac:dyDescent="0.25">
      <c r="A346" s="14">
        <v>10</v>
      </c>
      <c r="B346" s="13">
        <v>45944</v>
      </c>
      <c r="C346" s="17" t="s">
        <v>187</v>
      </c>
      <c r="D346" s="15">
        <v>620</v>
      </c>
      <c r="E346" s="16" t="s">
        <v>448</v>
      </c>
      <c r="F346" s="14" t="s">
        <v>1781</v>
      </c>
      <c r="G346" s="16" t="s">
        <v>1492</v>
      </c>
      <c r="H346" s="17" t="s">
        <v>1782</v>
      </c>
      <c r="I346" s="11">
        <v>9</v>
      </c>
    </row>
    <row r="347" spans="1:9" hidden="1" x14ac:dyDescent="0.25">
      <c r="A347" s="14">
        <v>10</v>
      </c>
      <c r="B347" s="13">
        <v>45944</v>
      </c>
      <c r="C347" s="17" t="s">
        <v>16</v>
      </c>
      <c r="D347" s="15">
        <v>190.09</v>
      </c>
      <c r="E347" s="16" t="s">
        <v>454</v>
      </c>
      <c r="F347" s="14" t="s">
        <v>1697</v>
      </c>
      <c r="G347" s="16" t="s">
        <v>1493</v>
      </c>
      <c r="H347" s="17" t="s">
        <v>1336</v>
      </c>
      <c r="I347" s="11">
        <v>6</v>
      </c>
    </row>
    <row r="348" spans="1:9" hidden="1" x14ac:dyDescent="0.25">
      <c r="A348" s="14">
        <v>10</v>
      </c>
      <c r="B348" s="13">
        <v>45944</v>
      </c>
      <c r="C348" s="17" t="s">
        <v>16</v>
      </c>
      <c r="D348" s="15">
        <v>183.39</v>
      </c>
      <c r="E348" s="16" t="s">
        <v>455</v>
      </c>
      <c r="F348" s="14" t="s">
        <v>1697</v>
      </c>
      <c r="G348" s="16" t="s">
        <v>1492</v>
      </c>
      <c r="H348" s="17" t="s">
        <v>1336</v>
      </c>
      <c r="I348" s="11">
        <v>6</v>
      </c>
    </row>
    <row r="349" spans="1:9" hidden="1" x14ac:dyDescent="0.25">
      <c r="A349" s="14">
        <v>10</v>
      </c>
      <c r="B349" s="13">
        <v>45944</v>
      </c>
      <c r="C349" s="17" t="s">
        <v>8</v>
      </c>
      <c r="D349" s="15">
        <v>304.52</v>
      </c>
      <c r="E349" s="16" t="s">
        <v>453</v>
      </c>
      <c r="F349" s="14" t="s">
        <v>1775</v>
      </c>
      <c r="G349" s="16" t="s">
        <v>1493</v>
      </c>
      <c r="H349" s="17" t="s">
        <v>1291</v>
      </c>
      <c r="I349" s="11">
        <v>2</v>
      </c>
    </row>
    <row r="350" spans="1:9" hidden="1" x14ac:dyDescent="0.25">
      <c r="A350" s="14">
        <v>10</v>
      </c>
      <c r="B350" s="13">
        <v>45945</v>
      </c>
      <c r="C350" s="17" t="s">
        <v>16</v>
      </c>
      <c r="D350" s="15">
        <v>276.99</v>
      </c>
      <c r="E350" s="16" t="s">
        <v>445</v>
      </c>
      <c r="F350" s="14" t="s">
        <v>1756</v>
      </c>
      <c r="G350" s="16" t="s">
        <v>1493</v>
      </c>
      <c r="H350" s="17" t="s">
        <v>1253</v>
      </c>
      <c r="I350" s="11">
        <v>4</v>
      </c>
    </row>
    <row r="351" spans="1:9" hidden="1" x14ac:dyDescent="0.25">
      <c r="A351" s="14">
        <v>10</v>
      </c>
      <c r="B351" s="13">
        <v>45945</v>
      </c>
      <c r="C351" s="17" t="s">
        <v>8</v>
      </c>
      <c r="D351" s="15">
        <v>190</v>
      </c>
      <c r="E351" s="16" t="s">
        <v>446</v>
      </c>
      <c r="F351" s="14" t="s">
        <v>1963</v>
      </c>
      <c r="G351" s="16" t="s">
        <v>1493</v>
      </c>
      <c r="H351" s="17" t="s">
        <v>1335</v>
      </c>
      <c r="I351" s="11">
        <v>6</v>
      </c>
    </row>
    <row r="352" spans="1:9" hidden="1" x14ac:dyDescent="0.25">
      <c r="A352" s="14">
        <v>10</v>
      </c>
      <c r="B352" s="13">
        <v>45945</v>
      </c>
      <c r="C352" s="17" t="s">
        <v>20</v>
      </c>
      <c r="D352" s="15">
        <v>183.39</v>
      </c>
      <c r="E352" s="16" t="s">
        <v>447</v>
      </c>
      <c r="F352" s="14" t="s">
        <v>1843</v>
      </c>
      <c r="G352" s="16" t="s">
        <v>1492</v>
      </c>
      <c r="H352" s="17" t="s">
        <v>1285</v>
      </c>
      <c r="I352" s="11">
        <v>10</v>
      </c>
    </row>
    <row r="353" spans="1:9" hidden="1" x14ac:dyDescent="0.25">
      <c r="A353" s="14">
        <v>10</v>
      </c>
      <c r="B353" s="13">
        <v>45945</v>
      </c>
      <c r="C353" s="17" t="s">
        <v>32</v>
      </c>
      <c r="D353" s="15">
        <v>297.98</v>
      </c>
      <c r="E353" s="16" t="s">
        <v>444</v>
      </c>
      <c r="F353" s="14" t="s">
        <v>1661</v>
      </c>
      <c r="G353" s="16" t="s">
        <v>1491</v>
      </c>
      <c r="H353" s="17" t="s">
        <v>1387</v>
      </c>
      <c r="I353" s="11">
        <v>8</v>
      </c>
    </row>
    <row r="354" spans="1:9" hidden="1" x14ac:dyDescent="0.25">
      <c r="A354" s="14">
        <v>10</v>
      </c>
      <c r="B354" s="13">
        <v>45945</v>
      </c>
      <c r="C354" s="17" t="s">
        <v>8</v>
      </c>
      <c r="D354" s="15">
        <v>446.4</v>
      </c>
      <c r="E354" s="16" t="s">
        <v>443</v>
      </c>
      <c r="F354" s="14" t="s">
        <v>2025</v>
      </c>
      <c r="G354" s="16" t="s">
        <v>1492</v>
      </c>
      <c r="H354" s="17" t="s">
        <v>1308</v>
      </c>
      <c r="I354" s="11">
        <v>4</v>
      </c>
    </row>
    <row r="355" spans="1:9" hidden="1" x14ac:dyDescent="0.25">
      <c r="A355" s="14">
        <v>10</v>
      </c>
      <c r="B355" s="13">
        <v>45946</v>
      </c>
      <c r="C355" s="17" t="s">
        <v>8</v>
      </c>
      <c r="D355" s="15">
        <v>382.69</v>
      </c>
      <c r="E355" s="16" t="s">
        <v>427</v>
      </c>
      <c r="F355" s="14" t="s">
        <v>1505</v>
      </c>
      <c r="G355" s="16" t="s">
        <v>1493</v>
      </c>
      <c r="H355" s="17" t="s">
        <v>1224</v>
      </c>
      <c r="I355" s="11">
        <v>5</v>
      </c>
    </row>
    <row r="356" spans="1:9" hidden="1" x14ac:dyDescent="0.25">
      <c r="A356" s="14">
        <v>10</v>
      </c>
      <c r="B356" s="13">
        <v>45946</v>
      </c>
      <c r="C356" s="17" t="s">
        <v>8</v>
      </c>
      <c r="D356" s="15">
        <v>390.96</v>
      </c>
      <c r="E356" s="16" t="s">
        <v>426</v>
      </c>
      <c r="F356" s="14" t="s">
        <v>1770</v>
      </c>
      <c r="G356" s="16" t="s">
        <v>1492</v>
      </c>
      <c r="H356" s="17" t="s">
        <v>1250</v>
      </c>
      <c r="I356" s="11">
        <v>5</v>
      </c>
    </row>
    <row r="357" spans="1:9" hidden="1" x14ac:dyDescent="0.25">
      <c r="A357" s="14">
        <v>10</v>
      </c>
      <c r="B357" s="13">
        <v>45946</v>
      </c>
      <c r="C357" s="17" t="s">
        <v>8</v>
      </c>
      <c r="D357" s="15">
        <v>376.09</v>
      </c>
      <c r="E357" s="16" t="s">
        <v>429</v>
      </c>
      <c r="F357" s="14" t="s">
        <v>1770</v>
      </c>
      <c r="G357" s="16" t="s">
        <v>1493</v>
      </c>
      <c r="H357" s="17" t="s">
        <v>1250</v>
      </c>
      <c r="I357" s="11">
        <v>5</v>
      </c>
    </row>
    <row r="358" spans="1:9" hidden="1" x14ac:dyDescent="0.25">
      <c r="A358" s="14">
        <v>10</v>
      </c>
      <c r="B358" s="13">
        <v>45946</v>
      </c>
      <c r="C358" s="17" t="s">
        <v>8</v>
      </c>
      <c r="D358" s="15">
        <v>380.22</v>
      </c>
      <c r="E358" s="16" t="s">
        <v>428</v>
      </c>
      <c r="F358" s="14" t="s">
        <v>1852</v>
      </c>
      <c r="G358" s="16" t="s">
        <v>1493</v>
      </c>
      <c r="H358" s="17" t="s">
        <v>1388</v>
      </c>
      <c r="I358" s="11">
        <v>7</v>
      </c>
    </row>
    <row r="359" spans="1:9" hidden="1" x14ac:dyDescent="0.25">
      <c r="A359" s="14">
        <v>10</v>
      </c>
      <c r="B359" s="13">
        <v>45946</v>
      </c>
      <c r="C359" s="17" t="s">
        <v>8</v>
      </c>
      <c r="D359" s="15">
        <v>190.09</v>
      </c>
      <c r="E359" s="16" t="s">
        <v>430</v>
      </c>
      <c r="F359" s="14" t="s">
        <v>1847</v>
      </c>
      <c r="G359" s="16" t="s">
        <v>1493</v>
      </c>
      <c r="H359" s="17" t="s">
        <v>1322</v>
      </c>
      <c r="I359" s="11">
        <v>6</v>
      </c>
    </row>
    <row r="360" spans="1:9" hidden="1" x14ac:dyDescent="0.25">
      <c r="A360" s="14">
        <v>10</v>
      </c>
      <c r="B360" s="13">
        <v>45946</v>
      </c>
      <c r="C360" s="17" t="s">
        <v>8</v>
      </c>
      <c r="D360" s="15">
        <v>183.39</v>
      </c>
      <c r="E360" s="16" t="s">
        <v>431</v>
      </c>
      <c r="F360" s="14" t="s">
        <v>1847</v>
      </c>
      <c r="G360" s="16" t="s">
        <v>1492</v>
      </c>
      <c r="H360" s="17" t="s">
        <v>1322</v>
      </c>
      <c r="I360" s="11">
        <v>6</v>
      </c>
    </row>
    <row r="361" spans="1:9" hidden="1" x14ac:dyDescent="0.25">
      <c r="A361" s="14">
        <v>10</v>
      </c>
      <c r="B361" s="13">
        <v>45947</v>
      </c>
      <c r="C361" s="17" t="s">
        <v>8</v>
      </c>
      <c r="D361" s="15">
        <v>414.74</v>
      </c>
      <c r="E361" s="16" t="s">
        <v>420</v>
      </c>
      <c r="F361" s="14" t="s">
        <v>1640</v>
      </c>
      <c r="G361" s="16" t="s">
        <v>1493</v>
      </c>
      <c r="H361" s="17" t="s">
        <v>1349</v>
      </c>
      <c r="I361" s="11">
        <v>5</v>
      </c>
    </row>
    <row r="362" spans="1:9" x14ac:dyDescent="0.25">
      <c r="A362" s="14">
        <v>10</v>
      </c>
      <c r="B362" s="13">
        <v>45947</v>
      </c>
      <c r="C362" s="17" t="s">
        <v>8</v>
      </c>
      <c r="D362" s="15">
        <v>391.42</v>
      </c>
      <c r="E362" s="16" t="s">
        <v>421</v>
      </c>
      <c r="F362" s="14" t="s">
        <v>1830</v>
      </c>
      <c r="G362" s="16" t="s">
        <v>1493</v>
      </c>
      <c r="H362" s="17" t="s">
        <v>1235</v>
      </c>
      <c r="I362" s="11">
        <v>7</v>
      </c>
    </row>
    <row r="363" spans="1:9" hidden="1" x14ac:dyDescent="0.25">
      <c r="A363" s="14">
        <v>10</v>
      </c>
      <c r="B363" s="13">
        <v>45947</v>
      </c>
      <c r="C363" s="17" t="s">
        <v>8</v>
      </c>
      <c r="D363" s="15">
        <v>294.25</v>
      </c>
      <c r="E363" s="16" t="s">
        <v>422</v>
      </c>
      <c r="F363" s="14" t="s">
        <v>1675</v>
      </c>
      <c r="G363" s="16" t="s">
        <v>1491</v>
      </c>
      <c r="H363" s="17" t="s">
        <v>1355</v>
      </c>
      <c r="I363" s="11">
        <v>10</v>
      </c>
    </row>
    <row r="364" spans="1:9" hidden="1" x14ac:dyDescent="0.25">
      <c r="A364" s="14">
        <v>10</v>
      </c>
      <c r="B364" s="13">
        <v>45947</v>
      </c>
      <c r="C364" s="17" t="s">
        <v>8</v>
      </c>
      <c r="D364" s="15">
        <v>191.7</v>
      </c>
      <c r="E364" s="16" t="s">
        <v>423</v>
      </c>
      <c r="F364" s="14" t="s">
        <v>1930</v>
      </c>
      <c r="G364" s="16" t="s">
        <v>1492</v>
      </c>
      <c r="H364" s="17" t="s">
        <v>1389</v>
      </c>
      <c r="I364" s="11">
        <v>4</v>
      </c>
    </row>
    <row r="365" spans="1:9" hidden="1" x14ac:dyDescent="0.25">
      <c r="A365" s="14">
        <v>10</v>
      </c>
      <c r="B365" s="13">
        <v>45947</v>
      </c>
      <c r="C365" s="17" t="s">
        <v>8</v>
      </c>
      <c r="D365" s="15">
        <v>191.21</v>
      </c>
      <c r="E365" s="16" t="s">
        <v>424</v>
      </c>
      <c r="F365" s="14" t="s">
        <v>1930</v>
      </c>
      <c r="G365" s="16" t="s">
        <v>1491</v>
      </c>
      <c r="H365" s="17" t="s">
        <v>1389</v>
      </c>
      <c r="I365" s="11">
        <v>4</v>
      </c>
    </row>
    <row r="366" spans="1:9" hidden="1" x14ac:dyDescent="0.25">
      <c r="A366" s="14">
        <v>10</v>
      </c>
      <c r="B366" s="13">
        <v>45947</v>
      </c>
      <c r="C366" s="17" t="s">
        <v>32</v>
      </c>
      <c r="D366" s="15">
        <v>30</v>
      </c>
      <c r="E366" s="16" t="s">
        <v>425</v>
      </c>
      <c r="F366" s="14"/>
      <c r="G366" s="16" t="s">
        <v>1497</v>
      </c>
      <c r="H366" s="17" t="s">
        <v>1387</v>
      </c>
      <c r="I366" s="11">
        <v>8</v>
      </c>
    </row>
    <row r="367" spans="1:9" hidden="1" x14ac:dyDescent="0.25">
      <c r="A367" s="14">
        <v>10</v>
      </c>
      <c r="B367" s="13">
        <v>45948</v>
      </c>
      <c r="C367" s="17" t="s">
        <v>20</v>
      </c>
      <c r="D367" s="15">
        <v>580</v>
      </c>
      <c r="E367" s="16" t="s">
        <v>417</v>
      </c>
      <c r="F367" s="14"/>
      <c r="G367" s="16" t="s">
        <v>1499</v>
      </c>
      <c r="H367" s="17" t="s">
        <v>1390</v>
      </c>
      <c r="I367" s="11">
        <v>0</v>
      </c>
    </row>
    <row r="368" spans="1:9" hidden="1" x14ac:dyDescent="0.25">
      <c r="A368" s="14">
        <v>10</v>
      </c>
      <c r="B368" s="13">
        <v>45948</v>
      </c>
      <c r="C368" s="17" t="s">
        <v>20</v>
      </c>
      <c r="D368" s="15">
        <v>30</v>
      </c>
      <c r="E368" s="16" t="s">
        <v>417</v>
      </c>
      <c r="F368" s="14"/>
      <c r="G368" s="16" t="s">
        <v>1497</v>
      </c>
      <c r="H368" s="17" t="s">
        <v>1390</v>
      </c>
      <c r="I368" s="11">
        <v>0</v>
      </c>
    </row>
    <row r="369" spans="1:9" hidden="1" x14ac:dyDescent="0.25">
      <c r="A369" s="14">
        <v>10</v>
      </c>
      <c r="B369" s="13">
        <v>45948</v>
      </c>
      <c r="C369" s="17" t="s">
        <v>16</v>
      </c>
      <c r="D369" s="15">
        <v>510.83</v>
      </c>
      <c r="E369" s="16" t="s">
        <v>418</v>
      </c>
      <c r="F369" s="14" t="s">
        <v>2049</v>
      </c>
      <c r="G369" s="16" t="s">
        <v>1493</v>
      </c>
      <c r="H369" s="17" t="s">
        <v>1361</v>
      </c>
      <c r="I369" s="11">
        <v>4</v>
      </c>
    </row>
    <row r="370" spans="1:9" hidden="1" x14ac:dyDescent="0.25">
      <c r="A370" s="14">
        <v>10</v>
      </c>
      <c r="B370" s="13">
        <v>45948</v>
      </c>
      <c r="C370" s="17" t="s">
        <v>20</v>
      </c>
      <c r="D370" s="15">
        <v>40</v>
      </c>
      <c r="E370" s="16" t="s">
        <v>419</v>
      </c>
      <c r="F370" s="14"/>
      <c r="G370" s="16" t="s">
        <v>1498</v>
      </c>
      <c r="H370" s="17" t="s">
        <v>1229</v>
      </c>
      <c r="I370" s="11">
        <v>5</v>
      </c>
    </row>
    <row r="371" spans="1:9" hidden="1" x14ac:dyDescent="0.25">
      <c r="A371" s="14">
        <v>10</v>
      </c>
      <c r="B371" s="13">
        <v>45949</v>
      </c>
      <c r="C371" s="17" t="s">
        <v>23</v>
      </c>
      <c r="D371" s="15">
        <v>342.83</v>
      </c>
      <c r="E371" s="16" t="s">
        <v>415</v>
      </c>
      <c r="F371" s="14" t="s">
        <v>1767</v>
      </c>
      <c r="G371" s="16" t="s">
        <v>1493</v>
      </c>
      <c r="H371" s="17" t="s">
        <v>1264</v>
      </c>
      <c r="I371" s="11">
        <v>5</v>
      </c>
    </row>
    <row r="372" spans="1:9" hidden="1" x14ac:dyDescent="0.25">
      <c r="A372" s="14">
        <v>10</v>
      </c>
      <c r="B372" s="13">
        <v>45949</v>
      </c>
      <c r="C372" s="17" t="s">
        <v>16</v>
      </c>
      <c r="D372" s="15">
        <v>332.24</v>
      </c>
      <c r="E372" s="16" t="s">
        <v>416</v>
      </c>
      <c r="F372" s="14" t="s">
        <v>1557</v>
      </c>
      <c r="G372" s="16" t="s">
        <v>1493</v>
      </c>
      <c r="H372" s="17" t="s">
        <v>1214</v>
      </c>
      <c r="I372" s="11">
        <v>5</v>
      </c>
    </row>
    <row r="373" spans="1:9" hidden="1" x14ac:dyDescent="0.25">
      <c r="A373" s="14">
        <v>10</v>
      </c>
      <c r="B373" s="13">
        <v>45950</v>
      </c>
      <c r="C373" s="17" t="s">
        <v>16</v>
      </c>
      <c r="D373" s="15">
        <v>312.92</v>
      </c>
      <c r="E373" s="16" t="s">
        <v>414</v>
      </c>
      <c r="F373" s="14" t="s">
        <v>1596</v>
      </c>
      <c r="G373" s="16" t="s">
        <v>1491</v>
      </c>
      <c r="H373" s="17" t="s">
        <v>1392</v>
      </c>
      <c r="I373" s="11">
        <v>4</v>
      </c>
    </row>
    <row r="374" spans="1:9" hidden="1" x14ac:dyDescent="0.25">
      <c r="A374" s="14">
        <v>10</v>
      </c>
      <c r="B374" s="13">
        <v>45950</v>
      </c>
      <c r="C374" s="17" t="s">
        <v>411</v>
      </c>
      <c r="D374" s="15">
        <v>364.54</v>
      </c>
      <c r="E374" s="16" t="s">
        <v>412</v>
      </c>
      <c r="F374" s="14" t="s">
        <v>1876</v>
      </c>
      <c r="G374" s="16" t="s">
        <v>1491</v>
      </c>
      <c r="H374" s="17" t="s">
        <v>1206</v>
      </c>
      <c r="I374" s="11">
        <v>6</v>
      </c>
    </row>
    <row r="375" spans="1:9" hidden="1" x14ac:dyDescent="0.25">
      <c r="A375" s="14">
        <v>10</v>
      </c>
      <c r="B375" s="13">
        <v>45950</v>
      </c>
      <c r="C375" s="17" t="s">
        <v>411</v>
      </c>
      <c r="D375" s="15">
        <v>378.34</v>
      </c>
      <c r="E375" s="16" t="s">
        <v>412</v>
      </c>
      <c r="F375" s="14" t="s">
        <v>1876</v>
      </c>
      <c r="G375" s="16" t="s">
        <v>1492</v>
      </c>
      <c r="H375" s="17" t="s">
        <v>1206</v>
      </c>
      <c r="I375" s="11">
        <v>6</v>
      </c>
    </row>
    <row r="376" spans="1:9" hidden="1" x14ac:dyDescent="0.25">
      <c r="A376" s="14">
        <v>10</v>
      </c>
      <c r="B376" s="13">
        <v>45950</v>
      </c>
      <c r="C376" s="17" t="s">
        <v>411</v>
      </c>
      <c r="D376" s="15">
        <v>385.04</v>
      </c>
      <c r="E376" s="16" t="s">
        <v>412</v>
      </c>
      <c r="F376" s="14" t="s">
        <v>1876</v>
      </c>
      <c r="G376" s="16" t="s">
        <v>1493</v>
      </c>
      <c r="H376" s="17" t="s">
        <v>1206</v>
      </c>
      <c r="I376" s="11">
        <v>6</v>
      </c>
    </row>
    <row r="377" spans="1:9" hidden="1" x14ac:dyDescent="0.25">
      <c r="A377" s="14">
        <v>10</v>
      </c>
      <c r="B377" s="13">
        <v>45950</v>
      </c>
      <c r="C377" s="17" t="s">
        <v>8</v>
      </c>
      <c r="D377" s="15">
        <v>580</v>
      </c>
      <c r="E377" s="16" t="s">
        <v>413</v>
      </c>
      <c r="F377" s="14"/>
      <c r="G377" s="16" t="s">
        <v>1499</v>
      </c>
      <c r="H377" s="17" t="s">
        <v>1391</v>
      </c>
      <c r="I377" s="11">
        <v>0</v>
      </c>
    </row>
    <row r="378" spans="1:9" hidden="1" x14ac:dyDescent="0.25">
      <c r="A378" s="14">
        <v>10</v>
      </c>
      <c r="B378" s="13">
        <v>45951</v>
      </c>
      <c r="C378" s="17" t="s">
        <v>23</v>
      </c>
      <c r="D378" s="15">
        <v>370.03</v>
      </c>
      <c r="E378" s="16" t="s">
        <v>404</v>
      </c>
      <c r="F378" s="14" t="s">
        <v>1543</v>
      </c>
      <c r="G378" s="16" t="s">
        <v>1492</v>
      </c>
      <c r="H378" s="17" t="s">
        <v>1393</v>
      </c>
      <c r="I378" s="11">
        <v>4</v>
      </c>
    </row>
    <row r="379" spans="1:9" hidden="1" x14ac:dyDescent="0.25">
      <c r="A379" s="14">
        <v>10</v>
      </c>
      <c r="B379" s="13">
        <v>45951</v>
      </c>
      <c r="C379" s="17" t="s">
        <v>23</v>
      </c>
      <c r="D379" s="15">
        <v>365.88</v>
      </c>
      <c r="E379" s="16" t="s">
        <v>404</v>
      </c>
      <c r="F379" s="14" t="s">
        <v>1543</v>
      </c>
      <c r="G379" s="16" t="s">
        <v>1493</v>
      </c>
      <c r="H379" s="17" t="s">
        <v>1393</v>
      </c>
      <c r="I379" s="11">
        <v>4</v>
      </c>
    </row>
    <row r="380" spans="1:9" hidden="1" x14ac:dyDescent="0.25">
      <c r="A380" s="14">
        <v>10</v>
      </c>
      <c r="B380" s="13">
        <v>45951</v>
      </c>
      <c r="C380" s="17" t="s">
        <v>8</v>
      </c>
      <c r="D380" s="15">
        <v>505.81</v>
      </c>
      <c r="E380" s="16" t="s">
        <v>405</v>
      </c>
      <c r="F380" s="14" t="s">
        <v>1711</v>
      </c>
      <c r="G380" s="16" t="s">
        <v>1493</v>
      </c>
      <c r="H380" s="17" t="s">
        <v>1379</v>
      </c>
      <c r="I380" s="11">
        <v>5</v>
      </c>
    </row>
    <row r="381" spans="1:9" hidden="1" x14ac:dyDescent="0.25">
      <c r="A381" s="14">
        <v>10</v>
      </c>
      <c r="B381" s="13">
        <v>45951</v>
      </c>
      <c r="C381" s="17" t="s">
        <v>8</v>
      </c>
      <c r="D381" s="15">
        <v>383.29</v>
      </c>
      <c r="E381" s="16" t="s">
        <v>403</v>
      </c>
      <c r="F381" s="14" t="s">
        <v>1626</v>
      </c>
      <c r="G381" s="16" t="s">
        <v>1491</v>
      </c>
      <c r="H381" s="17" t="s">
        <v>1249</v>
      </c>
      <c r="I381" s="11">
        <v>5</v>
      </c>
    </row>
    <row r="382" spans="1:9" hidden="1" x14ac:dyDescent="0.25">
      <c r="A382" s="14">
        <v>10</v>
      </c>
      <c r="B382" s="13">
        <v>45951</v>
      </c>
      <c r="C382" s="17" t="s">
        <v>8</v>
      </c>
      <c r="D382" s="15">
        <v>389.7</v>
      </c>
      <c r="E382" s="16" t="s">
        <v>403</v>
      </c>
      <c r="F382" s="14" t="s">
        <v>1626</v>
      </c>
      <c r="G382" s="16" t="s">
        <v>1492</v>
      </c>
      <c r="H382" s="17" t="s">
        <v>1249</v>
      </c>
      <c r="I382" s="11">
        <v>5</v>
      </c>
    </row>
    <row r="383" spans="1:9" hidden="1" x14ac:dyDescent="0.25">
      <c r="A383" s="14">
        <v>10</v>
      </c>
      <c r="B383" s="13">
        <v>45951</v>
      </c>
      <c r="C383" s="17" t="s">
        <v>8</v>
      </c>
      <c r="D383" s="15">
        <v>393.21</v>
      </c>
      <c r="E383" s="16" t="s">
        <v>407</v>
      </c>
      <c r="F383" s="14" t="s">
        <v>1626</v>
      </c>
      <c r="G383" s="16" t="s">
        <v>1493</v>
      </c>
      <c r="H383" s="17" t="s">
        <v>1249</v>
      </c>
      <c r="I383" s="11">
        <v>5</v>
      </c>
    </row>
    <row r="384" spans="1:9" hidden="1" x14ac:dyDescent="0.25">
      <c r="A384" s="14">
        <v>10</v>
      </c>
      <c r="B384" s="13">
        <v>45951</v>
      </c>
      <c r="C384" s="17" t="s">
        <v>8</v>
      </c>
      <c r="D384" s="15">
        <v>287.54000000000002</v>
      </c>
      <c r="E384" s="16" t="s">
        <v>409</v>
      </c>
      <c r="F384" s="14" t="s">
        <v>1873</v>
      </c>
      <c r="G384" s="16" t="s">
        <v>1493</v>
      </c>
      <c r="H384" s="17" t="s">
        <v>1284</v>
      </c>
      <c r="I384" s="11">
        <v>6</v>
      </c>
    </row>
    <row r="385" spans="1:9" hidden="1" x14ac:dyDescent="0.25">
      <c r="A385" s="14">
        <v>10</v>
      </c>
      <c r="B385" s="13">
        <v>45951</v>
      </c>
      <c r="C385" s="17" t="s">
        <v>16</v>
      </c>
      <c r="D385" s="15">
        <v>386.65</v>
      </c>
      <c r="E385" s="16" t="s">
        <v>408</v>
      </c>
      <c r="F385" s="14" t="s">
        <v>1835</v>
      </c>
      <c r="G385" s="16" t="s">
        <v>1492</v>
      </c>
      <c r="H385" s="17" t="s">
        <v>1288</v>
      </c>
      <c r="I385" s="11">
        <v>5</v>
      </c>
    </row>
    <row r="386" spans="1:9" hidden="1" x14ac:dyDescent="0.25">
      <c r="A386" s="14">
        <v>10</v>
      </c>
      <c r="B386" s="13">
        <v>45951</v>
      </c>
      <c r="C386" s="17" t="s">
        <v>8</v>
      </c>
      <c r="D386" s="15">
        <v>274.77</v>
      </c>
      <c r="E386" s="16" t="s">
        <v>410</v>
      </c>
      <c r="F386" s="14" t="s">
        <v>1918</v>
      </c>
      <c r="G386" s="16" t="s">
        <v>1493</v>
      </c>
      <c r="H386" s="17" t="s">
        <v>1252</v>
      </c>
      <c r="I386" s="11">
        <v>5</v>
      </c>
    </row>
    <row r="387" spans="1:9" hidden="1" x14ac:dyDescent="0.25">
      <c r="A387" s="14">
        <v>10</v>
      </c>
      <c r="B387" s="13">
        <v>45951</v>
      </c>
      <c r="C387" s="17" t="s">
        <v>8</v>
      </c>
      <c r="D387" s="15">
        <v>396.65</v>
      </c>
      <c r="E387" s="16" t="s">
        <v>406</v>
      </c>
      <c r="F387" s="14" t="s">
        <v>1978</v>
      </c>
      <c r="G387" s="16" t="s">
        <v>1493</v>
      </c>
      <c r="H387" s="17" t="s">
        <v>1261</v>
      </c>
      <c r="I387" s="11">
        <v>6</v>
      </c>
    </row>
    <row r="388" spans="1:9" hidden="1" x14ac:dyDescent="0.25">
      <c r="A388" s="14">
        <v>10</v>
      </c>
      <c r="B388" s="13">
        <v>45952</v>
      </c>
      <c r="C388" s="17" t="s">
        <v>8</v>
      </c>
      <c r="D388" s="15">
        <v>580</v>
      </c>
      <c r="E388" s="16" t="s">
        <v>401</v>
      </c>
      <c r="F388" s="14"/>
      <c r="G388" s="16" t="s">
        <v>1499</v>
      </c>
      <c r="H388" s="17" t="s">
        <v>1272</v>
      </c>
      <c r="I388" s="11">
        <v>0</v>
      </c>
    </row>
    <row r="389" spans="1:9" hidden="1" x14ac:dyDescent="0.25">
      <c r="A389" s="14">
        <v>10</v>
      </c>
      <c r="B389" s="13">
        <v>45952</v>
      </c>
      <c r="C389" s="17" t="s">
        <v>8</v>
      </c>
      <c r="D389" s="15">
        <v>296.14999999999998</v>
      </c>
      <c r="E389" s="16" t="s">
        <v>402</v>
      </c>
      <c r="F389" s="14" t="s">
        <v>1984</v>
      </c>
      <c r="G389" s="16" t="s">
        <v>1493</v>
      </c>
      <c r="H389" s="17" t="s">
        <v>1394</v>
      </c>
      <c r="I389" s="11">
        <v>3</v>
      </c>
    </row>
    <row r="390" spans="1:9" hidden="1" x14ac:dyDescent="0.25">
      <c r="A390" s="14">
        <v>10</v>
      </c>
      <c r="B390" s="13">
        <v>45953</v>
      </c>
      <c r="C390" s="17" t="s">
        <v>8</v>
      </c>
      <c r="D390" s="15">
        <v>416.89</v>
      </c>
      <c r="E390" s="16" t="s">
        <v>392</v>
      </c>
      <c r="F390" s="14" t="s">
        <v>1921</v>
      </c>
      <c r="G390" s="16" t="s">
        <v>1492</v>
      </c>
      <c r="H390" s="17" t="s">
        <v>1397</v>
      </c>
      <c r="I390" s="11">
        <v>5</v>
      </c>
    </row>
    <row r="391" spans="1:9" hidden="1" x14ac:dyDescent="0.25">
      <c r="A391" s="14">
        <v>10</v>
      </c>
      <c r="B391" s="13">
        <v>45953</v>
      </c>
      <c r="C391" s="17" t="s">
        <v>46</v>
      </c>
      <c r="D391" s="15">
        <v>447.2</v>
      </c>
      <c r="E391" s="16" t="s">
        <v>391</v>
      </c>
      <c r="F391" s="14" t="s">
        <v>1664</v>
      </c>
      <c r="G391" s="16" t="s">
        <v>1493</v>
      </c>
      <c r="H391" s="17" t="s">
        <v>1233</v>
      </c>
      <c r="I391" s="11">
        <v>5</v>
      </c>
    </row>
    <row r="392" spans="1:9" hidden="1" x14ac:dyDescent="0.25">
      <c r="A392" s="14">
        <v>10</v>
      </c>
      <c r="B392" s="13">
        <v>45953</v>
      </c>
      <c r="C392" s="17" t="s">
        <v>8</v>
      </c>
      <c r="D392" s="15">
        <v>401.16</v>
      </c>
      <c r="E392" s="16" t="s">
        <v>393</v>
      </c>
      <c r="F392" s="14" t="s">
        <v>1617</v>
      </c>
      <c r="G392" s="16" t="s">
        <v>1493</v>
      </c>
      <c r="H392" s="17" t="s">
        <v>1234</v>
      </c>
      <c r="I392" s="11">
        <v>7</v>
      </c>
    </row>
    <row r="393" spans="1:9" hidden="1" x14ac:dyDescent="0.25">
      <c r="A393" s="14">
        <v>10</v>
      </c>
      <c r="B393" s="13">
        <v>45953</v>
      </c>
      <c r="C393" s="17" t="s">
        <v>8</v>
      </c>
      <c r="D393" s="15">
        <v>80.52</v>
      </c>
      <c r="E393" s="16" t="s">
        <v>399</v>
      </c>
      <c r="F393" s="14" t="s">
        <v>1675</v>
      </c>
      <c r="G393" s="16" t="s">
        <v>1493</v>
      </c>
      <c r="H393" s="17" t="s">
        <v>1270</v>
      </c>
      <c r="I393" s="11">
        <v>10</v>
      </c>
    </row>
    <row r="394" spans="1:9" hidden="1" x14ac:dyDescent="0.25">
      <c r="A394" s="14">
        <v>10</v>
      </c>
      <c r="B394" s="13">
        <v>45953</v>
      </c>
      <c r="C394" s="17" t="s">
        <v>20</v>
      </c>
      <c r="D394" s="15">
        <v>259.76</v>
      </c>
      <c r="E394" s="16" t="s">
        <v>397</v>
      </c>
      <c r="F394" s="14" t="s">
        <v>1761</v>
      </c>
      <c r="G394" s="16" t="s">
        <v>1492</v>
      </c>
      <c r="H394" s="17" t="s">
        <v>1328</v>
      </c>
      <c r="I394" s="11">
        <v>4</v>
      </c>
    </row>
    <row r="395" spans="1:9" hidden="1" x14ac:dyDescent="0.25">
      <c r="A395" s="14">
        <v>10</v>
      </c>
      <c r="B395" s="13">
        <v>45953</v>
      </c>
      <c r="C395" s="17" t="s">
        <v>8</v>
      </c>
      <c r="D395" s="15">
        <v>270.61</v>
      </c>
      <c r="E395" s="16" t="s">
        <v>396</v>
      </c>
      <c r="F395" s="14" t="s">
        <v>1806</v>
      </c>
      <c r="G395" s="16" t="s">
        <v>1493</v>
      </c>
      <c r="H395" s="17" t="s">
        <v>1359</v>
      </c>
      <c r="I395" s="11">
        <v>5</v>
      </c>
    </row>
    <row r="396" spans="1:9" hidden="1" x14ac:dyDescent="0.25">
      <c r="A396" s="14">
        <v>10</v>
      </c>
      <c r="B396" s="13">
        <v>45953</v>
      </c>
      <c r="C396" s="17" t="s">
        <v>8</v>
      </c>
      <c r="D396" s="15">
        <v>553.99</v>
      </c>
      <c r="E396" s="16" t="s">
        <v>388</v>
      </c>
      <c r="F396" s="14" t="s">
        <v>1818</v>
      </c>
      <c r="G396" s="16" t="s">
        <v>1490</v>
      </c>
      <c r="H396" s="17" t="s">
        <v>1395</v>
      </c>
      <c r="I396" s="11">
        <v>4</v>
      </c>
    </row>
    <row r="397" spans="1:9" hidden="1" x14ac:dyDescent="0.25">
      <c r="A397" s="14">
        <v>10</v>
      </c>
      <c r="B397" s="13">
        <v>45953</v>
      </c>
      <c r="C397" s="17" t="s">
        <v>8</v>
      </c>
      <c r="D397" s="15">
        <v>430.34</v>
      </c>
      <c r="E397" s="16" t="s">
        <v>388</v>
      </c>
      <c r="F397" s="14" t="s">
        <v>1818</v>
      </c>
      <c r="G397" s="16" t="s">
        <v>1491</v>
      </c>
      <c r="H397" s="17" t="s">
        <v>1395</v>
      </c>
      <c r="I397" s="11">
        <v>4</v>
      </c>
    </row>
    <row r="398" spans="1:9" hidden="1" x14ac:dyDescent="0.25">
      <c r="A398" s="14">
        <v>10</v>
      </c>
      <c r="B398" s="13">
        <v>45953</v>
      </c>
      <c r="C398" s="17" t="s">
        <v>8</v>
      </c>
      <c r="D398" s="15">
        <v>452.3</v>
      </c>
      <c r="E398" s="16" t="s">
        <v>388</v>
      </c>
      <c r="F398" s="14" t="s">
        <v>1818</v>
      </c>
      <c r="G398" s="16" t="s">
        <v>1492</v>
      </c>
      <c r="H398" s="17" t="s">
        <v>1395</v>
      </c>
      <c r="I398" s="11">
        <v>4</v>
      </c>
    </row>
    <row r="399" spans="1:9" hidden="1" x14ac:dyDescent="0.25">
      <c r="A399" s="14">
        <v>10</v>
      </c>
      <c r="B399" s="13">
        <v>45953</v>
      </c>
      <c r="C399" s="17" t="s">
        <v>8</v>
      </c>
      <c r="D399" s="15">
        <v>196.47</v>
      </c>
      <c r="E399" s="16" t="s">
        <v>398</v>
      </c>
      <c r="F399" s="14" t="s">
        <v>1906</v>
      </c>
      <c r="G399" s="16" t="s">
        <v>1493</v>
      </c>
      <c r="H399" s="17" t="s">
        <v>1255</v>
      </c>
      <c r="I399" s="11">
        <v>6</v>
      </c>
    </row>
    <row r="400" spans="1:9" hidden="1" x14ac:dyDescent="0.25">
      <c r="A400" s="14">
        <v>10</v>
      </c>
      <c r="B400" s="13">
        <v>45953</v>
      </c>
      <c r="C400" s="17" t="s">
        <v>16</v>
      </c>
      <c r="D400" s="15">
        <v>310.89999999999998</v>
      </c>
      <c r="E400" s="16" t="s">
        <v>395</v>
      </c>
      <c r="F400" s="14" t="s">
        <v>1894</v>
      </c>
      <c r="G400" s="16" t="s">
        <v>1493</v>
      </c>
      <c r="H400" s="17" t="s">
        <v>1398</v>
      </c>
      <c r="I400" s="11">
        <v>5</v>
      </c>
    </row>
    <row r="401" spans="1:9" hidden="1" x14ac:dyDescent="0.25">
      <c r="A401" s="14">
        <v>10</v>
      </c>
      <c r="B401" s="13">
        <v>45953</v>
      </c>
      <c r="C401" s="17" t="s">
        <v>8</v>
      </c>
      <c r="D401" s="15">
        <v>391.42</v>
      </c>
      <c r="E401" s="16" t="s">
        <v>394</v>
      </c>
      <c r="F401" s="14" t="s">
        <v>1961</v>
      </c>
      <c r="G401" s="16" t="s">
        <v>1493</v>
      </c>
      <c r="H401" s="17" t="s">
        <v>1295</v>
      </c>
      <c r="I401" s="11">
        <v>5</v>
      </c>
    </row>
    <row r="402" spans="1:9" hidden="1" x14ac:dyDescent="0.25">
      <c r="A402" s="14">
        <v>10</v>
      </c>
      <c r="B402" s="13">
        <v>45953</v>
      </c>
      <c r="C402" s="17" t="s">
        <v>8</v>
      </c>
      <c r="D402" s="15">
        <v>522.05999999999995</v>
      </c>
      <c r="E402" s="16" t="s">
        <v>389</v>
      </c>
      <c r="F402" s="14" t="s">
        <v>2010</v>
      </c>
      <c r="G402" s="16" t="s">
        <v>1491</v>
      </c>
      <c r="H402" s="17" t="s">
        <v>1396</v>
      </c>
      <c r="I402" s="11">
        <v>5</v>
      </c>
    </row>
    <row r="403" spans="1:9" hidden="1" x14ac:dyDescent="0.25">
      <c r="A403" s="14">
        <v>10</v>
      </c>
      <c r="B403" s="13">
        <v>45953</v>
      </c>
      <c r="C403" s="17" t="s">
        <v>8</v>
      </c>
      <c r="D403" s="15">
        <v>521.27</v>
      </c>
      <c r="E403" s="16" t="s">
        <v>390</v>
      </c>
      <c r="F403" s="14" t="s">
        <v>2010</v>
      </c>
      <c r="G403" s="16" t="s">
        <v>1493</v>
      </c>
      <c r="H403" s="17" t="s">
        <v>1396</v>
      </c>
      <c r="I403" s="11">
        <v>5</v>
      </c>
    </row>
    <row r="404" spans="1:9" hidden="1" x14ac:dyDescent="0.25">
      <c r="A404" s="14">
        <v>10</v>
      </c>
      <c r="B404" s="13">
        <v>45953</v>
      </c>
      <c r="C404" s="17" t="s">
        <v>8</v>
      </c>
      <c r="D404" s="15">
        <v>40</v>
      </c>
      <c r="E404" s="16" t="s">
        <v>400</v>
      </c>
      <c r="F404" s="14"/>
      <c r="G404" s="16" t="s">
        <v>1498</v>
      </c>
      <c r="H404" s="17" t="s">
        <v>1258</v>
      </c>
      <c r="I404" s="11">
        <v>6</v>
      </c>
    </row>
    <row r="405" spans="1:9" hidden="1" x14ac:dyDescent="0.25">
      <c r="A405" s="14">
        <v>10</v>
      </c>
      <c r="B405" s="13">
        <v>45954</v>
      </c>
      <c r="C405" s="17" t="s">
        <v>8</v>
      </c>
      <c r="D405" s="15">
        <v>423.35</v>
      </c>
      <c r="E405" s="16" t="s">
        <v>372</v>
      </c>
      <c r="F405" s="14" t="s">
        <v>1526</v>
      </c>
      <c r="G405" s="16" t="s">
        <v>1493</v>
      </c>
      <c r="H405" s="17" t="s">
        <v>1294</v>
      </c>
      <c r="I405" s="11">
        <v>5</v>
      </c>
    </row>
    <row r="406" spans="1:9" hidden="1" x14ac:dyDescent="0.25">
      <c r="A406" s="14">
        <v>10</v>
      </c>
      <c r="B406" s="13">
        <v>45954</v>
      </c>
      <c r="C406" s="17" t="s">
        <v>8</v>
      </c>
      <c r="D406" s="15">
        <v>419.89</v>
      </c>
      <c r="E406" s="16" t="s">
        <v>373</v>
      </c>
      <c r="F406" s="14" t="s">
        <v>1526</v>
      </c>
      <c r="G406" s="16" t="s">
        <v>1492</v>
      </c>
      <c r="H406" s="17" t="s">
        <v>1294</v>
      </c>
      <c r="I406" s="11">
        <v>5</v>
      </c>
    </row>
    <row r="407" spans="1:9" hidden="1" x14ac:dyDescent="0.25">
      <c r="A407" s="14">
        <v>10</v>
      </c>
      <c r="B407" s="13">
        <v>45954</v>
      </c>
      <c r="C407" s="17" t="s">
        <v>8</v>
      </c>
      <c r="D407" s="15">
        <v>177.32</v>
      </c>
      <c r="E407" s="16" t="s">
        <v>382</v>
      </c>
      <c r="F407" s="14" t="s">
        <v>2022</v>
      </c>
      <c r="G407" s="16" t="s">
        <v>1493</v>
      </c>
      <c r="H407" s="17" t="s">
        <v>1340</v>
      </c>
      <c r="I407" s="11">
        <v>4</v>
      </c>
    </row>
    <row r="408" spans="1:9" hidden="1" x14ac:dyDescent="0.25">
      <c r="A408" s="14">
        <v>10</v>
      </c>
      <c r="B408" s="13">
        <v>45954</v>
      </c>
      <c r="C408" s="17" t="s">
        <v>23</v>
      </c>
      <c r="D408" s="15">
        <v>177.77</v>
      </c>
      <c r="E408" s="16" t="s">
        <v>381</v>
      </c>
      <c r="F408" s="14" t="s">
        <v>2032</v>
      </c>
      <c r="G408" s="16" t="s">
        <v>1493</v>
      </c>
      <c r="H408" s="17" t="s">
        <v>1293</v>
      </c>
      <c r="I408" s="11">
        <v>4</v>
      </c>
    </row>
    <row r="409" spans="1:9" hidden="1" x14ac:dyDescent="0.25">
      <c r="A409" s="14">
        <v>10</v>
      </c>
      <c r="B409" s="13">
        <v>45954</v>
      </c>
      <c r="C409" s="17" t="s">
        <v>23</v>
      </c>
      <c r="D409" s="15">
        <v>172.86</v>
      </c>
      <c r="E409" s="16" t="s">
        <v>384</v>
      </c>
      <c r="F409" s="14" t="s">
        <v>2032</v>
      </c>
      <c r="G409" s="16" t="s">
        <v>1492</v>
      </c>
      <c r="H409" s="17" t="s">
        <v>1293</v>
      </c>
      <c r="I409" s="11">
        <v>4</v>
      </c>
    </row>
    <row r="410" spans="1:9" hidden="1" x14ac:dyDescent="0.25">
      <c r="A410" s="14">
        <v>10</v>
      </c>
      <c r="B410" s="13">
        <v>45954</v>
      </c>
      <c r="C410" s="17" t="s">
        <v>32</v>
      </c>
      <c r="D410" s="15">
        <v>40</v>
      </c>
      <c r="E410" s="16" t="s">
        <v>385</v>
      </c>
      <c r="F410" s="14"/>
      <c r="G410" s="16" t="s">
        <v>1498</v>
      </c>
      <c r="H410" s="17" t="s">
        <v>1401</v>
      </c>
      <c r="I410" s="11">
        <v>7</v>
      </c>
    </row>
    <row r="411" spans="1:9" hidden="1" x14ac:dyDescent="0.25">
      <c r="A411" s="14">
        <v>10</v>
      </c>
      <c r="B411" s="13">
        <v>45954</v>
      </c>
      <c r="C411" s="17" t="s">
        <v>8</v>
      </c>
      <c r="D411" s="15">
        <v>177.32</v>
      </c>
      <c r="E411" s="16" t="s">
        <v>383</v>
      </c>
      <c r="F411" s="14" t="s">
        <v>1731</v>
      </c>
      <c r="G411" s="16" t="s">
        <v>1493</v>
      </c>
      <c r="H411" s="17" t="s">
        <v>1217</v>
      </c>
      <c r="I411" s="11">
        <v>5</v>
      </c>
    </row>
    <row r="412" spans="1:9" hidden="1" x14ac:dyDescent="0.25">
      <c r="A412" s="14">
        <v>10</v>
      </c>
      <c r="B412" s="13">
        <v>45954</v>
      </c>
      <c r="C412" s="17" t="s">
        <v>8</v>
      </c>
      <c r="D412" s="15">
        <v>40</v>
      </c>
      <c r="E412" s="16" t="s">
        <v>387</v>
      </c>
      <c r="F412" s="14"/>
      <c r="G412" s="16" t="s">
        <v>1498</v>
      </c>
      <c r="H412" s="17" t="s">
        <v>1272</v>
      </c>
      <c r="I412" s="11">
        <v>0</v>
      </c>
    </row>
    <row r="413" spans="1:9" hidden="1" x14ac:dyDescent="0.25">
      <c r="A413" s="14">
        <v>10</v>
      </c>
      <c r="B413" s="13">
        <v>45954</v>
      </c>
      <c r="C413" s="17" t="s">
        <v>8</v>
      </c>
      <c r="D413" s="15">
        <v>580</v>
      </c>
      <c r="E413" s="16" t="s">
        <v>371</v>
      </c>
      <c r="F413" s="14"/>
      <c r="G413" s="16" t="s">
        <v>1499</v>
      </c>
      <c r="H413" s="17" t="s">
        <v>1395</v>
      </c>
      <c r="I413" s="11">
        <v>4</v>
      </c>
    </row>
    <row r="414" spans="1:9" hidden="1" x14ac:dyDescent="0.25">
      <c r="A414" s="14">
        <v>10</v>
      </c>
      <c r="B414" s="13">
        <v>45954</v>
      </c>
      <c r="C414" s="17" t="s">
        <v>8</v>
      </c>
      <c r="D414" s="15">
        <v>393.36</v>
      </c>
      <c r="E414" s="16" t="s">
        <v>374</v>
      </c>
      <c r="F414" s="14" t="s">
        <v>1903</v>
      </c>
      <c r="G414" s="16" t="s">
        <v>1493</v>
      </c>
      <c r="H414" s="17" t="s">
        <v>1211</v>
      </c>
      <c r="I414" s="11">
        <v>6</v>
      </c>
    </row>
    <row r="415" spans="1:9" hidden="1" x14ac:dyDescent="0.25">
      <c r="A415" s="14">
        <v>10</v>
      </c>
      <c r="B415" s="13">
        <v>45954</v>
      </c>
      <c r="C415" s="17" t="s">
        <v>8</v>
      </c>
      <c r="D415" s="15">
        <v>390.2</v>
      </c>
      <c r="E415" s="16" t="s">
        <v>375</v>
      </c>
      <c r="F415" s="14" t="s">
        <v>1903</v>
      </c>
      <c r="G415" s="16" t="s">
        <v>1494</v>
      </c>
      <c r="H415" s="17" t="s">
        <v>1211</v>
      </c>
      <c r="I415" s="11">
        <v>6</v>
      </c>
    </row>
    <row r="416" spans="1:9" hidden="1" x14ac:dyDescent="0.25">
      <c r="A416" s="14">
        <v>10</v>
      </c>
      <c r="B416" s="13">
        <v>45954</v>
      </c>
      <c r="C416" s="17" t="s">
        <v>8</v>
      </c>
      <c r="D416" s="15">
        <v>40</v>
      </c>
      <c r="E416" s="16" t="s">
        <v>386</v>
      </c>
      <c r="F416" s="14"/>
      <c r="G416" s="16" t="s">
        <v>1498</v>
      </c>
      <c r="H416" s="17" t="s">
        <v>1271</v>
      </c>
      <c r="I416" s="11">
        <v>7</v>
      </c>
    </row>
    <row r="417" spans="1:9" hidden="1" x14ac:dyDescent="0.25">
      <c r="A417" s="14">
        <v>10</v>
      </c>
      <c r="B417" s="13">
        <v>45954</v>
      </c>
      <c r="C417" s="17" t="s">
        <v>32</v>
      </c>
      <c r="D417" s="15">
        <v>251.45</v>
      </c>
      <c r="E417" s="16" t="s">
        <v>378</v>
      </c>
      <c r="F417" s="14" t="s">
        <v>1966</v>
      </c>
      <c r="G417" s="16" t="s">
        <v>1494</v>
      </c>
      <c r="H417" s="17" t="s">
        <v>1331</v>
      </c>
      <c r="I417" s="11">
        <v>4</v>
      </c>
    </row>
    <row r="418" spans="1:9" hidden="1" x14ac:dyDescent="0.25">
      <c r="A418" s="14">
        <v>10</v>
      </c>
      <c r="B418" s="13">
        <v>45954</v>
      </c>
      <c r="C418" s="17" t="s">
        <v>8</v>
      </c>
      <c r="D418" s="15">
        <v>341.92</v>
      </c>
      <c r="E418" s="16" t="s">
        <v>377</v>
      </c>
      <c r="F418" s="14" t="s">
        <v>1572</v>
      </c>
      <c r="G418" s="16" t="s">
        <v>1492</v>
      </c>
      <c r="H418" s="17" t="s">
        <v>1400</v>
      </c>
      <c r="I418" s="11">
        <v>3</v>
      </c>
    </row>
    <row r="419" spans="1:9" hidden="1" x14ac:dyDescent="0.25">
      <c r="A419" s="14">
        <v>10</v>
      </c>
      <c r="B419" s="13">
        <v>45954</v>
      </c>
      <c r="C419" s="17" t="s">
        <v>8</v>
      </c>
      <c r="D419" s="15">
        <v>365.88</v>
      </c>
      <c r="E419" s="16" t="s">
        <v>376</v>
      </c>
      <c r="F419" s="14" t="s">
        <v>1736</v>
      </c>
      <c r="G419" s="16" t="s">
        <v>1493</v>
      </c>
      <c r="H419" s="17" t="s">
        <v>1399</v>
      </c>
      <c r="I419" s="11">
        <v>6</v>
      </c>
    </row>
    <row r="420" spans="1:9" hidden="1" x14ac:dyDescent="0.25">
      <c r="A420" s="14">
        <v>10</v>
      </c>
      <c r="B420" s="13">
        <v>45954</v>
      </c>
      <c r="C420" s="17" t="s">
        <v>20</v>
      </c>
      <c r="D420" s="15">
        <v>183.7</v>
      </c>
      <c r="E420" s="16" t="s">
        <v>380</v>
      </c>
      <c r="F420" s="14" t="s">
        <v>1642</v>
      </c>
      <c r="G420" s="16" t="s">
        <v>1493</v>
      </c>
      <c r="H420" s="17" t="s">
        <v>20</v>
      </c>
      <c r="I420" s="11">
        <v>5</v>
      </c>
    </row>
    <row r="421" spans="1:9" hidden="1" x14ac:dyDescent="0.25">
      <c r="A421" s="14">
        <v>10</v>
      </c>
      <c r="B421" s="13">
        <v>45954</v>
      </c>
      <c r="C421" s="17" t="s">
        <v>8</v>
      </c>
      <c r="D421" s="15">
        <v>194.25</v>
      </c>
      <c r="E421" s="16" t="s">
        <v>379</v>
      </c>
      <c r="F421" s="14" t="s">
        <v>1986</v>
      </c>
      <c r="G421" s="16" t="s">
        <v>1493</v>
      </c>
      <c r="H421" s="17" t="s">
        <v>1227</v>
      </c>
      <c r="I421" s="11">
        <v>8</v>
      </c>
    </row>
    <row r="422" spans="1:9" hidden="1" x14ac:dyDescent="0.25">
      <c r="A422" s="14">
        <v>10</v>
      </c>
      <c r="B422" s="13">
        <v>45955</v>
      </c>
      <c r="C422" s="17" t="s">
        <v>8</v>
      </c>
      <c r="D422" s="15">
        <v>100</v>
      </c>
      <c r="E422" s="16" t="s">
        <v>328</v>
      </c>
      <c r="F422" s="14"/>
      <c r="G422" s="16" t="s">
        <v>2069</v>
      </c>
      <c r="H422" s="17" t="s">
        <v>1403</v>
      </c>
      <c r="I422" s="11">
        <v>7</v>
      </c>
    </row>
    <row r="423" spans="1:9" hidden="1" x14ac:dyDescent="0.25">
      <c r="A423" s="14">
        <v>10</v>
      </c>
      <c r="B423" s="13">
        <v>45955</v>
      </c>
      <c r="C423" s="17" t="s">
        <v>16</v>
      </c>
      <c r="D423" s="15">
        <v>323.67</v>
      </c>
      <c r="E423" s="16" t="s">
        <v>327</v>
      </c>
      <c r="F423" s="14" t="s">
        <v>1647</v>
      </c>
      <c r="G423" s="16" t="s">
        <v>1493</v>
      </c>
      <c r="H423" s="17" t="s">
        <v>1305</v>
      </c>
      <c r="I423" s="11">
        <v>4</v>
      </c>
    </row>
    <row r="424" spans="1:9" hidden="1" x14ac:dyDescent="0.25">
      <c r="A424" s="14">
        <v>10</v>
      </c>
      <c r="B424" s="13">
        <v>45955</v>
      </c>
      <c r="C424" s="17" t="s">
        <v>8</v>
      </c>
      <c r="D424" s="15">
        <v>40</v>
      </c>
      <c r="E424" s="16" t="s">
        <v>329</v>
      </c>
      <c r="F424" s="14"/>
      <c r="G424" s="16" t="s">
        <v>1498</v>
      </c>
      <c r="H424" s="17" t="s">
        <v>1255</v>
      </c>
      <c r="I424" s="11">
        <v>6</v>
      </c>
    </row>
    <row r="425" spans="1:9" hidden="1" x14ac:dyDescent="0.25">
      <c r="A425" s="14">
        <v>10</v>
      </c>
      <c r="B425" s="13">
        <v>45955</v>
      </c>
      <c r="C425" s="17" t="s">
        <v>23</v>
      </c>
      <c r="D425" s="15">
        <v>449.42</v>
      </c>
      <c r="E425" s="16" t="s">
        <v>326</v>
      </c>
      <c r="F425" s="14" t="s">
        <v>1855</v>
      </c>
      <c r="G425" s="16" t="s">
        <v>1493</v>
      </c>
      <c r="H425" s="17" t="s">
        <v>1402</v>
      </c>
      <c r="I425" s="11">
        <v>7</v>
      </c>
    </row>
    <row r="426" spans="1:9" hidden="1" x14ac:dyDescent="0.25">
      <c r="A426" s="14">
        <v>10</v>
      </c>
      <c r="B426" s="13">
        <v>45956</v>
      </c>
      <c r="C426" s="17" t="s">
        <v>187</v>
      </c>
      <c r="D426" s="15">
        <v>415.35</v>
      </c>
      <c r="E426" s="16" t="s">
        <v>325</v>
      </c>
      <c r="F426" s="14" t="s">
        <v>1717</v>
      </c>
      <c r="G426" s="16" t="s">
        <v>1492</v>
      </c>
      <c r="H426" s="17" t="s">
        <v>1405</v>
      </c>
      <c r="I426" s="11">
        <v>4</v>
      </c>
    </row>
    <row r="427" spans="1:9" hidden="1" x14ac:dyDescent="0.25">
      <c r="A427" s="14">
        <v>10</v>
      </c>
      <c r="B427" s="13">
        <v>45956</v>
      </c>
      <c r="C427" s="17" t="s">
        <v>8</v>
      </c>
      <c r="D427" s="15">
        <v>418.25</v>
      </c>
      <c r="E427" s="16" t="s">
        <v>324</v>
      </c>
      <c r="F427" s="14" t="s">
        <v>1858</v>
      </c>
      <c r="G427" s="16" t="s">
        <v>1493</v>
      </c>
      <c r="H427" s="17" t="s">
        <v>1404</v>
      </c>
      <c r="I427" s="11">
        <v>6</v>
      </c>
    </row>
    <row r="428" spans="1:9" hidden="1" x14ac:dyDescent="0.25">
      <c r="A428" s="14">
        <v>10</v>
      </c>
      <c r="B428" s="13">
        <v>45957</v>
      </c>
      <c r="C428" s="17" t="s">
        <v>8</v>
      </c>
      <c r="D428" s="15">
        <v>190.09</v>
      </c>
      <c r="E428" s="16" t="s">
        <v>323</v>
      </c>
      <c r="F428" s="14" t="s">
        <v>1891</v>
      </c>
      <c r="G428" s="16" t="s">
        <v>1493</v>
      </c>
      <c r="H428" s="17" t="s">
        <v>1342</v>
      </c>
      <c r="I428" s="11">
        <v>4</v>
      </c>
    </row>
    <row r="429" spans="1:9" hidden="1" x14ac:dyDescent="0.25">
      <c r="A429" s="14">
        <v>10</v>
      </c>
      <c r="B429" s="13">
        <v>45957</v>
      </c>
      <c r="C429" s="17" t="s">
        <v>8</v>
      </c>
      <c r="D429" s="15">
        <v>410.58</v>
      </c>
      <c r="E429" s="16" t="s">
        <v>317</v>
      </c>
      <c r="F429" s="14" t="s">
        <v>1653</v>
      </c>
      <c r="G429" s="16" t="s">
        <v>1493</v>
      </c>
      <c r="H429" s="17" t="s">
        <v>1407</v>
      </c>
      <c r="I429" s="11">
        <v>4</v>
      </c>
    </row>
    <row r="430" spans="1:9" hidden="1" x14ac:dyDescent="0.25">
      <c r="A430" s="14">
        <v>10</v>
      </c>
      <c r="B430" s="13">
        <v>45957</v>
      </c>
      <c r="C430" s="17" t="s">
        <v>8</v>
      </c>
      <c r="D430" s="15">
        <v>424.85</v>
      </c>
      <c r="E430" s="16" t="s">
        <v>315</v>
      </c>
      <c r="F430" s="14" t="s">
        <v>1685</v>
      </c>
      <c r="G430" s="16" t="s">
        <v>1493</v>
      </c>
      <c r="H430" s="17" t="s">
        <v>1232</v>
      </c>
      <c r="I430" s="11">
        <v>8</v>
      </c>
    </row>
    <row r="431" spans="1:9" hidden="1" x14ac:dyDescent="0.25">
      <c r="A431" s="14">
        <v>10</v>
      </c>
      <c r="B431" s="13">
        <v>45957</v>
      </c>
      <c r="C431" s="17" t="s">
        <v>8</v>
      </c>
      <c r="D431" s="15">
        <v>417.86</v>
      </c>
      <c r="E431" s="16" t="s">
        <v>316</v>
      </c>
      <c r="F431" s="14" t="s">
        <v>1685</v>
      </c>
      <c r="G431" s="16" t="s">
        <v>1492</v>
      </c>
      <c r="H431" s="17" t="s">
        <v>1232</v>
      </c>
      <c r="I431" s="11">
        <v>8</v>
      </c>
    </row>
    <row r="432" spans="1:9" hidden="1" x14ac:dyDescent="0.25">
      <c r="A432" s="14">
        <v>10</v>
      </c>
      <c r="B432" s="13">
        <v>45957</v>
      </c>
      <c r="C432" s="17" t="s">
        <v>8</v>
      </c>
      <c r="D432" s="15">
        <v>365.8</v>
      </c>
      <c r="E432" s="16" t="s">
        <v>320</v>
      </c>
      <c r="F432" s="14" t="s">
        <v>1726</v>
      </c>
      <c r="G432" s="16" t="s">
        <v>1493</v>
      </c>
      <c r="H432" s="17" t="s">
        <v>1223</v>
      </c>
      <c r="I432" s="11">
        <v>4</v>
      </c>
    </row>
    <row r="433" spans="1:9" hidden="1" x14ac:dyDescent="0.25">
      <c r="A433" s="14">
        <v>10</v>
      </c>
      <c r="B433" s="13">
        <v>45957</v>
      </c>
      <c r="C433" s="17" t="s">
        <v>8</v>
      </c>
      <c r="D433" s="15">
        <v>385.04</v>
      </c>
      <c r="E433" s="16" t="s">
        <v>319</v>
      </c>
      <c r="F433" s="14" t="s">
        <v>1523</v>
      </c>
      <c r="G433" s="16" t="s">
        <v>1493</v>
      </c>
      <c r="H433" s="17" t="s">
        <v>1281</v>
      </c>
      <c r="I433" s="11">
        <v>5</v>
      </c>
    </row>
    <row r="434" spans="1:9" hidden="1" x14ac:dyDescent="0.25">
      <c r="A434" s="14">
        <v>10</v>
      </c>
      <c r="B434" s="13">
        <v>45957</v>
      </c>
      <c r="C434" s="17" t="s">
        <v>8</v>
      </c>
      <c r="D434" s="15">
        <v>385.04</v>
      </c>
      <c r="E434" s="16" t="s">
        <v>318</v>
      </c>
      <c r="F434" s="14" t="s">
        <v>2046</v>
      </c>
      <c r="G434" s="16" t="s">
        <v>1493</v>
      </c>
      <c r="H434" s="17" t="s">
        <v>1351</v>
      </c>
      <c r="I434" s="11">
        <v>5</v>
      </c>
    </row>
    <row r="435" spans="1:9" hidden="1" x14ac:dyDescent="0.25">
      <c r="A435" s="14">
        <v>10</v>
      </c>
      <c r="B435" s="13">
        <v>45957</v>
      </c>
      <c r="C435" s="17" t="s">
        <v>23</v>
      </c>
      <c r="D435" s="15">
        <v>257.83999999999997</v>
      </c>
      <c r="E435" s="16" t="s">
        <v>321</v>
      </c>
      <c r="F435" s="14" t="s">
        <v>1879</v>
      </c>
      <c r="G435" s="16" t="s">
        <v>1493</v>
      </c>
      <c r="H435" s="17" t="s">
        <v>1254</v>
      </c>
      <c r="I435" s="11">
        <v>4</v>
      </c>
    </row>
    <row r="436" spans="1:9" hidden="1" x14ac:dyDescent="0.25">
      <c r="A436" s="14">
        <v>10</v>
      </c>
      <c r="B436" s="13">
        <v>45957</v>
      </c>
      <c r="C436" s="17" t="s">
        <v>8</v>
      </c>
      <c r="D436" s="15">
        <v>770.06</v>
      </c>
      <c r="E436" s="16" t="s">
        <v>313</v>
      </c>
      <c r="F436" s="14" t="s">
        <v>1680</v>
      </c>
      <c r="G436" s="16" t="s">
        <v>1493</v>
      </c>
      <c r="H436" s="17" t="s">
        <v>1271</v>
      </c>
      <c r="I436" s="11">
        <v>7</v>
      </c>
    </row>
    <row r="437" spans="1:9" hidden="1" x14ac:dyDescent="0.25">
      <c r="A437" s="14">
        <v>10</v>
      </c>
      <c r="B437" s="13">
        <v>45957</v>
      </c>
      <c r="C437" s="17" t="s">
        <v>16</v>
      </c>
      <c r="D437" s="15">
        <v>202.86</v>
      </c>
      <c r="E437" s="16" t="s">
        <v>322</v>
      </c>
      <c r="F437" s="14" t="s">
        <v>1602</v>
      </c>
      <c r="G437" s="16" t="s">
        <v>1493</v>
      </c>
      <c r="H437" s="17" t="s">
        <v>16</v>
      </c>
      <c r="I437" s="11">
        <v>5</v>
      </c>
    </row>
    <row r="438" spans="1:9" hidden="1" x14ac:dyDescent="0.25">
      <c r="A438" s="14">
        <v>10</v>
      </c>
      <c r="B438" s="13">
        <v>45957</v>
      </c>
      <c r="C438" s="17" t="s">
        <v>16</v>
      </c>
      <c r="D438" s="15">
        <v>194.25</v>
      </c>
      <c r="E438" s="16" t="s">
        <v>314</v>
      </c>
      <c r="F438" s="14" t="s">
        <v>1993</v>
      </c>
      <c r="G438" s="16" t="s">
        <v>1490</v>
      </c>
      <c r="H438" s="17" t="s">
        <v>1406</v>
      </c>
      <c r="I438" s="11">
        <v>3</v>
      </c>
    </row>
    <row r="439" spans="1:9" hidden="1" x14ac:dyDescent="0.25">
      <c r="A439" s="14">
        <v>10</v>
      </c>
      <c r="B439" s="13">
        <v>45957</v>
      </c>
      <c r="C439" s="17" t="s">
        <v>16</v>
      </c>
      <c r="D439" s="15">
        <v>187.59</v>
      </c>
      <c r="E439" s="16" t="s">
        <v>314</v>
      </c>
      <c r="F439" s="14" t="s">
        <v>1993</v>
      </c>
      <c r="G439" s="16" t="s">
        <v>1491</v>
      </c>
      <c r="H439" s="17" t="s">
        <v>1406</v>
      </c>
      <c r="I439" s="11">
        <v>3</v>
      </c>
    </row>
    <row r="440" spans="1:9" hidden="1" x14ac:dyDescent="0.25">
      <c r="A440" s="14">
        <v>10</v>
      </c>
      <c r="B440" s="13">
        <v>45957</v>
      </c>
      <c r="C440" s="17" t="s">
        <v>16</v>
      </c>
      <c r="D440" s="15">
        <v>194.25</v>
      </c>
      <c r="E440" s="16" t="s">
        <v>314</v>
      </c>
      <c r="F440" s="14" t="s">
        <v>1993</v>
      </c>
      <c r="G440" s="16" t="s">
        <v>1492</v>
      </c>
      <c r="H440" s="17" t="s">
        <v>1406</v>
      </c>
      <c r="I440" s="11">
        <v>3</v>
      </c>
    </row>
    <row r="441" spans="1:9" hidden="1" x14ac:dyDescent="0.25">
      <c r="A441" s="14">
        <v>10</v>
      </c>
      <c r="B441" s="13">
        <v>45958</v>
      </c>
      <c r="C441" s="17" t="s">
        <v>8</v>
      </c>
      <c r="D441" s="15">
        <v>170.93</v>
      </c>
      <c r="E441" s="16" t="s">
        <v>310</v>
      </c>
      <c r="F441" s="14" t="s">
        <v>2013</v>
      </c>
      <c r="G441" s="16" t="s">
        <v>1493</v>
      </c>
      <c r="H441" s="17" t="s">
        <v>1369</v>
      </c>
      <c r="I441" s="11">
        <v>5</v>
      </c>
    </row>
    <row r="442" spans="1:9" hidden="1" x14ac:dyDescent="0.25">
      <c r="A442" s="14">
        <v>10</v>
      </c>
      <c r="B442" s="13">
        <v>45958</v>
      </c>
      <c r="C442" s="17" t="s">
        <v>16</v>
      </c>
      <c r="D442" s="15">
        <v>183.39</v>
      </c>
      <c r="E442" s="16" t="s">
        <v>308</v>
      </c>
      <c r="F442" s="14" t="s">
        <v>1969</v>
      </c>
      <c r="G442" s="16" t="s">
        <v>1492</v>
      </c>
      <c r="H442" s="17" t="s">
        <v>1383</v>
      </c>
      <c r="I442" s="11">
        <v>3</v>
      </c>
    </row>
    <row r="443" spans="1:9" hidden="1" x14ac:dyDescent="0.25">
      <c r="A443" s="14">
        <v>10</v>
      </c>
      <c r="B443" s="13">
        <v>45958</v>
      </c>
      <c r="C443" s="17" t="s">
        <v>8</v>
      </c>
      <c r="D443" s="15">
        <v>285.36</v>
      </c>
      <c r="E443" s="16" t="s">
        <v>307</v>
      </c>
      <c r="F443" s="14" t="s">
        <v>1753</v>
      </c>
      <c r="G443" s="16" t="s">
        <v>1493</v>
      </c>
      <c r="H443" s="17" t="s">
        <v>1216</v>
      </c>
      <c r="I443" s="11">
        <v>5</v>
      </c>
    </row>
    <row r="444" spans="1:9" hidden="1" x14ac:dyDescent="0.25">
      <c r="A444" s="14">
        <v>10</v>
      </c>
      <c r="B444" s="13">
        <v>45958</v>
      </c>
      <c r="C444" s="17" t="s">
        <v>20</v>
      </c>
      <c r="D444" s="15">
        <v>181.74</v>
      </c>
      <c r="E444" s="16" t="s">
        <v>309</v>
      </c>
      <c r="F444" s="14" t="s">
        <v>1535</v>
      </c>
      <c r="G444" s="16" t="s">
        <v>1492</v>
      </c>
      <c r="H444" s="17" t="s">
        <v>1240</v>
      </c>
      <c r="I444" s="11">
        <v>5</v>
      </c>
    </row>
    <row r="445" spans="1:9" hidden="1" x14ac:dyDescent="0.25">
      <c r="A445" s="14">
        <v>10</v>
      </c>
      <c r="B445" s="13">
        <v>45958</v>
      </c>
      <c r="C445" s="17" t="s">
        <v>8</v>
      </c>
      <c r="D445" s="15">
        <v>404.19</v>
      </c>
      <c r="E445" s="16" t="s">
        <v>305</v>
      </c>
      <c r="F445" s="14" t="s">
        <v>2004</v>
      </c>
      <c r="G445" s="16" t="s">
        <v>1493</v>
      </c>
      <c r="H445" s="17" t="s">
        <v>1260</v>
      </c>
      <c r="I445" s="11">
        <v>5</v>
      </c>
    </row>
    <row r="446" spans="1:9" hidden="1" x14ac:dyDescent="0.25">
      <c r="A446" s="14">
        <v>10</v>
      </c>
      <c r="B446" s="13">
        <v>45958</v>
      </c>
      <c r="C446" s="17" t="s">
        <v>8</v>
      </c>
      <c r="D446" s="15">
        <v>30</v>
      </c>
      <c r="E446" s="16" t="s">
        <v>312</v>
      </c>
      <c r="F446" s="14"/>
      <c r="G446" s="16" t="s">
        <v>1497</v>
      </c>
      <c r="H446" s="17" t="s">
        <v>1408</v>
      </c>
      <c r="I446" s="11">
        <v>0</v>
      </c>
    </row>
    <row r="447" spans="1:9" hidden="1" x14ac:dyDescent="0.25">
      <c r="A447" s="14">
        <v>10</v>
      </c>
      <c r="B447" s="13">
        <v>45958</v>
      </c>
      <c r="C447" s="17" t="s">
        <v>8</v>
      </c>
      <c r="D447" s="15">
        <v>399.49</v>
      </c>
      <c r="E447" s="16" t="s">
        <v>306</v>
      </c>
      <c r="F447" s="14" t="s">
        <v>1798</v>
      </c>
      <c r="G447" s="16" t="s">
        <v>1493</v>
      </c>
      <c r="H447" s="17" t="s">
        <v>1334</v>
      </c>
      <c r="I447" s="11">
        <v>8</v>
      </c>
    </row>
    <row r="448" spans="1:9" hidden="1" x14ac:dyDescent="0.25">
      <c r="A448" s="14">
        <v>10</v>
      </c>
      <c r="B448" s="13">
        <v>45958</v>
      </c>
      <c r="C448" s="17" t="s">
        <v>8</v>
      </c>
      <c r="D448" s="15">
        <v>80.52</v>
      </c>
      <c r="E448" s="16" t="s">
        <v>311</v>
      </c>
      <c r="F448" s="14" t="s">
        <v>1801</v>
      </c>
      <c r="G448" s="16" t="s">
        <v>1493</v>
      </c>
      <c r="H448" s="17" t="s">
        <v>1334</v>
      </c>
      <c r="I448" s="11">
        <v>5</v>
      </c>
    </row>
    <row r="449" spans="1:9" hidden="1" x14ac:dyDescent="0.25">
      <c r="A449" s="14">
        <v>10</v>
      </c>
      <c r="B449" s="13">
        <v>45959</v>
      </c>
      <c r="C449" s="17" t="s">
        <v>92</v>
      </c>
      <c r="D449" s="15">
        <v>408.64</v>
      </c>
      <c r="E449" s="16" t="s">
        <v>295</v>
      </c>
      <c r="F449" s="14" t="s">
        <v>1517</v>
      </c>
      <c r="G449" s="16" t="s">
        <v>1493</v>
      </c>
      <c r="H449" s="17" t="s">
        <v>1297</v>
      </c>
      <c r="I449" s="11">
        <v>5</v>
      </c>
    </row>
    <row r="450" spans="1:9" hidden="1" x14ac:dyDescent="0.25">
      <c r="A450" s="14">
        <v>10</v>
      </c>
      <c r="B450" s="13">
        <v>45959</v>
      </c>
      <c r="C450" s="17" t="s">
        <v>16</v>
      </c>
      <c r="D450" s="15">
        <v>419.89</v>
      </c>
      <c r="E450" s="16" t="s">
        <v>294</v>
      </c>
      <c r="F450" s="14" t="s">
        <v>1585</v>
      </c>
      <c r="G450" s="16" t="s">
        <v>1492</v>
      </c>
      <c r="H450" s="17" t="s">
        <v>1323</v>
      </c>
      <c r="I450" s="11">
        <v>6</v>
      </c>
    </row>
    <row r="451" spans="1:9" hidden="1" x14ac:dyDescent="0.25">
      <c r="A451" s="14">
        <v>10</v>
      </c>
      <c r="B451" s="13">
        <v>45959</v>
      </c>
      <c r="C451" s="17" t="s">
        <v>8</v>
      </c>
      <c r="D451" s="15">
        <v>40</v>
      </c>
      <c r="E451" s="16" t="s">
        <v>297</v>
      </c>
      <c r="F451" s="14"/>
      <c r="G451" s="16" t="s">
        <v>1498</v>
      </c>
      <c r="H451" s="17" t="s">
        <v>1409</v>
      </c>
      <c r="I451" s="11">
        <v>5</v>
      </c>
    </row>
    <row r="452" spans="1:9" hidden="1" x14ac:dyDescent="0.25">
      <c r="A452" s="14">
        <v>10</v>
      </c>
      <c r="B452" s="13">
        <v>45959</v>
      </c>
      <c r="C452" s="17" t="s">
        <v>23</v>
      </c>
      <c r="D452" s="15">
        <v>77.760000000000005</v>
      </c>
      <c r="E452" s="16" t="s">
        <v>296</v>
      </c>
      <c r="F452" s="14" t="s">
        <v>1843</v>
      </c>
      <c r="G452" s="16" t="s">
        <v>1493</v>
      </c>
      <c r="H452" s="17" t="s">
        <v>1242</v>
      </c>
      <c r="I452" s="11">
        <v>10</v>
      </c>
    </row>
    <row r="453" spans="1:9" hidden="1" x14ac:dyDescent="0.25">
      <c r="A453" s="14">
        <v>10</v>
      </c>
      <c r="B453" s="13">
        <v>45960</v>
      </c>
      <c r="C453" s="17" t="s">
        <v>16</v>
      </c>
      <c r="D453" s="15">
        <v>391.42</v>
      </c>
      <c r="E453" s="16" t="s">
        <v>289</v>
      </c>
      <c r="F453" s="14" t="s">
        <v>2007</v>
      </c>
      <c r="G453" s="16" t="s">
        <v>1493</v>
      </c>
      <c r="H453" s="17" t="s">
        <v>1279</v>
      </c>
      <c r="I453" s="11">
        <v>5</v>
      </c>
    </row>
    <row r="454" spans="1:9" hidden="1" x14ac:dyDescent="0.25">
      <c r="A454" s="14">
        <v>10</v>
      </c>
      <c r="B454" s="13">
        <v>45960</v>
      </c>
      <c r="C454" s="17" t="s">
        <v>20</v>
      </c>
      <c r="D454" s="15">
        <v>396.65</v>
      </c>
      <c r="E454" s="16" t="s">
        <v>288</v>
      </c>
      <c r="F454" s="14" t="s">
        <v>1506</v>
      </c>
      <c r="G454" s="16" t="s">
        <v>1490</v>
      </c>
      <c r="H454" s="17" t="s">
        <v>1410</v>
      </c>
      <c r="I454" s="11">
        <v>2</v>
      </c>
    </row>
    <row r="455" spans="1:9" hidden="1" x14ac:dyDescent="0.25">
      <c r="A455" s="14">
        <v>10</v>
      </c>
      <c r="B455" s="13">
        <v>45960</v>
      </c>
      <c r="C455" s="17" t="s">
        <v>20</v>
      </c>
      <c r="D455" s="15">
        <v>402.66</v>
      </c>
      <c r="E455" s="16" t="s">
        <v>288</v>
      </c>
      <c r="F455" s="14" t="s">
        <v>1506</v>
      </c>
      <c r="G455" s="16" t="s">
        <v>1492</v>
      </c>
      <c r="H455" s="17" t="s">
        <v>1410</v>
      </c>
      <c r="I455" s="11">
        <v>2</v>
      </c>
    </row>
    <row r="456" spans="1:9" hidden="1" x14ac:dyDescent="0.25">
      <c r="A456" s="14">
        <v>10</v>
      </c>
      <c r="B456" s="13">
        <v>45960</v>
      </c>
      <c r="C456" s="17" t="s">
        <v>8</v>
      </c>
      <c r="D456" s="15">
        <v>264.22000000000003</v>
      </c>
      <c r="E456" s="16" t="s">
        <v>291</v>
      </c>
      <c r="F456" s="14" t="s">
        <v>1864</v>
      </c>
      <c r="G456" s="16" t="s">
        <v>1493</v>
      </c>
      <c r="H456" s="17" t="s">
        <v>1278</v>
      </c>
      <c r="I456" s="11">
        <v>5</v>
      </c>
    </row>
    <row r="457" spans="1:9" hidden="1" x14ac:dyDescent="0.25">
      <c r="A457" s="14">
        <v>10</v>
      </c>
      <c r="B457" s="13">
        <v>45960</v>
      </c>
      <c r="C457" s="17" t="s">
        <v>32</v>
      </c>
      <c r="D457" s="15">
        <v>23.37</v>
      </c>
      <c r="E457" s="16" t="s">
        <v>293</v>
      </c>
      <c r="F457" s="14" t="s">
        <v>1614</v>
      </c>
      <c r="G457" s="16" t="s">
        <v>1493</v>
      </c>
      <c r="H457" s="17" t="s">
        <v>1219</v>
      </c>
      <c r="I457" s="11">
        <v>5</v>
      </c>
    </row>
    <row r="458" spans="1:9" hidden="1" x14ac:dyDescent="0.25">
      <c r="A458" s="14">
        <v>10</v>
      </c>
      <c r="B458" s="13">
        <v>45960</v>
      </c>
      <c r="C458" s="17" t="s">
        <v>32</v>
      </c>
      <c r="D458" s="15">
        <v>40</v>
      </c>
      <c r="E458" s="16" t="s">
        <v>292</v>
      </c>
      <c r="F458" s="14"/>
      <c r="G458" s="16" t="s">
        <v>1498</v>
      </c>
      <c r="H458" s="17" t="s">
        <v>1411</v>
      </c>
      <c r="I458" s="11">
        <v>0</v>
      </c>
    </row>
    <row r="459" spans="1:9" hidden="1" x14ac:dyDescent="0.25">
      <c r="A459" s="14">
        <v>10</v>
      </c>
      <c r="B459" s="13">
        <v>45960</v>
      </c>
      <c r="C459" s="17" t="s">
        <v>8</v>
      </c>
      <c r="D459" s="15">
        <v>270.61</v>
      </c>
      <c r="E459" s="16" t="s">
        <v>290</v>
      </c>
      <c r="F459" s="14" t="s">
        <v>1764</v>
      </c>
      <c r="G459" s="16" t="s">
        <v>1493</v>
      </c>
      <c r="H459" s="17" t="s">
        <v>1225</v>
      </c>
      <c r="I459" s="11">
        <v>5</v>
      </c>
    </row>
    <row r="460" spans="1:9" hidden="1" x14ac:dyDescent="0.25">
      <c r="A460" s="14">
        <v>10</v>
      </c>
      <c r="B460" s="13">
        <v>45961</v>
      </c>
      <c r="C460" s="17" t="s">
        <v>8</v>
      </c>
      <c r="D460" s="15">
        <v>404.03</v>
      </c>
      <c r="E460" s="16" t="s">
        <v>255</v>
      </c>
      <c r="F460" s="14" t="s">
        <v>1742</v>
      </c>
      <c r="G460" s="16" t="s">
        <v>1493</v>
      </c>
      <c r="H460" s="17" t="s">
        <v>1372</v>
      </c>
      <c r="I460" s="11">
        <v>8</v>
      </c>
    </row>
    <row r="461" spans="1:9" hidden="1" x14ac:dyDescent="0.25">
      <c r="A461" s="14">
        <v>10</v>
      </c>
      <c r="B461" s="13">
        <v>45961</v>
      </c>
      <c r="C461" s="17" t="s">
        <v>8</v>
      </c>
      <c r="D461" s="15">
        <v>40</v>
      </c>
      <c r="E461" s="16" t="s">
        <v>259</v>
      </c>
      <c r="F461" s="14"/>
      <c r="G461" s="16" t="s">
        <v>1498</v>
      </c>
      <c r="H461" s="17" t="s">
        <v>1412</v>
      </c>
      <c r="I461" s="11">
        <v>0</v>
      </c>
    </row>
    <row r="462" spans="1:9" hidden="1" x14ac:dyDescent="0.25">
      <c r="A462" s="14">
        <v>10</v>
      </c>
      <c r="B462" s="13">
        <v>45961</v>
      </c>
      <c r="C462" s="17" t="s">
        <v>20</v>
      </c>
      <c r="D462" s="15">
        <v>391.42</v>
      </c>
      <c r="E462" s="16" t="s">
        <v>257</v>
      </c>
      <c r="F462" s="14" t="s">
        <v>1943</v>
      </c>
      <c r="G462" s="16" t="s">
        <v>1493</v>
      </c>
      <c r="H462" s="17" t="s">
        <v>1353</v>
      </c>
      <c r="I462" s="11">
        <v>5</v>
      </c>
    </row>
    <row r="463" spans="1:9" hidden="1" x14ac:dyDescent="0.25">
      <c r="A463" s="14">
        <v>10</v>
      </c>
      <c r="B463" s="13">
        <v>45961</v>
      </c>
      <c r="C463" s="17" t="s">
        <v>8</v>
      </c>
      <c r="D463" s="15">
        <v>521.27</v>
      </c>
      <c r="E463" s="16" t="s">
        <v>253</v>
      </c>
      <c r="F463" s="14" t="s">
        <v>1784</v>
      </c>
      <c r="G463" s="16" t="s">
        <v>1493</v>
      </c>
      <c r="H463" s="17" t="s">
        <v>1274</v>
      </c>
      <c r="I463" s="11">
        <v>5</v>
      </c>
    </row>
    <row r="464" spans="1:9" hidden="1" x14ac:dyDescent="0.25">
      <c r="A464" s="14">
        <v>10</v>
      </c>
      <c r="B464" s="13">
        <v>45961</v>
      </c>
      <c r="C464" s="17" t="s">
        <v>8</v>
      </c>
      <c r="D464" s="15">
        <v>270.61</v>
      </c>
      <c r="E464" s="16" t="s">
        <v>258</v>
      </c>
      <c r="F464" s="14" t="s">
        <v>1632</v>
      </c>
      <c r="G464" s="16" t="s">
        <v>1493</v>
      </c>
      <c r="H464" s="17" t="s">
        <v>1220</v>
      </c>
      <c r="I464" s="11">
        <v>6</v>
      </c>
    </row>
    <row r="465" spans="1:9" hidden="1" x14ac:dyDescent="0.25">
      <c r="A465" s="14">
        <v>10</v>
      </c>
      <c r="B465" s="13">
        <v>45961</v>
      </c>
      <c r="C465" s="17" t="s">
        <v>32</v>
      </c>
      <c r="D465" s="15">
        <v>498.22</v>
      </c>
      <c r="E465" s="16" t="s">
        <v>254</v>
      </c>
      <c r="F465" s="14" t="s">
        <v>1812</v>
      </c>
      <c r="G465" s="16" t="s">
        <v>1493</v>
      </c>
      <c r="H465" s="17" t="s">
        <v>1245</v>
      </c>
      <c r="I465" s="11">
        <v>6</v>
      </c>
    </row>
    <row r="466" spans="1:9" hidden="1" x14ac:dyDescent="0.25">
      <c r="A466" s="14">
        <v>10</v>
      </c>
      <c r="B466" s="13">
        <v>45961</v>
      </c>
      <c r="C466" s="17" t="s">
        <v>8</v>
      </c>
      <c r="D466" s="15">
        <v>397.81</v>
      </c>
      <c r="E466" s="16" t="s">
        <v>256</v>
      </c>
      <c r="F466" s="14" t="s">
        <v>2001</v>
      </c>
      <c r="G466" s="16" t="s">
        <v>1493</v>
      </c>
      <c r="H466" s="17" t="s">
        <v>1280</v>
      </c>
      <c r="I466" s="11">
        <v>4</v>
      </c>
    </row>
    <row r="467" spans="1:9" hidden="1" x14ac:dyDescent="0.25">
      <c r="A467" s="14">
        <v>11</v>
      </c>
      <c r="B467" s="13">
        <v>45962</v>
      </c>
      <c r="C467" s="17" t="s">
        <v>8</v>
      </c>
      <c r="D467" s="15">
        <v>429.74</v>
      </c>
      <c r="E467" s="16" t="s">
        <v>884</v>
      </c>
      <c r="F467" s="14" t="s">
        <v>1503</v>
      </c>
      <c r="G467" s="16" t="s">
        <v>1493</v>
      </c>
      <c r="H467" s="17" t="s">
        <v>1287</v>
      </c>
      <c r="I467" s="11">
        <v>5</v>
      </c>
    </row>
    <row r="468" spans="1:9" hidden="1" x14ac:dyDescent="0.25">
      <c r="A468" s="14">
        <v>11</v>
      </c>
      <c r="B468" s="13">
        <v>45962</v>
      </c>
      <c r="C468" s="17" t="s">
        <v>8</v>
      </c>
      <c r="D468" s="15">
        <v>80.52</v>
      </c>
      <c r="E468" s="16" t="s">
        <v>887</v>
      </c>
      <c r="F468" s="14" t="s">
        <v>2052</v>
      </c>
      <c r="G468" s="16" t="s">
        <v>1494</v>
      </c>
      <c r="H468" s="17" t="s">
        <v>1360</v>
      </c>
      <c r="I468" s="11">
        <v>5</v>
      </c>
    </row>
    <row r="469" spans="1:9" hidden="1" x14ac:dyDescent="0.25">
      <c r="A469" s="14">
        <v>11</v>
      </c>
      <c r="B469" s="13">
        <v>45962</v>
      </c>
      <c r="C469" s="17" t="s">
        <v>20</v>
      </c>
      <c r="D469" s="15">
        <v>178.54</v>
      </c>
      <c r="E469" s="16" t="s">
        <v>886</v>
      </c>
      <c r="F469" s="14" t="s">
        <v>1520</v>
      </c>
      <c r="G469" s="16" t="s">
        <v>1493</v>
      </c>
      <c r="H469" s="17" t="s">
        <v>1229</v>
      </c>
      <c r="I469" s="11">
        <v>5</v>
      </c>
    </row>
    <row r="470" spans="1:9" hidden="1" x14ac:dyDescent="0.25">
      <c r="A470" s="14">
        <v>11</v>
      </c>
      <c r="B470" s="13">
        <v>45962</v>
      </c>
      <c r="C470" s="17" t="s">
        <v>8</v>
      </c>
      <c r="D470" s="15">
        <v>429.74</v>
      </c>
      <c r="E470" s="16" t="s">
        <v>885</v>
      </c>
      <c r="F470" s="14" t="s">
        <v>1720</v>
      </c>
      <c r="G470" s="16" t="s">
        <v>1493</v>
      </c>
      <c r="H470" s="17" t="s">
        <v>1413</v>
      </c>
      <c r="I470" s="11">
        <v>4</v>
      </c>
    </row>
    <row r="471" spans="1:9" hidden="1" x14ac:dyDescent="0.25">
      <c r="A471" s="14">
        <v>11</v>
      </c>
      <c r="B471" s="13">
        <v>45962</v>
      </c>
      <c r="C471" s="17" t="s">
        <v>8</v>
      </c>
      <c r="D471" s="15">
        <v>580</v>
      </c>
      <c r="E471" s="16" t="s">
        <v>882</v>
      </c>
      <c r="F471" s="14"/>
      <c r="G471" s="16" t="s">
        <v>1499</v>
      </c>
      <c r="H471" s="17" t="s">
        <v>1246</v>
      </c>
      <c r="I471" s="11">
        <v>6</v>
      </c>
    </row>
    <row r="472" spans="1:9" hidden="1" x14ac:dyDescent="0.25">
      <c r="A472" s="14">
        <v>11</v>
      </c>
      <c r="B472" s="13">
        <v>45962</v>
      </c>
      <c r="C472" s="17" t="s">
        <v>8</v>
      </c>
      <c r="D472" s="15">
        <v>515.24</v>
      </c>
      <c r="E472" s="16" t="s">
        <v>883</v>
      </c>
      <c r="F472" s="14" t="s">
        <v>1849</v>
      </c>
      <c r="G472" s="16" t="s">
        <v>1493</v>
      </c>
      <c r="H472" s="17" t="s">
        <v>1246</v>
      </c>
      <c r="I472" s="11">
        <v>6</v>
      </c>
    </row>
    <row r="473" spans="1:9" hidden="1" x14ac:dyDescent="0.25">
      <c r="A473" s="14">
        <v>11</v>
      </c>
      <c r="B473" s="13">
        <v>45963</v>
      </c>
      <c r="C473" s="17" t="s">
        <v>23</v>
      </c>
      <c r="D473" s="15">
        <v>423.35</v>
      </c>
      <c r="E473" s="16" t="s">
        <v>877</v>
      </c>
      <c r="F473" s="14" t="s">
        <v>1750</v>
      </c>
      <c r="G473" s="16" t="s">
        <v>1493</v>
      </c>
      <c r="H473" s="17" t="s">
        <v>1414</v>
      </c>
      <c r="I473" s="11">
        <v>7</v>
      </c>
    </row>
    <row r="474" spans="1:9" hidden="1" x14ac:dyDescent="0.25">
      <c r="A474" s="14">
        <v>11</v>
      </c>
      <c r="B474" s="13">
        <v>45963</v>
      </c>
      <c r="C474" s="17" t="s">
        <v>8</v>
      </c>
      <c r="D474" s="15">
        <v>186.24</v>
      </c>
      <c r="E474" s="16" t="s">
        <v>880</v>
      </c>
      <c r="F474" s="14" t="s">
        <v>1611</v>
      </c>
      <c r="G474" s="16" t="s">
        <v>1493</v>
      </c>
      <c r="H474" s="17" t="s">
        <v>1304</v>
      </c>
      <c r="I474" s="11">
        <v>4</v>
      </c>
    </row>
    <row r="475" spans="1:9" hidden="1" x14ac:dyDescent="0.25">
      <c r="A475" s="14">
        <v>11</v>
      </c>
      <c r="B475" s="13">
        <v>45963</v>
      </c>
      <c r="C475" s="17" t="s">
        <v>8</v>
      </c>
      <c r="D475" s="15">
        <v>385.04</v>
      </c>
      <c r="E475" s="16" t="s">
        <v>879</v>
      </c>
      <c r="F475" s="14" t="s">
        <v>1912</v>
      </c>
      <c r="G475" s="16" t="s">
        <v>1493</v>
      </c>
      <c r="H475" s="17" t="s">
        <v>1324</v>
      </c>
      <c r="I475" s="11">
        <v>6</v>
      </c>
    </row>
    <row r="476" spans="1:9" hidden="1" x14ac:dyDescent="0.25">
      <c r="A476" s="14">
        <v>11</v>
      </c>
      <c r="B476" s="13">
        <v>45963</v>
      </c>
      <c r="C476" s="17" t="s">
        <v>8</v>
      </c>
      <c r="D476" s="15">
        <v>177.32</v>
      </c>
      <c r="E476" s="16" t="s">
        <v>881</v>
      </c>
      <c r="F476" s="14" t="s">
        <v>1988</v>
      </c>
      <c r="G476" s="16" t="s">
        <v>1493</v>
      </c>
      <c r="H476" s="17" t="s">
        <v>1231</v>
      </c>
      <c r="I476" s="11">
        <v>2</v>
      </c>
    </row>
    <row r="477" spans="1:9" hidden="1" x14ac:dyDescent="0.25">
      <c r="A477" s="14">
        <v>11</v>
      </c>
      <c r="B477" s="13">
        <v>45963</v>
      </c>
      <c r="C477" s="17" t="s">
        <v>8</v>
      </c>
      <c r="D477" s="15">
        <v>410.58</v>
      </c>
      <c r="E477" s="16" t="s">
        <v>878</v>
      </c>
      <c r="F477" s="14" t="s">
        <v>1996</v>
      </c>
      <c r="G477" s="16" t="s">
        <v>1493</v>
      </c>
      <c r="H477" s="17" t="s">
        <v>1309</v>
      </c>
      <c r="I477" s="11">
        <v>6</v>
      </c>
    </row>
    <row r="478" spans="1:9" hidden="1" x14ac:dyDescent="0.25">
      <c r="A478" s="14">
        <v>11</v>
      </c>
      <c r="B478" s="13">
        <v>45963</v>
      </c>
      <c r="C478" s="17" t="s">
        <v>8</v>
      </c>
      <c r="D478" s="15">
        <v>423.35</v>
      </c>
      <c r="E478" s="16" t="s">
        <v>876</v>
      </c>
      <c r="F478" s="14" t="s">
        <v>2037</v>
      </c>
      <c r="G478" s="16" t="s">
        <v>1493</v>
      </c>
      <c r="H478" s="17" t="s">
        <v>1258</v>
      </c>
      <c r="I478" s="11">
        <v>6</v>
      </c>
    </row>
    <row r="479" spans="1:9" hidden="1" x14ac:dyDescent="0.25">
      <c r="A479" s="14">
        <v>11</v>
      </c>
      <c r="B479" s="13">
        <v>45964</v>
      </c>
      <c r="C479" s="17" t="s">
        <v>8</v>
      </c>
      <c r="D479" s="15">
        <v>459.91</v>
      </c>
      <c r="E479" s="16" t="s">
        <v>873</v>
      </c>
      <c r="F479" s="14" t="s">
        <v>1714</v>
      </c>
      <c r="G479" s="16" t="s">
        <v>1493</v>
      </c>
      <c r="H479" s="17" t="s">
        <v>1330</v>
      </c>
      <c r="I479" s="11">
        <v>5</v>
      </c>
    </row>
    <row r="480" spans="1:9" hidden="1" x14ac:dyDescent="0.25">
      <c r="A480" s="14">
        <v>11</v>
      </c>
      <c r="B480" s="13">
        <v>45964</v>
      </c>
      <c r="C480" s="17" t="s">
        <v>8</v>
      </c>
      <c r="D480" s="15">
        <v>404.01</v>
      </c>
      <c r="E480" s="16" t="s">
        <v>874</v>
      </c>
      <c r="F480" s="14" t="s">
        <v>2027</v>
      </c>
      <c r="G480" s="16" t="s">
        <v>1493</v>
      </c>
      <c r="H480" s="17" t="s">
        <v>1250</v>
      </c>
      <c r="I480" s="11">
        <v>4</v>
      </c>
    </row>
    <row r="481" spans="1:9" hidden="1" x14ac:dyDescent="0.25">
      <c r="A481" s="14">
        <v>11</v>
      </c>
      <c r="B481" s="13">
        <v>45964</v>
      </c>
      <c r="C481" s="17" t="s">
        <v>8</v>
      </c>
      <c r="D481" s="15">
        <v>251.45</v>
      </c>
      <c r="E481" s="16" t="s">
        <v>875</v>
      </c>
      <c r="F481" s="14" t="s">
        <v>1688</v>
      </c>
      <c r="G481" s="16" t="s">
        <v>1493</v>
      </c>
      <c r="H481" s="17" t="s">
        <v>1226</v>
      </c>
      <c r="I481" s="11">
        <v>4</v>
      </c>
    </row>
    <row r="482" spans="1:9" hidden="1" x14ac:dyDescent="0.25">
      <c r="A482" s="14">
        <v>11</v>
      </c>
      <c r="B482" s="13">
        <v>45964</v>
      </c>
      <c r="C482" s="17" t="s">
        <v>8</v>
      </c>
      <c r="D482" s="15">
        <v>580</v>
      </c>
      <c r="E482" s="16" t="s">
        <v>872</v>
      </c>
      <c r="F482" s="14"/>
      <c r="G482" s="16" t="s">
        <v>1499</v>
      </c>
      <c r="H482" s="17" t="s">
        <v>1415</v>
      </c>
      <c r="I482" s="11">
        <v>0</v>
      </c>
    </row>
    <row r="483" spans="1:9" hidden="1" x14ac:dyDescent="0.25">
      <c r="A483" s="14">
        <v>11</v>
      </c>
      <c r="B483" s="13">
        <v>45965</v>
      </c>
      <c r="C483" s="17" t="s">
        <v>8</v>
      </c>
      <c r="D483" s="15">
        <v>385.23</v>
      </c>
      <c r="E483" s="16" t="s">
        <v>846</v>
      </c>
      <c r="F483" s="14" t="s">
        <v>1588</v>
      </c>
      <c r="G483" s="16" t="s">
        <v>1488</v>
      </c>
      <c r="H483" s="17" t="s">
        <v>1327</v>
      </c>
      <c r="I483" s="11">
        <v>6</v>
      </c>
    </row>
    <row r="484" spans="1:9" hidden="1" x14ac:dyDescent="0.25">
      <c r="A484" s="14">
        <v>11</v>
      </c>
      <c r="B484" s="13">
        <v>45965</v>
      </c>
      <c r="C484" s="17" t="s">
        <v>8</v>
      </c>
      <c r="D484" s="15">
        <v>183.7</v>
      </c>
      <c r="E484" s="16" t="s">
        <v>847</v>
      </c>
      <c r="F484" s="14" t="s">
        <v>1838</v>
      </c>
      <c r="G484" s="16" t="s">
        <v>1493</v>
      </c>
      <c r="H484" s="17" t="s">
        <v>1266</v>
      </c>
      <c r="I484" s="11">
        <v>7</v>
      </c>
    </row>
    <row r="485" spans="1:9" hidden="1" x14ac:dyDescent="0.25">
      <c r="A485" s="14">
        <v>11</v>
      </c>
      <c r="B485" s="13">
        <v>45965</v>
      </c>
      <c r="C485" s="17" t="s">
        <v>8</v>
      </c>
      <c r="D485" s="15">
        <v>100</v>
      </c>
      <c r="E485" s="16" t="s">
        <v>848</v>
      </c>
      <c r="F485" s="14"/>
      <c r="G485" s="16" t="s">
        <v>2069</v>
      </c>
      <c r="H485" s="17" t="s">
        <v>1271</v>
      </c>
      <c r="I485" s="11">
        <v>7</v>
      </c>
    </row>
    <row r="486" spans="1:9" hidden="1" x14ac:dyDescent="0.25">
      <c r="A486" s="14">
        <v>11</v>
      </c>
      <c r="B486" s="13">
        <v>45965</v>
      </c>
      <c r="C486" s="17" t="s">
        <v>32</v>
      </c>
      <c r="D486" s="15">
        <v>30</v>
      </c>
      <c r="E486" s="16" t="s">
        <v>849</v>
      </c>
      <c r="F486" s="14"/>
      <c r="G486" s="16" t="s">
        <v>1497</v>
      </c>
      <c r="H486" s="17" t="s">
        <v>1387</v>
      </c>
      <c r="I486" s="11">
        <v>8</v>
      </c>
    </row>
    <row r="487" spans="1:9" hidden="1" x14ac:dyDescent="0.25">
      <c r="A487" s="14">
        <v>11</v>
      </c>
      <c r="B487" s="13">
        <v>45966</v>
      </c>
      <c r="C487" s="17" t="s">
        <v>16</v>
      </c>
      <c r="D487" s="15">
        <v>209.24</v>
      </c>
      <c r="E487" s="16" t="s">
        <v>841</v>
      </c>
      <c r="F487" s="14" t="s">
        <v>2040</v>
      </c>
      <c r="G487" s="16" t="s">
        <v>1493</v>
      </c>
      <c r="H487" s="17" t="s">
        <v>1377</v>
      </c>
      <c r="I487" s="11">
        <v>4</v>
      </c>
    </row>
    <row r="488" spans="1:9" hidden="1" x14ac:dyDescent="0.25">
      <c r="A488" s="14">
        <v>11</v>
      </c>
      <c r="B488" s="13">
        <v>45966</v>
      </c>
      <c r="C488" s="17" t="s">
        <v>16</v>
      </c>
      <c r="D488" s="15">
        <v>397.81</v>
      </c>
      <c r="E488" s="16" t="s">
        <v>835</v>
      </c>
      <c r="F488" s="14" t="s">
        <v>1823</v>
      </c>
      <c r="G488" s="16" t="s">
        <v>1493</v>
      </c>
      <c r="H488" s="17" t="s">
        <v>1378</v>
      </c>
      <c r="I488" s="11">
        <v>6</v>
      </c>
    </row>
    <row r="489" spans="1:9" hidden="1" x14ac:dyDescent="0.25">
      <c r="A489" s="14">
        <v>11</v>
      </c>
      <c r="B489" s="13">
        <v>45966</v>
      </c>
      <c r="C489" s="17" t="s">
        <v>8</v>
      </c>
      <c r="D489" s="15">
        <v>580</v>
      </c>
      <c r="E489" s="16" t="s">
        <v>834</v>
      </c>
      <c r="F489" s="14"/>
      <c r="G489" s="16" t="s">
        <v>1499</v>
      </c>
      <c r="H489" s="17" t="s">
        <v>1416</v>
      </c>
      <c r="I489" s="11">
        <v>0</v>
      </c>
    </row>
    <row r="490" spans="1:9" hidden="1" x14ac:dyDescent="0.25">
      <c r="A490" s="14">
        <v>11</v>
      </c>
      <c r="B490" s="13">
        <v>45966</v>
      </c>
      <c r="C490" s="17" t="s">
        <v>8</v>
      </c>
      <c r="D490" s="15">
        <v>346.99</v>
      </c>
      <c r="E490" s="16" t="s">
        <v>837</v>
      </c>
      <c r="F490" s="14" t="s">
        <v>1570</v>
      </c>
      <c r="G490" s="16" t="s">
        <v>1493</v>
      </c>
      <c r="H490" s="17" t="s">
        <v>1213</v>
      </c>
      <c r="I490" s="11">
        <v>5</v>
      </c>
    </row>
    <row r="491" spans="1:9" hidden="1" x14ac:dyDescent="0.25">
      <c r="A491" s="14">
        <v>11</v>
      </c>
      <c r="B491" s="13">
        <v>45966</v>
      </c>
      <c r="C491" s="17" t="s">
        <v>8</v>
      </c>
      <c r="D491" s="15">
        <v>310.89999999999998</v>
      </c>
      <c r="E491" s="16" t="s">
        <v>838</v>
      </c>
      <c r="F491" s="14" t="s">
        <v>1998</v>
      </c>
      <c r="G491" s="16" t="s">
        <v>1493</v>
      </c>
      <c r="H491" s="17" t="s">
        <v>1417</v>
      </c>
      <c r="I491" s="11">
        <v>5</v>
      </c>
    </row>
    <row r="492" spans="1:9" hidden="1" x14ac:dyDescent="0.25">
      <c r="A492" s="14">
        <v>11</v>
      </c>
      <c r="B492" s="13">
        <v>45966</v>
      </c>
      <c r="C492" s="17" t="s">
        <v>20</v>
      </c>
      <c r="D492" s="15">
        <v>181.74</v>
      </c>
      <c r="E492" s="16" t="s">
        <v>843</v>
      </c>
      <c r="F492" s="14" t="s">
        <v>1535</v>
      </c>
      <c r="G492" s="16" t="s">
        <v>1493</v>
      </c>
      <c r="H492" s="17" t="s">
        <v>1240</v>
      </c>
      <c r="I492" s="11">
        <v>5</v>
      </c>
    </row>
    <row r="493" spans="1:9" hidden="1" x14ac:dyDescent="0.25">
      <c r="A493" s="14">
        <v>11</v>
      </c>
      <c r="B493" s="13">
        <v>45966</v>
      </c>
      <c r="C493" s="17" t="s">
        <v>8</v>
      </c>
      <c r="D493" s="15">
        <v>40</v>
      </c>
      <c r="E493" s="16" t="s">
        <v>845</v>
      </c>
      <c r="F493" s="14"/>
      <c r="G493" s="16" t="s">
        <v>1498</v>
      </c>
      <c r="H493" s="17" t="s">
        <v>1278</v>
      </c>
      <c r="I493" s="11">
        <v>8</v>
      </c>
    </row>
    <row r="494" spans="1:9" hidden="1" x14ac:dyDescent="0.25">
      <c r="A494" s="14">
        <v>11</v>
      </c>
      <c r="B494" s="13">
        <v>45966</v>
      </c>
      <c r="C494" s="17" t="s">
        <v>8</v>
      </c>
      <c r="D494" s="15">
        <v>257.83999999999997</v>
      </c>
      <c r="E494" s="16" t="s">
        <v>839</v>
      </c>
      <c r="F494" s="14" t="s">
        <v>1975</v>
      </c>
      <c r="G494" s="16" t="s">
        <v>1493</v>
      </c>
      <c r="H494" s="17" t="s">
        <v>1362</v>
      </c>
      <c r="I494" s="11">
        <v>4</v>
      </c>
    </row>
    <row r="495" spans="1:9" hidden="1" x14ac:dyDescent="0.25">
      <c r="A495" s="14">
        <v>11</v>
      </c>
      <c r="B495" s="13">
        <v>45966</v>
      </c>
      <c r="C495" s="17" t="s">
        <v>8</v>
      </c>
      <c r="D495" s="15">
        <v>251.45</v>
      </c>
      <c r="E495" s="16" t="s">
        <v>840</v>
      </c>
      <c r="F495" s="14" t="s">
        <v>1975</v>
      </c>
      <c r="G495" s="16" t="s">
        <v>1492</v>
      </c>
      <c r="H495" s="17" t="s">
        <v>1362</v>
      </c>
      <c r="I495" s="11">
        <v>4</v>
      </c>
    </row>
    <row r="496" spans="1:9" hidden="1" x14ac:dyDescent="0.25">
      <c r="A496" s="14">
        <v>11</v>
      </c>
      <c r="B496" s="13">
        <v>45966</v>
      </c>
      <c r="C496" s="17" t="s">
        <v>8</v>
      </c>
      <c r="D496" s="15">
        <v>314.5</v>
      </c>
      <c r="E496" s="16" t="s">
        <v>833</v>
      </c>
      <c r="F496" s="14" t="s">
        <v>1828</v>
      </c>
      <c r="G496" s="16" t="s">
        <v>1490</v>
      </c>
      <c r="H496" s="17" t="s">
        <v>1385</v>
      </c>
      <c r="I496" s="11">
        <v>6</v>
      </c>
    </row>
    <row r="497" spans="1:9" hidden="1" x14ac:dyDescent="0.25">
      <c r="A497" s="14">
        <v>11</v>
      </c>
      <c r="B497" s="13">
        <v>45966</v>
      </c>
      <c r="C497" s="17" t="s">
        <v>8</v>
      </c>
      <c r="D497" s="15">
        <v>315.14999999999998</v>
      </c>
      <c r="E497" s="16" t="s">
        <v>833</v>
      </c>
      <c r="F497" s="14" t="s">
        <v>1828</v>
      </c>
      <c r="G497" s="16" t="s">
        <v>1491</v>
      </c>
      <c r="H497" s="17" t="s">
        <v>1385</v>
      </c>
      <c r="I497" s="11">
        <v>6</v>
      </c>
    </row>
    <row r="498" spans="1:9" hidden="1" x14ac:dyDescent="0.25">
      <c r="A498" s="14">
        <v>11</v>
      </c>
      <c r="B498" s="13">
        <v>45966</v>
      </c>
      <c r="C498" s="17" t="s">
        <v>8</v>
      </c>
      <c r="D498" s="15">
        <v>313.33999999999997</v>
      </c>
      <c r="E498" s="16" t="s">
        <v>833</v>
      </c>
      <c r="F498" s="14" t="s">
        <v>1828</v>
      </c>
      <c r="G498" s="16" t="s">
        <v>1492</v>
      </c>
      <c r="H498" s="17" t="s">
        <v>1385</v>
      </c>
      <c r="I498" s="11">
        <v>6</v>
      </c>
    </row>
    <row r="499" spans="1:9" hidden="1" x14ac:dyDescent="0.25">
      <c r="A499" s="14">
        <v>11</v>
      </c>
      <c r="B499" s="13">
        <v>45966</v>
      </c>
      <c r="C499" s="17" t="s">
        <v>8</v>
      </c>
      <c r="D499" s="15">
        <v>317.12</v>
      </c>
      <c r="E499" s="16" t="s">
        <v>833</v>
      </c>
      <c r="F499" s="14" t="s">
        <v>1828</v>
      </c>
      <c r="G499" s="16" t="s">
        <v>1493</v>
      </c>
      <c r="H499" s="17" t="s">
        <v>1385</v>
      </c>
      <c r="I499" s="11">
        <v>6</v>
      </c>
    </row>
    <row r="500" spans="1:9" hidden="1" x14ac:dyDescent="0.25">
      <c r="A500" s="14">
        <v>11</v>
      </c>
      <c r="B500" s="13">
        <v>45966</v>
      </c>
      <c r="C500" s="17" t="s">
        <v>8</v>
      </c>
      <c r="D500" s="15">
        <v>378.46</v>
      </c>
      <c r="E500" s="16" t="s">
        <v>836</v>
      </c>
      <c r="F500" s="14" t="s">
        <v>1504</v>
      </c>
      <c r="G500" s="16" t="s">
        <v>1491</v>
      </c>
      <c r="H500" s="17" t="s">
        <v>1320</v>
      </c>
      <c r="I500" s="11">
        <v>7</v>
      </c>
    </row>
    <row r="501" spans="1:9" hidden="1" x14ac:dyDescent="0.25">
      <c r="A501" s="14">
        <v>11</v>
      </c>
      <c r="B501" s="13">
        <v>45966</v>
      </c>
      <c r="C501" s="17" t="s">
        <v>8</v>
      </c>
      <c r="D501" s="15">
        <v>182.64</v>
      </c>
      <c r="E501" s="16" t="s">
        <v>842</v>
      </c>
      <c r="F501" s="14" t="s">
        <v>1861</v>
      </c>
      <c r="G501" s="16" t="s">
        <v>1493</v>
      </c>
      <c r="H501" s="17" t="s">
        <v>1418</v>
      </c>
      <c r="I501" s="11">
        <v>5</v>
      </c>
    </row>
    <row r="502" spans="1:9" hidden="1" x14ac:dyDescent="0.25">
      <c r="A502" s="14">
        <v>11</v>
      </c>
      <c r="B502" s="13">
        <v>45966</v>
      </c>
      <c r="C502" s="17" t="s">
        <v>8</v>
      </c>
      <c r="D502" s="15">
        <v>179.16</v>
      </c>
      <c r="E502" s="16" t="s">
        <v>844</v>
      </c>
      <c r="F502" s="14" t="s">
        <v>1728</v>
      </c>
      <c r="G502" s="16" t="s">
        <v>1492</v>
      </c>
      <c r="H502" s="17" t="s">
        <v>1228</v>
      </c>
      <c r="I502" s="11">
        <v>5</v>
      </c>
    </row>
    <row r="503" spans="1:9" hidden="1" x14ac:dyDescent="0.25">
      <c r="A503" s="14">
        <v>11</v>
      </c>
      <c r="B503" s="13">
        <v>45967</v>
      </c>
      <c r="C503" s="17" t="s">
        <v>16</v>
      </c>
      <c r="D503" s="15">
        <v>386.95</v>
      </c>
      <c r="E503" s="16" t="s">
        <v>827</v>
      </c>
      <c r="F503" s="14" t="s">
        <v>1778</v>
      </c>
      <c r="G503" s="16" t="s">
        <v>1491</v>
      </c>
      <c r="H503" s="17" t="s">
        <v>1420</v>
      </c>
      <c r="I503" s="11">
        <v>3</v>
      </c>
    </row>
    <row r="504" spans="1:9" hidden="1" x14ac:dyDescent="0.25">
      <c r="A504" s="14">
        <v>11</v>
      </c>
      <c r="B504" s="13">
        <v>45967</v>
      </c>
      <c r="C504" s="17" t="s">
        <v>16</v>
      </c>
      <c r="D504" s="15">
        <v>378.34</v>
      </c>
      <c r="E504" s="16" t="s">
        <v>828</v>
      </c>
      <c r="F504" s="14" t="s">
        <v>1778</v>
      </c>
      <c r="G504" s="16" t="s">
        <v>1492</v>
      </c>
      <c r="H504" s="17" t="s">
        <v>1420</v>
      </c>
      <c r="I504" s="11">
        <v>3</v>
      </c>
    </row>
    <row r="505" spans="1:9" hidden="1" x14ac:dyDescent="0.25">
      <c r="A505" s="14">
        <v>11</v>
      </c>
      <c r="B505" s="13">
        <v>45967</v>
      </c>
      <c r="C505" s="17" t="s">
        <v>16</v>
      </c>
      <c r="D505" s="15">
        <v>324.06</v>
      </c>
      <c r="E505" s="16" t="s">
        <v>830</v>
      </c>
      <c r="F505" s="14" t="s">
        <v>1596</v>
      </c>
      <c r="G505" s="16" t="s">
        <v>1490</v>
      </c>
      <c r="H505" s="17" t="s">
        <v>1392</v>
      </c>
      <c r="I505" s="11">
        <v>4</v>
      </c>
    </row>
    <row r="506" spans="1:9" hidden="1" x14ac:dyDescent="0.25">
      <c r="A506" s="14">
        <v>11</v>
      </c>
      <c r="B506" s="13">
        <v>45967</v>
      </c>
      <c r="C506" s="17" t="s">
        <v>8</v>
      </c>
      <c r="D506" s="15">
        <v>294.25</v>
      </c>
      <c r="E506" s="16" t="s">
        <v>831</v>
      </c>
      <c r="F506" s="14" t="s">
        <v>1700</v>
      </c>
      <c r="G506" s="16" t="s">
        <v>1491</v>
      </c>
      <c r="H506" s="17" t="s">
        <v>1386</v>
      </c>
      <c r="I506" s="11">
        <v>4</v>
      </c>
    </row>
    <row r="507" spans="1:9" hidden="1" x14ac:dyDescent="0.25">
      <c r="A507" s="14">
        <v>11</v>
      </c>
      <c r="B507" s="13">
        <v>45967</v>
      </c>
      <c r="C507" s="17" t="s">
        <v>16</v>
      </c>
      <c r="D507" s="15">
        <v>344.74</v>
      </c>
      <c r="E507" s="16" t="s">
        <v>829</v>
      </c>
      <c r="F507" s="14" t="s">
        <v>1795</v>
      </c>
      <c r="G507" s="16" t="s">
        <v>1493</v>
      </c>
      <c r="H507" s="17" t="s">
        <v>1283</v>
      </c>
      <c r="I507" s="11">
        <v>4</v>
      </c>
    </row>
    <row r="508" spans="1:9" hidden="1" x14ac:dyDescent="0.25">
      <c r="A508" s="14">
        <v>11</v>
      </c>
      <c r="B508" s="13">
        <v>45967</v>
      </c>
      <c r="C508" s="17" t="s">
        <v>16</v>
      </c>
      <c r="D508" s="15">
        <v>381.36</v>
      </c>
      <c r="E508" s="16" t="s">
        <v>826</v>
      </c>
      <c r="F508" s="14" t="s">
        <v>1736</v>
      </c>
      <c r="G508" s="16" t="s">
        <v>1490</v>
      </c>
      <c r="H508" s="17" t="s">
        <v>1419</v>
      </c>
      <c r="I508" s="11">
        <v>6</v>
      </c>
    </row>
    <row r="509" spans="1:9" hidden="1" x14ac:dyDescent="0.25">
      <c r="A509" s="14">
        <v>11</v>
      </c>
      <c r="B509" s="13">
        <v>45967</v>
      </c>
      <c r="C509" s="17" t="s">
        <v>16</v>
      </c>
      <c r="D509" s="15">
        <v>368.28</v>
      </c>
      <c r="E509" s="16" t="s">
        <v>826</v>
      </c>
      <c r="F509" s="14" t="s">
        <v>1736</v>
      </c>
      <c r="G509" s="16" t="s">
        <v>1491</v>
      </c>
      <c r="H509" s="17" t="s">
        <v>1419</v>
      </c>
      <c r="I509" s="11">
        <v>6</v>
      </c>
    </row>
    <row r="510" spans="1:9" hidden="1" x14ac:dyDescent="0.25">
      <c r="A510" s="14">
        <v>11</v>
      </c>
      <c r="B510" s="13">
        <v>45967</v>
      </c>
      <c r="C510" s="17" t="s">
        <v>16</v>
      </c>
      <c r="D510" s="15">
        <v>236.89999999999998</v>
      </c>
      <c r="E510" s="16" t="s">
        <v>826</v>
      </c>
      <c r="F510" s="14" t="s">
        <v>1736</v>
      </c>
      <c r="G510" s="16" t="s">
        <v>1492</v>
      </c>
      <c r="H510" s="17" t="s">
        <v>1419</v>
      </c>
      <c r="I510" s="11">
        <v>6</v>
      </c>
    </row>
    <row r="511" spans="1:9" hidden="1" x14ac:dyDescent="0.25">
      <c r="A511" s="14">
        <v>11</v>
      </c>
      <c r="B511" s="13">
        <v>45967</v>
      </c>
      <c r="C511" s="17" t="s">
        <v>8</v>
      </c>
      <c r="D511" s="15">
        <v>50</v>
      </c>
      <c r="E511" s="16" t="s">
        <v>832</v>
      </c>
      <c r="F511" s="14"/>
      <c r="G511" s="16" t="s">
        <v>1497</v>
      </c>
      <c r="H511" s="17" t="s">
        <v>1421</v>
      </c>
      <c r="I511" s="11">
        <v>0</v>
      </c>
    </row>
    <row r="512" spans="1:9" hidden="1" x14ac:dyDescent="0.25">
      <c r="A512" s="14">
        <v>11</v>
      </c>
      <c r="B512" s="13">
        <v>45968</v>
      </c>
      <c r="C512" s="17" t="s">
        <v>8</v>
      </c>
      <c r="D512" s="15">
        <v>516.67999999999995</v>
      </c>
      <c r="E512" s="16" t="s">
        <v>821</v>
      </c>
      <c r="F512" s="14" t="s">
        <v>1528</v>
      </c>
      <c r="G512" s="16" t="s">
        <v>1491</v>
      </c>
      <c r="H512" s="17" t="s">
        <v>1422</v>
      </c>
      <c r="I512" s="11">
        <v>4</v>
      </c>
    </row>
    <row r="513" spans="1:9" hidden="1" x14ac:dyDescent="0.25">
      <c r="A513" s="14">
        <v>11</v>
      </c>
      <c r="B513" s="13">
        <v>45968</v>
      </c>
      <c r="C513" s="17" t="s">
        <v>8</v>
      </c>
      <c r="D513" s="15">
        <v>531.16</v>
      </c>
      <c r="E513" s="16" t="s">
        <v>821</v>
      </c>
      <c r="F513" s="14" t="s">
        <v>1528</v>
      </c>
      <c r="G513" s="16" t="s">
        <v>1492</v>
      </c>
      <c r="H513" s="17" t="s">
        <v>1422</v>
      </c>
      <c r="I513" s="11">
        <v>4</v>
      </c>
    </row>
    <row r="514" spans="1:9" hidden="1" x14ac:dyDescent="0.25">
      <c r="A514" s="14">
        <v>11</v>
      </c>
      <c r="B514" s="13">
        <v>45968</v>
      </c>
      <c r="C514" s="17" t="s">
        <v>8</v>
      </c>
      <c r="D514" s="15">
        <v>531.16</v>
      </c>
      <c r="E514" s="16" t="s">
        <v>821</v>
      </c>
      <c r="F514" s="14" t="s">
        <v>1528</v>
      </c>
      <c r="G514" s="16" t="s">
        <v>1493</v>
      </c>
      <c r="H514" s="17" t="s">
        <v>1422</v>
      </c>
      <c r="I514" s="11">
        <v>4</v>
      </c>
    </row>
    <row r="515" spans="1:9" hidden="1" x14ac:dyDescent="0.25">
      <c r="A515" s="14">
        <v>11</v>
      </c>
      <c r="B515" s="13">
        <v>45968</v>
      </c>
      <c r="C515" s="17" t="s">
        <v>32</v>
      </c>
      <c r="D515" s="15">
        <v>183.7</v>
      </c>
      <c r="E515" s="16" t="s">
        <v>824</v>
      </c>
      <c r="F515" s="14" t="s">
        <v>1972</v>
      </c>
      <c r="G515" s="16" t="s">
        <v>1493</v>
      </c>
      <c r="H515" s="17" t="s">
        <v>1286</v>
      </c>
      <c r="I515" s="11">
        <v>4</v>
      </c>
    </row>
    <row r="516" spans="1:9" hidden="1" x14ac:dyDescent="0.25">
      <c r="A516" s="14">
        <v>11</v>
      </c>
      <c r="B516" s="13">
        <v>45968</v>
      </c>
      <c r="C516" s="17" t="s">
        <v>20</v>
      </c>
      <c r="D516" s="15">
        <v>80.52</v>
      </c>
      <c r="E516" s="16" t="s">
        <v>823</v>
      </c>
      <c r="F516" s="14" t="s">
        <v>1538</v>
      </c>
      <c r="G516" s="16" t="s">
        <v>1490</v>
      </c>
      <c r="H516" s="17" t="s">
        <v>1424</v>
      </c>
      <c r="I516" s="11">
        <v>3</v>
      </c>
    </row>
    <row r="517" spans="1:9" hidden="1" x14ac:dyDescent="0.25">
      <c r="A517" s="14">
        <v>11</v>
      </c>
      <c r="B517" s="13">
        <v>45968</v>
      </c>
      <c r="C517" s="17" t="s">
        <v>20</v>
      </c>
      <c r="D517" s="15">
        <v>77.760000000000005</v>
      </c>
      <c r="E517" s="16" t="s">
        <v>823</v>
      </c>
      <c r="F517" s="14" t="s">
        <v>1538</v>
      </c>
      <c r="G517" s="16" t="s">
        <v>1491</v>
      </c>
      <c r="H517" s="17" t="s">
        <v>1424</v>
      </c>
      <c r="I517" s="11">
        <v>3</v>
      </c>
    </row>
    <row r="518" spans="1:9" hidden="1" x14ac:dyDescent="0.25">
      <c r="A518" s="14">
        <v>11</v>
      </c>
      <c r="B518" s="13">
        <v>45968</v>
      </c>
      <c r="C518" s="17" t="s">
        <v>20</v>
      </c>
      <c r="D518" s="15">
        <v>80.52</v>
      </c>
      <c r="E518" s="16" t="s">
        <v>823</v>
      </c>
      <c r="F518" s="14" t="s">
        <v>1538</v>
      </c>
      <c r="G518" s="16" t="s">
        <v>1492</v>
      </c>
      <c r="H518" s="17" t="s">
        <v>1424</v>
      </c>
      <c r="I518" s="11">
        <v>3</v>
      </c>
    </row>
    <row r="519" spans="1:9" hidden="1" x14ac:dyDescent="0.25">
      <c r="A519" s="14">
        <v>11</v>
      </c>
      <c r="B519" s="13">
        <v>45968</v>
      </c>
      <c r="C519" s="17" t="s">
        <v>8</v>
      </c>
      <c r="D519" s="15">
        <v>422.41</v>
      </c>
      <c r="E519" s="16" t="s">
        <v>822</v>
      </c>
      <c r="F519" s="14" t="s">
        <v>1739</v>
      </c>
      <c r="G519" s="16" t="s">
        <v>1493</v>
      </c>
      <c r="H519" s="17" t="s">
        <v>1423</v>
      </c>
      <c r="I519" s="11">
        <v>4</v>
      </c>
    </row>
    <row r="520" spans="1:9" hidden="1" x14ac:dyDescent="0.25">
      <c r="A520" s="14">
        <v>11</v>
      </c>
      <c r="B520" s="13">
        <v>45968</v>
      </c>
      <c r="C520" s="17" t="s">
        <v>16</v>
      </c>
      <c r="D520" s="15">
        <v>40</v>
      </c>
      <c r="E520" s="16" t="s">
        <v>825</v>
      </c>
      <c r="F520" s="14"/>
      <c r="G520" s="16" t="s">
        <v>1498</v>
      </c>
      <c r="H520" s="17" t="s">
        <v>1425</v>
      </c>
      <c r="I520" s="11">
        <v>0</v>
      </c>
    </row>
    <row r="521" spans="1:9" hidden="1" x14ac:dyDescent="0.25">
      <c r="A521" s="14">
        <v>11</v>
      </c>
      <c r="B521" s="13">
        <v>45969</v>
      </c>
      <c r="C521" s="17" t="s">
        <v>814</v>
      </c>
      <c r="D521" s="15">
        <v>618.07000000000005</v>
      </c>
      <c r="E521" s="16" t="s">
        <v>815</v>
      </c>
      <c r="F521" s="14" t="s">
        <v>1781</v>
      </c>
      <c r="G521" s="16" t="s">
        <v>1493</v>
      </c>
      <c r="H521" s="17" t="s">
        <v>814</v>
      </c>
      <c r="I521" s="11">
        <v>9</v>
      </c>
    </row>
    <row r="522" spans="1:9" hidden="1" x14ac:dyDescent="0.25">
      <c r="A522" s="14">
        <v>11</v>
      </c>
      <c r="B522" s="13">
        <v>45969</v>
      </c>
      <c r="C522" s="17" t="s">
        <v>8</v>
      </c>
      <c r="D522" s="15">
        <v>137.29</v>
      </c>
      <c r="E522" s="16" t="s">
        <v>819</v>
      </c>
      <c r="F522" s="14" t="s">
        <v>1736</v>
      </c>
      <c r="G522" s="16" t="s">
        <v>1492</v>
      </c>
      <c r="H522" s="17" t="s">
        <v>1399</v>
      </c>
      <c r="I522" s="11">
        <v>6</v>
      </c>
    </row>
    <row r="523" spans="1:9" hidden="1" x14ac:dyDescent="0.25">
      <c r="A523" s="14">
        <v>11</v>
      </c>
      <c r="B523" s="13">
        <v>45969</v>
      </c>
      <c r="C523" s="17" t="s">
        <v>32</v>
      </c>
      <c r="D523" s="15">
        <v>430.34</v>
      </c>
      <c r="E523" s="16" t="s">
        <v>817</v>
      </c>
      <c r="F523" s="14" t="s">
        <v>1717</v>
      </c>
      <c r="G523" s="16" t="s">
        <v>1493</v>
      </c>
      <c r="H523" s="17" t="s">
        <v>32</v>
      </c>
      <c r="I523" s="11">
        <v>4</v>
      </c>
    </row>
    <row r="524" spans="1:9" hidden="1" x14ac:dyDescent="0.25">
      <c r="A524" s="14">
        <v>11</v>
      </c>
      <c r="B524" s="13">
        <v>45969</v>
      </c>
      <c r="C524" s="17" t="s">
        <v>16</v>
      </c>
      <c r="D524" s="15">
        <v>322.75</v>
      </c>
      <c r="E524" s="16" t="s">
        <v>818</v>
      </c>
      <c r="F524" s="14" t="s">
        <v>1596</v>
      </c>
      <c r="G524" s="16" t="s">
        <v>1492</v>
      </c>
      <c r="H524" s="17" t="s">
        <v>16</v>
      </c>
      <c r="I524" s="11">
        <v>4</v>
      </c>
    </row>
    <row r="525" spans="1:9" hidden="1" x14ac:dyDescent="0.25">
      <c r="A525" s="14">
        <v>11</v>
      </c>
      <c r="B525" s="13">
        <v>45969</v>
      </c>
      <c r="C525" s="17" t="s">
        <v>20</v>
      </c>
      <c r="D525" s="15">
        <v>580</v>
      </c>
      <c r="E525" s="16" t="s">
        <v>816</v>
      </c>
      <c r="F525" s="14"/>
      <c r="G525" s="16" t="s">
        <v>1499</v>
      </c>
      <c r="H525" s="17" t="s">
        <v>20</v>
      </c>
      <c r="I525" s="11">
        <v>0</v>
      </c>
    </row>
    <row r="526" spans="1:9" hidden="1" x14ac:dyDescent="0.25">
      <c r="A526" s="14">
        <v>11</v>
      </c>
      <c r="B526" s="13">
        <v>45969</v>
      </c>
      <c r="C526" s="17" t="s">
        <v>20</v>
      </c>
      <c r="D526" s="15">
        <v>50</v>
      </c>
      <c r="E526" s="16" t="s">
        <v>820</v>
      </c>
      <c r="F526" s="14"/>
      <c r="G526" s="16" t="s">
        <v>1497</v>
      </c>
      <c r="H526" s="17"/>
      <c r="I526" s="11">
        <v>0</v>
      </c>
    </row>
    <row r="527" spans="1:9" hidden="1" x14ac:dyDescent="0.25">
      <c r="A527" s="14">
        <v>11</v>
      </c>
      <c r="B527" s="13">
        <v>45970</v>
      </c>
      <c r="C527" s="17" t="s">
        <v>8</v>
      </c>
      <c r="D527" s="15">
        <v>314.44</v>
      </c>
      <c r="E527" s="16" t="s">
        <v>807</v>
      </c>
      <c r="F527" s="14" t="s">
        <v>1991</v>
      </c>
      <c r="G527" s="16" t="s">
        <v>1492</v>
      </c>
      <c r="H527" s="17" t="s">
        <v>1343</v>
      </c>
      <c r="I527" s="11">
        <v>8</v>
      </c>
    </row>
    <row r="528" spans="1:9" hidden="1" x14ac:dyDescent="0.25">
      <c r="A528" s="14">
        <v>11</v>
      </c>
      <c r="B528" s="13">
        <v>45970</v>
      </c>
      <c r="C528" s="17" t="s">
        <v>8</v>
      </c>
      <c r="D528" s="15">
        <v>317.29000000000002</v>
      </c>
      <c r="E528" s="16" t="s">
        <v>807</v>
      </c>
      <c r="F528" s="14" t="s">
        <v>1991</v>
      </c>
      <c r="G528" s="16" t="s">
        <v>1493</v>
      </c>
      <c r="H528" s="17" t="s">
        <v>1343</v>
      </c>
      <c r="I528" s="11">
        <v>8</v>
      </c>
    </row>
    <row r="529" spans="1:9" hidden="1" x14ac:dyDescent="0.25">
      <c r="A529" s="14">
        <v>11</v>
      </c>
      <c r="B529" s="13">
        <v>45971</v>
      </c>
      <c r="C529" s="17" t="s">
        <v>16</v>
      </c>
      <c r="D529" s="15">
        <v>259.76</v>
      </c>
      <c r="E529" s="16" t="s">
        <v>805</v>
      </c>
      <c r="F529" s="14" t="s">
        <v>1756</v>
      </c>
      <c r="G529" s="16" t="s">
        <v>1492</v>
      </c>
      <c r="H529" s="17" t="s">
        <v>1253</v>
      </c>
      <c r="I529" s="11">
        <v>4</v>
      </c>
    </row>
    <row r="530" spans="1:9" hidden="1" x14ac:dyDescent="0.25">
      <c r="A530" s="14">
        <v>11</v>
      </c>
      <c r="B530" s="13">
        <v>45971</v>
      </c>
      <c r="C530" s="17" t="s">
        <v>8</v>
      </c>
      <c r="D530" s="15">
        <v>30</v>
      </c>
      <c r="E530" s="16" t="s">
        <v>806</v>
      </c>
      <c r="F530" s="14"/>
      <c r="G530" s="16" t="s">
        <v>1497</v>
      </c>
      <c r="H530" s="17" t="s">
        <v>1320</v>
      </c>
      <c r="I530" s="11">
        <v>7</v>
      </c>
    </row>
    <row r="531" spans="1:9" hidden="1" x14ac:dyDescent="0.25">
      <c r="A531" s="14">
        <v>11</v>
      </c>
      <c r="B531" s="13">
        <v>45972</v>
      </c>
      <c r="C531" s="17" t="s">
        <v>8</v>
      </c>
      <c r="D531" s="15">
        <v>183.74</v>
      </c>
      <c r="E531" s="16" t="s">
        <v>803</v>
      </c>
      <c r="F531" s="14" t="s">
        <v>1792</v>
      </c>
      <c r="G531" s="16" t="s">
        <v>1491</v>
      </c>
      <c r="H531" s="17" t="s">
        <v>1292</v>
      </c>
      <c r="I531" s="11">
        <v>5</v>
      </c>
    </row>
    <row r="532" spans="1:9" hidden="1" x14ac:dyDescent="0.25">
      <c r="A532" s="14">
        <v>11</v>
      </c>
      <c r="B532" s="13">
        <v>45972</v>
      </c>
      <c r="C532" s="17" t="s">
        <v>8</v>
      </c>
      <c r="D532" s="15">
        <v>183.7</v>
      </c>
      <c r="E532" s="16" t="s">
        <v>804</v>
      </c>
      <c r="F532" s="14" t="s">
        <v>1792</v>
      </c>
      <c r="G532" s="16" t="s">
        <v>1493</v>
      </c>
      <c r="H532" s="17" t="s">
        <v>1292</v>
      </c>
      <c r="I532" s="11">
        <v>5</v>
      </c>
    </row>
    <row r="533" spans="1:9" hidden="1" x14ac:dyDescent="0.25">
      <c r="A533" s="14">
        <v>11</v>
      </c>
      <c r="B533" s="13">
        <v>45972</v>
      </c>
      <c r="C533" s="17" t="s">
        <v>32</v>
      </c>
      <c r="D533" s="15">
        <v>378.34</v>
      </c>
      <c r="E533" s="16" t="s">
        <v>801</v>
      </c>
      <c r="F533" s="14" t="s">
        <v>1952</v>
      </c>
      <c r="G533" s="16" t="s">
        <v>1492</v>
      </c>
      <c r="H533" s="17" t="s">
        <v>1289</v>
      </c>
      <c r="I533" s="11">
        <v>5</v>
      </c>
    </row>
    <row r="534" spans="1:9" hidden="1" x14ac:dyDescent="0.25">
      <c r="A534" s="14">
        <v>11</v>
      </c>
      <c r="B534" s="13">
        <v>45972</v>
      </c>
      <c r="C534" s="17" t="s">
        <v>32</v>
      </c>
      <c r="D534" s="15">
        <v>385.04</v>
      </c>
      <c r="E534" s="16" t="s">
        <v>801</v>
      </c>
      <c r="F534" s="14" t="s">
        <v>1952</v>
      </c>
      <c r="G534" s="16" t="s">
        <v>1493</v>
      </c>
      <c r="H534" s="17" t="s">
        <v>1289</v>
      </c>
      <c r="I534" s="11">
        <v>5</v>
      </c>
    </row>
    <row r="535" spans="1:9" hidden="1" x14ac:dyDescent="0.25">
      <c r="A535" s="14">
        <v>11</v>
      </c>
      <c r="B535" s="13">
        <v>45972</v>
      </c>
      <c r="C535" s="17" t="s">
        <v>8</v>
      </c>
      <c r="D535" s="15">
        <v>317.29000000000002</v>
      </c>
      <c r="E535" s="16" t="s">
        <v>802</v>
      </c>
      <c r="F535" s="14" t="s">
        <v>1691</v>
      </c>
      <c r="G535" s="16" t="s">
        <v>1493</v>
      </c>
      <c r="H535" s="17" t="s">
        <v>8</v>
      </c>
      <c r="I535" s="11">
        <v>6</v>
      </c>
    </row>
    <row r="536" spans="1:9" hidden="1" x14ac:dyDescent="0.25">
      <c r="A536" s="14">
        <v>11</v>
      </c>
      <c r="B536" s="13">
        <v>45973</v>
      </c>
      <c r="C536" s="17" t="s">
        <v>8</v>
      </c>
      <c r="D536" s="15">
        <v>531.16</v>
      </c>
      <c r="E536" s="16" t="s">
        <v>790</v>
      </c>
      <c r="F536" s="14" t="s">
        <v>1528</v>
      </c>
      <c r="G536" s="16" t="s">
        <v>1494</v>
      </c>
      <c r="H536" s="17" t="s">
        <v>1422</v>
      </c>
      <c r="I536" s="11">
        <v>4</v>
      </c>
    </row>
    <row r="537" spans="1:9" hidden="1" x14ac:dyDescent="0.25">
      <c r="A537" s="14">
        <v>11</v>
      </c>
      <c r="B537" s="13">
        <v>45973</v>
      </c>
      <c r="C537" s="17" t="s">
        <v>8</v>
      </c>
      <c r="D537" s="15">
        <v>257.83999999999997</v>
      </c>
      <c r="E537" s="16" t="s">
        <v>793</v>
      </c>
      <c r="F537" s="14" t="s">
        <v>1533</v>
      </c>
      <c r="G537" s="16" t="s">
        <v>1493</v>
      </c>
      <c r="H537" s="17" t="s">
        <v>1427</v>
      </c>
      <c r="I537" s="11">
        <v>4</v>
      </c>
    </row>
    <row r="538" spans="1:9" hidden="1" x14ac:dyDescent="0.25">
      <c r="A538" s="14">
        <v>11</v>
      </c>
      <c r="B538" s="13">
        <v>45973</v>
      </c>
      <c r="C538" s="17" t="s">
        <v>8</v>
      </c>
      <c r="D538" s="15">
        <v>255.6</v>
      </c>
      <c r="E538" s="16" t="s">
        <v>794</v>
      </c>
      <c r="F538" s="14" t="s">
        <v>1533</v>
      </c>
      <c r="G538" s="16" t="s">
        <v>1492</v>
      </c>
      <c r="H538" s="17" t="s">
        <v>1427</v>
      </c>
      <c r="I538" s="11">
        <v>4</v>
      </c>
    </row>
    <row r="539" spans="1:9" hidden="1" x14ac:dyDescent="0.25">
      <c r="A539" s="14">
        <v>11</v>
      </c>
      <c r="B539" s="13">
        <v>45973</v>
      </c>
      <c r="C539" s="17" t="s">
        <v>8</v>
      </c>
      <c r="D539" s="15">
        <v>254.32</v>
      </c>
      <c r="E539" s="16" t="s">
        <v>795</v>
      </c>
      <c r="F539" s="14" t="s">
        <v>1533</v>
      </c>
      <c r="G539" s="16" t="s">
        <v>1494</v>
      </c>
      <c r="H539" s="17" t="s">
        <v>1427</v>
      </c>
      <c r="I539" s="11">
        <v>4</v>
      </c>
    </row>
    <row r="540" spans="1:9" hidden="1" x14ac:dyDescent="0.25">
      <c r="A540" s="14">
        <v>11</v>
      </c>
      <c r="B540" s="13">
        <v>45973</v>
      </c>
      <c r="C540" s="17" t="s">
        <v>8</v>
      </c>
      <c r="D540" s="15">
        <v>242.83</v>
      </c>
      <c r="E540" s="16" t="s">
        <v>796</v>
      </c>
      <c r="F540" s="14" t="s">
        <v>1533</v>
      </c>
      <c r="G540" s="16" t="s">
        <v>1491</v>
      </c>
      <c r="H540" s="17" t="s">
        <v>1427</v>
      </c>
      <c r="I540" s="11">
        <v>4</v>
      </c>
    </row>
    <row r="541" spans="1:9" hidden="1" x14ac:dyDescent="0.25">
      <c r="A541" s="14">
        <v>11</v>
      </c>
      <c r="B541" s="13">
        <v>45973</v>
      </c>
      <c r="C541" s="17" t="s">
        <v>531</v>
      </c>
      <c r="D541" s="15">
        <v>172.21</v>
      </c>
      <c r="E541" s="16" t="s">
        <v>798</v>
      </c>
      <c r="F541" s="14" t="s">
        <v>1946</v>
      </c>
      <c r="G541" s="16" t="s">
        <v>1493</v>
      </c>
      <c r="H541" s="17" t="s">
        <v>531</v>
      </c>
      <c r="I541" s="11">
        <v>5</v>
      </c>
    </row>
    <row r="542" spans="1:9" hidden="1" x14ac:dyDescent="0.25">
      <c r="A542" s="14">
        <v>11</v>
      </c>
      <c r="B542" s="13">
        <v>45973</v>
      </c>
      <c r="C542" s="17" t="s">
        <v>8</v>
      </c>
      <c r="D542" s="15">
        <v>100</v>
      </c>
      <c r="E542" s="16" t="s">
        <v>800</v>
      </c>
      <c r="F542" s="14"/>
      <c r="G542" s="16" t="s">
        <v>2069</v>
      </c>
      <c r="H542" s="17" t="s">
        <v>1278</v>
      </c>
      <c r="I542" s="11">
        <v>8</v>
      </c>
    </row>
    <row r="543" spans="1:9" hidden="1" x14ac:dyDescent="0.25">
      <c r="A543" s="14">
        <v>11</v>
      </c>
      <c r="B543" s="13">
        <v>45973</v>
      </c>
      <c r="C543" s="17" t="s">
        <v>23</v>
      </c>
      <c r="D543" s="15">
        <v>171.62</v>
      </c>
      <c r="E543" s="16" t="s">
        <v>799</v>
      </c>
      <c r="F543" s="14" t="s">
        <v>1841</v>
      </c>
      <c r="G543" s="16" t="s">
        <v>1493</v>
      </c>
      <c r="H543" s="17" t="s">
        <v>1218</v>
      </c>
      <c r="I543" s="11">
        <v>5</v>
      </c>
    </row>
    <row r="544" spans="1:9" hidden="1" x14ac:dyDescent="0.25">
      <c r="A544" s="14">
        <v>11</v>
      </c>
      <c r="B544" s="13">
        <v>45973</v>
      </c>
      <c r="C544" s="17" t="s">
        <v>8</v>
      </c>
      <c r="D544" s="15">
        <v>182.54</v>
      </c>
      <c r="E544" s="16" t="s">
        <v>792</v>
      </c>
      <c r="F544" s="14" t="s">
        <v>1697</v>
      </c>
      <c r="G544" s="16" t="s">
        <v>1490</v>
      </c>
      <c r="H544" s="17" t="s">
        <v>1426</v>
      </c>
      <c r="I544" s="11">
        <v>6</v>
      </c>
    </row>
    <row r="545" spans="1:9" hidden="1" x14ac:dyDescent="0.25">
      <c r="A545" s="14">
        <v>11</v>
      </c>
      <c r="B545" s="13">
        <v>45973</v>
      </c>
      <c r="C545" s="17" t="s">
        <v>8</v>
      </c>
      <c r="D545" s="15">
        <f>360-D544</f>
        <v>177.46</v>
      </c>
      <c r="E545" s="16" t="s">
        <v>792</v>
      </c>
      <c r="F545" s="14" t="s">
        <v>1697</v>
      </c>
      <c r="G545" s="16" t="s">
        <v>1494</v>
      </c>
      <c r="H545" s="17" t="s">
        <v>1426</v>
      </c>
      <c r="I545" s="11">
        <v>6</v>
      </c>
    </row>
    <row r="546" spans="1:9" hidden="1" x14ac:dyDescent="0.25">
      <c r="A546" s="14">
        <v>11</v>
      </c>
      <c r="B546" s="13">
        <v>45973</v>
      </c>
      <c r="C546" s="17" t="s">
        <v>8</v>
      </c>
      <c r="D546" s="15">
        <v>525.41999999999996</v>
      </c>
      <c r="E546" s="16" t="s">
        <v>791</v>
      </c>
      <c r="F546" s="14" t="s">
        <v>2010</v>
      </c>
      <c r="G546" s="16" t="s">
        <v>1492</v>
      </c>
      <c r="H546" s="17" t="s">
        <v>1396</v>
      </c>
      <c r="I546" s="11">
        <v>5</v>
      </c>
    </row>
    <row r="547" spans="1:9" hidden="1" x14ac:dyDescent="0.25">
      <c r="A547" s="14">
        <v>11</v>
      </c>
      <c r="B547" s="13">
        <v>45973</v>
      </c>
      <c r="C547" s="17" t="s">
        <v>32</v>
      </c>
      <c r="D547" s="15">
        <v>208.18</v>
      </c>
      <c r="E547" s="16" t="s">
        <v>797</v>
      </c>
      <c r="F547" s="14" t="s">
        <v>1579</v>
      </c>
      <c r="G547" s="16" t="s">
        <v>1493</v>
      </c>
      <c r="H547" s="17" t="s">
        <v>1428</v>
      </c>
      <c r="I547" s="11">
        <v>6</v>
      </c>
    </row>
    <row r="548" spans="1:9" hidden="1" x14ac:dyDescent="0.25">
      <c r="A548" s="14">
        <v>11</v>
      </c>
      <c r="B548" s="13">
        <v>45974</v>
      </c>
      <c r="C548" s="17" t="s">
        <v>8</v>
      </c>
      <c r="D548" s="15">
        <v>374.78</v>
      </c>
      <c r="E548" s="16" t="s">
        <v>778</v>
      </c>
      <c r="F548" s="14" t="s">
        <v>1505</v>
      </c>
      <c r="G548" s="16" t="s">
        <v>1494</v>
      </c>
      <c r="H548" s="17" t="s">
        <v>1224</v>
      </c>
      <c r="I548" s="11">
        <v>5</v>
      </c>
    </row>
    <row r="549" spans="1:9" hidden="1" x14ac:dyDescent="0.25">
      <c r="A549" s="14">
        <v>11</v>
      </c>
      <c r="B549" s="13">
        <v>45974</v>
      </c>
      <c r="C549" s="17" t="s">
        <v>8</v>
      </c>
      <c r="D549" s="15">
        <v>335.45</v>
      </c>
      <c r="E549" s="16" t="s">
        <v>779</v>
      </c>
      <c r="F549" s="14" t="s">
        <v>1605</v>
      </c>
      <c r="G549" s="16" t="s">
        <v>1492</v>
      </c>
      <c r="H549" s="17" t="s">
        <v>1430</v>
      </c>
      <c r="I549" s="11">
        <v>5</v>
      </c>
    </row>
    <row r="550" spans="1:9" hidden="1" x14ac:dyDescent="0.25">
      <c r="A550" s="14">
        <v>11</v>
      </c>
      <c r="B550" s="13">
        <v>45974</v>
      </c>
      <c r="C550" s="17" t="s">
        <v>8</v>
      </c>
      <c r="D550" s="15">
        <v>313.69</v>
      </c>
      <c r="E550" s="16" t="s">
        <v>780</v>
      </c>
      <c r="F550" s="14" t="s">
        <v>1605</v>
      </c>
      <c r="G550" s="16" t="s">
        <v>1493</v>
      </c>
      <c r="H550" s="17" t="s">
        <v>1430</v>
      </c>
      <c r="I550" s="11">
        <v>5</v>
      </c>
    </row>
    <row r="551" spans="1:9" hidden="1" x14ac:dyDescent="0.25">
      <c r="A551" s="14">
        <v>11</v>
      </c>
      <c r="B551" s="13">
        <v>45974</v>
      </c>
      <c r="C551" s="17" t="s">
        <v>8</v>
      </c>
      <c r="D551" s="15">
        <v>307.88</v>
      </c>
      <c r="E551" s="16" t="s">
        <v>782</v>
      </c>
      <c r="F551" s="14" t="s">
        <v>1605</v>
      </c>
      <c r="G551" s="16" t="s">
        <v>1490</v>
      </c>
      <c r="H551" s="17" t="s">
        <v>1430</v>
      </c>
      <c r="I551" s="11">
        <v>5</v>
      </c>
    </row>
    <row r="552" spans="1:9" hidden="1" x14ac:dyDescent="0.25">
      <c r="A552" s="14">
        <v>11</v>
      </c>
      <c r="B552" s="13">
        <v>45974</v>
      </c>
      <c r="C552" s="17" t="s">
        <v>8</v>
      </c>
      <c r="D552" s="15">
        <v>300.13</v>
      </c>
      <c r="E552" s="16" t="s">
        <v>783</v>
      </c>
      <c r="F552" s="14" t="s">
        <v>1605</v>
      </c>
      <c r="G552" s="16" t="s">
        <v>1494</v>
      </c>
      <c r="H552" s="17" t="s">
        <v>1430</v>
      </c>
      <c r="I552" s="11">
        <v>5</v>
      </c>
    </row>
    <row r="553" spans="1:9" hidden="1" x14ac:dyDescent="0.25">
      <c r="A553" s="14">
        <v>11</v>
      </c>
      <c r="B553" s="13">
        <v>45974</v>
      </c>
      <c r="C553" s="17" t="s">
        <v>8</v>
      </c>
      <c r="D553" s="15">
        <v>275.58</v>
      </c>
      <c r="E553" s="16" t="s">
        <v>784</v>
      </c>
      <c r="F553" s="14" t="s">
        <v>1605</v>
      </c>
      <c r="G553" s="16" t="s">
        <v>1491</v>
      </c>
      <c r="H553" s="17" t="s">
        <v>1430</v>
      </c>
      <c r="I553" s="11">
        <v>5</v>
      </c>
    </row>
    <row r="554" spans="1:9" hidden="1" x14ac:dyDescent="0.25">
      <c r="A554" s="14">
        <v>11</v>
      </c>
      <c r="B554" s="13">
        <v>45974</v>
      </c>
      <c r="C554" s="17" t="s">
        <v>16</v>
      </c>
      <c r="D554" s="15">
        <v>185.28</v>
      </c>
      <c r="E554" s="16" t="s">
        <v>785</v>
      </c>
      <c r="F554" s="14" t="s">
        <v>1602</v>
      </c>
      <c r="G554" s="16" t="s">
        <v>1494</v>
      </c>
      <c r="H554" s="17" t="s">
        <v>1265</v>
      </c>
      <c r="I554" s="11">
        <v>5</v>
      </c>
    </row>
    <row r="555" spans="1:9" hidden="1" x14ac:dyDescent="0.25">
      <c r="A555" s="14">
        <v>11</v>
      </c>
      <c r="B555" s="13">
        <v>45974</v>
      </c>
      <c r="C555" s="17" t="s">
        <v>16</v>
      </c>
      <c r="D555" s="15">
        <v>308.32</v>
      </c>
      <c r="E555" s="16" t="s">
        <v>781</v>
      </c>
      <c r="F555" s="14" t="s">
        <v>1647</v>
      </c>
      <c r="G555" s="16" t="s">
        <v>1494</v>
      </c>
      <c r="H555" s="17" t="s">
        <v>1305</v>
      </c>
      <c r="I555" s="11">
        <v>4</v>
      </c>
    </row>
    <row r="556" spans="1:9" hidden="1" x14ac:dyDescent="0.25">
      <c r="A556" s="14">
        <v>11</v>
      </c>
      <c r="B556" s="13">
        <v>45974</v>
      </c>
      <c r="C556" s="17" t="s">
        <v>8</v>
      </c>
      <c r="D556" s="15">
        <v>410.58</v>
      </c>
      <c r="E556" s="16" t="s">
        <v>776</v>
      </c>
      <c r="F556" s="14" t="s">
        <v>1650</v>
      </c>
      <c r="G556" s="16" t="s">
        <v>1493</v>
      </c>
      <c r="H556" s="17" t="s">
        <v>1365</v>
      </c>
      <c r="I556" s="11">
        <v>4</v>
      </c>
    </row>
    <row r="557" spans="1:9" hidden="1" x14ac:dyDescent="0.25">
      <c r="A557" s="14">
        <v>11</v>
      </c>
      <c r="B557" s="13">
        <v>45974</v>
      </c>
      <c r="C557" s="17" t="s">
        <v>8</v>
      </c>
      <c r="D557" s="15">
        <v>472.68</v>
      </c>
      <c r="E557" s="16" t="s">
        <v>775</v>
      </c>
      <c r="F557" s="14" t="s">
        <v>1882</v>
      </c>
      <c r="G557" s="16" t="s">
        <v>1494</v>
      </c>
      <c r="H557" s="17" t="s">
        <v>1429</v>
      </c>
      <c r="I557" s="11">
        <v>6</v>
      </c>
    </row>
    <row r="558" spans="1:9" hidden="1" x14ac:dyDescent="0.25">
      <c r="A558" s="14">
        <v>11</v>
      </c>
      <c r="B558" s="13">
        <v>45974</v>
      </c>
      <c r="C558" s="17" t="s">
        <v>8</v>
      </c>
      <c r="D558" s="15">
        <v>23.32</v>
      </c>
      <c r="E558" s="16" t="s">
        <v>786</v>
      </c>
      <c r="F558" s="14" t="s">
        <v>1884</v>
      </c>
      <c r="G558" s="16" t="s">
        <v>1492</v>
      </c>
      <c r="H558" s="17" t="s">
        <v>1431</v>
      </c>
      <c r="I558" s="11">
        <v>5</v>
      </c>
    </row>
    <row r="559" spans="1:9" hidden="1" x14ac:dyDescent="0.25">
      <c r="A559" s="14">
        <v>11</v>
      </c>
      <c r="B559" s="13">
        <v>45974</v>
      </c>
      <c r="C559" s="17" t="s">
        <v>8</v>
      </c>
      <c r="D559" s="15">
        <v>23.32</v>
      </c>
      <c r="E559" s="16" t="s">
        <v>787</v>
      </c>
      <c r="F559" s="14" t="s">
        <v>1884</v>
      </c>
      <c r="G559" s="16" t="s">
        <v>1493</v>
      </c>
      <c r="H559" s="17" t="s">
        <v>1431</v>
      </c>
      <c r="I559" s="11">
        <v>5</v>
      </c>
    </row>
    <row r="560" spans="1:9" hidden="1" x14ac:dyDescent="0.25">
      <c r="A560" s="14">
        <v>11</v>
      </c>
      <c r="B560" s="13">
        <v>45974</v>
      </c>
      <c r="C560" s="17" t="s">
        <v>8</v>
      </c>
      <c r="D560" s="15">
        <v>23.32</v>
      </c>
      <c r="E560" s="16" t="s">
        <v>788</v>
      </c>
      <c r="F560" s="14" t="s">
        <v>1884</v>
      </c>
      <c r="G560" s="16" t="s">
        <v>1494</v>
      </c>
      <c r="H560" s="17" t="s">
        <v>1431</v>
      </c>
      <c r="I560" s="11">
        <v>5</v>
      </c>
    </row>
    <row r="561" spans="1:9" hidden="1" x14ac:dyDescent="0.25">
      <c r="A561" s="14">
        <v>11</v>
      </c>
      <c r="B561" s="13">
        <v>45974</v>
      </c>
      <c r="C561" s="17" t="s">
        <v>8</v>
      </c>
      <c r="D561" s="15">
        <v>22.52</v>
      </c>
      <c r="E561" s="16" t="s">
        <v>789</v>
      </c>
      <c r="F561" s="14" t="s">
        <v>1884</v>
      </c>
      <c r="G561" s="16" t="s">
        <v>1491</v>
      </c>
      <c r="H561" s="17" t="s">
        <v>1431</v>
      </c>
      <c r="I561" s="11">
        <v>5</v>
      </c>
    </row>
    <row r="562" spans="1:9" hidden="1" x14ac:dyDescent="0.25">
      <c r="A562" s="14">
        <v>11</v>
      </c>
      <c r="B562" s="13">
        <v>45974</v>
      </c>
      <c r="C562" s="17" t="s">
        <v>8</v>
      </c>
      <c r="D562" s="15">
        <v>403.27</v>
      </c>
      <c r="E562" s="16" t="s">
        <v>777</v>
      </c>
      <c r="F562" s="14" t="s">
        <v>1996</v>
      </c>
      <c r="G562" s="16" t="s">
        <v>1492</v>
      </c>
      <c r="H562" s="17" t="s">
        <v>1309</v>
      </c>
      <c r="I562" s="11">
        <v>6</v>
      </c>
    </row>
    <row r="563" spans="1:9" hidden="1" x14ac:dyDescent="0.25">
      <c r="A563" s="14">
        <v>11</v>
      </c>
      <c r="B563" s="13">
        <v>45975</v>
      </c>
      <c r="C563" s="17" t="s">
        <v>8</v>
      </c>
      <c r="D563" s="15">
        <v>447.92</v>
      </c>
      <c r="E563" s="16" t="s">
        <v>754</v>
      </c>
      <c r="F563" s="14" t="s">
        <v>1551</v>
      </c>
      <c r="G563" s="16" t="s">
        <v>1493</v>
      </c>
      <c r="H563" s="17" t="s">
        <v>1307</v>
      </c>
      <c r="I563" s="11">
        <v>8</v>
      </c>
    </row>
    <row r="564" spans="1:9" hidden="1" x14ac:dyDescent="0.25">
      <c r="A564" s="14">
        <v>11</v>
      </c>
      <c r="B564" s="13">
        <v>45975</v>
      </c>
      <c r="C564" s="17" t="s">
        <v>8</v>
      </c>
      <c r="D564" s="15">
        <v>177.32</v>
      </c>
      <c r="E564" s="16" t="s">
        <v>754</v>
      </c>
      <c r="F564" s="14" t="s">
        <v>1927</v>
      </c>
      <c r="G564" s="16" t="s">
        <v>1493</v>
      </c>
      <c r="H564" s="17" t="s">
        <v>1307</v>
      </c>
      <c r="I564" s="11">
        <v>6</v>
      </c>
    </row>
    <row r="565" spans="1:9" hidden="1" x14ac:dyDescent="0.25">
      <c r="A565" s="14">
        <v>11</v>
      </c>
      <c r="B565" s="13">
        <v>45975</v>
      </c>
      <c r="C565" s="17" t="s">
        <v>8</v>
      </c>
      <c r="D565" s="15">
        <v>264.22000000000003</v>
      </c>
      <c r="E565" s="16" t="s">
        <v>754</v>
      </c>
      <c r="F565" s="14" t="s">
        <v>1955</v>
      </c>
      <c r="G565" s="16" t="s">
        <v>1493</v>
      </c>
      <c r="H565" s="17" t="s">
        <v>1307</v>
      </c>
      <c r="I565" s="11">
        <v>5</v>
      </c>
    </row>
    <row r="566" spans="1:9" hidden="1" x14ac:dyDescent="0.25">
      <c r="A566" s="14">
        <v>11</v>
      </c>
      <c r="B566" s="13">
        <v>45975</v>
      </c>
      <c r="C566" s="17" t="s">
        <v>8</v>
      </c>
      <c r="D566" s="15">
        <v>417.21</v>
      </c>
      <c r="E566" s="16" t="s">
        <v>756</v>
      </c>
      <c r="F566" s="14" t="s">
        <v>1921</v>
      </c>
      <c r="G566" s="16" t="s">
        <v>1493</v>
      </c>
      <c r="H566" s="17" t="s">
        <v>1397</v>
      </c>
      <c r="I566" s="11">
        <v>5</v>
      </c>
    </row>
    <row r="567" spans="1:9" hidden="1" x14ac:dyDescent="0.25">
      <c r="A567" s="14">
        <v>11</v>
      </c>
      <c r="B567" s="13">
        <v>45975</v>
      </c>
      <c r="C567" s="17" t="s">
        <v>16</v>
      </c>
      <c r="D567" s="15">
        <v>416.96</v>
      </c>
      <c r="E567" s="16" t="s">
        <v>757</v>
      </c>
      <c r="F567" s="14" t="s">
        <v>1585</v>
      </c>
      <c r="G567" s="16" t="s">
        <v>1493</v>
      </c>
      <c r="H567" s="17" t="s">
        <v>1323</v>
      </c>
      <c r="I567" s="11">
        <v>6</v>
      </c>
    </row>
    <row r="568" spans="1:9" hidden="1" x14ac:dyDescent="0.25">
      <c r="A568" s="14">
        <v>11</v>
      </c>
      <c r="B568" s="13">
        <v>45975</v>
      </c>
      <c r="C568" s="17" t="s">
        <v>20</v>
      </c>
      <c r="D568" s="15">
        <v>429.74</v>
      </c>
      <c r="E568" s="16" t="s">
        <v>755</v>
      </c>
      <c r="F568" s="14" t="s">
        <v>2016</v>
      </c>
      <c r="G568" s="16" t="s">
        <v>1493</v>
      </c>
      <c r="H568" s="17" t="s">
        <v>1275</v>
      </c>
      <c r="I568" s="11">
        <v>5</v>
      </c>
    </row>
    <row r="569" spans="1:9" hidden="1" x14ac:dyDescent="0.25">
      <c r="A569" s="14">
        <v>11</v>
      </c>
      <c r="B569" s="13">
        <v>45975</v>
      </c>
      <c r="C569" s="17" t="s">
        <v>8</v>
      </c>
      <c r="D569" s="15">
        <v>407.43</v>
      </c>
      <c r="E569" s="16" t="s">
        <v>758</v>
      </c>
      <c r="F569" s="14" t="s">
        <v>2004</v>
      </c>
      <c r="G569" s="16" t="s">
        <v>1492</v>
      </c>
      <c r="H569" s="17" t="s">
        <v>1260</v>
      </c>
      <c r="I569" s="11">
        <v>5</v>
      </c>
    </row>
    <row r="570" spans="1:9" hidden="1" x14ac:dyDescent="0.25">
      <c r="A570" s="14">
        <v>11</v>
      </c>
      <c r="B570" s="13">
        <v>45975</v>
      </c>
      <c r="C570" s="17" t="s">
        <v>8</v>
      </c>
      <c r="D570" s="15">
        <v>80.52</v>
      </c>
      <c r="E570" s="16" t="s">
        <v>762</v>
      </c>
      <c r="F570" s="14" t="s">
        <v>1703</v>
      </c>
      <c r="G570" s="16" t="s">
        <v>1489</v>
      </c>
      <c r="H570" s="17" t="s">
        <v>1433</v>
      </c>
      <c r="I570" s="11">
        <v>7</v>
      </c>
    </row>
    <row r="571" spans="1:9" hidden="1" x14ac:dyDescent="0.25">
      <c r="A571" s="14">
        <v>11</v>
      </c>
      <c r="B571" s="13">
        <v>45975</v>
      </c>
      <c r="C571" s="17" t="s">
        <v>8</v>
      </c>
      <c r="D571" s="15">
        <v>67.97</v>
      </c>
      <c r="E571" s="16" t="s">
        <v>762</v>
      </c>
      <c r="F571" s="14" t="s">
        <v>1703</v>
      </c>
      <c r="G571" s="16" t="s">
        <v>1490</v>
      </c>
      <c r="H571" s="17" t="s">
        <v>1433</v>
      </c>
      <c r="I571" s="11">
        <v>7</v>
      </c>
    </row>
    <row r="572" spans="1:9" hidden="1" x14ac:dyDescent="0.25">
      <c r="A572" s="14">
        <v>11</v>
      </c>
      <c r="B572" s="13">
        <v>45975</v>
      </c>
      <c r="C572" s="17" t="s">
        <v>32</v>
      </c>
      <c r="D572" s="15">
        <v>365.88</v>
      </c>
      <c r="E572" s="16" t="s">
        <v>760</v>
      </c>
      <c r="F572" s="14" t="s">
        <v>1958</v>
      </c>
      <c r="G572" s="16" t="s">
        <v>1492</v>
      </c>
      <c r="H572" s="17" t="s">
        <v>1432</v>
      </c>
      <c r="I572" s="11">
        <v>3</v>
      </c>
    </row>
    <row r="573" spans="1:9" hidden="1" x14ac:dyDescent="0.25">
      <c r="A573" s="14">
        <v>11</v>
      </c>
      <c r="B573" s="13">
        <v>45975</v>
      </c>
      <c r="C573" s="17" t="s">
        <v>32</v>
      </c>
      <c r="D573" s="15">
        <v>374.49</v>
      </c>
      <c r="E573" s="16" t="s">
        <v>759</v>
      </c>
      <c r="F573" s="14" t="s">
        <v>2030</v>
      </c>
      <c r="G573" s="16" t="s">
        <v>1494</v>
      </c>
      <c r="H573" s="17" t="s">
        <v>1212</v>
      </c>
      <c r="I573" s="11">
        <v>5</v>
      </c>
    </row>
    <row r="574" spans="1:9" hidden="1" x14ac:dyDescent="0.25">
      <c r="A574" s="14">
        <v>11</v>
      </c>
      <c r="B574" s="13">
        <v>45975</v>
      </c>
      <c r="C574" s="17" t="s">
        <v>20</v>
      </c>
      <c r="D574" s="15">
        <v>40</v>
      </c>
      <c r="E574" s="16" t="s">
        <v>763</v>
      </c>
      <c r="F574" s="14"/>
      <c r="G574" s="16" t="s">
        <v>1498</v>
      </c>
      <c r="H574" s="17" t="s">
        <v>1434</v>
      </c>
      <c r="I574" s="11">
        <v>0</v>
      </c>
    </row>
    <row r="575" spans="1:9" hidden="1" x14ac:dyDescent="0.25">
      <c r="A575" s="14">
        <v>11</v>
      </c>
      <c r="B575" s="13">
        <v>45975</v>
      </c>
      <c r="C575" s="17" t="s">
        <v>16</v>
      </c>
      <c r="D575" s="15">
        <v>170.93</v>
      </c>
      <c r="E575" s="16" t="s">
        <v>761</v>
      </c>
      <c r="F575" s="14" t="s">
        <v>1786</v>
      </c>
      <c r="G575" s="16" t="s">
        <v>1494</v>
      </c>
      <c r="H575" s="17" t="s">
        <v>1241</v>
      </c>
      <c r="I575" s="11">
        <v>7</v>
      </c>
    </row>
    <row r="576" spans="1:9" hidden="1" x14ac:dyDescent="0.25">
      <c r="A576" s="14">
        <v>11</v>
      </c>
      <c r="B576" s="13">
        <v>45975</v>
      </c>
      <c r="C576" s="17" t="s">
        <v>16</v>
      </c>
      <c r="D576" s="15">
        <v>2.31</v>
      </c>
      <c r="E576" s="16" t="s">
        <v>764</v>
      </c>
      <c r="F576" s="14" t="s">
        <v>1786</v>
      </c>
      <c r="G576" s="16" t="s">
        <v>1494</v>
      </c>
      <c r="H576" s="17" t="s">
        <v>1241</v>
      </c>
      <c r="I576" s="11">
        <v>7</v>
      </c>
    </row>
    <row r="577" spans="1:9" hidden="1" x14ac:dyDescent="0.25">
      <c r="A577" s="14">
        <v>11</v>
      </c>
      <c r="B577" s="13">
        <v>45976</v>
      </c>
      <c r="C577" s="17" t="s">
        <v>16</v>
      </c>
      <c r="D577" s="15">
        <v>306.33999999999997</v>
      </c>
      <c r="E577" s="16" t="s">
        <v>748</v>
      </c>
      <c r="F577" s="14" t="s">
        <v>1557</v>
      </c>
      <c r="G577" s="16" t="s">
        <v>1494</v>
      </c>
      <c r="H577" s="17" t="s">
        <v>1214</v>
      </c>
      <c r="I577" s="11">
        <v>5</v>
      </c>
    </row>
    <row r="578" spans="1:9" hidden="1" x14ac:dyDescent="0.25">
      <c r="A578" s="14">
        <v>11</v>
      </c>
      <c r="B578" s="13">
        <v>45976</v>
      </c>
      <c r="C578" s="17" t="s">
        <v>16</v>
      </c>
      <c r="D578" s="15">
        <v>501.86</v>
      </c>
      <c r="E578" s="16" t="s">
        <v>742</v>
      </c>
      <c r="F578" s="14" t="s">
        <v>2049</v>
      </c>
      <c r="G578" s="16" t="s">
        <v>1494</v>
      </c>
      <c r="H578" s="17" t="s">
        <v>1361</v>
      </c>
      <c r="I578" s="11">
        <v>4</v>
      </c>
    </row>
    <row r="579" spans="1:9" hidden="1" x14ac:dyDescent="0.25">
      <c r="A579" s="14">
        <v>11</v>
      </c>
      <c r="B579" s="13">
        <v>45976</v>
      </c>
      <c r="C579" s="17" t="s">
        <v>16</v>
      </c>
      <c r="D579" s="15">
        <v>373.62</v>
      </c>
      <c r="E579" s="16" t="s">
        <v>741</v>
      </c>
      <c r="F579" s="14" t="s">
        <v>1659</v>
      </c>
      <c r="G579" s="16" t="s">
        <v>1490</v>
      </c>
      <c r="H579" s="17" t="s">
        <v>1435</v>
      </c>
      <c r="I579" s="11">
        <v>6</v>
      </c>
    </row>
    <row r="580" spans="1:9" hidden="1" x14ac:dyDescent="0.25">
      <c r="A580" s="14">
        <v>11</v>
      </c>
      <c r="B580" s="13">
        <v>45976</v>
      </c>
      <c r="C580" s="17" t="s">
        <v>16</v>
      </c>
      <c r="D580" s="15">
        <v>368.28</v>
      </c>
      <c r="E580" s="16" t="s">
        <v>741</v>
      </c>
      <c r="F580" s="14" t="s">
        <v>1659</v>
      </c>
      <c r="G580" s="16" t="s">
        <v>1491</v>
      </c>
      <c r="H580" s="17" t="s">
        <v>1435</v>
      </c>
      <c r="I580" s="11">
        <v>6</v>
      </c>
    </row>
    <row r="581" spans="1:9" hidden="1" x14ac:dyDescent="0.25">
      <c r="A581" s="14">
        <v>11</v>
      </c>
      <c r="B581" s="13">
        <v>45976</v>
      </c>
      <c r="C581" s="17" t="s">
        <v>16</v>
      </c>
      <c r="D581" s="15">
        <v>258.10000000000002</v>
      </c>
      <c r="E581" s="16" t="s">
        <v>741</v>
      </c>
      <c r="F581" s="14" t="s">
        <v>1659</v>
      </c>
      <c r="G581" s="16" t="s">
        <v>1492</v>
      </c>
      <c r="H581" s="17" t="s">
        <v>1435</v>
      </c>
      <c r="I581" s="11">
        <v>6</v>
      </c>
    </row>
    <row r="582" spans="1:9" hidden="1" x14ac:dyDescent="0.25">
      <c r="A582" s="14">
        <v>11</v>
      </c>
      <c r="B582" s="13">
        <v>45976</v>
      </c>
      <c r="C582" s="17" t="s">
        <v>8</v>
      </c>
      <c r="D582" s="15">
        <v>440.75</v>
      </c>
      <c r="E582" s="16" t="s">
        <v>743</v>
      </c>
      <c r="F582" s="14" t="s">
        <v>1548</v>
      </c>
      <c r="G582" s="16" t="s">
        <v>1494</v>
      </c>
      <c r="H582" s="17" t="s">
        <v>1247</v>
      </c>
      <c r="I582" s="11">
        <v>5</v>
      </c>
    </row>
    <row r="583" spans="1:9" hidden="1" x14ac:dyDescent="0.25">
      <c r="A583" s="14">
        <v>11</v>
      </c>
      <c r="B583" s="13">
        <v>45976</v>
      </c>
      <c r="C583" s="17" t="s">
        <v>8</v>
      </c>
      <c r="D583" s="15">
        <v>397.81</v>
      </c>
      <c r="E583" s="16" t="s">
        <v>744</v>
      </c>
      <c r="F583" s="14" t="s">
        <v>1758</v>
      </c>
      <c r="G583" s="16" t="s">
        <v>1493</v>
      </c>
      <c r="H583" s="17" t="s">
        <v>1373</v>
      </c>
      <c r="I583" s="11">
        <v>6</v>
      </c>
    </row>
    <row r="584" spans="1:9" hidden="1" x14ac:dyDescent="0.25">
      <c r="A584" s="14">
        <v>11</v>
      </c>
      <c r="B584" s="13">
        <v>45976</v>
      </c>
      <c r="C584" s="17" t="s">
        <v>8</v>
      </c>
      <c r="D584" s="15">
        <v>196.47</v>
      </c>
      <c r="E584" s="16" t="s">
        <v>749</v>
      </c>
      <c r="F584" s="14" t="s">
        <v>1941</v>
      </c>
      <c r="G584" s="16" t="s">
        <v>1493</v>
      </c>
      <c r="H584" s="17" t="s">
        <v>1239</v>
      </c>
      <c r="I584" s="11">
        <v>4</v>
      </c>
    </row>
    <row r="585" spans="1:9" hidden="1" x14ac:dyDescent="0.25">
      <c r="A585" s="14">
        <v>11</v>
      </c>
      <c r="B585" s="13">
        <v>45976</v>
      </c>
      <c r="C585" s="17" t="s">
        <v>8</v>
      </c>
      <c r="D585" s="15">
        <v>371.62</v>
      </c>
      <c r="E585" s="16" t="s">
        <v>746</v>
      </c>
      <c r="F585" s="14" t="s">
        <v>1936</v>
      </c>
      <c r="G585" s="16" t="s">
        <v>1494</v>
      </c>
      <c r="H585" s="17" t="s">
        <v>1364</v>
      </c>
      <c r="I585" s="11">
        <v>5</v>
      </c>
    </row>
    <row r="586" spans="1:9" x14ac:dyDescent="0.25">
      <c r="A586" s="14">
        <v>11</v>
      </c>
      <c r="B586" s="13">
        <v>45976</v>
      </c>
      <c r="C586" s="17" t="s">
        <v>8</v>
      </c>
      <c r="D586" s="15">
        <v>380.23</v>
      </c>
      <c r="E586" s="16" t="s">
        <v>745</v>
      </c>
      <c r="F586" s="14" t="s">
        <v>1830</v>
      </c>
      <c r="G586" s="16" t="s">
        <v>1494</v>
      </c>
      <c r="H586" s="17" t="s">
        <v>1235</v>
      </c>
      <c r="I586" s="11">
        <v>7</v>
      </c>
    </row>
    <row r="587" spans="1:9" hidden="1" x14ac:dyDescent="0.25">
      <c r="A587" s="14">
        <v>11</v>
      </c>
      <c r="B587" s="13">
        <v>45976</v>
      </c>
      <c r="C587" s="17" t="s">
        <v>8</v>
      </c>
      <c r="D587" s="15">
        <v>340.25</v>
      </c>
      <c r="E587" s="16" t="s">
        <v>747</v>
      </c>
      <c r="F587" s="14" t="s">
        <v>1909</v>
      </c>
      <c r="G587" s="16" t="s">
        <v>1494</v>
      </c>
      <c r="H587" s="17" t="s">
        <v>1436</v>
      </c>
      <c r="I587" s="11">
        <v>1</v>
      </c>
    </row>
    <row r="588" spans="1:9" hidden="1" x14ac:dyDescent="0.25">
      <c r="A588" s="14">
        <v>11</v>
      </c>
      <c r="B588" s="13">
        <v>45977</v>
      </c>
      <c r="C588" s="17" t="s">
        <v>8</v>
      </c>
      <c r="D588" s="15">
        <v>80.52</v>
      </c>
      <c r="E588" s="16" t="s">
        <v>740</v>
      </c>
      <c r="F588" s="14" t="s">
        <v>1675</v>
      </c>
      <c r="G588" s="16" t="s">
        <v>1494</v>
      </c>
      <c r="H588" s="17" t="s">
        <v>1270</v>
      </c>
      <c r="I588" s="11">
        <v>10</v>
      </c>
    </row>
    <row r="589" spans="1:9" hidden="1" x14ac:dyDescent="0.25">
      <c r="A589" s="14">
        <v>11</v>
      </c>
      <c r="B589" s="13">
        <v>45977</v>
      </c>
      <c r="C589" s="17" t="s">
        <v>16</v>
      </c>
      <c r="D589" s="15">
        <v>391.42</v>
      </c>
      <c r="E589" s="16" t="s">
        <v>737</v>
      </c>
      <c r="F589" s="14" t="s">
        <v>1835</v>
      </c>
      <c r="G589" s="16" t="s">
        <v>1493</v>
      </c>
      <c r="H589" s="17" t="s">
        <v>1288</v>
      </c>
      <c r="I589" s="11">
        <v>5</v>
      </c>
    </row>
    <row r="590" spans="1:9" hidden="1" x14ac:dyDescent="0.25">
      <c r="A590" s="14">
        <v>11</v>
      </c>
      <c r="B590" s="13">
        <v>45977</v>
      </c>
      <c r="C590" s="17" t="s">
        <v>8</v>
      </c>
      <c r="D590" s="15">
        <v>298.13</v>
      </c>
      <c r="E590" s="16" t="s">
        <v>738</v>
      </c>
      <c r="F590" s="14" t="s">
        <v>1675</v>
      </c>
      <c r="G590" s="16" t="s">
        <v>1493</v>
      </c>
      <c r="H590" s="17" t="s">
        <v>1355</v>
      </c>
      <c r="I590" s="11">
        <v>10</v>
      </c>
    </row>
    <row r="591" spans="1:9" hidden="1" x14ac:dyDescent="0.25">
      <c r="A591" s="14">
        <v>11</v>
      </c>
      <c r="B591" s="13">
        <v>45977</v>
      </c>
      <c r="C591" s="17" t="s">
        <v>8</v>
      </c>
      <c r="D591" s="15">
        <v>277.64</v>
      </c>
      <c r="E591" s="16" t="s">
        <v>739</v>
      </c>
      <c r="F591" s="14" t="s">
        <v>1918</v>
      </c>
      <c r="G591" s="16" t="s">
        <v>1494</v>
      </c>
      <c r="H591" s="17" t="s">
        <v>1252</v>
      </c>
      <c r="I591" s="11">
        <v>5</v>
      </c>
    </row>
    <row r="592" spans="1:9" hidden="1" x14ac:dyDescent="0.25">
      <c r="A592" s="14">
        <v>11</v>
      </c>
      <c r="B592" s="13">
        <v>45978</v>
      </c>
      <c r="C592" s="17" t="s">
        <v>8</v>
      </c>
      <c r="D592" s="15">
        <v>176.67</v>
      </c>
      <c r="E592" s="16" t="s">
        <v>734</v>
      </c>
      <c r="F592" s="14" t="s">
        <v>2022</v>
      </c>
      <c r="G592" s="16" t="s">
        <v>1494</v>
      </c>
      <c r="H592" s="17" t="s">
        <v>1340</v>
      </c>
      <c r="I592" s="11">
        <v>4</v>
      </c>
    </row>
    <row r="593" spans="1:9" hidden="1" x14ac:dyDescent="0.25">
      <c r="A593" s="14">
        <v>11</v>
      </c>
      <c r="B593" s="13">
        <v>45978</v>
      </c>
      <c r="C593" s="17" t="s">
        <v>20</v>
      </c>
      <c r="D593" s="15">
        <v>80.52</v>
      </c>
      <c r="E593" s="16" t="s">
        <v>735</v>
      </c>
      <c r="F593" s="14" t="s">
        <v>1888</v>
      </c>
      <c r="G593" s="16" t="s">
        <v>1493</v>
      </c>
      <c r="H593" s="17" t="s">
        <v>1384</v>
      </c>
      <c r="I593" s="11">
        <v>4</v>
      </c>
    </row>
    <row r="594" spans="1:9" hidden="1" x14ac:dyDescent="0.25">
      <c r="A594" s="14">
        <v>11</v>
      </c>
      <c r="B594" s="13">
        <v>45978</v>
      </c>
      <c r="C594" s="17" t="s">
        <v>187</v>
      </c>
      <c r="D594" s="15">
        <v>30</v>
      </c>
      <c r="E594" s="16" t="s">
        <v>736</v>
      </c>
      <c r="F594" s="14"/>
      <c r="G594" s="16" t="s">
        <v>1497</v>
      </c>
      <c r="H594" s="17" t="s">
        <v>1782</v>
      </c>
      <c r="I594" s="11">
        <v>9</v>
      </c>
    </row>
    <row r="595" spans="1:9" hidden="1" x14ac:dyDescent="0.25">
      <c r="A595" s="14">
        <v>11</v>
      </c>
      <c r="B595" s="13">
        <v>45978</v>
      </c>
      <c r="C595" s="17" t="s">
        <v>8</v>
      </c>
      <c r="D595" s="15">
        <v>190.09</v>
      </c>
      <c r="E595" s="16" t="s">
        <v>733</v>
      </c>
      <c r="F595" s="14" t="s">
        <v>1843</v>
      </c>
      <c r="G595" s="16" t="s">
        <v>1493</v>
      </c>
      <c r="H595" s="17" t="s">
        <v>1382</v>
      </c>
      <c r="I595" s="11">
        <v>10</v>
      </c>
    </row>
    <row r="596" spans="1:9" hidden="1" x14ac:dyDescent="0.25">
      <c r="A596" s="14">
        <v>11</v>
      </c>
      <c r="B596" s="13">
        <v>45978</v>
      </c>
      <c r="C596" s="17" t="s">
        <v>16</v>
      </c>
      <c r="D596" s="15">
        <v>378.26</v>
      </c>
      <c r="E596" s="16" t="s">
        <v>730</v>
      </c>
      <c r="F596" s="14" t="s">
        <v>1621</v>
      </c>
      <c r="G596" s="16" t="s">
        <v>1492</v>
      </c>
      <c r="H596" s="17" t="s">
        <v>1259</v>
      </c>
      <c r="I596" s="11">
        <v>7</v>
      </c>
    </row>
    <row r="597" spans="1:9" hidden="1" x14ac:dyDescent="0.25">
      <c r="A597" s="14">
        <v>11</v>
      </c>
      <c r="B597" s="13">
        <v>45978</v>
      </c>
      <c r="C597" s="17" t="s">
        <v>16</v>
      </c>
      <c r="D597" s="15">
        <v>391.42</v>
      </c>
      <c r="E597" s="16" t="s">
        <v>730</v>
      </c>
      <c r="F597" s="14" t="s">
        <v>1621</v>
      </c>
      <c r="G597" s="16" t="s">
        <v>1493</v>
      </c>
      <c r="H597" s="17" t="s">
        <v>1259</v>
      </c>
      <c r="I597" s="11">
        <v>7</v>
      </c>
    </row>
    <row r="598" spans="1:9" hidden="1" x14ac:dyDescent="0.25">
      <c r="A598" s="14">
        <v>11</v>
      </c>
      <c r="B598" s="13">
        <v>45978</v>
      </c>
      <c r="C598" s="17" t="s">
        <v>16</v>
      </c>
      <c r="D598" s="15">
        <v>380.23</v>
      </c>
      <c r="E598" s="16" t="s">
        <v>730</v>
      </c>
      <c r="F598" s="14" t="s">
        <v>1621</v>
      </c>
      <c r="G598" s="16" t="s">
        <v>1494</v>
      </c>
      <c r="H598" s="17" t="s">
        <v>1259</v>
      </c>
      <c r="I598" s="11">
        <v>7</v>
      </c>
    </row>
    <row r="599" spans="1:9" hidden="1" x14ac:dyDescent="0.25">
      <c r="A599" s="14">
        <v>11</v>
      </c>
      <c r="B599" s="13">
        <v>45978</v>
      </c>
      <c r="C599" s="17" t="s">
        <v>16</v>
      </c>
      <c r="D599" s="15">
        <v>15.53</v>
      </c>
      <c r="E599" s="16" t="s">
        <v>730</v>
      </c>
      <c r="F599" s="14" t="s">
        <v>1621</v>
      </c>
      <c r="G599" s="16" t="s">
        <v>1495</v>
      </c>
      <c r="H599" s="17" t="s">
        <v>1259</v>
      </c>
      <c r="I599" s="11">
        <v>7</v>
      </c>
    </row>
    <row r="600" spans="1:9" hidden="1" x14ac:dyDescent="0.25">
      <c r="A600" s="14">
        <v>11</v>
      </c>
      <c r="B600" s="13">
        <v>45978</v>
      </c>
      <c r="C600" s="17" t="s">
        <v>8</v>
      </c>
      <c r="D600" s="15">
        <v>377.34</v>
      </c>
      <c r="E600" s="16" t="s">
        <v>732</v>
      </c>
      <c r="F600" s="14" t="s">
        <v>1629</v>
      </c>
      <c r="G600" s="16" t="s">
        <v>1494</v>
      </c>
      <c r="H600" s="17" t="s">
        <v>1222</v>
      </c>
      <c r="I600" s="11">
        <v>5</v>
      </c>
    </row>
    <row r="601" spans="1:9" hidden="1" x14ac:dyDescent="0.25">
      <c r="A601" s="14">
        <v>11</v>
      </c>
      <c r="B601" s="13">
        <v>45978</v>
      </c>
      <c r="C601" s="17" t="s">
        <v>8</v>
      </c>
      <c r="D601" s="15">
        <v>446.4</v>
      </c>
      <c r="E601" s="16" t="s">
        <v>731</v>
      </c>
      <c r="F601" s="14" t="s">
        <v>2025</v>
      </c>
      <c r="G601" s="16" t="s">
        <v>1493</v>
      </c>
      <c r="H601" s="17" t="s">
        <v>1308</v>
      </c>
      <c r="I601" s="11">
        <v>4</v>
      </c>
    </row>
    <row r="602" spans="1:9" hidden="1" x14ac:dyDescent="0.25">
      <c r="A602" s="14">
        <v>11</v>
      </c>
      <c r="B602" s="13">
        <v>45979</v>
      </c>
      <c r="C602" s="17" t="s">
        <v>29</v>
      </c>
      <c r="D602" s="15">
        <v>1268.22</v>
      </c>
      <c r="E602" s="16" t="s">
        <v>721</v>
      </c>
      <c r="F602" s="14" t="s">
        <v>1554</v>
      </c>
      <c r="G602" s="16" t="s">
        <v>1492</v>
      </c>
      <c r="H602" s="17" t="s">
        <v>1243</v>
      </c>
      <c r="I602" s="11">
        <v>3</v>
      </c>
    </row>
    <row r="603" spans="1:9" hidden="1" x14ac:dyDescent="0.25">
      <c r="A603" s="14">
        <v>11</v>
      </c>
      <c r="B603" s="13">
        <v>45979</v>
      </c>
      <c r="C603" s="17" t="s">
        <v>29</v>
      </c>
      <c r="D603" s="15">
        <v>1264.3699999999999</v>
      </c>
      <c r="E603" s="16" t="s">
        <v>721</v>
      </c>
      <c r="F603" s="14" t="s">
        <v>1554</v>
      </c>
      <c r="G603" s="16" t="s">
        <v>1493</v>
      </c>
      <c r="H603" s="17" t="s">
        <v>1243</v>
      </c>
      <c r="I603" s="11">
        <v>3</v>
      </c>
    </row>
    <row r="604" spans="1:9" hidden="1" x14ac:dyDescent="0.25">
      <c r="A604" s="14">
        <v>11</v>
      </c>
      <c r="B604" s="13">
        <v>45979</v>
      </c>
      <c r="C604" s="17" t="s">
        <v>8</v>
      </c>
      <c r="D604" s="15">
        <v>397.81</v>
      </c>
      <c r="E604" s="16" t="s">
        <v>724</v>
      </c>
      <c r="F604" s="14" t="s">
        <v>1588</v>
      </c>
      <c r="G604" s="16" t="s">
        <v>1493</v>
      </c>
      <c r="H604" s="17" t="s">
        <v>1327</v>
      </c>
      <c r="I604" s="11">
        <v>6</v>
      </c>
    </row>
    <row r="605" spans="1:9" hidden="1" x14ac:dyDescent="0.25">
      <c r="A605" s="14">
        <v>11</v>
      </c>
      <c r="B605" s="13">
        <v>45979</v>
      </c>
      <c r="C605" s="17" t="s">
        <v>16</v>
      </c>
      <c r="D605" s="15">
        <v>379.02</v>
      </c>
      <c r="E605" s="16" t="s">
        <v>726</v>
      </c>
      <c r="F605" s="14" t="s">
        <v>1617</v>
      </c>
      <c r="G605" s="16" t="s">
        <v>1494</v>
      </c>
      <c r="H605" s="17" t="s">
        <v>1437</v>
      </c>
      <c r="I605" s="11">
        <v>7</v>
      </c>
    </row>
    <row r="606" spans="1:9" hidden="1" x14ac:dyDescent="0.25">
      <c r="A606" s="14">
        <v>11</v>
      </c>
      <c r="B606" s="13">
        <v>45979</v>
      </c>
      <c r="C606" s="17" t="s">
        <v>32</v>
      </c>
      <c r="D606" s="15">
        <v>380.46</v>
      </c>
      <c r="E606" s="16" t="s">
        <v>725</v>
      </c>
      <c r="F606" s="14" t="s">
        <v>1852</v>
      </c>
      <c r="G606" s="16" t="s">
        <v>1492</v>
      </c>
      <c r="H606" s="17" t="s">
        <v>1401</v>
      </c>
      <c r="I606" s="11">
        <v>7</v>
      </c>
    </row>
    <row r="607" spans="1:9" hidden="1" x14ac:dyDescent="0.25">
      <c r="A607" s="14">
        <v>11</v>
      </c>
      <c r="B607" s="13">
        <v>45979</v>
      </c>
      <c r="C607" s="17" t="s">
        <v>32</v>
      </c>
      <c r="D607" s="15">
        <v>372.41</v>
      </c>
      <c r="E607" s="16" t="s">
        <v>727</v>
      </c>
      <c r="F607" s="14" t="s">
        <v>1852</v>
      </c>
      <c r="G607" s="16" t="s">
        <v>1494</v>
      </c>
      <c r="H607" s="17" t="s">
        <v>1401</v>
      </c>
      <c r="I607" s="11">
        <v>7</v>
      </c>
    </row>
    <row r="608" spans="1:9" hidden="1" x14ac:dyDescent="0.25">
      <c r="A608" s="14">
        <v>11</v>
      </c>
      <c r="B608" s="13">
        <v>45979</v>
      </c>
      <c r="C608" s="17" t="s">
        <v>32</v>
      </c>
      <c r="D608" s="15">
        <v>187.48</v>
      </c>
      <c r="E608" s="16" t="s">
        <v>723</v>
      </c>
      <c r="F608" s="14" t="s">
        <v>1694</v>
      </c>
      <c r="G608" s="16" t="s">
        <v>1491</v>
      </c>
      <c r="H608" s="17" t="s">
        <v>1411</v>
      </c>
      <c r="I608" s="11">
        <v>4</v>
      </c>
    </row>
    <row r="609" spans="1:13" hidden="1" x14ac:dyDescent="0.25">
      <c r="A609" s="14">
        <v>11</v>
      </c>
      <c r="B609" s="13">
        <v>45979</v>
      </c>
      <c r="C609" s="17" t="s">
        <v>32</v>
      </c>
      <c r="D609" s="15">
        <v>187.55</v>
      </c>
      <c r="E609" s="16" t="s">
        <v>723</v>
      </c>
      <c r="F609" s="14" t="s">
        <v>1694</v>
      </c>
      <c r="G609" s="16" t="s">
        <v>1492</v>
      </c>
      <c r="H609" s="17" t="s">
        <v>1411</v>
      </c>
      <c r="I609" s="11">
        <v>4</v>
      </c>
    </row>
    <row r="610" spans="1:13" hidden="1" x14ac:dyDescent="0.25">
      <c r="A610" s="14">
        <v>11</v>
      </c>
      <c r="B610" s="13">
        <v>45979</v>
      </c>
      <c r="C610" s="17" t="s">
        <v>32</v>
      </c>
      <c r="D610" s="15">
        <f>176.67+7.03</f>
        <v>183.7</v>
      </c>
      <c r="E610" s="16" t="s">
        <v>723</v>
      </c>
      <c r="F610" s="14" t="s">
        <v>1694</v>
      </c>
      <c r="G610" s="16" t="s">
        <v>1494</v>
      </c>
      <c r="H610" s="17" t="s">
        <v>1411</v>
      </c>
      <c r="I610" s="11">
        <v>4</v>
      </c>
    </row>
    <row r="611" spans="1:13" hidden="1" x14ac:dyDescent="0.25">
      <c r="A611" s="14">
        <v>11</v>
      </c>
      <c r="B611" s="13">
        <v>45979</v>
      </c>
      <c r="C611" s="17" t="s">
        <v>8</v>
      </c>
      <c r="D611" s="15">
        <v>80.52</v>
      </c>
      <c r="E611" s="16" t="s">
        <v>729</v>
      </c>
      <c r="F611" s="14" t="s">
        <v>1801</v>
      </c>
      <c r="G611" s="16" t="s">
        <v>1494</v>
      </c>
      <c r="H611" s="17" t="s">
        <v>1334</v>
      </c>
      <c r="I611" s="11">
        <v>5</v>
      </c>
    </row>
    <row r="612" spans="1:13" hidden="1" x14ac:dyDescent="0.25">
      <c r="A612" s="14">
        <v>11</v>
      </c>
      <c r="B612" s="13">
        <v>45979</v>
      </c>
      <c r="C612" s="17" t="s">
        <v>8</v>
      </c>
      <c r="D612" s="15">
        <v>580</v>
      </c>
      <c r="E612" s="16" t="s">
        <v>722</v>
      </c>
      <c r="F612" s="14"/>
      <c r="G612" s="16" t="s">
        <v>1499</v>
      </c>
      <c r="H612" s="17" t="s">
        <v>1237</v>
      </c>
      <c r="I612" s="11">
        <v>6</v>
      </c>
    </row>
    <row r="613" spans="1:13" hidden="1" x14ac:dyDescent="0.25">
      <c r="A613" s="14">
        <v>11</v>
      </c>
      <c r="B613" s="13">
        <v>45979</v>
      </c>
      <c r="C613" s="17" t="s">
        <v>8</v>
      </c>
      <c r="D613">
        <v>77.760000000000005</v>
      </c>
      <c r="E613" s="16" t="s">
        <v>728</v>
      </c>
      <c r="F613" s="14" t="s">
        <v>2052</v>
      </c>
      <c r="G613" s="16" t="s">
        <v>1491</v>
      </c>
      <c r="H613" s="17" t="s">
        <v>1438</v>
      </c>
      <c r="I613" s="11">
        <v>5</v>
      </c>
      <c r="J613" s="15">
        <v>158.28</v>
      </c>
      <c r="L613">
        <v>77.757975000000016</v>
      </c>
      <c r="M613">
        <v>80.52</v>
      </c>
    </row>
    <row r="614" spans="1:13" hidden="1" x14ac:dyDescent="0.25">
      <c r="A614" s="14">
        <v>11</v>
      </c>
      <c r="B614" s="13">
        <v>45979</v>
      </c>
      <c r="C614" s="17" t="s">
        <v>8</v>
      </c>
      <c r="D614">
        <v>80.52</v>
      </c>
      <c r="E614" s="16" t="s">
        <v>728</v>
      </c>
      <c r="F614" s="14" t="s">
        <v>2052</v>
      </c>
      <c r="G614" s="16" t="s">
        <v>1492</v>
      </c>
      <c r="H614" s="17" t="s">
        <v>1438</v>
      </c>
      <c r="I614" s="11">
        <v>5</v>
      </c>
    </row>
    <row r="615" spans="1:13" hidden="1" x14ac:dyDescent="0.25">
      <c r="A615" s="14">
        <v>11</v>
      </c>
      <c r="B615" s="13">
        <v>45980</v>
      </c>
      <c r="C615" s="17" t="s">
        <v>8</v>
      </c>
      <c r="D615" s="15">
        <v>254.32</v>
      </c>
      <c r="E615" s="16" t="s">
        <v>718</v>
      </c>
      <c r="F615" s="14" t="s">
        <v>1756</v>
      </c>
      <c r="G615" s="16" t="s">
        <v>1494</v>
      </c>
      <c r="H615" s="17" t="s">
        <v>1439</v>
      </c>
      <c r="I615" s="11">
        <v>4</v>
      </c>
    </row>
    <row r="616" spans="1:13" hidden="1" x14ac:dyDescent="0.25">
      <c r="A616" s="14">
        <v>11</v>
      </c>
      <c r="B616" s="13">
        <v>45980</v>
      </c>
      <c r="C616" s="17" t="s">
        <v>8</v>
      </c>
      <c r="D616" s="15">
        <v>190</v>
      </c>
      <c r="E616" s="16" t="s">
        <v>720</v>
      </c>
      <c r="F616" s="14" t="s">
        <v>1963</v>
      </c>
      <c r="G616" s="16" t="s">
        <v>1494</v>
      </c>
      <c r="H616" s="17" t="s">
        <v>1335</v>
      </c>
      <c r="I616" s="11">
        <v>6</v>
      </c>
    </row>
    <row r="617" spans="1:13" hidden="1" x14ac:dyDescent="0.25">
      <c r="A617" s="14">
        <v>11</v>
      </c>
      <c r="B617" s="13">
        <v>45980</v>
      </c>
      <c r="C617" s="17" t="s">
        <v>32</v>
      </c>
      <c r="D617" s="15">
        <v>310.89999999999998</v>
      </c>
      <c r="E617" s="16" t="s">
        <v>716</v>
      </c>
      <c r="F617" s="14" t="s">
        <v>1608</v>
      </c>
      <c r="G617" s="16" t="s">
        <v>1493</v>
      </c>
      <c r="H617" s="17" t="s">
        <v>32</v>
      </c>
      <c r="I617" s="11">
        <v>4</v>
      </c>
    </row>
    <row r="618" spans="1:13" hidden="1" x14ac:dyDescent="0.25">
      <c r="A618" s="14">
        <v>11</v>
      </c>
      <c r="B618" s="13">
        <v>45980</v>
      </c>
      <c r="C618" s="17" t="s">
        <v>32</v>
      </c>
      <c r="D618" s="15">
        <v>296.83999999999997</v>
      </c>
      <c r="E618" s="16" t="s">
        <v>717</v>
      </c>
      <c r="F618" s="14" t="s">
        <v>1608</v>
      </c>
      <c r="G618" s="16" t="s">
        <v>1494</v>
      </c>
      <c r="H618" s="17" t="s">
        <v>32</v>
      </c>
      <c r="I618" s="11">
        <v>4</v>
      </c>
    </row>
    <row r="619" spans="1:13" hidden="1" x14ac:dyDescent="0.25">
      <c r="A619" s="14">
        <v>11</v>
      </c>
      <c r="B619" s="13">
        <v>45980</v>
      </c>
      <c r="C619" s="17" t="s">
        <v>8</v>
      </c>
      <c r="D619" s="15">
        <v>199.99</v>
      </c>
      <c r="E619" s="16" t="s">
        <v>719</v>
      </c>
      <c r="F619" s="14" t="s">
        <v>1986</v>
      </c>
      <c r="G619" s="16" t="s">
        <v>1494</v>
      </c>
      <c r="H619" s="17" t="s">
        <v>1227</v>
      </c>
      <c r="I619" s="11">
        <v>8</v>
      </c>
    </row>
    <row r="620" spans="1:13" hidden="1" x14ac:dyDescent="0.25">
      <c r="A620" s="14">
        <v>11</v>
      </c>
      <c r="B620" s="13">
        <v>45981</v>
      </c>
      <c r="C620" s="17" t="s">
        <v>8</v>
      </c>
      <c r="D620" s="15">
        <v>242.83</v>
      </c>
      <c r="E620" s="16" t="s">
        <v>711</v>
      </c>
      <c r="F620" s="14" t="s">
        <v>1577</v>
      </c>
      <c r="G620" s="16" t="s">
        <v>1491</v>
      </c>
      <c r="H620" s="17" t="s">
        <v>1440</v>
      </c>
      <c r="I620" s="11">
        <v>3</v>
      </c>
    </row>
    <row r="621" spans="1:13" hidden="1" x14ac:dyDescent="0.25">
      <c r="A621" s="14">
        <v>11</v>
      </c>
      <c r="B621" s="13">
        <v>45981</v>
      </c>
      <c r="C621" s="17" t="s">
        <v>8</v>
      </c>
      <c r="D621" s="15">
        <v>251.45</v>
      </c>
      <c r="E621" s="16" t="s">
        <v>711</v>
      </c>
      <c r="F621" s="14" t="s">
        <v>1577</v>
      </c>
      <c r="G621" s="16" t="s">
        <v>1492</v>
      </c>
      <c r="H621" s="17" t="s">
        <v>1440</v>
      </c>
      <c r="I621" s="11">
        <v>3</v>
      </c>
    </row>
    <row r="622" spans="1:13" hidden="1" x14ac:dyDescent="0.25">
      <c r="A622" s="14">
        <v>11</v>
      </c>
      <c r="B622" s="13">
        <v>45981</v>
      </c>
      <c r="C622" s="17" t="s">
        <v>8</v>
      </c>
      <c r="D622" s="15">
        <v>251.45</v>
      </c>
      <c r="E622" s="16" t="s">
        <v>711</v>
      </c>
      <c r="F622" s="14" t="s">
        <v>1577</v>
      </c>
      <c r="G622" s="16" t="s">
        <v>1493</v>
      </c>
      <c r="H622" s="17" t="s">
        <v>1440</v>
      </c>
      <c r="I622" s="11">
        <v>3</v>
      </c>
    </row>
    <row r="623" spans="1:13" hidden="1" x14ac:dyDescent="0.25">
      <c r="A623" s="14">
        <v>11</v>
      </c>
      <c r="B623" s="13">
        <v>45981</v>
      </c>
      <c r="C623" s="17" t="s">
        <v>32</v>
      </c>
      <c r="D623" s="15">
        <v>173.8</v>
      </c>
      <c r="E623" s="16" t="s">
        <v>715</v>
      </c>
      <c r="F623" s="14" t="s">
        <v>1642</v>
      </c>
      <c r="G623" s="16" t="s">
        <v>1494</v>
      </c>
      <c r="H623" s="17" t="s">
        <v>1230</v>
      </c>
      <c r="I623" s="11">
        <v>5</v>
      </c>
    </row>
    <row r="624" spans="1:13" hidden="1" x14ac:dyDescent="0.25">
      <c r="A624" s="14">
        <v>11</v>
      </c>
      <c r="B624" s="13">
        <v>45981</v>
      </c>
      <c r="C624" s="17" t="s">
        <v>8</v>
      </c>
      <c r="D624" s="15">
        <v>409.29</v>
      </c>
      <c r="E624" s="16" t="s">
        <v>712</v>
      </c>
      <c r="F624" s="14" t="s">
        <v>1640</v>
      </c>
      <c r="G624" s="16" t="s">
        <v>1494</v>
      </c>
      <c r="H624" s="17" t="s">
        <v>1349</v>
      </c>
      <c r="I624" s="11">
        <v>5</v>
      </c>
    </row>
    <row r="625" spans="1:9" hidden="1" x14ac:dyDescent="0.25">
      <c r="A625" s="14">
        <v>11</v>
      </c>
      <c r="B625" s="13">
        <v>45981</v>
      </c>
      <c r="C625" s="17" t="s">
        <v>8</v>
      </c>
      <c r="D625" s="15">
        <v>386.57</v>
      </c>
      <c r="E625" s="16" t="s">
        <v>713</v>
      </c>
      <c r="F625" s="14" t="s">
        <v>1798</v>
      </c>
      <c r="G625" s="16" t="s">
        <v>1494</v>
      </c>
      <c r="H625" s="17" t="s">
        <v>1334</v>
      </c>
      <c r="I625" s="11">
        <v>8</v>
      </c>
    </row>
    <row r="626" spans="1:9" hidden="1" x14ac:dyDescent="0.25">
      <c r="A626" s="14">
        <v>11</v>
      </c>
      <c r="B626" s="13">
        <v>45981</v>
      </c>
      <c r="C626" s="17" t="s">
        <v>8</v>
      </c>
      <c r="D626" s="15">
        <v>190.09</v>
      </c>
      <c r="E626" s="16" t="s">
        <v>714</v>
      </c>
      <c r="F626" s="14" t="s">
        <v>1930</v>
      </c>
      <c r="G626" s="16" t="s">
        <v>1493</v>
      </c>
      <c r="H626" s="17" t="s">
        <v>1389</v>
      </c>
      <c r="I626" s="11">
        <v>4</v>
      </c>
    </row>
    <row r="627" spans="1:9" hidden="1" x14ac:dyDescent="0.25">
      <c r="A627" s="14">
        <v>11</v>
      </c>
      <c r="B627" s="13">
        <v>45981</v>
      </c>
      <c r="C627" s="17" t="s">
        <v>8</v>
      </c>
      <c r="D627" s="15">
        <v>393.92</v>
      </c>
      <c r="E627" s="16" t="s">
        <v>710</v>
      </c>
      <c r="F627" s="14" t="s">
        <v>1978</v>
      </c>
      <c r="G627" s="16" t="s">
        <v>1492</v>
      </c>
      <c r="H627" s="17" t="s">
        <v>1261</v>
      </c>
      <c r="I627" s="11">
        <v>6</v>
      </c>
    </row>
    <row r="628" spans="1:9" hidden="1" x14ac:dyDescent="0.25">
      <c r="A628" s="14">
        <v>11</v>
      </c>
      <c r="B628" s="13">
        <v>45981</v>
      </c>
      <c r="C628" s="17" t="s">
        <v>8</v>
      </c>
      <c r="D628" s="15">
        <v>380.97</v>
      </c>
      <c r="E628" s="16" t="s">
        <v>710</v>
      </c>
      <c r="F628" s="14" t="s">
        <v>1978</v>
      </c>
      <c r="G628" s="16" t="s">
        <v>1494</v>
      </c>
      <c r="H628" s="17" t="s">
        <v>1261</v>
      </c>
      <c r="I628" s="11">
        <v>6</v>
      </c>
    </row>
    <row r="629" spans="1:9" hidden="1" x14ac:dyDescent="0.25">
      <c r="A629" s="14">
        <v>11</v>
      </c>
      <c r="B629" s="13">
        <v>45982</v>
      </c>
      <c r="C629" s="17" t="s">
        <v>8</v>
      </c>
      <c r="D629" s="15">
        <v>462.85</v>
      </c>
      <c r="E629" s="16" t="s">
        <v>684</v>
      </c>
      <c r="F629" s="14" t="s">
        <v>1938</v>
      </c>
      <c r="G629" s="16" t="s">
        <v>1493</v>
      </c>
      <c r="H629" s="17" t="s">
        <v>1442</v>
      </c>
      <c r="I629" s="11">
        <v>6</v>
      </c>
    </row>
    <row r="630" spans="1:9" hidden="1" x14ac:dyDescent="0.25">
      <c r="A630" s="14">
        <v>11</v>
      </c>
      <c r="B630" s="13">
        <v>45982</v>
      </c>
      <c r="C630" s="17" t="s">
        <v>8</v>
      </c>
      <c r="D630" s="15">
        <v>580</v>
      </c>
      <c r="E630" s="16" t="s">
        <v>683</v>
      </c>
      <c r="F630" s="14"/>
      <c r="G630" s="16" t="s">
        <v>1499</v>
      </c>
      <c r="H630" s="17" t="s">
        <v>1397</v>
      </c>
      <c r="I630" s="11">
        <v>5</v>
      </c>
    </row>
    <row r="631" spans="1:9" hidden="1" x14ac:dyDescent="0.25">
      <c r="A631" s="14">
        <v>11</v>
      </c>
      <c r="B631" s="13">
        <v>45982</v>
      </c>
      <c r="C631" s="17" t="s">
        <v>8</v>
      </c>
      <c r="D631" s="15">
        <v>580</v>
      </c>
      <c r="E631" s="16" t="s">
        <v>682</v>
      </c>
      <c r="F631" s="14"/>
      <c r="G631" s="16" t="s">
        <v>1499</v>
      </c>
      <c r="H631" s="17" t="s">
        <v>1213</v>
      </c>
      <c r="I631" s="11">
        <v>5</v>
      </c>
    </row>
    <row r="632" spans="1:9" hidden="1" x14ac:dyDescent="0.25">
      <c r="A632" s="14">
        <v>11</v>
      </c>
      <c r="B632" s="13">
        <v>45982</v>
      </c>
      <c r="C632" s="17" t="s">
        <v>8</v>
      </c>
      <c r="D632" s="15">
        <v>197.44</v>
      </c>
      <c r="E632" s="16" t="s">
        <v>681</v>
      </c>
      <c r="F632" s="14" t="s">
        <v>1599</v>
      </c>
      <c r="G632" s="16" t="s">
        <v>1488</v>
      </c>
      <c r="H632" s="17" t="s">
        <v>1441</v>
      </c>
      <c r="I632" s="11">
        <v>7</v>
      </c>
    </row>
    <row r="633" spans="1:9" hidden="1" x14ac:dyDescent="0.25">
      <c r="A633" s="14">
        <v>11</v>
      </c>
      <c r="B633" s="13">
        <v>45982</v>
      </c>
      <c r="C633" s="17" t="s">
        <v>8</v>
      </c>
      <c r="D633" s="15">
        <v>195.43</v>
      </c>
      <c r="E633" s="16" t="s">
        <v>681</v>
      </c>
      <c r="F633" s="14" t="s">
        <v>1599</v>
      </c>
      <c r="G633" s="16" t="s">
        <v>1489</v>
      </c>
      <c r="H633" s="17" t="s">
        <v>1441</v>
      </c>
      <c r="I633" s="11">
        <v>7</v>
      </c>
    </row>
    <row r="634" spans="1:9" hidden="1" x14ac:dyDescent="0.25">
      <c r="A634" s="14">
        <v>11</v>
      </c>
      <c r="B634" s="13">
        <v>45982</v>
      </c>
      <c r="C634" s="17" t="s">
        <v>8</v>
      </c>
      <c r="D634" s="15">
        <v>198.02</v>
      </c>
      <c r="E634" s="16" t="s">
        <v>681</v>
      </c>
      <c r="F634" s="14" t="s">
        <v>1599</v>
      </c>
      <c r="G634" s="16" t="s">
        <v>1490</v>
      </c>
      <c r="H634" s="17" t="s">
        <v>1441</v>
      </c>
      <c r="I634" s="11">
        <v>7</v>
      </c>
    </row>
    <row r="635" spans="1:9" hidden="1" x14ac:dyDescent="0.25">
      <c r="A635" s="14">
        <v>11</v>
      </c>
      <c r="B635" s="13">
        <v>45982</v>
      </c>
      <c r="C635" s="17" t="s">
        <v>8</v>
      </c>
      <c r="D635" s="15">
        <v>189.65</v>
      </c>
      <c r="E635" s="16" t="s">
        <v>681</v>
      </c>
      <c r="F635" s="14" t="s">
        <v>1599</v>
      </c>
      <c r="G635" s="16" t="s">
        <v>1491</v>
      </c>
      <c r="H635" s="17" t="s">
        <v>1441</v>
      </c>
      <c r="I635" s="11">
        <v>7</v>
      </c>
    </row>
    <row r="636" spans="1:9" hidden="1" x14ac:dyDescent="0.25">
      <c r="A636" s="14">
        <v>11</v>
      </c>
      <c r="B636" s="13">
        <v>45982</v>
      </c>
      <c r="C636" s="17" t="s">
        <v>8</v>
      </c>
      <c r="D636" s="15">
        <v>196.1</v>
      </c>
      <c r="E636" s="16" t="s">
        <v>681</v>
      </c>
      <c r="F636" s="14" t="s">
        <v>1599</v>
      </c>
      <c r="G636" s="16" t="s">
        <v>1492</v>
      </c>
      <c r="H636" s="17" t="s">
        <v>1441</v>
      </c>
      <c r="I636" s="11">
        <v>7</v>
      </c>
    </row>
    <row r="637" spans="1:9" hidden="1" x14ac:dyDescent="0.25">
      <c r="A637" s="14">
        <v>11</v>
      </c>
      <c r="B637" s="13">
        <v>45982</v>
      </c>
      <c r="C637" s="17" t="s">
        <v>8</v>
      </c>
      <c r="D637" s="15">
        <v>196.68</v>
      </c>
      <c r="E637" s="16" t="s">
        <v>690</v>
      </c>
      <c r="F637" s="14" t="s">
        <v>1599</v>
      </c>
      <c r="G637" s="16" t="s">
        <v>1493</v>
      </c>
      <c r="H637" s="17" t="s">
        <v>1441</v>
      </c>
      <c r="I637" s="11">
        <v>7</v>
      </c>
    </row>
    <row r="638" spans="1:9" hidden="1" x14ac:dyDescent="0.25">
      <c r="A638" s="14">
        <v>11</v>
      </c>
      <c r="B638" s="13">
        <v>45982</v>
      </c>
      <c r="C638" s="17" t="s">
        <v>8</v>
      </c>
      <c r="D638" s="15">
        <v>185.59</v>
      </c>
      <c r="E638" s="16" t="s">
        <v>691</v>
      </c>
      <c r="F638" s="14" t="s">
        <v>1599</v>
      </c>
      <c r="G638" s="16" t="s">
        <v>1494</v>
      </c>
      <c r="H638" s="17" t="s">
        <v>1441</v>
      </c>
      <c r="I638" s="11">
        <v>7</v>
      </c>
    </row>
    <row r="639" spans="1:9" hidden="1" x14ac:dyDescent="0.25">
      <c r="A639" s="14">
        <v>11</v>
      </c>
      <c r="B639" s="13">
        <v>45982</v>
      </c>
      <c r="C639" s="17" t="s">
        <v>8</v>
      </c>
      <c r="D639" s="15">
        <v>260.06</v>
      </c>
      <c r="E639" s="16" t="s">
        <v>689</v>
      </c>
      <c r="F639" s="14" t="s">
        <v>1764</v>
      </c>
      <c r="G639" s="16" t="s">
        <v>1494</v>
      </c>
      <c r="H639" s="17" t="s">
        <v>1225</v>
      </c>
      <c r="I639" s="11">
        <v>5</v>
      </c>
    </row>
    <row r="640" spans="1:9" hidden="1" x14ac:dyDescent="0.25">
      <c r="A640" s="14">
        <v>11</v>
      </c>
      <c r="B640" s="13">
        <v>45982</v>
      </c>
      <c r="C640" s="17" t="s">
        <v>8</v>
      </c>
      <c r="D640" s="15">
        <v>434.92</v>
      </c>
      <c r="E640" s="16" t="s">
        <v>687</v>
      </c>
      <c r="F640" s="14" t="s">
        <v>1565</v>
      </c>
      <c r="G640" s="16" t="s">
        <v>1492</v>
      </c>
      <c r="H640" s="17" t="s">
        <v>1443</v>
      </c>
      <c r="I640" s="11">
        <v>5</v>
      </c>
    </row>
    <row r="641" spans="1:9" hidden="1" x14ac:dyDescent="0.25">
      <c r="A641" s="14">
        <v>11</v>
      </c>
      <c r="B641" s="13">
        <v>45982</v>
      </c>
      <c r="C641" s="17" t="s">
        <v>685</v>
      </c>
      <c r="D641" s="15">
        <v>449.36</v>
      </c>
      <c r="E641" s="16" t="s">
        <v>686</v>
      </c>
      <c r="F641" s="14" t="s">
        <v>1560</v>
      </c>
      <c r="G641" s="16" t="s">
        <v>1494</v>
      </c>
      <c r="H641" s="17" t="s">
        <v>1206</v>
      </c>
      <c r="I641" s="11">
        <v>5</v>
      </c>
    </row>
    <row r="642" spans="1:9" hidden="1" x14ac:dyDescent="0.25">
      <c r="A642" s="14">
        <v>11</v>
      </c>
      <c r="B642" s="13">
        <v>45982</v>
      </c>
      <c r="C642" s="17" t="s">
        <v>8</v>
      </c>
      <c r="D642" s="15">
        <v>387.06</v>
      </c>
      <c r="E642" s="16" t="s">
        <v>688</v>
      </c>
      <c r="F642" s="14" t="s">
        <v>2035</v>
      </c>
      <c r="G642" s="16" t="s">
        <v>1491</v>
      </c>
      <c r="H642" s="17" t="s">
        <v>1444</v>
      </c>
      <c r="I642" s="11">
        <v>4</v>
      </c>
    </row>
    <row r="643" spans="1:9" hidden="1" x14ac:dyDescent="0.25">
      <c r="A643" s="14">
        <v>11</v>
      </c>
      <c r="B643" s="13">
        <v>45983</v>
      </c>
      <c r="C643" s="17" t="s">
        <v>8</v>
      </c>
      <c r="D643" s="15">
        <v>100</v>
      </c>
      <c r="E643" s="16" t="s">
        <v>680</v>
      </c>
      <c r="F643" s="14"/>
      <c r="G643" s="16" t="s">
        <v>2069</v>
      </c>
      <c r="H643" s="17" t="s">
        <v>1307</v>
      </c>
      <c r="I643" s="11">
        <v>8</v>
      </c>
    </row>
    <row r="644" spans="1:9" hidden="1" x14ac:dyDescent="0.25">
      <c r="A644" s="14">
        <v>11</v>
      </c>
      <c r="B644" s="13">
        <v>45983</v>
      </c>
      <c r="C644" s="17" t="s">
        <v>8</v>
      </c>
      <c r="D644" s="15">
        <v>500</v>
      </c>
      <c r="E644" s="16" t="s">
        <v>676</v>
      </c>
      <c r="F644" s="14"/>
      <c r="G644" s="16" t="s">
        <v>1499</v>
      </c>
      <c r="H644" s="17" t="s">
        <v>1232</v>
      </c>
      <c r="I644" s="11">
        <v>8</v>
      </c>
    </row>
    <row r="645" spans="1:9" hidden="1" x14ac:dyDescent="0.25">
      <c r="A645" s="14">
        <v>11</v>
      </c>
      <c r="B645" s="13">
        <v>45983</v>
      </c>
      <c r="C645" s="17" t="s">
        <v>8</v>
      </c>
      <c r="D645" s="15">
        <v>358.89</v>
      </c>
      <c r="E645" s="16" t="s">
        <v>674</v>
      </c>
      <c r="F645" s="14" t="s">
        <v>1593</v>
      </c>
      <c r="G645" s="16" t="s">
        <v>1489</v>
      </c>
      <c r="H645" s="17" t="s">
        <v>1445</v>
      </c>
      <c r="I645" s="11">
        <v>7</v>
      </c>
    </row>
    <row r="646" spans="1:9" hidden="1" x14ac:dyDescent="0.25">
      <c r="A646" s="14">
        <v>11</v>
      </c>
      <c r="B646" s="13">
        <v>45983</v>
      </c>
      <c r="C646" s="17" t="s">
        <v>8</v>
      </c>
      <c r="D646" s="15">
        <v>324.06</v>
      </c>
      <c r="E646" s="16" t="s">
        <v>674</v>
      </c>
      <c r="F646" s="14" t="s">
        <v>1593</v>
      </c>
      <c r="G646" s="16" t="s">
        <v>1490</v>
      </c>
      <c r="H646" s="17" t="s">
        <v>1445</v>
      </c>
      <c r="I646" s="11">
        <v>7</v>
      </c>
    </row>
    <row r="647" spans="1:9" hidden="1" x14ac:dyDescent="0.25">
      <c r="A647" s="14">
        <v>11</v>
      </c>
      <c r="B647" s="13">
        <v>45983</v>
      </c>
      <c r="C647" s="17" t="s">
        <v>8</v>
      </c>
      <c r="D647" s="15">
        <v>275.58</v>
      </c>
      <c r="E647" s="16" t="s">
        <v>674</v>
      </c>
      <c r="F647" s="14" t="s">
        <v>1593</v>
      </c>
      <c r="G647" s="16" t="s">
        <v>1491</v>
      </c>
      <c r="H647" s="17" t="s">
        <v>1445</v>
      </c>
      <c r="I647" s="11">
        <v>7</v>
      </c>
    </row>
    <row r="648" spans="1:9" hidden="1" x14ac:dyDescent="0.25">
      <c r="A648" s="14">
        <v>11</v>
      </c>
      <c r="B648" s="13">
        <v>45983</v>
      </c>
      <c r="C648" s="17" t="s">
        <v>8</v>
      </c>
      <c r="D648" s="15">
        <v>285.36</v>
      </c>
      <c r="E648" s="16" t="s">
        <v>674</v>
      </c>
      <c r="F648" s="14" t="s">
        <v>1593</v>
      </c>
      <c r="G648" s="16" t="s">
        <v>1492</v>
      </c>
      <c r="H648" s="17" t="s">
        <v>1445</v>
      </c>
      <c r="I648" s="11">
        <v>7</v>
      </c>
    </row>
    <row r="649" spans="1:9" hidden="1" x14ac:dyDescent="0.25">
      <c r="A649" s="14">
        <v>11</v>
      </c>
      <c r="B649" s="13">
        <v>45983</v>
      </c>
      <c r="C649" s="17" t="s">
        <v>8</v>
      </c>
      <c r="D649" s="15">
        <v>298.13</v>
      </c>
      <c r="E649" s="16" t="s">
        <v>674</v>
      </c>
      <c r="F649" s="14" t="s">
        <v>1593</v>
      </c>
      <c r="G649" s="16" t="s">
        <v>1493</v>
      </c>
      <c r="H649" s="17" t="s">
        <v>1445</v>
      </c>
      <c r="I649" s="11">
        <v>7</v>
      </c>
    </row>
    <row r="650" spans="1:9" hidden="1" x14ac:dyDescent="0.25">
      <c r="A650" s="14">
        <v>11</v>
      </c>
      <c r="B650" s="13">
        <v>45983</v>
      </c>
      <c r="C650" s="17" t="s">
        <v>8</v>
      </c>
      <c r="D650" s="15">
        <v>285.36</v>
      </c>
      <c r="E650" s="16" t="s">
        <v>674</v>
      </c>
      <c r="F650" s="14" t="s">
        <v>1593</v>
      </c>
      <c r="G650" s="16" t="s">
        <v>1494</v>
      </c>
      <c r="H650" s="17" t="s">
        <v>1445</v>
      </c>
      <c r="I650" s="11">
        <v>7</v>
      </c>
    </row>
    <row r="651" spans="1:9" hidden="1" x14ac:dyDescent="0.25">
      <c r="A651" s="14">
        <v>11</v>
      </c>
      <c r="B651" s="13">
        <v>45983</v>
      </c>
      <c r="C651" s="17" t="s">
        <v>8</v>
      </c>
      <c r="D651" s="15">
        <v>280.51</v>
      </c>
      <c r="E651" s="16" t="s">
        <v>677</v>
      </c>
      <c r="F651" s="14" t="s">
        <v>1873</v>
      </c>
      <c r="G651" s="16" t="s">
        <v>1494</v>
      </c>
      <c r="H651" s="17" t="s">
        <v>1284</v>
      </c>
      <c r="I651" s="11">
        <v>6</v>
      </c>
    </row>
    <row r="652" spans="1:9" hidden="1" x14ac:dyDescent="0.25">
      <c r="A652" s="14">
        <v>11</v>
      </c>
      <c r="B652" s="13">
        <v>45983</v>
      </c>
      <c r="C652" s="17" t="s">
        <v>32</v>
      </c>
      <c r="D652" s="15">
        <v>374.19</v>
      </c>
      <c r="E652" s="16" t="s">
        <v>675</v>
      </c>
      <c r="F652" s="14" t="s">
        <v>1677</v>
      </c>
      <c r="G652" s="16" t="s">
        <v>1492</v>
      </c>
      <c r="H652" s="17" t="s">
        <v>32</v>
      </c>
      <c r="I652" s="11">
        <v>5</v>
      </c>
    </row>
    <row r="653" spans="1:9" hidden="1" x14ac:dyDescent="0.25">
      <c r="A653" s="14">
        <v>11</v>
      </c>
      <c r="B653" s="13">
        <v>45983</v>
      </c>
      <c r="C653" s="17" t="s">
        <v>32</v>
      </c>
      <c r="D653" s="15">
        <v>372.27</v>
      </c>
      <c r="E653" s="16" t="s">
        <v>675</v>
      </c>
      <c r="F653" s="14" t="s">
        <v>1677</v>
      </c>
      <c r="G653" s="16" t="s">
        <v>1493</v>
      </c>
      <c r="H653" s="17" t="s">
        <v>32</v>
      </c>
      <c r="I653" s="11">
        <v>5</v>
      </c>
    </row>
    <row r="654" spans="1:9" hidden="1" x14ac:dyDescent="0.25">
      <c r="A654" s="14">
        <v>11</v>
      </c>
      <c r="B654" s="13">
        <v>45983</v>
      </c>
      <c r="C654" s="17" t="s">
        <v>32</v>
      </c>
      <c r="D654" s="15">
        <v>370.62</v>
      </c>
      <c r="E654" s="16" t="s">
        <v>675</v>
      </c>
      <c r="F654" s="14" t="s">
        <v>1677</v>
      </c>
      <c r="G654" s="16" t="s">
        <v>1494</v>
      </c>
      <c r="H654" s="17" t="s">
        <v>32</v>
      </c>
      <c r="I654" s="11">
        <v>5</v>
      </c>
    </row>
    <row r="655" spans="1:9" hidden="1" x14ac:dyDescent="0.25">
      <c r="A655" s="14">
        <v>11</v>
      </c>
      <c r="B655" s="13">
        <v>45983</v>
      </c>
      <c r="C655" s="17" t="s">
        <v>678</v>
      </c>
      <c r="D655" s="15">
        <v>194.25</v>
      </c>
      <c r="E655" s="16" t="s">
        <v>679</v>
      </c>
      <c r="F655" s="14" t="s">
        <v>1747</v>
      </c>
      <c r="G655" s="16" t="s">
        <v>1494</v>
      </c>
      <c r="H655" s="17" t="s">
        <v>1206</v>
      </c>
      <c r="I655" s="11">
        <v>3</v>
      </c>
    </row>
    <row r="656" spans="1:9" hidden="1" x14ac:dyDescent="0.25">
      <c r="A656" s="14">
        <v>11</v>
      </c>
      <c r="B656" s="13">
        <v>45984</v>
      </c>
      <c r="C656" s="17" t="s">
        <v>8</v>
      </c>
      <c r="D656" s="15">
        <v>580</v>
      </c>
      <c r="E656" s="16" t="s">
        <v>671</v>
      </c>
      <c r="F656" s="14"/>
      <c r="G656" s="16" t="s">
        <v>1499</v>
      </c>
      <c r="H656" s="17" t="s">
        <v>1304</v>
      </c>
      <c r="I656" s="11">
        <v>0</v>
      </c>
    </row>
    <row r="657" spans="1:9" hidden="1" x14ac:dyDescent="0.25">
      <c r="A657" s="14">
        <v>11</v>
      </c>
      <c r="B657" s="13">
        <v>45984</v>
      </c>
      <c r="C657" s="17" t="s">
        <v>16</v>
      </c>
      <c r="D657" s="15">
        <v>179.54</v>
      </c>
      <c r="E657" s="16" t="s">
        <v>672</v>
      </c>
      <c r="F657" s="14" t="s">
        <v>1930</v>
      </c>
      <c r="G657" s="16" t="s">
        <v>1494</v>
      </c>
      <c r="H657" s="17" t="s">
        <v>16</v>
      </c>
      <c r="I657" s="11">
        <v>4</v>
      </c>
    </row>
    <row r="658" spans="1:9" hidden="1" x14ac:dyDescent="0.25">
      <c r="A658" s="14">
        <v>11</v>
      </c>
      <c r="B658" s="13">
        <v>45984</v>
      </c>
      <c r="C658" s="17" t="s">
        <v>16</v>
      </c>
      <c r="D658" s="15">
        <v>100</v>
      </c>
      <c r="E658" s="16" t="s">
        <v>673</v>
      </c>
      <c r="F658" s="14"/>
      <c r="G658" s="16" t="s">
        <v>2069</v>
      </c>
      <c r="H658" s="17"/>
      <c r="I658" s="11">
        <v>0</v>
      </c>
    </row>
    <row r="659" spans="1:9" hidden="1" x14ac:dyDescent="0.25">
      <c r="A659" s="14">
        <v>11</v>
      </c>
      <c r="B659" s="13">
        <v>45985</v>
      </c>
      <c r="C659" s="17" t="s">
        <v>8</v>
      </c>
      <c r="D659" s="15">
        <v>389.1</v>
      </c>
      <c r="E659" s="16" t="s">
        <v>665</v>
      </c>
      <c r="F659" s="14" t="s">
        <v>1683</v>
      </c>
      <c r="G659" s="16" t="s">
        <v>1490</v>
      </c>
      <c r="H659" s="17" t="s">
        <v>1446</v>
      </c>
      <c r="I659" s="11">
        <v>5</v>
      </c>
    </row>
    <row r="660" spans="1:9" hidden="1" x14ac:dyDescent="0.25">
      <c r="A660" s="14">
        <v>11</v>
      </c>
      <c r="B660" s="13">
        <v>45985</v>
      </c>
      <c r="C660" s="17" t="s">
        <v>8</v>
      </c>
      <c r="D660" s="15">
        <v>379.48</v>
      </c>
      <c r="E660" s="16" t="s">
        <v>665</v>
      </c>
      <c r="F660" s="14" t="s">
        <v>1683</v>
      </c>
      <c r="G660" s="16" t="s">
        <v>1491</v>
      </c>
      <c r="H660" s="17" t="s">
        <v>1446</v>
      </c>
      <c r="I660" s="11">
        <v>5</v>
      </c>
    </row>
    <row r="661" spans="1:9" hidden="1" x14ac:dyDescent="0.25">
      <c r="A661" s="14">
        <v>11</v>
      </c>
      <c r="B661" s="13">
        <v>45985</v>
      </c>
      <c r="C661" s="17" t="s">
        <v>8</v>
      </c>
      <c r="D661" s="15">
        <v>386.65</v>
      </c>
      <c r="E661" s="16" t="s">
        <v>665</v>
      </c>
      <c r="F661" s="14" t="s">
        <v>1683</v>
      </c>
      <c r="G661" s="16" t="s">
        <v>1492</v>
      </c>
      <c r="H661" s="17" t="s">
        <v>1446</v>
      </c>
      <c r="I661" s="11">
        <v>5</v>
      </c>
    </row>
    <row r="662" spans="1:9" hidden="1" x14ac:dyDescent="0.25">
      <c r="A662" s="14">
        <v>11</v>
      </c>
      <c r="B662" s="13">
        <v>45985</v>
      </c>
      <c r="C662" s="17" t="s">
        <v>8</v>
      </c>
      <c r="D662" s="15">
        <v>391.42</v>
      </c>
      <c r="E662" s="16" t="s">
        <v>665</v>
      </c>
      <c r="F662" s="14" t="s">
        <v>1683</v>
      </c>
      <c r="G662" s="16" t="s">
        <v>1493</v>
      </c>
      <c r="H662" s="17" t="s">
        <v>1446</v>
      </c>
      <c r="I662" s="11">
        <v>5</v>
      </c>
    </row>
    <row r="663" spans="1:9" hidden="1" x14ac:dyDescent="0.25">
      <c r="A663" s="14">
        <v>11</v>
      </c>
      <c r="B663" s="13">
        <v>45985</v>
      </c>
      <c r="C663" s="17" t="s">
        <v>8</v>
      </c>
      <c r="D663" s="15">
        <v>377.36</v>
      </c>
      <c r="E663" s="16" t="s">
        <v>665</v>
      </c>
      <c r="F663" s="14" t="s">
        <v>1683</v>
      </c>
      <c r="G663" s="16" t="s">
        <v>1494</v>
      </c>
      <c r="H663" s="17" t="s">
        <v>1446</v>
      </c>
      <c r="I663" s="11">
        <v>5</v>
      </c>
    </row>
    <row r="664" spans="1:9" hidden="1" x14ac:dyDescent="0.25">
      <c r="A664" s="14">
        <v>11</v>
      </c>
      <c r="B664" s="13">
        <v>45985</v>
      </c>
      <c r="C664" s="17" t="s">
        <v>8</v>
      </c>
      <c r="D664" s="15">
        <v>380.23</v>
      </c>
      <c r="E664" s="16" t="s">
        <v>668</v>
      </c>
      <c r="F664" s="14" t="s">
        <v>2046</v>
      </c>
      <c r="G664" s="16" t="s">
        <v>1494</v>
      </c>
      <c r="H664" s="17" t="s">
        <v>1351</v>
      </c>
      <c r="I664" s="11">
        <v>5</v>
      </c>
    </row>
    <row r="665" spans="1:9" hidden="1" x14ac:dyDescent="0.25">
      <c r="A665" s="14">
        <v>11</v>
      </c>
      <c r="B665" s="13">
        <v>45985</v>
      </c>
      <c r="C665" s="17" t="s">
        <v>8</v>
      </c>
      <c r="D665" s="15">
        <v>80</v>
      </c>
      <c r="E665" s="16" t="s">
        <v>666</v>
      </c>
      <c r="F665" s="14"/>
      <c r="G665" s="16" t="s">
        <v>1498</v>
      </c>
      <c r="H665" s="17" t="s">
        <v>1447</v>
      </c>
      <c r="I665" s="11">
        <v>7</v>
      </c>
    </row>
    <row r="666" spans="1:9" hidden="1" x14ac:dyDescent="0.25">
      <c r="A666" s="14">
        <v>11</v>
      </c>
      <c r="B666" s="13">
        <v>45985</v>
      </c>
      <c r="C666" s="17" t="s">
        <v>8</v>
      </c>
      <c r="D666" s="15">
        <v>387.01</v>
      </c>
      <c r="E666" s="16" t="s">
        <v>666</v>
      </c>
      <c r="F666" s="14" t="s">
        <v>1789</v>
      </c>
      <c r="G666" s="16" t="s">
        <v>1490</v>
      </c>
      <c r="H666" s="17" t="s">
        <v>1447</v>
      </c>
      <c r="I666" s="11">
        <v>7</v>
      </c>
    </row>
    <row r="667" spans="1:9" hidden="1" x14ac:dyDescent="0.25">
      <c r="A667" s="14">
        <v>11</v>
      </c>
      <c r="B667" s="13">
        <v>45985</v>
      </c>
      <c r="C667" s="17" t="s">
        <v>8</v>
      </c>
      <c r="D667" s="15">
        <v>112.99000000000001</v>
      </c>
      <c r="E667" s="16" t="s">
        <v>666</v>
      </c>
      <c r="F667" s="14" t="s">
        <v>1789</v>
      </c>
      <c r="G667" s="16" t="s">
        <v>1491</v>
      </c>
      <c r="H667" s="17" t="s">
        <v>1447</v>
      </c>
      <c r="I667" s="11">
        <v>7</v>
      </c>
    </row>
    <row r="668" spans="1:9" hidden="1" x14ac:dyDescent="0.25">
      <c r="A668" s="14">
        <v>11</v>
      </c>
      <c r="B668" s="13">
        <v>45985</v>
      </c>
      <c r="C668" s="17" t="s">
        <v>8</v>
      </c>
      <c r="D668" s="15">
        <v>319.19</v>
      </c>
      <c r="E668" s="16" t="s">
        <v>669</v>
      </c>
      <c r="F668" s="14" t="s">
        <v>1845</v>
      </c>
      <c r="G668" s="16" t="s">
        <v>1492</v>
      </c>
      <c r="H668" s="17" t="s">
        <v>1251</v>
      </c>
      <c r="I668" s="11">
        <v>3</v>
      </c>
    </row>
    <row r="669" spans="1:9" hidden="1" x14ac:dyDescent="0.25">
      <c r="A669" s="14">
        <v>11</v>
      </c>
      <c r="B669" s="13">
        <v>45985</v>
      </c>
      <c r="C669" s="17" t="s">
        <v>8</v>
      </c>
      <c r="D669" s="15">
        <v>40</v>
      </c>
      <c r="E669" s="16" t="s">
        <v>670</v>
      </c>
      <c r="F669" s="14"/>
      <c r="G669" s="16" t="s">
        <v>1498</v>
      </c>
      <c r="H669" s="17" t="s">
        <v>1448</v>
      </c>
      <c r="I669" s="11">
        <v>0</v>
      </c>
    </row>
    <row r="670" spans="1:9" hidden="1" x14ac:dyDescent="0.25">
      <c r="A670" s="14">
        <v>11</v>
      </c>
      <c r="B670" s="13">
        <v>45985</v>
      </c>
      <c r="C670" s="17" t="s">
        <v>8</v>
      </c>
      <c r="D670" s="15">
        <v>389.2</v>
      </c>
      <c r="E670" s="16" t="s">
        <v>667</v>
      </c>
      <c r="F670" s="14" t="s">
        <v>2035</v>
      </c>
      <c r="G670" s="16" t="s">
        <v>1492</v>
      </c>
      <c r="H670" s="17" t="s">
        <v>1444</v>
      </c>
      <c r="I670" s="11">
        <v>4</v>
      </c>
    </row>
    <row r="671" spans="1:9" hidden="1" x14ac:dyDescent="0.25">
      <c r="A671" s="14">
        <v>11</v>
      </c>
      <c r="B671" s="13">
        <v>45986</v>
      </c>
      <c r="C671" s="17" t="s">
        <v>23</v>
      </c>
      <c r="D671" s="15">
        <v>316.93</v>
      </c>
      <c r="E671" s="16" t="s">
        <v>660</v>
      </c>
      <c r="F671" s="14" t="s">
        <v>1767</v>
      </c>
      <c r="G671" s="16" t="s">
        <v>1494</v>
      </c>
      <c r="H671" s="17" t="s">
        <v>1264</v>
      </c>
      <c r="I671" s="11">
        <v>5</v>
      </c>
    </row>
    <row r="672" spans="1:9" hidden="1" x14ac:dyDescent="0.25">
      <c r="A672" s="14">
        <v>11</v>
      </c>
      <c r="B672" s="13">
        <v>45986</v>
      </c>
      <c r="C672" s="17" t="s">
        <v>8</v>
      </c>
      <c r="D672" s="15">
        <v>50</v>
      </c>
      <c r="E672" s="16" t="s">
        <v>664</v>
      </c>
      <c r="F672" s="14"/>
      <c r="G672" s="16" t="s">
        <v>1497</v>
      </c>
      <c r="H672" s="17" t="s">
        <v>1307</v>
      </c>
      <c r="I672" s="11">
        <v>8</v>
      </c>
    </row>
    <row r="673" spans="1:9" hidden="1" x14ac:dyDescent="0.25">
      <c r="A673" s="14">
        <v>11</v>
      </c>
      <c r="B673" s="13">
        <v>45986</v>
      </c>
      <c r="C673" s="17" t="s">
        <v>8</v>
      </c>
      <c r="D673" s="15">
        <v>285.36</v>
      </c>
      <c r="E673" s="16" t="s">
        <v>661</v>
      </c>
      <c r="F673" s="14" t="s">
        <v>1753</v>
      </c>
      <c r="G673" s="16" t="s">
        <v>1494</v>
      </c>
      <c r="H673" s="17" t="s">
        <v>1216</v>
      </c>
      <c r="I673" s="11">
        <v>5</v>
      </c>
    </row>
    <row r="674" spans="1:9" hidden="1" x14ac:dyDescent="0.25">
      <c r="A674" s="14">
        <v>11</v>
      </c>
      <c r="B674" s="13">
        <v>45986</v>
      </c>
      <c r="C674" s="17" t="s">
        <v>8</v>
      </c>
      <c r="D674" s="15">
        <v>265.35000000000002</v>
      </c>
      <c r="E674" s="16" t="s">
        <v>652</v>
      </c>
      <c r="F674" s="14" t="s">
        <v>1723</v>
      </c>
      <c r="G674" s="16" t="s">
        <v>1491</v>
      </c>
      <c r="H674" s="17" t="s">
        <v>1449</v>
      </c>
      <c r="I674" s="11">
        <v>4</v>
      </c>
    </row>
    <row r="675" spans="1:9" hidden="1" x14ac:dyDescent="0.25">
      <c r="A675" s="14">
        <v>11</v>
      </c>
      <c r="B675" s="13">
        <v>45986</v>
      </c>
      <c r="C675" s="17" t="s">
        <v>8</v>
      </c>
      <c r="D675" s="15">
        <v>274.77</v>
      </c>
      <c r="E675" s="16" t="s">
        <v>652</v>
      </c>
      <c r="F675" s="14" t="s">
        <v>1723</v>
      </c>
      <c r="G675" s="16" t="s">
        <v>1492</v>
      </c>
      <c r="H675" s="17" t="s">
        <v>1449</v>
      </c>
      <c r="I675" s="11">
        <v>4</v>
      </c>
    </row>
    <row r="676" spans="1:9" hidden="1" x14ac:dyDescent="0.25">
      <c r="A676" s="14">
        <v>11</v>
      </c>
      <c r="B676" s="13">
        <v>45986</v>
      </c>
      <c r="C676" s="17" t="s">
        <v>8</v>
      </c>
      <c r="D676" s="15">
        <v>281.16000000000003</v>
      </c>
      <c r="E676" s="16" t="s">
        <v>652</v>
      </c>
      <c r="F676" s="14" t="s">
        <v>1723</v>
      </c>
      <c r="G676" s="16" t="s">
        <v>1493</v>
      </c>
      <c r="H676" s="17" t="s">
        <v>1449</v>
      </c>
      <c r="I676" s="11">
        <v>4</v>
      </c>
    </row>
    <row r="677" spans="1:9" hidden="1" x14ac:dyDescent="0.25">
      <c r="A677" s="14">
        <v>11</v>
      </c>
      <c r="B677" s="13">
        <v>45986</v>
      </c>
      <c r="C677" s="17" t="s">
        <v>8</v>
      </c>
      <c r="D677" s="15">
        <v>274.82</v>
      </c>
      <c r="E677" s="16" t="s">
        <v>652</v>
      </c>
      <c r="F677" s="14" t="s">
        <v>1723</v>
      </c>
      <c r="G677" s="16" t="s">
        <v>1494</v>
      </c>
      <c r="H677" s="17" t="s">
        <v>1449</v>
      </c>
      <c r="I677" s="11">
        <v>4</v>
      </c>
    </row>
    <row r="678" spans="1:9" hidden="1" x14ac:dyDescent="0.25">
      <c r="A678" s="14">
        <v>11</v>
      </c>
      <c r="B678" s="13">
        <v>45986</v>
      </c>
      <c r="C678" s="17" t="s">
        <v>8</v>
      </c>
      <c r="D678" s="15">
        <v>524.14</v>
      </c>
      <c r="E678" s="16" t="s">
        <v>655</v>
      </c>
      <c r="F678" s="14" t="s">
        <v>1784</v>
      </c>
      <c r="G678" s="16" t="s">
        <v>1494</v>
      </c>
      <c r="H678" s="17" t="s">
        <v>1274</v>
      </c>
      <c r="I678" s="11">
        <v>5</v>
      </c>
    </row>
    <row r="679" spans="1:9" hidden="1" x14ac:dyDescent="0.25">
      <c r="A679" s="14">
        <v>11</v>
      </c>
      <c r="B679" s="13">
        <v>45986</v>
      </c>
      <c r="C679" s="17" t="s">
        <v>8</v>
      </c>
      <c r="D679" s="15">
        <v>261.65999999999997</v>
      </c>
      <c r="E679" s="16" t="s">
        <v>651</v>
      </c>
      <c r="F679" s="14" t="s">
        <v>1789</v>
      </c>
      <c r="G679" s="16" t="s">
        <v>1491</v>
      </c>
      <c r="H679" s="17" t="s">
        <v>1447</v>
      </c>
      <c r="I679" s="11">
        <v>7</v>
      </c>
    </row>
    <row r="680" spans="1:9" hidden="1" x14ac:dyDescent="0.25">
      <c r="A680" s="14">
        <v>11</v>
      </c>
      <c r="B680" s="13">
        <v>45986</v>
      </c>
      <c r="C680" s="17" t="s">
        <v>8</v>
      </c>
      <c r="D680" s="15">
        <v>393.07</v>
      </c>
      <c r="E680" s="16" t="s">
        <v>651</v>
      </c>
      <c r="F680" s="14" t="s">
        <v>1789</v>
      </c>
      <c r="G680" s="16" t="s">
        <v>1492</v>
      </c>
      <c r="H680" s="17" t="s">
        <v>1447</v>
      </c>
      <c r="I680" s="11">
        <v>7</v>
      </c>
    </row>
    <row r="681" spans="1:9" hidden="1" x14ac:dyDescent="0.25">
      <c r="A681" s="14">
        <v>11</v>
      </c>
      <c r="B681" s="13">
        <v>45986</v>
      </c>
      <c r="C681" s="17" t="s">
        <v>8</v>
      </c>
      <c r="D681" s="15">
        <v>391.74</v>
      </c>
      <c r="E681" s="16" t="s">
        <v>651</v>
      </c>
      <c r="F681" s="14" t="s">
        <v>1789</v>
      </c>
      <c r="G681" s="16" t="s">
        <v>1493</v>
      </c>
      <c r="H681" s="17" t="s">
        <v>1447</v>
      </c>
      <c r="I681" s="11">
        <v>7</v>
      </c>
    </row>
    <row r="682" spans="1:9" hidden="1" x14ac:dyDescent="0.25">
      <c r="A682" s="14">
        <v>11</v>
      </c>
      <c r="B682" s="13">
        <v>45986</v>
      </c>
      <c r="C682" s="17" t="s">
        <v>8</v>
      </c>
      <c r="D682" s="15">
        <v>377.82</v>
      </c>
      <c r="E682" s="16" t="s">
        <v>651</v>
      </c>
      <c r="F682" s="14" t="s">
        <v>1789</v>
      </c>
      <c r="G682" s="16" t="s">
        <v>1494</v>
      </c>
      <c r="H682" s="17" t="s">
        <v>1447</v>
      </c>
      <c r="I682" s="11">
        <v>7</v>
      </c>
    </row>
    <row r="683" spans="1:9" hidden="1" x14ac:dyDescent="0.25">
      <c r="A683" s="14">
        <v>11</v>
      </c>
      <c r="B683" s="13">
        <v>45986</v>
      </c>
      <c r="C683" s="17" t="s">
        <v>32</v>
      </c>
      <c r="D683" s="15">
        <v>377.49</v>
      </c>
      <c r="E683" s="16" t="s">
        <v>659</v>
      </c>
      <c r="F683" s="14" t="s">
        <v>1502</v>
      </c>
      <c r="G683" s="16" t="s">
        <v>1490</v>
      </c>
      <c r="H683" s="17" t="s">
        <v>1451</v>
      </c>
      <c r="I683" s="11">
        <v>6</v>
      </c>
    </row>
    <row r="684" spans="1:9" hidden="1" x14ac:dyDescent="0.25">
      <c r="A684" s="14">
        <v>11</v>
      </c>
      <c r="B684" s="13">
        <v>45986</v>
      </c>
      <c r="C684" s="17" t="s">
        <v>8</v>
      </c>
      <c r="D684" s="15">
        <v>262.93</v>
      </c>
      <c r="E684" s="16" t="s">
        <v>662</v>
      </c>
      <c r="F684" s="14" t="s">
        <v>1806</v>
      </c>
      <c r="G684" s="16" t="s">
        <v>1494</v>
      </c>
      <c r="H684" s="17" t="s">
        <v>1359</v>
      </c>
      <c r="I684" s="11">
        <v>5</v>
      </c>
    </row>
    <row r="685" spans="1:9" hidden="1" x14ac:dyDescent="0.25">
      <c r="A685" s="14">
        <v>11</v>
      </c>
      <c r="B685" s="13">
        <v>45986</v>
      </c>
      <c r="C685" s="17" t="s">
        <v>8</v>
      </c>
      <c r="D685" s="15">
        <v>408.72</v>
      </c>
      <c r="E685" s="16" t="s">
        <v>656</v>
      </c>
      <c r="F685" s="14" t="s">
        <v>1855</v>
      </c>
      <c r="G685" s="16" t="s">
        <v>1494</v>
      </c>
      <c r="H685" s="17" t="s">
        <v>1450</v>
      </c>
      <c r="I685" s="11">
        <v>7</v>
      </c>
    </row>
    <row r="686" spans="1:9" hidden="1" x14ac:dyDescent="0.25">
      <c r="A686" s="14">
        <v>11</v>
      </c>
      <c r="B686" s="13">
        <v>45986</v>
      </c>
      <c r="C686" s="17" t="s">
        <v>8</v>
      </c>
      <c r="D686" s="15">
        <v>391.99</v>
      </c>
      <c r="E686" s="16" t="s">
        <v>658</v>
      </c>
      <c r="F686" s="14" t="s">
        <v>1858</v>
      </c>
      <c r="G686" s="16" t="s">
        <v>1494</v>
      </c>
      <c r="H686" s="17" t="s">
        <v>1404</v>
      </c>
      <c r="I686" s="11">
        <v>6</v>
      </c>
    </row>
    <row r="687" spans="1:9" hidden="1" x14ac:dyDescent="0.25">
      <c r="A687" s="14">
        <v>11</v>
      </c>
      <c r="B687" s="13">
        <v>45986</v>
      </c>
      <c r="C687" s="17" t="s">
        <v>8</v>
      </c>
      <c r="D687" s="15">
        <v>188.79</v>
      </c>
      <c r="E687" s="16" t="s">
        <v>663</v>
      </c>
      <c r="F687" s="14" t="s">
        <v>1579</v>
      </c>
      <c r="G687" s="16" t="s">
        <v>1494</v>
      </c>
      <c r="H687" s="17" t="s">
        <v>1381</v>
      </c>
      <c r="I687" s="11">
        <v>6</v>
      </c>
    </row>
    <row r="688" spans="1:9" hidden="1" x14ac:dyDescent="0.25">
      <c r="A688" s="14">
        <v>11</v>
      </c>
      <c r="B688" s="13">
        <v>45986</v>
      </c>
      <c r="C688" s="17" t="s">
        <v>653</v>
      </c>
      <c r="D688" s="15">
        <v>264.22000000000003</v>
      </c>
      <c r="E688" s="16" t="s">
        <v>654</v>
      </c>
      <c r="F688" s="14" t="s">
        <v>1815</v>
      </c>
      <c r="G688" s="16" t="s">
        <v>1493</v>
      </c>
      <c r="H688" s="17" t="s">
        <v>1206</v>
      </c>
      <c r="I688" s="11">
        <v>4</v>
      </c>
    </row>
    <row r="689" spans="1:9" hidden="1" x14ac:dyDescent="0.25">
      <c r="A689" s="14">
        <v>11</v>
      </c>
      <c r="B689" s="13">
        <v>45986</v>
      </c>
      <c r="C689" s="17" t="s">
        <v>653</v>
      </c>
      <c r="D689" s="15">
        <f>254.32+18.91</f>
        <v>273.23</v>
      </c>
      <c r="E689" s="16" t="s">
        <v>654</v>
      </c>
      <c r="F689" s="14" t="s">
        <v>1815</v>
      </c>
      <c r="G689" s="16" t="s">
        <v>1494</v>
      </c>
      <c r="H689" s="17" t="s">
        <v>1206</v>
      </c>
      <c r="I689" s="11">
        <v>4</v>
      </c>
    </row>
    <row r="690" spans="1:9" hidden="1" x14ac:dyDescent="0.25">
      <c r="A690" s="14">
        <v>11</v>
      </c>
      <c r="B690" s="13">
        <v>45986</v>
      </c>
      <c r="C690" s="17" t="s">
        <v>8</v>
      </c>
      <c r="D690" s="15">
        <v>397.45</v>
      </c>
      <c r="E690" s="16" t="s">
        <v>657</v>
      </c>
      <c r="F690" s="14" t="s">
        <v>2037</v>
      </c>
      <c r="G690" s="16" t="s">
        <v>1494</v>
      </c>
      <c r="H690" s="17" t="s">
        <v>1258</v>
      </c>
      <c r="I690" s="11">
        <v>6</v>
      </c>
    </row>
    <row r="691" spans="1:9" hidden="1" x14ac:dyDescent="0.25">
      <c r="A691" s="14">
        <v>11</v>
      </c>
      <c r="B691" s="13">
        <v>45987</v>
      </c>
      <c r="C691" s="17" t="s">
        <v>32</v>
      </c>
      <c r="D691" s="15">
        <v>580</v>
      </c>
      <c r="E691" s="16" t="s">
        <v>644</v>
      </c>
      <c r="F691" s="14"/>
      <c r="G691" s="16" t="s">
        <v>1499</v>
      </c>
      <c r="H691" s="17" t="s">
        <v>1452</v>
      </c>
      <c r="I691" s="11">
        <v>0</v>
      </c>
    </row>
    <row r="692" spans="1:9" hidden="1" x14ac:dyDescent="0.25">
      <c r="A692" s="14">
        <v>11</v>
      </c>
      <c r="B692" s="13">
        <v>45987</v>
      </c>
      <c r="C692" s="17" t="s">
        <v>92</v>
      </c>
      <c r="D692" s="15">
        <v>387.14</v>
      </c>
      <c r="E692" s="16" t="s">
        <v>645</v>
      </c>
      <c r="F692" s="14" t="s">
        <v>1517</v>
      </c>
      <c r="G692" s="16" t="s">
        <v>1494</v>
      </c>
      <c r="H692" s="17" t="s">
        <v>1297</v>
      </c>
      <c r="I692" s="11">
        <v>5</v>
      </c>
    </row>
    <row r="693" spans="1:9" hidden="1" x14ac:dyDescent="0.25">
      <c r="A693" s="14">
        <v>11</v>
      </c>
      <c r="B693" s="13">
        <v>45987</v>
      </c>
      <c r="C693" s="17" t="s">
        <v>8</v>
      </c>
      <c r="D693" s="15">
        <v>380.23</v>
      </c>
      <c r="E693" s="16" t="s">
        <v>646</v>
      </c>
      <c r="F693" s="14" t="s">
        <v>1523</v>
      </c>
      <c r="G693" s="16" t="s">
        <v>1494</v>
      </c>
      <c r="H693" s="17" t="s">
        <v>1281</v>
      </c>
      <c r="I693" s="11">
        <v>5</v>
      </c>
    </row>
    <row r="694" spans="1:9" hidden="1" x14ac:dyDescent="0.25">
      <c r="A694" s="14">
        <v>11</v>
      </c>
      <c r="B694" s="13">
        <v>45987</v>
      </c>
      <c r="C694" s="17" t="s">
        <v>20</v>
      </c>
      <c r="D694" s="15">
        <v>80</v>
      </c>
      <c r="E694" s="16" t="s">
        <v>649</v>
      </c>
      <c r="F694" s="14"/>
      <c r="G694" s="16" t="s">
        <v>1498</v>
      </c>
      <c r="H694" s="17" t="s">
        <v>1434</v>
      </c>
      <c r="I694" s="11">
        <v>0</v>
      </c>
    </row>
    <row r="695" spans="1:9" hidden="1" x14ac:dyDescent="0.25">
      <c r="A695" s="14">
        <v>11</v>
      </c>
      <c r="B695" s="13">
        <v>45987</v>
      </c>
      <c r="C695" s="17" t="s">
        <v>16</v>
      </c>
      <c r="D695" s="15">
        <v>10</v>
      </c>
      <c r="E695" s="16" t="s">
        <v>650</v>
      </c>
      <c r="F695" s="14" t="s">
        <v>1832</v>
      </c>
      <c r="G695" s="16" t="s">
        <v>1492</v>
      </c>
      <c r="H695" s="17" t="s">
        <v>1453</v>
      </c>
      <c r="I695" s="11">
        <v>7</v>
      </c>
    </row>
    <row r="696" spans="1:9" hidden="1" x14ac:dyDescent="0.25">
      <c r="A696" s="14">
        <v>11</v>
      </c>
      <c r="B696" s="13">
        <v>45987</v>
      </c>
      <c r="C696" s="17" t="s">
        <v>23</v>
      </c>
      <c r="D696" s="15">
        <v>176.67</v>
      </c>
      <c r="E696" s="16" t="s">
        <v>648</v>
      </c>
      <c r="F696" s="14" t="s">
        <v>1841</v>
      </c>
      <c r="G696" s="16" t="s">
        <v>1494</v>
      </c>
      <c r="H696" s="17" t="s">
        <v>1218</v>
      </c>
      <c r="I696" s="11">
        <v>5</v>
      </c>
    </row>
    <row r="697" spans="1:9" hidden="1" x14ac:dyDescent="0.25">
      <c r="A697" s="14">
        <v>11</v>
      </c>
      <c r="B697" s="13">
        <v>45987</v>
      </c>
      <c r="C697" s="17" t="s">
        <v>8</v>
      </c>
      <c r="D697" s="15">
        <v>182.41</v>
      </c>
      <c r="E697" s="16" t="s">
        <v>647</v>
      </c>
      <c r="F697" s="14" t="s">
        <v>1906</v>
      </c>
      <c r="G697" s="16" t="s">
        <v>1494</v>
      </c>
      <c r="H697" s="17" t="s">
        <v>1255</v>
      </c>
      <c r="I697" s="11">
        <v>6</v>
      </c>
    </row>
    <row r="698" spans="1:9" hidden="1" x14ac:dyDescent="0.25">
      <c r="A698" s="14">
        <v>11</v>
      </c>
      <c r="B698" s="13">
        <v>45988</v>
      </c>
      <c r="C698" s="17" t="s">
        <v>8</v>
      </c>
      <c r="D698" s="15">
        <v>251.45</v>
      </c>
      <c r="E698" s="16" t="s">
        <v>638</v>
      </c>
      <c r="F698" s="14" t="s">
        <v>2013</v>
      </c>
      <c r="G698" s="16" t="s">
        <v>1494</v>
      </c>
      <c r="H698" s="17" t="s">
        <v>1369</v>
      </c>
      <c r="I698" s="11">
        <v>5</v>
      </c>
    </row>
    <row r="699" spans="1:9" hidden="1" x14ac:dyDescent="0.25">
      <c r="A699" s="14">
        <v>11</v>
      </c>
      <c r="B699" s="13">
        <v>45988</v>
      </c>
      <c r="C699" s="17" t="s">
        <v>8</v>
      </c>
      <c r="D699" s="15">
        <v>613.96</v>
      </c>
      <c r="E699" s="16" t="s">
        <v>630</v>
      </c>
      <c r="F699" s="14" t="s">
        <v>1545</v>
      </c>
      <c r="G699" s="16" t="s">
        <v>1494</v>
      </c>
      <c r="H699" s="17" t="s">
        <v>1306</v>
      </c>
      <c r="I699" s="11">
        <v>4</v>
      </c>
    </row>
    <row r="700" spans="1:9" hidden="1" x14ac:dyDescent="0.25">
      <c r="A700" s="14">
        <v>11</v>
      </c>
      <c r="B700" s="13">
        <v>45988</v>
      </c>
      <c r="C700" s="17" t="s">
        <v>8</v>
      </c>
      <c r="D700" s="15">
        <v>391.7</v>
      </c>
      <c r="E700" s="16" t="s">
        <v>635</v>
      </c>
      <c r="F700" s="14" t="s">
        <v>1703</v>
      </c>
      <c r="G700" s="16" t="s">
        <v>1494</v>
      </c>
      <c r="H700" s="17" t="s">
        <v>1277</v>
      </c>
      <c r="I700" s="11">
        <v>7</v>
      </c>
    </row>
    <row r="701" spans="1:9" hidden="1" x14ac:dyDescent="0.25">
      <c r="A701" s="14">
        <v>11</v>
      </c>
      <c r="B701" s="13">
        <v>45988</v>
      </c>
      <c r="C701" s="17" t="s">
        <v>8</v>
      </c>
      <c r="D701" s="15">
        <v>40</v>
      </c>
      <c r="E701" s="16" t="s">
        <v>640</v>
      </c>
      <c r="F701" s="14"/>
      <c r="G701" s="16" t="s">
        <v>1498</v>
      </c>
      <c r="H701" s="17" t="s">
        <v>1213</v>
      </c>
      <c r="I701" s="11">
        <v>5</v>
      </c>
    </row>
    <row r="702" spans="1:9" hidden="1" x14ac:dyDescent="0.25">
      <c r="A702" s="14">
        <v>11</v>
      </c>
      <c r="B702" s="13">
        <v>45988</v>
      </c>
      <c r="C702" s="17" t="s">
        <v>16</v>
      </c>
      <c r="D702" s="15">
        <v>400.32</v>
      </c>
      <c r="E702" s="16" t="s">
        <v>634</v>
      </c>
      <c r="F702" s="14" t="s">
        <v>1585</v>
      </c>
      <c r="G702" s="16" t="s">
        <v>1494</v>
      </c>
      <c r="H702" s="17" t="s">
        <v>1323</v>
      </c>
      <c r="I702" s="11">
        <v>6</v>
      </c>
    </row>
    <row r="703" spans="1:9" hidden="1" x14ac:dyDescent="0.25">
      <c r="A703" s="14">
        <v>11</v>
      </c>
      <c r="B703" s="13">
        <v>45988</v>
      </c>
      <c r="C703" s="17" t="s">
        <v>46</v>
      </c>
      <c r="D703" s="15">
        <v>440.8</v>
      </c>
      <c r="E703" s="16" t="s">
        <v>633</v>
      </c>
      <c r="F703" s="14" t="s">
        <v>1664</v>
      </c>
      <c r="G703" s="16" t="s">
        <v>1494</v>
      </c>
      <c r="H703" s="17" t="s">
        <v>1233</v>
      </c>
      <c r="I703" s="11">
        <v>5</v>
      </c>
    </row>
    <row r="704" spans="1:9" hidden="1" x14ac:dyDescent="0.25">
      <c r="A704" s="14">
        <v>11</v>
      </c>
      <c r="B704" s="13">
        <v>45988</v>
      </c>
      <c r="C704" s="17" t="s">
        <v>8</v>
      </c>
      <c r="D704" s="15">
        <v>401.88</v>
      </c>
      <c r="E704" s="16" t="s">
        <v>628</v>
      </c>
      <c r="F704" s="14" t="s">
        <v>1635</v>
      </c>
      <c r="G704" s="16" t="s">
        <v>1491</v>
      </c>
      <c r="H704" s="17" t="s">
        <v>1455</v>
      </c>
      <c r="I704" s="11">
        <v>4</v>
      </c>
    </row>
    <row r="705" spans="1:9" hidden="1" x14ac:dyDescent="0.25">
      <c r="A705" s="14">
        <v>11</v>
      </c>
      <c r="B705" s="13">
        <v>45988</v>
      </c>
      <c r="C705" s="17" t="s">
        <v>8</v>
      </c>
      <c r="D705" s="15">
        <v>415.74</v>
      </c>
      <c r="E705" s="16" t="s">
        <v>628</v>
      </c>
      <c r="F705" s="14" t="s">
        <v>1635</v>
      </c>
      <c r="G705" s="16" t="s">
        <v>1492</v>
      </c>
      <c r="H705" s="17" t="s">
        <v>1455</v>
      </c>
      <c r="I705" s="11">
        <v>4</v>
      </c>
    </row>
    <row r="706" spans="1:9" hidden="1" x14ac:dyDescent="0.25">
      <c r="A706" s="14">
        <v>11</v>
      </c>
      <c r="B706" s="13">
        <v>45988</v>
      </c>
      <c r="C706" s="17" t="s">
        <v>8</v>
      </c>
      <c r="D706" s="15">
        <v>410.58</v>
      </c>
      <c r="E706" s="16" t="s">
        <v>628</v>
      </c>
      <c r="F706" s="14" t="s">
        <v>1635</v>
      </c>
      <c r="G706" s="16" t="s">
        <v>1493</v>
      </c>
      <c r="H706" s="17" t="s">
        <v>1455</v>
      </c>
      <c r="I706" s="11">
        <v>4</v>
      </c>
    </row>
    <row r="707" spans="1:9" hidden="1" x14ac:dyDescent="0.25">
      <c r="A707" s="14">
        <v>11</v>
      </c>
      <c r="B707" s="13">
        <v>45988</v>
      </c>
      <c r="C707" s="17" t="s">
        <v>631</v>
      </c>
      <c r="D707" s="15">
        <v>580</v>
      </c>
      <c r="E707" s="16" t="s">
        <v>632</v>
      </c>
      <c r="F707" s="14"/>
      <c r="G707" s="16" t="s">
        <v>1499</v>
      </c>
      <c r="H707" s="17" t="s">
        <v>1456</v>
      </c>
      <c r="I707" s="11">
        <v>0</v>
      </c>
    </row>
    <row r="708" spans="1:9" hidden="1" x14ac:dyDescent="0.25">
      <c r="A708" s="14">
        <v>11</v>
      </c>
      <c r="B708" s="13">
        <v>45988</v>
      </c>
      <c r="C708" s="17" t="s">
        <v>631</v>
      </c>
      <c r="D708" s="15">
        <v>40</v>
      </c>
      <c r="E708" s="16" t="s">
        <v>641</v>
      </c>
      <c r="F708" s="14"/>
      <c r="G708" s="16" t="s">
        <v>1498</v>
      </c>
      <c r="H708" s="17" t="s">
        <v>1456</v>
      </c>
      <c r="I708" s="11">
        <v>0</v>
      </c>
    </row>
    <row r="709" spans="1:9" hidden="1" x14ac:dyDescent="0.25">
      <c r="A709" s="14">
        <v>11</v>
      </c>
      <c r="B709" s="13">
        <v>45988</v>
      </c>
      <c r="C709" s="17" t="s">
        <v>631</v>
      </c>
      <c r="D709" s="15">
        <v>40</v>
      </c>
      <c r="E709" s="16" t="s">
        <v>642</v>
      </c>
      <c r="F709" s="14"/>
      <c r="G709" s="16" t="s">
        <v>1498</v>
      </c>
      <c r="H709" s="17" t="s">
        <v>1456</v>
      </c>
      <c r="I709" s="11">
        <v>0</v>
      </c>
    </row>
    <row r="710" spans="1:9" hidden="1" x14ac:dyDescent="0.25">
      <c r="A710" s="14">
        <v>11</v>
      </c>
      <c r="B710" s="13">
        <v>45988</v>
      </c>
      <c r="C710" s="17" t="s">
        <v>32</v>
      </c>
      <c r="D710" s="15">
        <v>183.7</v>
      </c>
      <c r="E710" s="16" t="s">
        <v>639</v>
      </c>
      <c r="F710" s="14" t="s">
        <v>1694</v>
      </c>
      <c r="G710" s="16" t="s">
        <v>1493</v>
      </c>
      <c r="H710" s="17" t="s">
        <v>1411</v>
      </c>
      <c r="I710" s="11">
        <v>4</v>
      </c>
    </row>
    <row r="711" spans="1:9" hidden="1" x14ac:dyDescent="0.25">
      <c r="A711" s="14">
        <v>11</v>
      </c>
      <c r="B711" s="13">
        <v>45988</v>
      </c>
      <c r="C711" s="17" t="s">
        <v>8</v>
      </c>
      <c r="D711" s="15">
        <v>451.52</v>
      </c>
      <c r="E711" s="16" t="s">
        <v>629</v>
      </c>
      <c r="F711" s="14" t="s">
        <v>1832</v>
      </c>
      <c r="G711" s="16" t="s">
        <v>1492</v>
      </c>
      <c r="H711" s="17" t="s">
        <v>1208</v>
      </c>
      <c r="I711" s="11">
        <v>7</v>
      </c>
    </row>
    <row r="712" spans="1:9" hidden="1" x14ac:dyDescent="0.25">
      <c r="A712" s="14">
        <v>11</v>
      </c>
      <c r="B712" s="13">
        <v>45988</v>
      </c>
      <c r="C712" s="17" t="s">
        <v>8</v>
      </c>
      <c r="D712" s="15">
        <v>447.14</v>
      </c>
      <c r="E712" s="16" t="s">
        <v>629</v>
      </c>
      <c r="F712" s="14" t="s">
        <v>1832</v>
      </c>
      <c r="G712" s="16" t="s">
        <v>1493</v>
      </c>
      <c r="H712" s="17" t="s">
        <v>1208</v>
      </c>
      <c r="I712" s="11">
        <v>7</v>
      </c>
    </row>
    <row r="713" spans="1:9" hidden="1" x14ac:dyDescent="0.25">
      <c r="A713" s="14">
        <v>11</v>
      </c>
      <c r="B713" s="13">
        <v>45988</v>
      </c>
      <c r="C713" s="17" t="s">
        <v>8</v>
      </c>
      <c r="D713" s="15">
        <v>101.34000000000003</v>
      </c>
      <c r="E713" s="16" t="s">
        <v>629</v>
      </c>
      <c r="F713" s="14" t="s">
        <v>1832</v>
      </c>
      <c r="G713" s="16" t="s">
        <v>1494</v>
      </c>
      <c r="H713" s="17" t="s">
        <v>1208</v>
      </c>
      <c r="I713" s="11">
        <v>7</v>
      </c>
    </row>
    <row r="714" spans="1:9" hidden="1" x14ac:dyDescent="0.25">
      <c r="A714" s="14">
        <v>11</v>
      </c>
      <c r="B714" s="13">
        <v>45988</v>
      </c>
      <c r="C714" s="17" t="s">
        <v>624</v>
      </c>
      <c r="D714" s="15">
        <v>1954.48</v>
      </c>
      <c r="E714" s="16" t="s">
        <v>625</v>
      </c>
      <c r="F714" s="14" t="s">
        <v>2064</v>
      </c>
      <c r="G714" s="16" t="s">
        <v>1490</v>
      </c>
      <c r="H714" s="17" t="s">
        <v>1454</v>
      </c>
      <c r="I714" s="11">
        <v>5</v>
      </c>
    </row>
    <row r="715" spans="1:9" hidden="1" x14ac:dyDescent="0.25">
      <c r="A715" s="14">
        <v>11</v>
      </c>
      <c r="B715" s="13">
        <v>45988</v>
      </c>
      <c r="C715" s="17" t="s">
        <v>624</v>
      </c>
      <c r="D715" s="15">
        <v>1965.14</v>
      </c>
      <c r="E715" s="16" t="s">
        <v>625</v>
      </c>
      <c r="F715" s="14" t="s">
        <v>2064</v>
      </c>
      <c r="G715" s="16" t="s">
        <v>1491</v>
      </c>
      <c r="H715" s="17" t="s">
        <v>1454</v>
      </c>
      <c r="I715" s="11">
        <v>5</v>
      </c>
    </row>
    <row r="716" spans="1:9" hidden="1" x14ac:dyDescent="0.25">
      <c r="A716" s="14">
        <v>11</v>
      </c>
      <c r="B716" s="13">
        <v>45988</v>
      </c>
      <c r="C716" s="17" t="s">
        <v>624</v>
      </c>
      <c r="D716" s="15">
        <v>2660.09</v>
      </c>
      <c r="E716" s="16" t="s">
        <v>625</v>
      </c>
      <c r="F716" s="14" t="s">
        <v>2064</v>
      </c>
      <c r="G716" s="16" t="s">
        <v>1492</v>
      </c>
      <c r="H716" s="17" t="s">
        <v>1454</v>
      </c>
      <c r="I716" s="11">
        <v>5</v>
      </c>
    </row>
    <row r="717" spans="1:9" hidden="1" x14ac:dyDescent="0.25">
      <c r="A717" s="14">
        <v>11</v>
      </c>
      <c r="B717" s="13">
        <v>45988</v>
      </c>
      <c r="C717" s="17" t="s">
        <v>624</v>
      </c>
      <c r="D717" s="15">
        <v>1208.27</v>
      </c>
      <c r="E717" s="16" t="s">
        <v>625</v>
      </c>
      <c r="F717" s="14" t="s">
        <v>2064</v>
      </c>
      <c r="G717" s="16" t="s">
        <v>1493</v>
      </c>
      <c r="H717" s="17" t="s">
        <v>1454</v>
      </c>
      <c r="I717" s="11">
        <v>5</v>
      </c>
    </row>
    <row r="718" spans="1:9" hidden="1" x14ac:dyDescent="0.25">
      <c r="A718" s="14">
        <v>11</v>
      </c>
      <c r="B718" s="13">
        <v>45988</v>
      </c>
      <c r="C718" s="17" t="s">
        <v>624</v>
      </c>
      <c r="D718" s="15">
        <v>996.83999999999969</v>
      </c>
      <c r="E718" s="16" t="s">
        <v>625</v>
      </c>
      <c r="F718" s="14" t="s">
        <v>2064</v>
      </c>
      <c r="G718" s="16" t="s">
        <v>1494</v>
      </c>
      <c r="H718" s="17" t="s">
        <v>1454</v>
      </c>
      <c r="I718" s="11">
        <v>5</v>
      </c>
    </row>
    <row r="719" spans="1:9" hidden="1" x14ac:dyDescent="0.25">
      <c r="A719" s="14">
        <v>11</v>
      </c>
      <c r="B719" s="13">
        <v>45988</v>
      </c>
      <c r="C719" s="17" t="s">
        <v>8</v>
      </c>
      <c r="D719" s="15">
        <v>254.32</v>
      </c>
      <c r="E719" s="16" t="s">
        <v>637</v>
      </c>
      <c r="F719" s="14" t="s">
        <v>1879</v>
      </c>
      <c r="G719" s="16" t="s">
        <v>1494</v>
      </c>
      <c r="H719" s="17" t="s">
        <v>1254</v>
      </c>
      <c r="I719" s="11">
        <v>4</v>
      </c>
    </row>
    <row r="720" spans="1:9" hidden="1" x14ac:dyDescent="0.25">
      <c r="A720" s="14">
        <v>11</v>
      </c>
      <c r="B720" s="13">
        <v>45988</v>
      </c>
      <c r="C720" s="17" t="s">
        <v>8</v>
      </c>
      <c r="D720" s="15">
        <v>386.65</v>
      </c>
      <c r="E720" s="16" t="s">
        <v>636</v>
      </c>
      <c r="F720" s="14" t="s">
        <v>1504</v>
      </c>
      <c r="G720" s="16" t="s">
        <v>1492</v>
      </c>
      <c r="H720" s="17" t="s">
        <v>1320</v>
      </c>
      <c r="I720" s="11">
        <v>7</v>
      </c>
    </row>
    <row r="721" spans="1:9" hidden="1" x14ac:dyDescent="0.25">
      <c r="A721" s="14">
        <v>11</v>
      </c>
      <c r="B721" s="13">
        <v>45988</v>
      </c>
      <c r="C721" s="17" t="s">
        <v>626</v>
      </c>
      <c r="D721" s="15">
        <v>456.23</v>
      </c>
      <c r="E721" s="16" t="s">
        <v>627</v>
      </c>
      <c r="F721" s="14" t="s">
        <v>1560</v>
      </c>
      <c r="G721" s="16" t="s">
        <v>1489</v>
      </c>
      <c r="H721" s="17" t="s">
        <v>1206</v>
      </c>
      <c r="I721" s="11">
        <v>5</v>
      </c>
    </row>
    <row r="722" spans="1:9" hidden="1" x14ac:dyDescent="0.25">
      <c r="A722" s="14">
        <v>11</v>
      </c>
      <c r="B722" s="13">
        <v>45988</v>
      </c>
      <c r="C722" s="17" t="s">
        <v>626</v>
      </c>
      <c r="D722" s="15">
        <v>456.23</v>
      </c>
      <c r="E722" s="16" t="s">
        <v>627</v>
      </c>
      <c r="F722" s="14" t="s">
        <v>1560</v>
      </c>
      <c r="G722" s="16" t="s">
        <v>1490</v>
      </c>
      <c r="H722" s="17" t="s">
        <v>1206</v>
      </c>
      <c r="I722" s="11">
        <v>5</v>
      </c>
    </row>
    <row r="723" spans="1:9" hidden="1" x14ac:dyDescent="0.25">
      <c r="A723" s="14">
        <v>11</v>
      </c>
      <c r="B723" s="13">
        <v>45988</v>
      </c>
      <c r="C723" s="17" t="s">
        <v>626</v>
      </c>
      <c r="D723" s="15">
        <v>453.21</v>
      </c>
      <c r="E723" s="16" t="s">
        <v>627</v>
      </c>
      <c r="F723" s="14" t="s">
        <v>1560</v>
      </c>
      <c r="G723" s="16" t="s">
        <v>1492</v>
      </c>
      <c r="H723" s="17" t="s">
        <v>1206</v>
      </c>
      <c r="I723" s="11">
        <v>5</v>
      </c>
    </row>
    <row r="724" spans="1:9" hidden="1" x14ac:dyDescent="0.25">
      <c r="A724" s="14">
        <v>11</v>
      </c>
      <c r="B724" s="13">
        <v>45989</v>
      </c>
      <c r="C724" s="17" t="s">
        <v>8</v>
      </c>
      <c r="D724" s="15">
        <v>367.03</v>
      </c>
      <c r="E724" s="16" t="s">
        <v>622</v>
      </c>
      <c r="F724" s="14" t="s">
        <v>1770</v>
      </c>
      <c r="G724" s="16" t="s">
        <v>1494</v>
      </c>
      <c r="H724" s="17" t="s">
        <v>1250</v>
      </c>
      <c r="I724" s="11">
        <v>5</v>
      </c>
    </row>
    <row r="725" spans="1:9" hidden="1" x14ac:dyDescent="0.25">
      <c r="A725" s="14">
        <v>11</v>
      </c>
      <c r="B725" s="13">
        <v>45989</v>
      </c>
      <c r="C725" s="17" t="s">
        <v>20</v>
      </c>
      <c r="D725" s="15">
        <v>262.93</v>
      </c>
      <c r="E725" s="16" t="s">
        <v>623</v>
      </c>
      <c r="F725" s="14" t="s">
        <v>1761</v>
      </c>
      <c r="G725" s="16" t="s">
        <v>1494</v>
      </c>
      <c r="H725" s="17" t="s">
        <v>1328</v>
      </c>
      <c r="I725" s="11">
        <v>4</v>
      </c>
    </row>
    <row r="726" spans="1:9" hidden="1" x14ac:dyDescent="0.25">
      <c r="A726" s="14">
        <v>11</v>
      </c>
      <c r="B726" s="13">
        <v>45989</v>
      </c>
      <c r="C726" s="17" t="s">
        <v>8</v>
      </c>
      <c r="D726" s="15">
        <v>580</v>
      </c>
      <c r="E726" s="16" t="s">
        <v>618</v>
      </c>
      <c r="F726" s="14"/>
      <c r="G726" s="16" t="s">
        <v>1499</v>
      </c>
      <c r="H726" s="17" t="s">
        <v>1457</v>
      </c>
      <c r="I726" s="11">
        <v>0</v>
      </c>
    </row>
    <row r="727" spans="1:9" hidden="1" x14ac:dyDescent="0.25">
      <c r="A727" s="14">
        <v>11</v>
      </c>
      <c r="B727" s="13">
        <v>45989</v>
      </c>
      <c r="C727" s="17" t="s">
        <v>8</v>
      </c>
      <c r="D727" s="15">
        <v>261.5</v>
      </c>
      <c r="E727" s="16" t="s">
        <v>619</v>
      </c>
      <c r="F727" s="14" t="s">
        <v>1809</v>
      </c>
      <c r="G727" s="16" t="s">
        <v>1491</v>
      </c>
      <c r="H727" s="17" t="s">
        <v>1376</v>
      </c>
      <c r="I727" s="11">
        <v>3</v>
      </c>
    </row>
    <row r="728" spans="1:9" hidden="1" x14ac:dyDescent="0.25">
      <c r="A728" s="14">
        <v>11</v>
      </c>
      <c r="B728" s="13">
        <v>45989</v>
      </c>
      <c r="C728" s="17" t="s">
        <v>8</v>
      </c>
      <c r="D728" s="15">
        <v>272.22000000000003</v>
      </c>
      <c r="E728" s="16" t="s">
        <v>619</v>
      </c>
      <c r="F728" s="14" t="s">
        <v>1809</v>
      </c>
      <c r="G728" s="16" t="s">
        <v>1492</v>
      </c>
      <c r="H728" s="17" t="s">
        <v>1376</v>
      </c>
      <c r="I728" s="11">
        <v>3</v>
      </c>
    </row>
    <row r="729" spans="1:9" hidden="1" x14ac:dyDescent="0.25">
      <c r="A729" s="14">
        <v>11</v>
      </c>
      <c r="B729" s="13">
        <v>45989</v>
      </c>
      <c r="C729" s="17" t="s">
        <v>32</v>
      </c>
      <c r="D729" s="15">
        <v>480.94</v>
      </c>
      <c r="E729" s="16" t="s">
        <v>620</v>
      </c>
      <c r="F729" s="14" t="s">
        <v>1812</v>
      </c>
      <c r="G729" s="16" t="s">
        <v>1494</v>
      </c>
      <c r="H729" s="17" t="s">
        <v>1245</v>
      </c>
      <c r="I729" s="11">
        <v>6</v>
      </c>
    </row>
    <row r="730" spans="1:9" hidden="1" x14ac:dyDescent="0.25">
      <c r="A730" s="14">
        <v>11</v>
      </c>
      <c r="B730" s="13">
        <v>45989</v>
      </c>
      <c r="C730" s="17" t="s">
        <v>8</v>
      </c>
      <c r="D730" s="15">
        <v>389.2</v>
      </c>
      <c r="E730" s="16" t="s">
        <v>621</v>
      </c>
      <c r="F730" s="14" t="s">
        <v>2035</v>
      </c>
      <c r="G730" s="16" t="s">
        <v>1493</v>
      </c>
      <c r="H730" s="17" t="s">
        <v>1444</v>
      </c>
      <c r="I730" s="11">
        <v>4</v>
      </c>
    </row>
    <row r="731" spans="1:9" hidden="1" x14ac:dyDescent="0.25">
      <c r="A731" s="14">
        <v>11</v>
      </c>
      <c r="B731" s="13">
        <v>45990</v>
      </c>
      <c r="C731" s="17" t="s">
        <v>8</v>
      </c>
      <c r="D731" s="15">
        <v>403.19</v>
      </c>
      <c r="E731" s="16" t="s">
        <v>580</v>
      </c>
      <c r="F731" s="14" t="s">
        <v>1565</v>
      </c>
      <c r="G731" s="16" t="s">
        <v>1494</v>
      </c>
      <c r="H731" s="17" t="s">
        <v>8</v>
      </c>
      <c r="I731" s="11">
        <v>5</v>
      </c>
    </row>
    <row r="732" spans="1:9" hidden="1" x14ac:dyDescent="0.25">
      <c r="A732" s="14">
        <v>11</v>
      </c>
      <c r="B732" s="13">
        <v>45990</v>
      </c>
      <c r="C732" s="17" t="s">
        <v>8</v>
      </c>
      <c r="D732" s="15">
        <v>421.91</v>
      </c>
      <c r="E732" s="16" t="s">
        <v>579</v>
      </c>
      <c r="F732" s="14" t="s">
        <v>1739</v>
      </c>
      <c r="G732" s="16" t="s">
        <v>1492</v>
      </c>
      <c r="H732" s="17" t="s">
        <v>8</v>
      </c>
      <c r="I732" s="11">
        <v>4</v>
      </c>
    </row>
    <row r="733" spans="1:9" hidden="1" x14ac:dyDescent="0.25">
      <c r="A733" s="14">
        <v>11</v>
      </c>
      <c r="B733" s="13">
        <v>45990</v>
      </c>
      <c r="C733" s="17" t="s">
        <v>8</v>
      </c>
      <c r="D733" s="15">
        <v>394.58</v>
      </c>
      <c r="E733" s="16" t="s">
        <v>581</v>
      </c>
      <c r="F733" s="14" t="s">
        <v>1503</v>
      </c>
      <c r="G733" s="16" t="s">
        <v>1494</v>
      </c>
      <c r="H733" s="17" t="s">
        <v>8</v>
      </c>
      <c r="I733" s="11">
        <v>5</v>
      </c>
    </row>
    <row r="734" spans="1:9" hidden="1" x14ac:dyDescent="0.25">
      <c r="A734" s="14">
        <v>11</v>
      </c>
      <c r="B734" s="13">
        <v>45990</v>
      </c>
      <c r="C734" s="17" t="s">
        <v>8</v>
      </c>
      <c r="D734" s="15">
        <v>388.84</v>
      </c>
      <c r="E734" s="16" t="s">
        <v>582</v>
      </c>
      <c r="F734" s="14" t="s">
        <v>2001</v>
      </c>
      <c r="G734" s="16" t="s">
        <v>1494</v>
      </c>
      <c r="H734" s="17" t="s">
        <v>8</v>
      </c>
      <c r="I734" s="11">
        <v>4</v>
      </c>
    </row>
    <row r="735" spans="1:9" hidden="1" x14ac:dyDescent="0.25">
      <c r="A735" s="14">
        <v>11</v>
      </c>
      <c r="B735" s="13">
        <v>45990</v>
      </c>
      <c r="C735" s="17" t="s">
        <v>8</v>
      </c>
      <c r="D735" s="15">
        <v>388.83</v>
      </c>
      <c r="E735" s="16" t="s">
        <v>583</v>
      </c>
      <c r="F735" s="14" t="s">
        <v>1726</v>
      </c>
      <c r="G735" s="16" t="s">
        <v>1494</v>
      </c>
      <c r="H735" s="17" t="s">
        <v>8</v>
      </c>
      <c r="I735" s="11">
        <v>4</v>
      </c>
    </row>
    <row r="736" spans="1:9" hidden="1" x14ac:dyDescent="0.25">
      <c r="A736" s="14">
        <v>11</v>
      </c>
      <c r="B736" s="13">
        <v>45990</v>
      </c>
      <c r="C736" s="17" t="s">
        <v>8</v>
      </c>
      <c r="D736" s="15">
        <v>380.23</v>
      </c>
      <c r="E736" s="16" t="s">
        <v>584</v>
      </c>
      <c r="F736" s="14" t="s">
        <v>1961</v>
      </c>
      <c r="G736" s="16" t="s">
        <v>1494</v>
      </c>
      <c r="H736" s="17" t="s">
        <v>8</v>
      </c>
      <c r="I736" s="11">
        <v>5</v>
      </c>
    </row>
    <row r="737" spans="1:9" hidden="1" x14ac:dyDescent="0.25">
      <c r="A737" s="14">
        <v>11</v>
      </c>
      <c r="B737" s="13">
        <v>45990</v>
      </c>
      <c r="C737" s="17" t="s">
        <v>8</v>
      </c>
      <c r="D737" s="15">
        <v>377.36</v>
      </c>
      <c r="E737" s="16" t="s">
        <v>585</v>
      </c>
      <c r="F737" s="14" t="s">
        <v>1943</v>
      </c>
      <c r="G737" s="16" t="s">
        <v>1494</v>
      </c>
      <c r="H737" s="17" t="s">
        <v>8</v>
      </c>
      <c r="I737" s="11">
        <v>5</v>
      </c>
    </row>
    <row r="738" spans="1:9" hidden="1" x14ac:dyDescent="0.25">
      <c r="A738" s="14">
        <v>11</v>
      </c>
      <c r="B738" s="13">
        <v>45990</v>
      </c>
      <c r="C738" s="17" t="s">
        <v>8</v>
      </c>
      <c r="D738" s="15">
        <v>50</v>
      </c>
      <c r="E738" s="16" t="s">
        <v>589</v>
      </c>
      <c r="F738" s="14"/>
      <c r="G738" s="16" t="s">
        <v>1497</v>
      </c>
      <c r="H738" s="17" t="s">
        <v>8</v>
      </c>
      <c r="I738" s="11">
        <v>0</v>
      </c>
    </row>
    <row r="739" spans="1:9" hidden="1" x14ac:dyDescent="0.25">
      <c r="A739" s="14">
        <v>11</v>
      </c>
      <c r="B739" s="13">
        <v>45990</v>
      </c>
      <c r="C739" s="17" t="s">
        <v>23</v>
      </c>
      <c r="D739" s="15">
        <v>77.760000000000005</v>
      </c>
      <c r="E739" s="16" t="s">
        <v>588</v>
      </c>
      <c r="F739" s="14" t="s">
        <v>1843</v>
      </c>
      <c r="G739" s="16" t="s">
        <v>1494</v>
      </c>
      <c r="H739" s="17" t="s">
        <v>23</v>
      </c>
      <c r="I739" s="11">
        <v>10</v>
      </c>
    </row>
    <row r="740" spans="1:9" hidden="1" x14ac:dyDescent="0.25">
      <c r="A740" s="14">
        <v>11</v>
      </c>
      <c r="B740" s="13">
        <v>45990</v>
      </c>
      <c r="C740" s="17" t="s">
        <v>32</v>
      </c>
      <c r="D740" s="15">
        <v>580</v>
      </c>
      <c r="E740" s="16" t="s">
        <v>578</v>
      </c>
      <c r="F740" s="14"/>
      <c r="G740" s="16" t="s">
        <v>1499</v>
      </c>
      <c r="H740" s="17" t="s">
        <v>32</v>
      </c>
      <c r="I740" s="11">
        <v>0</v>
      </c>
    </row>
    <row r="741" spans="1:9" hidden="1" x14ac:dyDescent="0.25">
      <c r="A741" s="14">
        <v>11</v>
      </c>
      <c r="B741" s="13">
        <v>45990</v>
      </c>
      <c r="C741" s="17" t="s">
        <v>16</v>
      </c>
      <c r="D741" s="15">
        <v>319.95999999999998</v>
      </c>
      <c r="E741" s="16" t="s">
        <v>577</v>
      </c>
      <c r="F741" s="14" t="s">
        <v>1638</v>
      </c>
      <c r="G741" s="16" t="s">
        <v>1493</v>
      </c>
      <c r="H741" s="17" t="s">
        <v>16</v>
      </c>
      <c r="I741" s="11">
        <v>6</v>
      </c>
    </row>
    <row r="742" spans="1:9" hidden="1" x14ac:dyDescent="0.25">
      <c r="A742" s="14">
        <v>11</v>
      </c>
      <c r="B742" s="13">
        <v>45990</v>
      </c>
      <c r="C742" s="17" t="s">
        <v>16</v>
      </c>
      <c r="D742" s="15">
        <v>304.54000000000002</v>
      </c>
      <c r="E742" s="16" t="s">
        <v>577</v>
      </c>
      <c r="F742" s="14" t="s">
        <v>1638</v>
      </c>
      <c r="G742" s="16" t="s">
        <v>1494</v>
      </c>
      <c r="H742" s="17" t="s">
        <v>16</v>
      </c>
      <c r="I742" s="11">
        <v>6</v>
      </c>
    </row>
    <row r="743" spans="1:9" hidden="1" x14ac:dyDescent="0.25">
      <c r="A743" s="14">
        <v>11</v>
      </c>
      <c r="B743" s="13">
        <v>45990</v>
      </c>
      <c r="C743" s="17" t="s">
        <v>16</v>
      </c>
      <c r="D743" s="15">
        <v>308.32</v>
      </c>
      <c r="E743" s="16" t="s">
        <v>586</v>
      </c>
      <c r="F743" s="14" t="s">
        <v>1596</v>
      </c>
      <c r="G743" s="16" t="s">
        <v>1494</v>
      </c>
      <c r="H743" s="17" t="s">
        <v>16</v>
      </c>
      <c r="I743" s="11">
        <v>4</v>
      </c>
    </row>
    <row r="744" spans="1:9" hidden="1" x14ac:dyDescent="0.25">
      <c r="A744" s="14">
        <v>11</v>
      </c>
      <c r="B744" s="13">
        <v>45990</v>
      </c>
      <c r="C744" s="17" t="s">
        <v>16</v>
      </c>
      <c r="D744" s="15">
        <v>30</v>
      </c>
      <c r="E744" s="16" t="s">
        <v>591</v>
      </c>
      <c r="F744" s="14"/>
      <c r="G744" s="16" t="s">
        <v>1497</v>
      </c>
      <c r="H744" s="17" t="s">
        <v>16</v>
      </c>
      <c r="I744" s="11">
        <v>0</v>
      </c>
    </row>
    <row r="745" spans="1:9" hidden="1" x14ac:dyDescent="0.25">
      <c r="A745" s="14">
        <v>11</v>
      </c>
      <c r="B745" s="13">
        <v>45990</v>
      </c>
      <c r="C745" s="17" t="s">
        <v>20</v>
      </c>
      <c r="D745" s="15">
        <v>176.23</v>
      </c>
      <c r="E745" s="16" t="s">
        <v>587</v>
      </c>
      <c r="F745" s="14" t="s">
        <v>1535</v>
      </c>
      <c r="G745" s="16" t="s">
        <v>1494</v>
      </c>
      <c r="H745" s="17" t="s">
        <v>20</v>
      </c>
      <c r="I745" s="11">
        <v>5</v>
      </c>
    </row>
    <row r="746" spans="1:9" hidden="1" x14ac:dyDescent="0.25">
      <c r="A746" s="14">
        <v>11</v>
      </c>
      <c r="B746" s="13">
        <v>45990</v>
      </c>
      <c r="C746" s="17" t="s">
        <v>20</v>
      </c>
      <c r="D746" s="15">
        <v>40</v>
      </c>
      <c r="E746" s="16" t="s">
        <v>590</v>
      </c>
      <c r="F746" s="14"/>
      <c r="G746" s="16" t="s">
        <v>1498</v>
      </c>
      <c r="H746" s="17" t="s">
        <v>20</v>
      </c>
      <c r="I746" s="11">
        <v>0</v>
      </c>
    </row>
    <row r="747" spans="1:9" hidden="1" x14ac:dyDescent="0.25">
      <c r="A747" s="14">
        <v>11</v>
      </c>
      <c r="B747" s="13">
        <v>45991</v>
      </c>
      <c r="C747" s="17" t="s">
        <v>8</v>
      </c>
      <c r="D747" s="15">
        <v>371.62</v>
      </c>
      <c r="E747" s="16" t="s">
        <v>570</v>
      </c>
      <c r="F747" s="14" t="s">
        <v>1736</v>
      </c>
      <c r="G747" s="16" t="s">
        <v>1494</v>
      </c>
      <c r="H747" s="17" t="s">
        <v>2070</v>
      </c>
      <c r="I747" s="11">
        <v>6</v>
      </c>
    </row>
    <row r="748" spans="1:9" hidden="1" x14ac:dyDescent="0.25">
      <c r="A748" s="14">
        <v>11</v>
      </c>
      <c r="B748" s="13">
        <v>45991</v>
      </c>
      <c r="C748" s="17" t="s">
        <v>8</v>
      </c>
      <c r="D748" s="15">
        <v>580</v>
      </c>
      <c r="E748" s="16" t="s">
        <v>567</v>
      </c>
      <c r="F748" s="14"/>
      <c r="G748" s="16" t="s">
        <v>1499</v>
      </c>
      <c r="H748" s="17" t="s">
        <v>8</v>
      </c>
      <c r="I748" s="11">
        <v>0</v>
      </c>
    </row>
    <row r="749" spans="1:9" hidden="1" x14ac:dyDescent="0.25">
      <c r="A749" s="14">
        <v>11</v>
      </c>
      <c r="B749" s="13">
        <v>45991</v>
      </c>
      <c r="C749" s="17" t="s">
        <v>8</v>
      </c>
      <c r="D749" s="15">
        <v>532.75</v>
      </c>
      <c r="E749" s="16" t="s">
        <v>568</v>
      </c>
      <c r="F749" s="14" t="s">
        <v>2010</v>
      </c>
      <c r="G749" s="16" t="s">
        <v>1494</v>
      </c>
      <c r="H749" s="17" t="s">
        <v>8</v>
      </c>
      <c r="I749" s="11">
        <v>5</v>
      </c>
    </row>
    <row r="750" spans="1:9" hidden="1" x14ac:dyDescent="0.25">
      <c r="A750" s="14">
        <v>11</v>
      </c>
      <c r="B750" s="13">
        <v>45991</v>
      </c>
      <c r="C750" s="17" t="s">
        <v>8</v>
      </c>
      <c r="D750" s="15">
        <v>394.58</v>
      </c>
      <c r="E750" s="16" t="s">
        <v>569</v>
      </c>
      <c r="F750" s="14" t="s">
        <v>1720</v>
      </c>
      <c r="G750" s="16" t="s">
        <v>1494</v>
      </c>
      <c r="H750" s="17" t="s">
        <v>8</v>
      </c>
      <c r="I750" s="11">
        <v>4</v>
      </c>
    </row>
    <row r="751" spans="1:9" hidden="1" x14ac:dyDescent="0.25">
      <c r="A751" s="14">
        <v>11</v>
      </c>
      <c r="B751" s="13">
        <v>45991</v>
      </c>
      <c r="C751" s="17" t="s">
        <v>8</v>
      </c>
      <c r="D751" s="15">
        <v>40</v>
      </c>
      <c r="E751" s="16" t="s">
        <v>573</v>
      </c>
      <c r="F751" s="14"/>
      <c r="G751" s="16" t="s">
        <v>1498</v>
      </c>
      <c r="H751" s="17" t="s">
        <v>8</v>
      </c>
      <c r="I751" s="11">
        <v>0</v>
      </c>
    </row>
    <row r="752" spans="1:9" hidden="1" x14ac:dyDescent="0.25">
      <c r="A752" s="14">
        <v>11</v>
      </c>
      <c r="B752" s="13">
        <v>45991</v>
      </c>
      <c r="C752" s="17" t="s">
        <v>8</v>
      </c>
      <c r="D752" s="15">
        <v>40</v>
      </c>
      <c r="E752" s="16" t="s">
        <v>574</v>
      </c>
      <c r="F752" s="14"/>
      <c r="G752" s="16" t="s">
        <v>1498</v>
      </c>
      <c r="H752" s="17" t="s">
        <v>8</v>
      </c>
      <c r="I752" s="11">
        <v>0</v>
      </c>
    </row>
    <row r="753" spans="1:9" hidden="1" x14ac:dyDescent="0.25">
      <c r="A753" s="14">
        <v>11</v>
      </c>
      <c r="B753" s="13">
        <v>45991</v>
      </c>
      <c r="C753" s="17" t="s">
        <v>8</v>
      </c>
      <c r="D753" s="15">
        <v>40</v>
      </c>
      <c r="E753" s="16" t="s">
        <v>575</v>
      </c>
      <c r="F753" s="14"/>
      <c r="G753" s="16" t="s">
        <v>1498</v>
      </c>
      <c r="H753" s="17" t="s">
        <v>8</v>
      </c>
      <c r="I753" s="11">
        <v>0</v>
      </c>
    </row>
    <row r="754" spans="1:9" hidden="1" x14ac:dyDescent="0.25">
      <c r="A754" s="14">
        <v>11</v>
      </c>
      <c r="B754" s="13">
        <v>45991</v>
      </c>
      <c r="C754" s="17" t="s">
        <v>16</v>
      </c>
      <c r="D754" s="15">
        <v>302.58</v>
      </c>
      <c r="E754" s="16" t="s">
        <v>571</v>
      </c>
      <c r="F754" s="14" t="s">
        <v>1894</v>
      </c>
      <c r="G754" s="16" t="s">
        <v>1494</v>
      </c>
      <c r="H754" s="17" t="s">
        <v>16</v>
      </c>
      <c r="I754" s="11">
        <v>5</v>
      </c>
    </row>
    <row r="755" spans="1:9" hidden="1" x14ac:dyDescent="0.25">
      <c r="A755" s="14">
        <v>11</v>
      </c>
      <c r="B755" s="13">
        <v>45991</v>
      </c>
      <c r="C755" s="17" t="s">
        <v>16</v>
      </c>
      <c r="D755" s="15">
        <v>40</v>
      </c>
      <c r="E755" s="16" t="s">
        <v>572</v>
      </c>
      <c r="F755" s="14"/>
      <c r="G755" s="16" t="s">
        <v>1498</v>
      </c>
      <c r="H755" s="17" t="s">
        <v>16</v>
      </c>
      <c r="I755" s="11">
        <v>0</v>
      </c>
    </row>
    <row r="756" spans="1:9" hidden="1" x14ac:dyDescent="0.25">
      <c r="A756" s="14">
        <v>12</v>
      </c>
      <c r="B756" s="13">
        <v>45992</v>
      </c>
      <c r="C756" s="17" t="s">
        <v>8</v>
      </c>
      <c r="D756" s="15">
        <v>270.61</v>
      </c>
      <c r="E756" s="16" t="s">
        <v>1194</v>
      </c>
      <c r="F756" s="14" t="s">
        <v>1900</v>
      </c>
      <c r="G756" s="16" t="s">
        <v>1493</v>
      </c>
      <c r="H756" s="17" t="s">
        <v>1459</v>
      </c>
      <c r="I756" s="11">
        <v>7</v>
      </c>
    </row>
    <row r="757" spans="1:9" hidden="1" x14ac:dyDescent="0.25">
      <c r="A757" s="14">
        <v>12</v>
      </c>
      <c r="B757" s="13">
        <v>45992</v>
      </c>
      <c r="C757" s="17" t="s">
        <v>8</v>
      </c>
      <c r="D757" s="15">
        <v>265.8</v>
      </c>
      <c r="E757" s="16" t="s">
        <v>1194</v>
      </c>
      <c r="F757" s="14" t="s">
        <v>1900</v>
      </c>
      <c r="G757" s="16" t="s">
        <v>1494</v>
      </c>
      <c r="H757" s="17" t="s">
        <v>1459</v>
      </c>
      <c r="I757" s="11">
        <v>7</v>
      </c>
    </row>
    <row r="758" spans="1:9" hidden="1" x14ac:dyDescent="0.25">
      <c r="A758" s="14">
        <v>12</v>
      </c>
      <c r="B758" s="13">
        <v>45992</v>
      </c>
      <c r="C758" s="17" t="s">
        <v>16</v>
      </c>
      <c r="D758" s="15">
        <v>385.31</v>
      </c>
      <c r="E758" s="16" t="s">
        <v>1189</v>
      </c>
      <c r="F758" s="14" t="s">
        <v>1501</v>
      </c>
      <c r="G758" s="16" t="s">
        <v>1489</v>
      </c>
      <c r="H758" s="17" t="s">
        <v>1458</v>
      </c>
      <c r="I758" s="11">
        <v>6</v>
      </c>
    </row>
    <row r="759" spans="1:9" hidden="1" x14ac:dyDescent="0.25">
      <c r="A759" s="14">
        <v>12</v>
      </c>
      <c r="B759" s="13">
        <v>45992</v>
      </c>
      <c r="C759" s="17" t="s">
        <v>16</v>
      </c>
      <c r="D759" s="15">
        <v>382.13</v>
      </c>
      <c r="E759" s="16" t="s">
        <v>1189</v>
      </c>
      <c r="F759" s="14" t="s">
        <v>1501</v>
      </c>
      <c r="G759" s="16" t="s">
        <v>1490</v>
      </c>
      <c r="H759" s="17" t="s">
        <v>1458</v>
      </c>
      <c r="I759" s="11">
        <v>6</v>
      </c>
    </row>
    <row r="760" spans="1:9" hidden="1" x14ac:dyDescent="0.25">
      <c r="A760" s="14">
        <v>12</v>
      </c>
      <c r="B760" s="13">
        <v>45992</v>
      </c>
      <c r="C760" s="17" t="s">
        <v>16</v>
      </c>
      <c r="D760" s="15">
        <v>368.11</v>
      </c>
      <c r="E760" s="16" t="s">
        <v>1189</v>
      </c>
      <c r="F760" s="14" t="s">
        <v>1501</v>
      </c>
      <c r="G760" s="16" t="s">
        <v>1491</v>
      </c>
      <c r="H760" s="17" t="s">
        <v>1458</v>
      </c>
      <c r="I760" s="11">
        <v>6</v>
      </c>
    </row>
    <row r="761" spans="1:9" hidden="1" x14ac:dyDescent="0.25">
      <c r="A761" s="14">
        <v>12</v>
      </c>
      <c r="B761" s="13">
        <v>45992</v>
      </c>
      <c r="C761" s="17" t="s">
        <v>16</v>
      </c>
      <c r="D761" s="15">
        <v>378.78</v>
      </c>
      <c r="E761" s="16" t="s">
        <v>1189</v>
      </c>
      <c r="F761" s="14" t="s">
        <v>1501</v>
      </c>
      <c r="G761" s="16" t="s">
        <v>1492</v>
      </c>
      <c r="H761" s="17" t="s">
        <v>1458</v>
      </c>
      <c r="I761" s="11">
        <v>6</v>
      </c>
    </row>
    <row r="762" spans="1:9" hidden="1" x14ac:dyDescent="0.25">
      <c r="A762" s="14">
        <v>12</v>
      </c>
      <c r="B762" s="13">
        <v>45992</v>
      </c>
      <c r="C762" s="17" t="s">
        <v>16</v>
      </c>
      <c r="D762" s="15">
        <v>377.16</v>
      </c>
      <c r="E762" s="16" t="s">
        <v>1189</v>
      </c>
      <c r="F762" s="14" t="s">
        <v>1501</v>
      </c>
      <c r="G762" s="16" t="s">
        <v>1493</v>
      </c>
      <c r="H762" s="17" t="s">
        <v>1458</v>
      </c>
      <c r="I762" s="11">
        <v>6</v>
      </c>
    </row>
    <row r="763" spans="1:9" hidden="1" x14ac:dyDescent="0.25">
      <c r="A763" s="14">
        <v>12</v>
      </c>
      <c r="B763" s="13">
        <v>45992</v>
      </c>
      <c r="C763" s="17" t="s">
        <v>16</v>
      </c>
      <c r="D763" s="15">
        <v>370.23</v>
      </c>
      <c r="E763" s="16" t="s">
        <v>1189</v>
      </c>
      <c r="F763" s="14" t="s">
        <v>1501</v>
      </c>
      <c r="G763" s="16" t="s">
        <v>1494</v>
      </c>
      <c r="H763" s="17" t="s">
        <v>1458</v>
      </c>
      <c r="I763" s="11">
        <v>6</v>
      </c>
    </row>
    <row r="764" spans="1:9" hidden="1" x14ac:dyDescent="0.25">
      <c r="A764" s="14">
        <v>12</v>
      </c>
      <c r="B764" s="13">
        <v>45992</v>
      </c>
      <c r="C764" s="17" t="s">
        <v>8</v>
      </c>
      <c r="D764" s="15">
        <v>397.45</v>
      </c>
      <c r="E764" s="16" t="s">
        <v>1195</v>
      </c>
      <c r="F764" s="14" t="s">
        <v>1750</v>
      </c>
      <c r="G764" s="16" t="s">
        <v>1494</v>
      </c>
      <c r="H764" s="17" t="s">
        <v>1403</v>
      </c>
      <c r="I764" s="11">
        <v>7</v>
      </c>
    </row>
    <row r="765" spans="1:9" hidden="1" x14ac:dyDescent="0.25">
      <c r="A765" s="14">
        <v>12</v>
      </c>
      <c r="B765" s="13">
        <v>45992</v>
      </c>
      <c r="C765" s="17" t="s">
        <v>8</v>
      </c>
      <c r="D765" s="15">
        <v>378.65</v>
      </c>
      <c r="E765" s="16" t="s">
        <v>1198</v>
      </c>
      <c r="F765" s="14" t="s">
        <v>1709</v>
      </c>
      <c r="G765" s="16" t="s">
        <v>1493</v>
      </c>
      <c r="H765" s="17" t="s">
        <v>1263</v>
      </c>
      <c r="I765" s="11">
        <v>4</v>
      </c>
    </row>
    <row r="766" spans="1:9" hidden="1" x14ac:dyDescent="0.25">
      <c r="A766" s="14">
        <v>12</v>
      </c>
      <c r="B766" s="13">
        <v>45992</v>
      </c>
      <c r="C766" s="17" t="s">
        <v>8</v>
      </c>
      <c r="D766" s="15">
        <v>374.49</v>
      </c>
      <c r="E766" s="16" t="s">
        <v>1200</v>
      </c>
      <c r="F766" s="14" t="s">
        <v>1709</v>
      </c>
      <c r="G766" s="16" t="s">
        <v>1494</v>
      </c>
      <c r="H766" s="17" t="s">
        <v>1263</v>
      </c>
      <c r="I766" s="11">
        <v>4</v>
      </c>
    </row>
    <row r="767" spans="1:9" hidden="1" x14ac:dyDescent="0.25">
      <c r="A767" s="14">
        <v>12</v>
      </c>
      <c r="B767" s="13">
        <v>45992</v>
      </c>
      <c r="C767" s="17" t="s">
        <v>8</v>
      </c>
      <c r="D767" s="15">
        <v>175.8</v>
      </c>
      <c r="E767" s="16" t="s">
        <v>1204</v>
      </c>
      <c r="F767" s="14" t="s">
        <v>1861</v>
      </c>
      <c r="G767" s="16" t="s">
        <v>1494</v>
      </c>
      <c r="H767" s="17" t="s">
        <v>1360</v>
      </c>
      <c r="I767" s="11">
        <v>5</v>
      </c>
    </row>
    <row r="768" spans="1:9" hidden="1" x14ac:dyDescent="0.25">
      <c r="A768" s="14">
        <v>12</v>
      </c>
      <c r="B768" s="13">
        <v>45992</v>
      </c>
      <c r="C768" s="17" t="s">
        <v>8</v>
      </c>
      <c r="D768" s="15">
        <v>176.67</v>
      </c>
      <c r="E768" s="16" t="s">
        <v>1203</v>
      </c>
      <c r="F768" s="14" t="s">
        <v>1731</v>
      </c>
      <c r="G768" s="16" t="s">
        <v>1494</v>
      </c>
      <c r="H768" s="17" t="s">
        <v>1217</v>
      </c>
      <c r="I768" s="11">
        <v>5</v>
      </c>
    </row>
    <row r="769" spans="1:9" hidden="1" x14ac:dyDescent="0.25">
      <c r="A769" s="14">
        <v>12</v>
      </c>
      <c r="B769" s="13">
        <v>45992</v>
      </c>
      <c r="C769" s="17" t="s">
        <v>20</v>
      </c>
      <c r="D769" s="15">
        <v>172.94</v>
      </c>
      <c r="E769" s="16" t="s">
        <v>1205</v>
      </c>
      <c r="F769" s="14" t="s">
        <v>1520</v>
      </c>
      <c r="G769" s="16" t="s">
        <v>1494</v>
      </c>
      <c r="H769" s="17" t="s">
        <v>1229</v>
      </c>
      <c r="I769" s="11">
        <v>5</v>
      </c>
    </row>
    <row r="770" spans="1:9" hidden="1" x14ac:dyDescent="0.25">
      <c r="A770" s="14">
        <v>12</v>
      </c>
      <c r="B770" s="13">
        <v>45992</v>
      </c>
      <c r="C770" s="17" t="s">
        <v>8</v>
      </c>
      <c r="D770" s="15">
        <v>382.05</v>
      </c>
      <c r="E770" s="16" t="s">
        <v>1196</v>
      </c>
      <c r="F770" s="14" t="s">
        <v>2027</v>
      </c>
      <c r="G770" s="16" t="s">
        <v>1494</v>
      </c>
      <c r="H770" s="17" t="s">
        <v>1366</v>
      </c>
      <c r="I770" s="11">
        <v>4</v>
      </c>
    </row>
    <row r="771" spans="1:9" hidden="1" x14ac:dyDescent="0.25">
      <c r="A771" s="14">
        <v>12</v>
      </c>
      <c r="B771" s="13">
        <v>45992</v>
      </c>
      <c r="C771" s="17" t="s">
        <v>8</v>
      </c>
      <c r="D771" s="15">
        <v>82.149999999999977</v>
      </c>
      <c r="E771" s="16" t="s">
        <v>1190</v>
      </c>
      <c r="F771" s="14" t="s">
        <v>1574</v>
      </c>
      <c r="G771" s="16" t="s">
        <v>1491</v>
      </c>
      <c r="H771" s="17" t="s">
        <v>1244</v>
      </c>
      <c r="I771" s="11">
        <v>5</v>
      </c>
    </row>
    <row r="772" spans="1:9" hidden="1" x14ac:dyDescent="0.25">
      <c r="A772" s="14">
        <v>12</v>
      </c>
      <c r="B772" s="13">
        <v>45992</v>
      </c>
      <c r="C772" s="17" t="s">
        <v>8</v>
      </c>
      <c r="D772" s="15">
        <v>994.95</v>
      </c>
      <c r="E772" s="16" t="s">
        <v>1190</v>
      </c>
      <c r="F772" s="14" t="s">
        <v>1574</v>
      </c>
      <c r="G772" s="16" t="s">
        <v>1493</v>
      </c>
      <c r="H772" s="17" t="s">
        <v>1244</v>
      </c>
      <c r="I772" s="11">
        <v>5</v>
      </c>
    </row>
    <row r="773" spans="1:9" hidden="1" x14ac:dyDescent="0.25">
      <c r="A773" s="14">
        <v>12</v>
      </c>
      <c r="B773" s="13">
        <v>45992</v>
      </c>
      <c r="C773" s="17" t="s">
        <v>8</v>
      </c>
      <c r="D773" s="15">
        <v>947.97</v>
      </c>
      <c r="E773" s="16" t="s">
        <v>1190</v>
      </c>
      <c r="F773" s="14" t="s">
        <v>1574</v>
      </c>
      <c r="G773" s="16" t="s">
        <v>1494</v>
      </c>
      <c r="H773" s="17" t="s">
        <v>1244</v>
      </c>
      <c r="I773" s="11">
        <v>5</v>
      </c>
    </row>
    <row r="774" spans="1:9" hidden="1" x14ac:dyDescent="0.25">
      <c r="A774" s="14">
        <v>12</v>
      </c>
      <c r="B774" s="13">
        <v>45992</v>
      </c>
      <c r="C774" s="17" t="s">
        <v>8</v>
      </c>
      <c r="D774" s="15">
        <v>580</v>
      </c>
      <c r="E774" s="16" t="s">
        <v>1193</v>
      </c>
      <c r="F774" s="14"/>
      <c r="G774" s="16" t="s">
        <v>1499</v>
      </c>
      <c r="H774" s="17" t="s">
        <v>1457</v>
      </c>
      <c r="I774" s="11">
        <v>0</v>
      </c>
    </row>
    <row r="775" spans="1:9" hidden="1" x14ac:dyDescent="0.25">
      <c r="A775" s="14">
        <v>12</v>
      </c>
      <c r="B775" s="13">
        <v>45992</v>
      </c>
      <c r="C775" s="17" t="s">
        <v>8</v>
      </c>
      <c r="D775" s="15">
        <v>198.24</v>
      </c>
      <c r="E775" s="16" t="s">
        <v>1202</v>
      </c>
      <c r="F775" s="14" t="s">
        <v>1611</v>
      </c>
      <c r="G775" s="16" t="s">
        <v>1494</v>
      </c>
      <c r="H775" s="17" t="s">
        <v>1304</v>
      </c>
      <c r="I775" s="11">
        <v>4</v>
      </c>
    </row>
    <row r="776" spans="1:9" hidden="1" x14ac:dyDescent="0.25">
      <c r="A776" s="14">
        <v>12</v>
      </c>
      <c r="B776" s="13">
        <v>45992</v>
      </c>
      <c r="C776" s="17" t="s">
        <v>8</v>
      </c>
      <c r="D776" s="15">
        <v>360</v>
      </c>
      <c r="E776" s="16" t="s">
        <v>1201</v>
      </c>
      <c r="F776" s="14" t="s">
        <v>1832</v>
      </c>
      <c r="G776" s="16" t="s">
        <v>1494</v>
      </c>
      <c r="H776" s="17" t="s">
        <v>1208</v>
      </c>
      <c r="I776" s="11">
        <v>7</v>
      </c>
    </row>
    <row r="777" spans="1:9" hidden="1" x14ac:dyDescent="0.25">
      <c r="A777" s="14">
        <v>12</v>
      </c>
      <c r="B777" s="13">
        <v>45992</v>
      </c>
      <c r="C777" s="17" t="s">
        <v>8</v>
      </c>
      <c r="D777" s="15">
        <v>749.61</v>
      </c>
      <c r="E777" s="16" t="s">
        <v>1191</v>
      </c>
      <c r="F777" s="14" t="s">
        <v>1680</v>
      </c>
      <c r="G777" s="16" t="s">
        <v>1494</v>
      </c>
      <c r="H777" s="17" t="s">
        <v>1271</v>
      </c>
      <c r="I777" s="11">
        <v>7</v>
      </c>
    </row>
    <row r="778" spans="1:9" hidden="1" x14ac:dyDescent="0.25">
      <c r="A778" s="14">
        <v>12</v>
      </c>
      <c r="B778" s="13">
        <v>45992</v>
      </c>
      <c r="C778" s="17" t="s">
        <v>8</v>
      </c>
      <c r="D778" s="15">
        <v>378.65</v>
      </c>
      <c r="E778" s="16" t="s">
        <v>1197</v>
      </c>
      <c r="F778" s="14" t="s">
        <v>1981</v>
      </c>
      <c r="G778" s="16" t="s">
        <v>1493</v>
      </c>
      <c r="H778" s="17" t="s">
        <v>1298</v>
      </c>
      <c r="I778" s="11">
        <v>4</v>
      </c>
    </row>
    <row r="779" spans="1:9" hidden="1" x14ac:dyDescent="0.25">
      <c r="A779" s="14">
        <v>12</v>
      </c>
      <c r="B779" s="13">
        <v>45992</v>
      </c>
      <c r="C779" s="17" t="s">
        <v>8</v>
      </c>
      <c r="D779" s="15">
        <v>377.36</v>
      </c>
      <c r="E779" s="16" t="s">
        <v>1199</v>
      </c>
      <c r="F779" s="14" t="s">
        <v>1981</v>
      </c>
      <c r="G779" s="16" t="s">
        <v>1494</v>
      </c>
      <c r="H779" s="17" t="s">
        <v>1298</v>
      </c>
      <c r="I779" s="11">
        <v>4</v>
      </c>
    </row>
    <row r="780" spans="1:9" hidden="1" x14ac:dyDescent="0.25">
      <c r="A780" s="14">
        <v>12</v>
      </c>
      <c r="B780" s="13">
        <v>45992</v>
      </c>
      <c r="C780" s="17" t="s">
        <v>8</v>
      </c>
      <c r="D780" s="15">
        <v>580</v>
      </c>
      <c r="E780" s="16" t="s">
        <v>1192</v>
      </c>
      <c r="F780" s="14"/>
      <c r="G780" s="16" t="s">
        <v>1499</v>
      </c>
      <c r="H780" s="17" t="s">
        <v>1261</v>
      </c>
      <c r="I780" s="11">
        <v>6</v>
      </c>
    </row>
    <row r="781" spans="1:9" hidden="1" x14ac:dyDescent="0.25">
      <c r="A781" s="14">
        <v>12</v>
      </c>
      <c r="B781" s="13">
        <v>45992</v>
      </c>
      <c r="C781" s="17" t="s">
        <v>8</v>
      </c>
      <c r="D781" s="15">
        <v>40</v>
      </c>
      <c r="E781" s="16" t="s">
        <v>1192</v>
      </c>
      <c r="F781" s="14"/>
      <c r="G781" s="16" t="s">
        <v>1498</v>
      </c>
      <c r="H781" s="17" t="s">
        <v>1261</v>
      </c>
      <c r="I781" s="11">
        <v>6</v>
      </c>
    </row>
    <row r="782" spans="1:9" hidden="1" x14ac:dyDescent="0.25">
      <c r="A782" s="14">
        <v>12</v>
      </c>
      <c r="B782" s="13">
        <v>45993</v>
      </c>
      <c r="C782" s="17" t="s">
        <v>16</v>
      </c>
      <c r="D782" s="15">
        <v>388.84</v>
      </c>
      <c r="E782" s="16" t="s">
        <v>1172</v>
      </c>
      <c r="F782" s="14" t="s">
        <v>2007</v>
      </c>
      <c r="G782" s="16" t="s">
        <v>1494</v>
      </c>
      <c r="H782" s="17" t="s">
        <v>1279</v>
      </c>
      <c r="I782" s="11">
        <v>5</v>
      </c>
    </row>
    <row r="783" spans="1:9" hidden="1" x14ac:dyDescent="0.25">
      <c r="A783" s="14">
        <v>12</v>
      </c>
      <c r="B783" s="13">
        <v>45993</v>
      </c>
      <c r="C783" s="17" t="s">
        <v>8</v>
      </c>
      <c r="D783" s="15">
        <v>580</v>
      </c>
      <c r="E783" s="16" t="s">
        <v>1171</v>
      </c>
      <c r="F783" s="14"/>
      <c r="G783" s="16" t="s">
        <v>1499</v>
      </c>
      <c r="H783" s="17" t="s">
        <v>1232</v>
      </c>
      <c r="I783" s="11">
        <v>8</v>
      </c>
    </row>
    <row r="784" spans="1:9" hidden="1" x14ac:dyDescent="0.25">
      <c r="A784" s="14">
        <v>12</v>
      </c>
      <c r="B784" s="13">
        <v>45993</v>
      </c>
      <c r="C784" s="17" t="s">
        <v>8</v>
      </c>
      <c r="D784" s="15">
        <v>388.09</v>
      </c>
      <c r="E784" s="16" t="s">
        <v>1173</v>
      </c>
      <c r="F784" s="14" t="s">
        <v>1742</v>
      </c>
      <c r="G784" s="16" t="s">
        <v>1494</v>
      </c>
      <c r="H784" s="17" t="s">
        <v>1278</v>
      </c>
      <c r="I784" s="11">
        <v>8</v>
      </c>
    </row>
    <row r="785" spans="1:9" hidden="1" x14ac:dyDescent="0.25">
      <c r="A785" s="14">
        <v>12</v>
      </c>
      <c r="B785" s="13">
        <v>45993</v>
      </c>
      <c r="C785" s="17" t="s">
        <v>32</v>
      </c>
      <c r="D785" s="15">
        <v>23.37</v>
      </c>
      <c r="E785" s="16" t="s">
        <v>1176</v>
      </c>
      <c r="F785" s="14" t="s">
        <v>1614</v>
      </c>
      <c r="G785" s="16" t="s">
        <v>1494</v>
      </c>
      <c r="H785" s="17" t="s">
        <v>1219</v>
      </c>
      <c r="I785" s="11">
        <v>5</v>
      </c>
    </row>
    <row r="786" spans="1:9" hidden="1" x14ac:dyDescent="0.25">
      <c r="A786" s="14">
        <v>12</v>
      </c>
      <c r="B786" s="13">
        <v>45993</v>
      </c>
      <c r="C786" s="17" t="s">
        <v>8</v>
      </c>
      <c r="D786" s="15">
        <v>308.32</v>
      </c>
      <c r="E786" s="16" t="s">
        <v>1174</v>
      </c>
      <c r="F786" s="14" t="s">
        <v>1691</v>
      </c>
      <c r="G786" s="16" t="s">
        <v>1494</v>
      </c>
      <c r="H786" s="17" t="s">
        <v>1237</v>
      </c>
      <c r="I786" s="11">
        <v>6</v>
      </c>
    </row>
    <row r="787" spans="1:9" hidden="1" x14ac:dyDescent="0.25">
      <c r="A787" s="14">
        <v>12</v>
      </c>
      <c r="B787" s="13">
        <v>45993</v>
      </c>
      <c r="C787" s="17" t="s">
        <v>20</v>
      </c>
      <c r="D787" s="15">
        <v>182.41</v>
      </c>
      <c r="E787" s="16" t="s">
        <v>1175</v>
      </c>
      <c r="F787" s="14" t="s">
        <v>1843</v>
      </c>
      <c r="G787" s="16" t="s">
        <v>1494</v>
      </c>
      <c r="H787" s="17" t="s">
        <v>1285</v>
      </c>
      <c r="I787" s="11">
        <v>10</v>
      </c>
    </row>
    <row r="788" spans="1:9" hidden="1" x14ac:dyDescent="0.25">
      <c r="A788" s="14">
        <v>12</v>
      </c>
      <c r="B788" s="13">
        <v>45993</v>
      </c>
      <c r="C788" s="17" t="s">
        <v>1169</v>
      </c>
      <c r="D788" s="15">
        <v>620.29999999999995</v>
      </c>
      <c r="E788" s="16" t="s">
        <v>1170</v>
      </c>
      <c r="F788" s="14" t="s">
        <v>1781</v>
      </c>
      <c r="G788" s="16" t="s">
        <v>1494</v>
      </c>
      <c r="H788" s="17" t="s">
        <v>1206</v>
      </c>
      <c r="I788" s="11">
        <v>9</v>
      </c>
    </row>
    <row r="789" spans="1:9" hidden="1" x14ac:dyDescent="0.25">
      <c r="A789" s="14">
        <v>12</v>
      </c>
      <c r="B789" s="13">
        <v>45994</v>
      </c>
      <c r="C789" s="17" t="s">
        <v>8</v>
      </c>
      <c r="D789" s="15">
        <v>182.41</v>
      </c>
      <c r="E789" s="16" t="s">
        <v>1167</v>
      </c>
      <c r="F789" s="14" t="s">
        <v>1838</v>
      </c>
      <c r="G789" s="16" t="s">
        <v>1494</v>
      </c>
      <c r="H789" s="17" t="s">
        <v>1460</v>
      </c>
      <c r="I789" s="11">
        <v>7</v>
      </c>
    </row>
    <row r="790" spans="1:9" hidden="1" x14ac:dyDescent="0.25">
      <c r="A790" s="14">
        <v>12</v>
      </c>
      <c r="B790" s="13">
        <v>45994</v>
      </c>
      <c r="C790" s="17" t="s">
        <v>32</v>
      </c>
      <c r="D790" s="15">
        <v>50</v>
      </c>
      <c r="E790" s="16" t="s">
        <v>1168</v>
      </c>
      <c r="F790" s="14"/>
      <c r="G790" s="16" t="s">
        <v>1497</v>
      </c>
      <c r="H790" s="17" t="s">
        <v>1461</v>
      </c>
      <c r="I790" s="11">
        <v>0</v>
      </c>
    </row>
    <row r="791" spans="1:9" hidden="1" x14ac:dyDescent="0.25">
      <c r="A791" s="14">
        <v>12</v>
      </c>
      <c r="B791" s="13">
        <v>45994</v>
      </c>
      <c r="C791" s="17" t="s">
        <v>8</v>
      </c>
      <c r="D791" s="15">
        <v>80.52</v>
      </c>
      <c r="E791" s="16" t="s">
        <v>1166</v>
      </c>
      <c r="F791" s="14" t="s">
        <v>1986</v>
      </c>
      <c r="G791" s="16" t="s">
        <v>1492</v>
      </c>
      <c r="H791" s="17" t="s">
        <v>1227</v>
      </c>
      <c r="I791" s="11">
        <v>8</v>
      </c>
    </row>
    <row r="792" spans="1:9" hidden="1" x14ac:dyDescent="0.25">
      <c r="A792" s="14">
        <v>12</v>
      </c>
      <c r="B792" s="13">
        <v>45994</v>
      </c>
      <c r="C792" s="17" t="s">
        <v>8</v>
      </c>
      <c r="D792" s="15">
        <v>80.52</v>
      </c>
      <c r="E792" s="16" t="s">
        <v>1166</v>
      </c>
      <c r="F792" s="14" t="s">
        <v>1986</v>
      </c>
      <c r="G792" s="16" t="s">
        <v>1493</v>
      </c>
      <c r="H792" s="17" t="s">
        <v>1227</v>
      </c>
      <c r="I792" s="11">
        <v>8</v>
      </c>
    </row>
    <row r="793" spans="1:9" hidden="1" x14ac:dyDescent="0.25">
      <c r="A793" s="14">
        <v>12</v>
      </c>
      <c r="B793" s="13">
        <v>45994</v>
      </c>
      <c r="C793" s="17" t="s">
        <v>8</v>
      </c>
      <c r="D793" s="15">
        <v>80.52</v>
      </c>
      <c r="E793" s="16" t="s">
        <v>1166</v>
      </c>
      <c r="F793" s="14" t="s">
        <v>1986</v>
      </c>
      <c r="G793" s="16" t="s">
        <v>1494</v>
      </c>
      <c r="H793" s="17" t="s">
        <v>1227</v>
      </c>
      <c r="I793" s="11">
        <v>8</v>
      </c>
    </row>
    <row r="794" spans="1:9" hidden="1" x14ac:dyDescent="0.25">
      <c r="A794" s="14">
        <v>12</v>
      </c>
      <c r="B794" s="13">
        <v>45995</v>
      </c>
      <c r="C794" s="17" t="s">
        <v>8</v>
      </c>
      <c r="D794" s="15">
        <v>396.84</v>
      </c>
      <c r="E794" s="16" t="s">
        <v>1157</v>
      </c>
      <c r="F794" s="14" t="s">
        <v>1590</v>
      </c>
      <c r="G794" s="16" t="s">
        <v>1490</v>
      </c>
      <c r="H794" s="17" t="s">
        <v>1462</v>
      </c>
      <c r="I794" s="11">
        <v>3</v>
      </c>
    </row>
    <row r="795" spans="1:9" hidden="1" x14ac:dyDescent="0.25">
      <c r="A795" s="14">
        <v>12</v>
      </c>
      <c r="B795" s="13">
        <v>45995</v>
      </c>
      <c r="C795" s="17" t="s">
        <v>8</v>
      </c>
      <c r="D795" s="15">
        <v>394.42</v>
      </c>
      <c r="E795" s="16" t="s">
        <v>1157</v>
      </c>
      <c r="F795" s="14" t="s">
        <v>1590</v>
      </c>
      <c r="G795" s="16" t="s">
        <v>1491</v>
      </c>
      <c r="H795" s="17" t="s">
        <v>1462</v>
      </c>
      <c r="I795" s="11">
        <v>3</v>
      </c>
    </row>
    <row r="796" spans="1:9" hidden="1" x14ac:dyDescent="0.25">
      <c r="A796" s="14">
        <v>12</v>
      </c>
      <c r="B796" s="13">
        <v>45995</v>
      </c>
      <c r="C796" s="17" t="s">
        <v>8</v>
      </c>
      <c r="D796" s="15">
        <v>403.27</v>
      </c>
      <c r="E796" s="16" t="s">
        <v>1157</v>
      </c>
      <c r="F796" s="14" t="s">
        <v>1590</v>
      </c>
      <c r="G796" s="16" t="s">
        <v>1492</v>
      </c>
      <c r="H796" s="17" t="s">
        <v>1462</v>
      </c>
      <c r="I796" s="11">
        <v>3</v>
      </c>
    </row>
    <row r="797" spans="1:9" hidden="1" x14ac:dyDescent="0.25">
      <c r="A797" s="14">
        <v>12</v>
      </c>
      <c r="B797" s="13">
        <v>45995</v>
      </c>
      <c r="C797" s="17" t="s">
        <v>8</v>
      </c>
      <c r="D797" s="15">
        <v>580</v>
      </c>
      <c r="E797" s="16" t="s">
        <v>1158</v>
      </c>
      <c r="F797" s="14"/>
      <c r="G797" s="16" t="s">
        <v>1499</v>
      </c>
      <c r="H797" s="17" t="s">
        <v>1234</v>
      </c>
      <c r="I797" s="11">
        <v>7</v>
      </c>
    </row>
    <row r="798" spans="1:9" hidden="1" x14ac:dyDescent="0.25">
      <c r="A798" s="14">
        <v>12</v>
      </c>
      <c r="B798" s="13">
        <v>45995</v>
      </c>
      <c r="C798" s="17" t="s">
        <v>8</v>
      </c>
      <c r="D798" s="15">
        <v>30</v>
      </c>
      <c r="E798" s="16" t="s">
        <v>1165</v>
      </c>
      <c r="F798" s="14"/>
      <c r="G798" s="16" t="s">
        <v>1497</v>
      </c>
      <c r="H798" s="17" t="s">
        <v>1234</v>
      </c>
      <c r="I798" s="11">
        <v>7</v>
      </c>
    </row>
    <row r="799" spans="1:9" hidden="1" x14ac:dyDescent="0.25">
      <c r="A799" s="14">
        <v>12</v>
      </c>
      <c r="B799" s="13">
        <v>45995</v>
      </c>
      <c r="C799" s="17" t="s">
        <v>1160</v>
      </c>
      <c r="D799" s="15">
        <v>400</v>
      </c>
      <c r="E799" s="16" t="s">
        <v>1161</v>
      </c>
      <c r="F799" s="14"/>
      <c r="G799" s="16" t="s">
        <v>2068</v>
      </c>
      <c r="H799" s="17" t="s">
        <v>1463</v>
      </c>
      <c r="I799" s="11">
        <v>0</v>
      </c>
    </row>
    <row r="800" spans="1:9" hidden="1" x14ac:dyDescent="0.25">
      <c r="A800" s="14">
        <v>12</v>
      </c>
      <c r="B800" s="13">
        <v>45995</v>
      </c>
      <c r="C800" s="17" t="s">
        <v>8</v>
      </c>
      <c r="D800" s="15">
        <v>182.41</v>
      </c>
      <c r="E800" s="16" t="s">
        <v>1163</v>
      </c>
      <c r="F800" s="14" t="s">
        <v>1847</v>
      </c>
      <c r="G800" s="16" t="s">
        <v>1494</v>
      </c>
      <c r="H800" s="17" t="s">
        <v>1322</v>
      </c>
      <c r="I800" s="11">
        <v>6</v>
      </c>
    </row>
    <row r="801" spans="1:9" hidden="1" x14ac:dyDescent="0.25">
      <c r="A801" s="14">
        <v>12</v>
      </c>
      <c r="B801" s="13">
        <v>45995</v>
      </c>
      <c r="C801" s="17" t="s">
        <v>8</v>
      </c>
      <c r="D801" s="15">
        <v>405.92</v>
      </c>
      <c r="E801" s="16" t="s">
        <v>1159</v>
      </c>
      <c r="F801" s="14" t="s">
        <v>1849</v>
      </c>
      <c r="G801" s="16" t="s">
        <v>1494</v>
      </c>
      <c r="H801" s="17" t="s">
        <v>1246</v>
      </c>
      <c r="I801" s="11">
        <v>6</v>
      </c>
    </row>
    <row r="802" spans="1:9" hidden="1" x14ac:dyDescent="0.25">
      <c r="A802" s="14">
        <v>12</v>
      </c>
      <c r="B802" s="13">
        <v>45995</v>
      </c>
      <c r="C802" s="17" t="s">
        <v>8</v>
      </c>
      <c r="D802" s="15">
        <v>377.36</v>
      </c>
      <c r="E802" s="16" t="s">
        <v>1162</v>
      </c>
      <c r="F802" s="14" t="s">
        <v>1912</v>
      </c>
      <c r="G802" s="16" t="s">
        <v>1494</v>
      </c>
      <c r="H802" s="17" t="s">
        <v>1324</v>
      </c>
      <c r="I802" s="11">
        <v>6</v>
      </c>
    </row>
    <row r="803" spans="1:9" hidden="1" x14ac:dyDescent="0.25">
      <c r="A803" s="14">
        <v>12</v>
      </c>
      <c r="B803" s="13">
        <v>45995</v>
      </c>
      <c r="C803" s="17" t="s">
        <v>8</v>
      </c>
      <c r="D803" s="15">
        <v>40</v>
      </c>
      <c r="E803" s="16" t="s">
        <v>1164</v>
      </c>
      <c r="F803" s="14"/>
      <c r="G803" s="16" t="s">
        <v>1498</v>
      </c>
      <c r="H803" s="17" t="s">
        <v>1448</v>
      </c>
      <c r="I803" s="11">
        <v>0</v>
      </c>
    </row>
    <row r="804" spans="1:9" hidden="1" x14ac:dyDescent="0.25">
      <c r="A804" s="14">
        <v>12</v>
      </c>
      <c r="B804" s="13">
        <v>45996</v>
      </c>
      <c r="C804" s="17" t="s">
        <v>23</v>
      </c>
      <c r="D804" s="15">
        <v>371.62</v>
      </c>
      <c r="E804" s="16" t="s">
        <v>1150</v>
      </c>
      <c r="F804" s="14" t="s">
        <v>1543</v>
      </c>
      <c r="G804" s="16" t="s">
        <v>1494</v>
      </c>
      <c r="H804" s="17" t="s">
        <v>1393</v>
      </c>
      <c r="I804" s="11">
        <v>4</v>
      </c>
    </row>
    <row r="805" spans="1:9" hidden="1" x14ac:dyDescent="0.25">
      <c r="A805" s="14">
        <v>12</v>
      </c>
      <c r="B805" s="13">
        <v>45996</v>
      </c>
      <c r="C805" s="17" t="s">
        <v>8</v>
      </c>
      <c r="D805" s="15">
        <v>380.77</v>
      </c>
      <c r="E805" s="16" t="s">
        <v>1149</v>
      </c>
      <c r="F805" s="14" t="s">
        <v>1626</v>
      </c>
      <c r="G805" s="16" t="s">
        <v>1494</v>
      </c>
      <c r="H805" s="17" t="s">
        <v>1249</v>
      </c>
      <c r="I805" s="11">
        <v>5</v>
      </c>
    </row>
    <row r="806" spans="1:9" hidden="1" x14ac:dyDescent="0.25">
      <c r="A806" s="14">
        <v>12</v>
      </c>
      <c r="B806" s="13">
        <v>45998</v>
      </c>
      <c r="C806" s="17" t="s">
        <v>16</v>
      </c>
      <c r="D806" s="15">
        <v>40</v>
      </c>
      <c r="E806" s="16" t="s">
        <v>1144</v>
      </c>
      <c r="F806" s="14"/>
      <c r="G806" s="16" t="s">
        <v>1498</v>
      </c>
      <c r="H806" s="17" t="s">
        <v>1465</v>
      </c>
      <c r="I806" s="11">
        <v>5</v>
      </c>
    </row>
    <row r="807" spans="1:9" hidden="1" x14ac:dyDescent="0.25">
      <c r="A807" s="14">
        <v>12</v>
      </c>
      <c r="B807" s="13">
        <v>45998</v>
      </c>
      <c r="C807" s="17" t="s">
        <v>20</v>
      </c>
      <c r="D807" s="15">
        <v>580</v>
      </c>
      <c r="E807" s="16" t="s">
        <v>1137</v>
      </c>
      <c r="F807" s="14"/>
      <c r="G807" s="16" t="s">
        <v>1499</v>
      </c>
      <c r="H807" s="17" t="s">
        <v>1390</v>
      </c>
      <c r="I807" s="11">
        <v>0</v>
      </c>
    </row>
    <row r="808" spans="1:9" hidden="1" x14ac:dyDescent="0.25">
      <c r="A808" s="14">
        <v>12</v>
      </c>
      <c r="B808" s="13">
        <v>45998</v>
      </c>
      <c r="C808" s="17" t="s">
        <v>16</v>
      </c>
      <c r="D808" s="15">
        <v>317.19</v>
      </c>
      <c r="E808" s="16" t="s">
        <v>1140</v>
      </c>
      <c r="F808" s="14" t="s">
        <v>1700</v>
      </c>
      <c r="G808" s="16" t="s">
        <v>1493</v>
      </c>
      <c r="H808" s="17" t="s">
        <v>1464</v>
      </c>
      <c r="I808" s="11">
        <v>4</v>
      </c>
    </row>
    <row r="809" spans="1:9" hidden="1" x14ac:dyDescent="0.25">
      <c r="A809" s="14">
        <v>12</v>
      </c>
      <c r="B809" s="13">
        <v>45998</v>
      </c>
      <c r="C809" s="17" t="s">
        <v>16</v>
      </c>
      <c r="D809" s="15">
        <v>343.45</v>
      </c>
      <c r="E809" s="16" t="s">
        <v>1139</v>
      </c>
      <c r="F809" s="14" t="s">
        <v>1795</v>
      </c>
      <c r="G809" s="16" t="s">
        <v>1494</v>
      </c>
      <c r="H809" s="17" t="s">
        <v>1283</v>
      </c>
      <c r="I809" s="11">
        <v>4</v>
      </c>
    </row>
    <row r="810" spans="1:9" hidden="1" x14ac:dyDescent="0.25">
      <c r="A810" s="14">
        <v>12</v>
      </c>
      <c r="B810" s="13">
        <v>45998</v>
      </c>
      <c r="C810" s="17" t="s">
        <v>32</v>
      </c>
      <c r="D810" s="15">
        <v>368.75</v>
      </c>
      <c r="E810" s="16" t="s">
        <v>1138</v>
      </c>
      <c r="F810" s="14" t="s">
        <v>1502</v>
      </c>
      <c r="G810" s="16" t="s">
        <v>1494</v>
      </c>
      <c r="H810" s="17" t="s">
        <v>1451</v>
      </c>
      <c r="I810" s="11">
        <v>6</v>
      </c>
    </row>
    <row r="811" spans="1:9" hidden="1" x14ac:dyDescent="0.25">
      <c r="A811" s="14">
        <v>12</v>
      </c>
      <c r="B811" s="13">
        <v>45998</v>
      </c>
      <c r="C811" s="17" t="s">
        <v>8</v>
      </c>
      <c r="D811" s="15">
        <v>760</v>
      </c>
      <c r="E811" s="16" t="s">
        <v>1136</v>
      </c>
      <c r="F811" s="14"/>
      <c r="G811" s="16" t="s">
        <v>2068</v>
      </c>
      <c r="H811" s="17" t="s">
        <v>8</v>
      </c>
      <c r="I811" s="11">
        <v>0</v>
      </c>
    </row>
    <row r="812" spans="1:9" hidden="1" x14ac:dyDescent="0.25">
      <c r="A812" s="14">
        <v>12</v>
      </c>
      <c r="B812" s="13">
        <v>45998</v>
      </c>
      <c r="C812" s="17" t="s">
        <v>8</v>
      </c>
      <c r="D812" s="15">
        <v>185.28</v>
      </c>
      <c r="E812" s="16" t="s">
        <v>1142</v>
      </c>
      <c r="F812" s="14" t="s">
        <v>1891</v>
      </c>
      <c r="G812" s="16" t="s">
        <v>1494</v>
      </c>
      <c r="H812" s="17"/>
      <c r="I812" s="11">
        <v>4</v>
      </c>
    </row>
    <row r="813" spans="1:9" hidden="1" x14ac:dyDescent="0.25">
      <c r="A813" s="14">
        <v>12</v>
      </c>
      <c r="B813" s="13">
        <v>45998</v>
      </c>
      <c r="C813" s="17" t="s">
        <v>8</v>
      </c>
      <c r="D813" s="15">
        <v>70</v>
      </c>
      <c r="E813" s="16" t="s">
        <v>1143</v>
      </c>
      <c r="F813" s="14"/>
      <c r="G813" s="16" t="s">
        <v>2068</v>
      </c>
      <c r="H813" s="17" t="s">
        <v>8</v>
      </c>
      <c r="I813" s="11">
        <v>0</v>
      </c>
    </row>
    <row r="814" spans="1:9" hidden="1" x14ac:dyDescent="0.25">
      <c r="A814" s="14">
        <v>12</v>
      </c>
      <c r="B814" s="13">
        <v>45998</v>
      </c>
      <c r="C814" s="17" t="s">
        <v>8</v>
      </c>
      <c r="D814" s="15">
        <v>40</v>
      </c>
      <c r="E814" s="16" t="s">
        <v>1145</v>
      </c>
      <c r="F814" s="14"/>
      <c r="G814" s="16" t="s">
        <v>1498</v>
      </c>
      <c r="H814" s="17" t="s">
        <v>8</v>
      </c>
      <c r="I814" s="11">
        <v>0</v>
      </c>
    </row>
    <row r="815" spans="1:9" hidden="1" x14ac:dyDescent="0.25">
      <c r="A815" s="14">
        <v>12</v>
      </c>
      <c r="B815" s="13">
        <v>45998</v>
      </c>
      <c r="C815" s="17" t="s">
        <v>8</v>
      </c>
      <c r="D815" s="15">
        <v>40</v>
      </c>
      <c r="E815" s="16" t="s">
        <v>1146</v>
      </c>
      <c r="F815" s="14"/>
      <c r="G815" s="16" t="s">
        <v>1498</v>
      </c>
      <c r="H815" s="17" t="s">
        <v>8</v>
      </c>
      <c r="I815" s="11">
        <v>0</v>
      </c>
    </row>
    <row r="816" spans="1:9" hidden="1" x14ac:dyDescent="0.25">
      <c r="A816" s="14">
        <v>12</v>
      </c>
      <c r="B816" s="13">
        <v>45998</v>
      </c>
      <c r="C816" s="17" t="s">
        <v>23</v>
      </c>
      <c r="D816" s="15">
        <v>265.8</v>
      </c>
      <c r="E816" s="16" t="s">
        <v>1141</v>
      </c>
      <c r="F816" s="14" t="s">
        <v>1632</v>
      </c>
      <c r="G816" s="16" t="s">
        <v>1494</v>
      </c>
      <c r="H816" s="17" t="s">
        <v>23</v>
      </c>
      <c r="I816" s="11">
        <v>6</v>
      </c>
    </row>
    <row r="817" spans="1:9" hidden="1" x14ac:dyDescent="0.25">
      <c r="A817" s="14">
        <v>12</v>
      </c>
      <c r="B817" s="13">
        <v>45999</v>
      </c>
      <c r="C817" s="17" t="s">
        <v>16</v>
      </c>
      <c r="D817" s="15">
        <v>188.15</v>
      </c>
      <c r="E817" s="16" t="s">
        <v>1135</v>
      </c>
      <c r="F817" s="14" t="s">
        <v>2040</v>
      </c>
      <c r="G817" s="16" t="s">
        <v>1494</v>
      </c>
      <c r="H817" s="17" t="s">
        <v>1377</v>
      </c>
      <c r="I817" s="11">
        <v>4</v>
      </c>
    </row>
    <row r="818" spans="1:9" hidden="1" x14ac:dyDescent="0.25">
      <c r="A818" s="14">
        <v>12</v>
      </c>
      <c r="B818" s="13">
        <v>45999</v>
      </c>
      <c r="C818" s="17" t="s">
        <v>8</v>
      </c>
      <c r="D818" s="15">
        <v>580</v>
      </c>
      <c r="E818" s="16" t="s">
        <v>1132</v>
      </c>
      <c r="F818" s="14"/>
      <c r="G818" s="16" t="s">
        <v>1499</v>
      </c>
      <c r="H818" s="17" t="s">
        <v>1459</v>
      </c>
      <c r="I818" s="11">
        <v>7</v>
      </c>
    </row>
    <row r="819" spans="1:9" hidden="1" x14ac:dyDescent="0.25">
      <c r="A819" s="14">
        <v>12</v>
      </c>
      <c r="B819" s="13">
        <v>45999</v>
      </c>
      <c r="C819" s="17" t="s">
        <v>8</v>
      </c>
      <c r="D819" s="15">
        <v>80</v>
      </c>
      <c r="E819" s="16" t="s">
        <v>1132</v>
      </c>
      <c r="F819" s="14"/>
      <c r="G819" s="16" t="s">
        <v>1498</v>
      </c>
      <c r="H819" s="17" t="s">
        <v>1459</v>
      </c>
      <c r="I819" s="11">
        <v>7</v>
      </c>
    </row>
    <row r="820" spans="1:9" hidden="1" x14ac:dyDescent="0.25">
      <c r="A820" s="14">
        <v>12</v>
      </c>
      <c r="B820" s="13">
        <v>45999</v>
      </c>
      <c r="C820" s="17" t="s">
        <v>16</v>
      </c>
      <c r="D820" s="15">
        <v>388.84</v>
      </c>
      <c r="E820" s="16" t="s">
        <v>1134</v>
      </c>
      <c r="F820" s="14" t="s">
        <v>1823</v>
      </c>
      <c r="G820" s="16" t="s">
        <v>1494</v>
      </c>
      <c r="H820" s="17" t="s">
        <v>1378</v>
      </c>
      <c r="I820" s="11">
        <v>6</v>
      </c>
    </row>
    <row r="821" spans="1:9" hidden="1" x14ac:dyDescent="0.25">
      <c r="A821" s="14">
        <v>12</v>
      </c>
      <c r="B821" s="13">
        <v>45999</v>
      </c>
      <c r="C821" s="17" t="s">
        <v>16</v>
      </c>
      <c r="D821" s="15">
        <v>505.72</v>
      </c>
      <c r="E821" s="16" t="s">
        <v>1133</v>
      </c>
      <c r="F821" s="14" t="s">
        <v>2049</v>
      </c>
      <c r="G821" s="16" t="s">
        <v>1495</v>
      </c>
      <c r="H821" s="17" t="s">
        <v>1361</v>
      </c>
      <c r="I821" s="11">
        <v>4</v>
      </c>
    </row>
    <row r="822" spans="1:9" hidden="1" x14ac:dyDescent="0.25">
      <c r="A822" s="14">
        <v>12</v>
      </c>
      <c r="B822" s="13">
        <v>46000</v>
      </c>
      <c r="C822" s="17" t="s">
        <v>8</v>
      </c>
      <c r="D822" s="15">
        <v>374.82</v>
      </c>
      <c r="E822" s="16" t="s">
        <v>1122</v>
      </c>
      <c r="F822" s="14" t="s">
        <v>1876</v>
      </c>
      <c r="G822" s="16" t="s">
        <v>1495</v>
      </c>
      <c r="H822" s="17" t="s">
        <v>1468</v>
      </c>
      <c r="I822" s="11">
        <v>6</v>
      </c>
    </row>
    <row r="823" spans="1:9" hidden="1" x14ac:dyDescent="0.25">
      <c r="A823" s="14">
        <v>12</v>
      </c>
      <c r="B823" s="13">
        <v>46000</v>
      </c>
      <c r="C823" s="17" t="s">
        <v>8</v>
      </c>
      <c r="D823" s="15">
        <v>365.88</v>
      </c>
      <c r="E823" s="16" t="s">
        <v>1124</v>
      </c>
      <c r="F823" s="14" t="s">
        <v>1876</v>
      </c>
      <c r="G823" s="16" t="s">
        <v>1494</v>
      </c>
      <c r="H823" s="17" t="s">
        <v>1468</v>
      </c>
      <c r="I823" s="11">
        <v>6</v>
      </c>
    </row>
    <row r="824" spans="1:9" hidden="1" x14ac:dyDescent="0.25">
      <c r="A824" s="14">
        <v>12</v>
      </c>
      <c r="B824" s="13">
        <v>46000</v>
      </c>
      <c r="C824" s="17" t="s">
        <v>8</v>
      </c>
      <c r="D824" s="15">
        <v>2.87</v>
      </c>
      <c r="E824" s="16" t="s">
        <v>1131</v>
      </c>
      <c r="F824" s="14" t="s">
        <v>1876</v>
      </c>
      <c r="G824" s="16" t="s">
        <v>1494</v>
      </c>
      <c r="H824" s="17" t="s">
        <v>1468</v>
      </c>
      <c r="I824" s="11">
        <v>6</v>
      </c>
    </row>
    <row r="825" spans="1:9" hidden="1" x14ac:dyDescent="0.25">
      <c r="A825" s="14">
        <v>12</v>
      </c>
      <c r="B825" s="13">
        <v>46000</v>
      </c>
      <c r="C825" s="17" t="s">
        <v>8</v>
      </c>
      <c r="D825" s="15">
        <v>909.51</v>
      </c>
      <c r="E825" s="16" t="s">
        <v>1113</v>
      </c>
      <c r="F825" s="14" t="s">
        <v>1624</v>
      </c>
      <c r="G825" s="16" t="s">
        <v>1492</v>
      </c>
      <c r="H825" s="17" t="s">
        <v>1466</v>
      </c>
      <c r="I825" s="11">
        <v>3</v>
      </c>
    </row>
    <row r="826" spans="1:9" hidden="1" x14ac:dyDescent="0.25">
      <c r="A826" s="14">
        <v>12</v>
      </c>
      <c r="B826" s="13">
        <v>46000</v>
      </c>
      <c r="C826" s="17" t="s">
        <v>8</v>
      </c>
      <c r="D826" s="15">
        <v>415.84</v>
      </c>
      <c r="E826" s="16" t="s">
        <v>1119</v>
      </c>
      <c r="F826" s="14" t="s">
        <v>1650</v>
      </c>
      <c r="G826" s="16" t="s">
        <v>1494</v>
      </c>
      <c r="H826" s="17" t="s">
        <v>1365</v>
      </c>
      <c r="I826" s="11">
        <v>4</v>
      </c>
    </row>
    <row r="827" spans="1:9" hidden="1" x14ac:dyDescent="0.25">
      <c r="A827" s="14">
        <v>12</v>
      </c>
      <c r="B827" s="13">
        <v>46000</v>
      </c>
      <c r="C827" s="17" t="s">
        <v>8</v>
      </c>
      <c r="D827" s="15">
        <v>388.84</v>
      </c>
      <c r="E827" s="16" t="s">
        <v>1121</v>
      </c>
      <c r="F827" s="14" t="s">
        <v>2004</v>
      </c>
      <c r="G827" s="16" t="s">
        <v>1494</v>
      </c>
      <c r="H827" s="17" t="s">
        <v>1260</v>
      </c>
      <c r="I827" s="11">
        <v>5</v>
      </c>
    </row>
    <row r="828" spans="1:9" hidden="1" x14ac:dyDescent="0.25">
      <c r="A828" s="14">
        <v>12</v>
      </c>
      <c r="B828" s="13">
        <v>46000</v>
      </c>
      <c r="C828" s="17" t="s">
        <v>16</v>
      </c>
      <c r="D828" s="15">
        <v>412.32</v>
      </c>
      <c r="E828" s="16" t="s">
        <v>1120</v>
      </c>
      <c r="F828" s="14" t="s">
        <v>1653</v>
      </c>
      <c r="G828" s="16" t="s">
        <v>1490</v>
      </c>
      <c r="H828" s="17" t="s">
        <v>1467</v>
      </c>
      <c r="I828" s="11">
        <v>4</v>
      </c>
    </row>
    <row r="829" spans="1:9" hidden="1" x14ac:dyDescent="0.25">
      <c r="A829" s="14">
        <v>12</v>
      </c>
      <c r="B829" s="13">
        <v>46000</v>
      </c>
      <c r="C829" s="17" t="s">
        <v>16</v>
      </c>
      <c r="D829" s="15">
        <v>80.52</v>
      </c>
      <c r="E829" s="16" t="s">
        <v>1127</v>
      </c>
      <c r="F829" s="14" t="s">
        <v>1653</v>
      </c>
      <c r="G829" s="16" t="s">
        <v>1491</v>
      </c>
      <c r="H829" s="17" t="s">
        <v>1467</v>
      </c>
      <c r="I829" s="11">
        <v>4</v>
      </c>
    </row>
    <row r="830" spans="1:9" hidden="1" x14ac:dyDescent="0.25">
      <c r="A830" s="14">
        <v>12</v>
      </c>
      <c r="B830" s="13">
        <v>46000</v>
      </c>
      <c r="C830" s="17" t="s">
        <v>16</v>
      </c>
      <c r="D830" s="15">
        <v>80.52</v>
      </c>
      <c r="E830" s="16" t="s">
        <v>1129</v>
      </c>
      <c r="F830" s="14" t="s">
        <v>1653</v>
      </c>
      <c r="G830" s="16" t="s">
        <v>1492</v>
      </c>
      <c r="H830" s="17" t="s">
        <v>1467</v>
      </c>
      <c r="I830" s="11">
        <v>4</v>
      </c>
    </row>
    <row r="831" spans="1:9" hidden="1" x14ac:dyDescent="0.25">
      <c r="A831" s="14">
        <v>12</v>
      </c>
      <c r="B831" s="13">
        <v>46000</v>
      </c>
      <c r="C831" s="17" t="s">
        <v>16</v>
      </c>
      <c r="D831" s="15">
        <v>510.26</v>
      </c>
      <c r="E831" s="16" t="s">
        <v>1116</v>
      </c>
      <c r="F831" s="14" t="s">
        <v>1711</v>
      </c>
      <c r="G831" s="16" t="s">
        <v>1490</v>
      </c>
      <c r="H831" s="17" t="s">
        <v>1312</v>
      </c>
      <c r="I831" s="11">
        <v>5</v>
      </c>
    </row>
    <row r="832" spans="1:9" hidden="1" x14ac:dyDescent="0.25">
      <c r="A832" s="14">
        <v>12</v>
      </c>
      <c r="B832" s="13">
        <v>46000</v>
      </c>
      <c r="C832" s="17" t="s">
        <v>32</v>
      </c>
      <c r="D832" s="15">
        <v>305.45</v>
      </c>
      <c r="E832" s="16" t="s">
        <v>1125</v>
      </c>
      <c r="F832" s="14" t="s">
        <v>1998</v>
      </c>
      <c r="G832" s="16" t="s">
        <v>1494</v>
      </c>
      <c r="H832" s="17" t="s">
        <v>1325</v>
      </c>
      <c r="I832" s="11">
        <v>5</v>
      </c>
    </row>
    <row r="833" spans="1:9" hidden="1" x14ac:dyDescent="0.25">
      <c r="A833" s="14">
        <v>12</v>
      </c>
      <c r="B833" s="13">
        <v>46000</v>
      </c>
      <c r="C833" s="17" t="s">
        <v>20</v>
      </c>
      <c r="D833" s="15">
        <v>80.52</v>
      </c>
      <c r="E833" s="16" t="s">
        <v>1128</v>
      </c>
      <c r="F833" s="14" t="s">
        <v>1888</v>
      </c>
      <c r="G833" s="16" t="s">
        <v>1494</v>
      </c>
      <c r="H833" s="17" t="s">
        <v>1384</v>
      </c>
      <c r="I833" s="11">
        <v>4</v>
      </c>
    </row>
    <row r="834" spans="1:9" hidden="1" x14ac:dyDescent="0.25">
      <c r="A834" s="14">
        <v>12</v>
      </c>
      <c r="B834" s="13">
        <v>46000</v>
      </c>
      <c r="C834" s="17" t="s">
        <v>8</v>
      </c>
      <c r="D834" s="15">
        <v>660.74</v>
      </c>
      <c r="E834" s="16" t="s">
        <v>1114</v>
      </c>
      <c r="F834" s="14" t="s">
        <v>1773</v>
      </c>
      <c r="G834" s="16" t="s">
        <v>1494</v>
      </c>
      <c r="H834" s="17" t="s">
        <v>1358</v>
      </c>
      <c r="I834" s="11">
        <v>5</v>
      </c>
    </row>
    <row r="835" spans="1:9" hidden="1" x14ac:dyDescent="0.25">
      <c r="A835" s="14">
        <v>12</v>
      </c>
      <c r="B835" s="13">
        <v>46000</v>
      </c>
      <c r="C835" s="17" t="s">
        <v>8</v>
      </c>
      <c r="D835" s="15">
        <v>365.88</v>
      </c>
      <c r="E835" s="16" t="s">
        <v>1123</v>
      </c>
      <c r="F835" s="14" t="s">
        <v>1936</v>
      </c>
      <c r="G835" s="16" t="s">
        <v>1495</v>
      </c>
      <c r="H835" s="17" t="s">
        <v>1364</v>
      </c>
      <c r="I835" s="11">
        <v>5</v>
      </c>
    </row>
    <row r="836" spans="1:9" hidden="1" x14ac:dyDescent="0.25">
      <c r="A836" s="14">
        <v>12</v>
      </c>
      <c r="B836" s="13">
        <v>46000</v>
      </c>
      <c r="C836" s="17" t="s">
        <v>16</v>
      </c>
      <c r="D836" s="15">
        <v>170.93</v>
      </c>
      <c r="E836" s="16" t="s">
        <v>1126</v>
      </c>
      <c r="F836" s="14" t="s">
        <v>1786</v>
      </c>
      <c r="G836" s="16" t="s">
        <v>1495</v>
      </c>
      <c r="H836" s="17" t="s">
        <v>1241</v>
      </c>
      <c r="I836" s="11">
        <v>7</v>
      </c>
    </row>
    <row r="837" spans="1:9" hidden="1" x14ac:dyDescent="0.25">
      <c r="A837" s="14">
        <v>12</v>
      </c>
      <c r="B837" s="13">
        <v>46000</v>
      </c>
      <c r="C837" s="17" t="s">
        <v>32</v>
      </c>
      <c r="D837" s="15">
        <v>488.43</v>
      </c>
      <c r="E837" s="16" t="s">
        <v>1117</v>
      </c>
      <c r="F837" s="14" t="s">
        <v>1812</v>
      </c>
      <c r="G837" s="16" t="s">
        <v>1495</v>
      </c>
      <c r="H837" s="17" t="s">
        <v>1245</v>
      </c>
      <c r="I837" s="11">
        <v>6</v>
      </c>
    </row>
    <row r="838" spans="1:9" hidden="1" x14ac:dyDescent="0.25">
      <c r="A838" s="14">
        <v>12</v>
      </c>
      <c r="B838" s="13">
        <v>46000</v>
      </c>
      <c r="C838" s="17" t="s">
        <v>8</v>
      </c>
      <c r="D838" s="15">
        <v>23.32</v>
      </c>
      <c r="E838" s="16" t="s">
        <v>1130</v>
      </c>
      <c r="F838" s="14" t="s">
        <v>1884</v>
      </c>
      <c r="G838" s="16" t="s">
        <v>1495</v>
      </c>
      <c r="H838" s="17" t="s">
        <v>1431</v>
      </c>
      <c r="I838" s="11">
        <v>5</v>
      </c>
    </row>
    <row r="839" spans="1:9" hidden="1" x14ac:dyDescent="0.25">
      <c r="A839" s="14">
        <v>12</v>
      </c>
      <c r="B839" s="13">
        <v>46000</v>
      </c>
      <c r="C839" s="17" t="s">
        <v>8</v>
      </c>
      <c r="D839" s="15">
        <v>559.86</v>
      </c>
      <c r="E839" s="16" t="s">
        <v>1115</v>
      </c>
      <c r="F839" s="14" t="s">
        <v>1949</v>
      </c>
      <c r="G839" s="16" t="s">
        <v>1494</v>
      </c>
      <c r="H839" s="17" t="s">
        <v>1269</v>
      </c>
      <c r="I839" s="11">
        <v>4</v>
      </c>
    </row>
    <row r="840" spans="1:9" hidden="1" x14ac:dyDescent="0.25">
      <c r="A840" s="14">
        <v>12</v>
      </c>
      <c r="B840" s="13">
        <v>46000</v>
      </c>
      <c r="C840" s="17" t="s">
        <v>8</v>
      </c>
      <c r="D840" s="15">
        <v>446.4</v>
      </c>
      <c r="E840" s="16" t="s">
        <v>1118</v>
      </c>
      <c r="F840" s="14" t="s">
        <v>2025</v>
      </c>
      <c r="G840" s="16" t="s">
        <v>1494</v>
      </c>
      <c r="H840" s="17" t="s">
        <v>1308</v>
      </c>
      <c r="I840" s="11">
        <v>4</v>
      </c>
    </row>
    <row r="841" spans="1:9" hidden="1" x14ac:dyDescent="0.25">
      <c r="A841" s="14">
        <v>12</v>
      </c>
      <c r="B841" s="13">
        <v>46001</v>
      </c>
      <c r="C841" s="17" t="s">
        <v>8</v>
      </c>
      <c r="D841" s="15">
        <v>80.52</v>
      </c>
      <c r="E841" s="16" t="s">
        <v>1111</v>
      </c>
      <c r="F841" s="14" t="s">
        <v>1675</v>
      </c>
      <c r="G841" s="16" t="s">
        <v>1495</v>
      </c>
      <c r="H841" s="17" t="s">
        <v>1270</v>
      </c>
      <c r="I841" s="11">
        <v>10</v>
      </c>
    </row>
    <row r="842" spans="1:9" hidden="1" x14ac:dyDescent="0.25">
      <c r="A842" s="14">
        <v>12</v>
      </c>
      <c r="B842" s="13">
        <v>46001</v>
      </c>
      <c r="C842" s="17" t="s">
        <v>8</v>
      </c>
      <c r="D842" s="15">
        <v>410.06</v>
      </c>
      <c r="E842" s="16" t="s">
        <v>1109</v>
      </c>
      <c r="F842" s="14" t="s">
        <v>1640</v>
      </c>
      <c r="G842" s="16" t="s">
        <v>1495</v>
      </c>
      <c r="H842" s="17" t="s">
        <v>1349</v>
      </c>
      <c r="I842" s="11">
        <v>5</v>
      </c>
    </row>
    <row r="843" spans="1:9" hidden="1" x14ac:dyDescent="0.25">
      <c r="A843" s="14">
        <v>12</v>
      </c>
      <c r="B843" s="13">
        <v>46001</v>
      </c>
      <c r="C843" s="17" t="s">
        <v>8</v>
      </c>
      <c r="D843" s="15">
        <v>283.70999999999998</v>
      </c>
      <c r="E843" s="16" t="s">
        <v>1110</v>
      </c>
      <c r="F843" s="14" t="s">
        <v>1873</v>
      </c>
      <c r="G843" s="16" t="s">
        <v>1495</v>
      </c>
      <c r="H843" s="17" t="s">
        <v>1284</v>
      </c>
      <c r="I843" s="11">
        <v>6</v>
      </c>
    </row>
    <row r="844" spans="1:9" hidden="1" x14ac:dyDescent="0.25">
      <c r="A844" s="14">
        <v>12</v>
      </c>
      <c r="B844" s="13">
        <v>46001</v>
      </c>
      <c r="C844" s="17" t="s">
        <v>16</v>
      </c>
      <c r="D844" s="15">
        <v>4.62</v>
      </c>
      <c r="E844" s="16" t="s">
        <v>1112</v>
      </c>
      <c r="F844" s="14" t="s">
        <v>1786</v>
      </c>
      <c r="G844" s="16" t="s">
        <v>1495</v>
      </c>
      <c r="H844" s="17" t="s">
        <v>1241</v>
      </c>
      <c r="I844" s="11">
        <v>7</v>
      </c>
    </row>
    <row r="845" spans="1:9" hidden="1" x14ac:dyDescent="0.25">
      <c r="A845" s="14">
        <v>12</v>
      </c>
      <c r="B845" s="13">
        <v>46001</v>
      </c>
      <c r="C845" s="17" t="s">
        <v>8</v>
      </c>
      <c r="D845" s="15">
        <v>582.25</v>
      </c>
      <c r="E845" s="16" t="s">
        <v>1108</v>
      </c>
      <c r="F845" s="14" t="s">
        <v>1949</v>
      </c>
      <c r="G845" s="16" t="s">
        <v>1493</v>
      </c>
      <c r="H845" s="17" t="s">
        <v>1269</v>
      </c>
      <c r="I845" s="11">
        <v>4</v>
      </c>
    </row>
    <row r="846" spans="1:9" hidden="1" x14ac:dyDescent="0.25">
      <c r="A846" s="14">
        <v>12</v>
      </c>
      <c r="B846" s="13">
        <v>46001</v>
      </c>
      <c r="C846" s="17" t="s">
        <v>1106</v>
      </c>
      <c r="D846" s="15">
        <v>466.94</v>
      </c>
      <c r="E846" s="16" t="s">
        <v>1107</v>
      </c>
      <c r="F846" s="14" t="s">
        <v>2019</v>
      </c>
      <c r="G846" s="16" t="s">
        <v>1494</v>
      </c>
      <c r="H846" s="17" t="s">
        <v>1206</v>
      </c>
      <c r="I846" s="11">
        <v>5</v>
      </c>
    </row>
    <row r="847" spans="1:9" hidden="1" x14ac:dyDescent="0.25">
      <c r="A847" s="14">
        <v>12</v>
      </c>
      <c r="B847" s="13">
        <v>46001</v>
      </c>
      <c r="C847" s="17" t="s">
        <v>1106</v>
      </c>
      <c r="D847" s="15">
        <v>455.84</v>
      </c>
      <c r="E847" s="16" t="s">
        <v>1107</v>
      </c>
      <c r="F847" s="14" t="s">
        <v>2019</v>
      </c>
      <c r="G847" s="16" t="s">
        <v>1495</v>
      </c>
      <c r="H847" s="17" t="s">
        <v>1206</v>
      </c>
      <c r="I847" s="11">
        <v>5</v>
      </c>
    </row>
    <row r="848" spans="1:9" hidden="1" x14ac:dyDescent="0.25">
      <c r="A848" s="14">
        <v>12</v>
      </c>
      <c r="B848" s="13">
        <v>46002</v>
      </c>
      <c r="C848" s="17" t="s">
        <v>16</v>
      </c>
      <c r="D848" s="15">
        <v>312.18</v>
      </c>
      <c r="E848" s="16" t="s">
        <v>1099</v>
      </c>
      <c r="F848" s="14" t="s">
        <v>1894</v>
      </c>
      <c r="G848" s="16" t="s">
        <v>1495</v>
      </c>
      <c r="H848" s="17" t="s">
        <v>1236</v>
      </c>
      <c r="I848" s="11">
        <v>5</v>
      </c>
    </row>
    <row r="849" spans="1:9" hidden="1" x14ac:dyDescent="0.25">
      <c r="A849" s="14">
        <v>12</v>
      </c>
      <c r="B849" s="13">
        <v>46002</v>
      </c>
      <c r="C849" s="17" t="s">
        <v>8</v>
      </c>
      <c r="D849" s="15">
        <v>440.75</v>
      </c>
      <c r="E849" s="16" t="s">
        <v>1097</v>
      </c>
      <c r="F849" s="14" t="s">
        <v>1548</v>
      </c>
      <c r="G849" s="16" t="s">
        <v>1495</v>
      </c>
      <c r="H849" s="17" t="s">
        <v>1247</v>
      </c>
      <c r="I849" s="11">
        <v>5</v>
      </c>
    </row>
    <row r="850" spans="1:9" hidden="1" x14ac:dyDescent="0.25">
      <c r="A850" s="14">
        <v>12</v>
      </c>
      <c r="B850" s="13">
        <v>46002</v>
      </c>
      <c r="C850" s="17" t="s">
        <v>32</v>
      </c>
      <c r="D850" s="15">
        <v>182.41</v>
      </c>
      <c r="E850" s="16" t="s">
        <v>1100</v>
      </c>
      <c r="F850" s="14" t="s">
        <v>1972</v>
      </c>
      <c r="G850" s="16" t="s">
        <v>1494</v>
      </c>
      <c r="H850" s="17" t="s">
        <v>1286</v>
      </c>
      <c r="I850" s="11">
        <v>4</v>
      </c>
    </row>
    <row r="851" spans="1:9" hidden="1" x14ac:dyDescent="0.25">
      <c r="A851" s="14">
        <v>12</v>
      </c>
      <c r="B851" s="13">
        <v>46002</v>
      </c>
      <c r="C851" s="17" t="s">
        <v>8</v>
      </c>
      <c r="D851" s="15">
        <v>80</v>
      </c>
      <c r="E851" s="16" t="s">
        <v>1102</v>
      </c>
      <c r="F851" s="14"/>
      <c r="G851" s="16" t="s">
        <v>1498</v>
      </c>
      <c r="H851" s="17" t="s">
        <v>1469</v>
      </c>
      <c r="I851" s="11">
        <v>0</v>
      </c>
    </row>
    <row r="852" spans="1:9" hidden="1" x14ac:dyDescent="0.25">
      <c r="A852" s="14">
        <v>12</v>
      </c>
      <c r="B852" s="13">
        <v>46002</v>
      </c>
      <c r="C852" s="17" t="s">
        <v>16</v>
      </c>
      <c r="D852" s="15">
        <v>371.21</v>
      </c>
      <c r="E852" s="16" t="s">
        <v>1098</v>
      </c>
      <c r="F852" s="14" t="s">
        <v>1621</v>
      </c>
      <c r="G852" s="16" t="s">
        <v>1495</v>
      </c>
      <c r="H852" s="17" t="s">
        <v>1259</v>
      </c>
      <c r="I852" s="11">
        <v>7</v>
      </c>
    </row>
    <row r="853" spans="1:9" hidden="1" x14ac:dyDescent="0.25">
      <c r="A853" s="14">
        <v>12</v>
      </c>
      <c r="B853" s="13">
        <v>46002</v>
      </c>
      <c r="C853" s="17" t="s">
        <v>8</v>
      </c>
      <c r="D853" s="15">
        <v>100</v>
      </c>
      <c r="E853" s="16" t="s">
        <v>1101</v>
      </c>
      <c r="F853" s="14"/>
      <c r="G853" s="16" t="s">
        <v>2069</v>
      </c>
      <c r="H853" s="17" t="s">
        <v>1429</v>
      </c>
      <c r="I853" s="11">
        <v>6</v>
      </c>
    </row>
    <row r="854" spans="1:9" hidden="1" x14ac:dyDescent="0.25">
      <c r="A854" s="14">
        <v>12</v>
      </c>
      <c r="B854" s="13">
        <v>46002</v>
      </c>
      <c r="C854" s="17" t="s">
        <v>8</v>
      </c>
      <c r="D854" s="15">
        <v>80</v>
      </c>
      <c r="E854" s="16" t="s">
        <v>1103</v>
      </c>
      <c r="F854" s="14"/>
      <c r="G854" s="16" t="s">
        <v>1498</v>
      </c>
      <c r="H854" s="17" t="s">
        <v>1343</v>
      </c>
      <c r="I854" s="11">
        <v>8</v>
      </c>
    </row>
    <row r="855" spans="1:9" hidden="1" x14ac:dyDescent="0.25">
      <c r="A855" s="14">
        <v>12</v>
      </c>
      <c r="B855" s="13">
        <v>46003</v>
      </c>
      <c r="C855" s="17" t="s">
        <v>20</v>
      </c>
      <c r="D855" s="15">
        <v>80</v>
      </c>
      <c r="E855" s="16" t="s">
        <v>1096</v>
      </c>
      <c r="F855" s="14"/>
      <c r="G855" s="16" t="s">
        <v>1498</v>
      </c>
      <c r="H855" s="17" t="s">
        <v>1275</v>
      </c>
      <c r="I855" s="11">
        <v>5</v>
      </c>
    </row>
    <row r="856" spans="1:9" hidden="1" x14ac:dyDescent="0.25">
      <c r="A856" s="14">
        <v>12</v>
      </c>
      <c r="B856" s="13">
        <v>46003</v>
      </c>
      <c r="C856" s="17" t="s">
        <v>32</v>
      </c>
      <c r="D856" s="15">
        <v>400.73</v>
      </c>
      <c r="E856" s="16" t="s">
        <v>1093</v>
      </c>
      <c r="F856" s="14" t="s">
        <v>1717</v>
      </c>
      <c r="G856" s="16" t="s">
        <v>1494</v>
      </c>
      <c r="H856" s="17" t="s">
        <v>1313</v>
      </c>
      <c r="I856" s="11">
        <v>4</v>
      </c>
    </row>
    <row r="857" spans="1:9" hidden="1" x14ac:dyDescent="0.25">
      <c r="A857" s="14">
        <v>12</v>
      </c>
      <c r="B857" s="13">
        <v>46003</v>
      </c>
      <c r="C857" s="17" t="s">
        <v>8</v>
      </c>
      <c r="D857" s="15">
        <v>194.77</v>
      </c>
      <c r="E857" s="16" t="s">
        <v>1094</v>
      </c>
      <c r="F857" s="14" t="s">
        <v>1941</v>
      </c>
      <c r="G857" s="16" t="s">
        <v>1495</v>
      </c>
      <c r="H857" s="17" t="s">
        <v>1239</v>
      </c>
      <c r="I857" s="11">
        <v>4</v>
      </c>
    </row>
    <row r="858" spans="1:9" hidden="1" x14ac:dyDescent="0.25">
      <c r="A858" s="14">
        <v>12</v>
      </c>
      <c r="B858" s="13">
        <v>46003</v>
      </c>
      <c r="C858" s="17" t="s">
        <v>8</v>
      </c>
      <c r="D858" s="15">
        <v>100</v>
      </c>
      <c r="E858" s="16" t="s">
        <v>1095</v>
      </c>
      <c r="F858" s="14" t="s">
        <v>1828</v>
      </c>
      <c r="G858" s="16" t="s">
        <v>1495</v>
      </c>
      <c r="H858" s="17" t="s">
        <v>1385</v>
      </c>
      <c r="I858" s="11">
        <v>6</v>
      </c>
    </row>
    <row r="859" spans="1:9" hidden="1" x14ac:dyDescent="0.25">
      <c r="A859" s="14">
        <v>12</v>
      </c>
      <c r="B859" s="13">
        <v>46003</v>
      </c>
      <c r="C859" s="17" t="s">
        <v>8</v>
      </c>
      <c r="D859" s="15">
        <v>302.58</v>
      </c>
      <c r="E859" s="16" t="s">
        <v>1092</v>
      </c>
      <c r="F859" s="14" t="s">
        <v>1991</v>
      </c>
      <c r="G859" s="16" t="s">
        <v>1494</v>
      </c>
      <c r="H859" s="17" t="s">
        <v>1343</v>
      </c>
      <c r="I859" s="11">
        <v>8</v>
      </c>
    </row>
    <row r="860" spans="1:9" hidden="1" x14ac:dyDescent="0.25">
      <c r="A860" s="14">
        <v>12</v>
      </c>
      <c r="B860" s="13">
        <v>46003</v>
      </c>
      <c r="C860" s="17" t="s">
        <v>8</v>
      </c>
      <c r="D860" s="15">
        <v>303.24</v>
      </c>
      <c r="E860" s="16" t="s">
        <v>1092</v>
      </c>
      <c r="F860" s="14" t="s">
        <v>1991</v>
      </c>
      <c r="G860" s="16" t="s">
        <v>1495</v>
      </c>
      <c r="H860" s="17" t="s">
        <v>1343</v>
      </c>
      <c r="I860" s="11">
        <v>8</v>
      </c>
    </row>
    <row r="861" spans="1:9" hidden="1" x14ac:dyDescent="0.25">
      <c r="A861" s="14">
        <v>12</v>
      </c>
      <c r="B861" s="13">
        <v>46004</v>
      </c>
      <c r="C861" s="17" t="s">
        <v>16</v>
      </c>
      <c r="D861" s="15">
        <v>313.51</v>
      </c>
      <c r="E861" s="16" t="s">
        <v>1066</v>
      </c>
      <c r="F861" s="14" t="s">
        <v>1557</v>
      </c>
      <c r="G861" s="16" t="s">
        <v>1495</v>
      </c>
      <c r="H861" s="17" t="s">
        <v>1214</v>
      </c>
      <c r="I861" s="11">
        <v>5</v>
      </c>
    </row>
    <row r="862" spans="1:9" hidden="1" x14ac:dyDescent="0.25">
      <c r="A862" s="14">
        <v>12</v>
      </c>
      <c r="B862" s="13">
        <v>46004</v>
      </c>
      <c r="C862" s="17" t="s">
        <v>8</v>
      </c>
      <c r="D862" s="15">
        <v>382.97</v>
      </c>
      <c r="E862" s="16" t="s">
        <v>1065</v>
      </c>
      <c r="F862" s="14" t="s">
        <v>1505</v>
      </c>
      <c r="G862" s="16" t="s">
        <v>1495</v>
      </c>
      <c r="H862" s="17" t="s">
        <v>1224</v>
      </c>
      <c r="I862" s="11">
        <v>5</v>
      </c>
    </row>
    <row r="863" spans="1:9" hidden="1" x14ac:dyDescent="0.25">
      <c r="A863" s="14">
        <v>12</v>
      </c>
      <c r="B863" s="13">
        <v>46004</v>
      </c>
      <c r="C863" s="17" t="s">
        <v>8</v>
      </c>
      <c r="D863" s="15">
        <v>927.38</v>
      </c>
      <c r="E863" s="16" t="s">
        <v>1062</v>
      </c>
      <c r="F863" s="14" t="s">
        <v>1624</v>
      </c>
      <c r="G863" s="16" t="s">
        <v>1493</v>
      </c>
      <c r="H863" s="17" t="s">
        <v>1466</v>
      </c>
      <c r="I863" s="11">
        <v>3</v>
      </c>
    </row>
    <row r="864" spans="1:9" hidden="1" x14ac:dyDescent="0.25">
      <c r="A864" s="14">
        <v>12</v>
      </c>
      <c r="B864" s="13">
        <v>46004</v>
      </c>
      <c r="C864" s="17" t="s">
        <v>20</v>
      </c>
      <c r="D864" s="15">
        <v>432.78</v>
      </c>
      <c r="E864" s="16" t="s">
        <v>1063</v>
      </c>
      <c r="F864" s="14" t="s">
        <v>1933</v>
      </c>
      <c r="G864" s="16" t="s">
        <v>1489</v>
      </c>
      <c r="H864" s="17" t="s">
        <v>1267</v>
      </c>
      <c r="I864" s="11">
        <v>6</v>
      </c>
    </row>
    <row r="865" spans="1:10" hidden="1" x14ac:dyDescent="0.25">
      <c r="A865" s="14">
        <v>12</v>
      </c>
      <c r="B865" s="13">
        <v>46004</v>
      </c>
      <c r="C865" s="17" t="s">
        <v>20</v>
      </c>
      <c r="D865" s="15">
        <v>432.31</v>
      </c>
      <c r="E865" s="16" t="s">
        <v>1064</v>
      </c>
      <c r="F865" s="14" t="s">
        <v>1933</v>
      </c>
      <c r="G865" s="16" t="s">
        <v>1490</v>
      </c>
      <c r="H865" s="17" t="s">
        <v>1267</v>
      </c>
      <c r="I865" s="11">
        <v>6</v>
      </c>
    </row>
    <row r="866" spans="1:10" hidden="1" x14ac:dyDescent="0.25">
      <c r="A866" s="14">
        <v>12</v>
      </c>
      <c r="B866" s="13">
        <v>46004</v>
      </c>
      <c r="C866" s="17" t="s">
        <v>8</v>
      </c>
      <c r="D866" s="15">
        <v>40</v>
      </c>
      <c r="E866" s="16" t="s">
        <v>1070</v>
      </c>
      <c r="F866" s="14"/>
      <c r="G866" s="16" t="s">
        <v>1498</v>
      </c>
      <c r="H866" s="17" t="s">
        <v>1228</v>
      </c>
      <c r="I866" s="11">
        <v>5</v>
      </c>
    </row>
    <row r="867" spans="1:10" hidden="1" x14ac:dyDescent="0.25">
      <c r="A867" s="14">
        <v>12</v>
      </c>
      <c r="B867" s="13">
        <v>46004</v>
      </c>
      <c r="C867" s="17" t="s">
        <v>8</v>
      </c>
      <c r="D867" s="15">
        <v>277.75</v>
      </c>
      <c r="E867" s="16" t="s">
        <v>1067</v>
      </c>
      <c r="F867" s="14" t="s">
        <v>1986</v>
      </c>
      <c r="G867" s="16" t="s">
        <v>1495</v>
      </c>
      <c r="H867" s="17" t="s">
        <v>1227</v>
      </c>
      <c r="I867" s="11">
        <v>8</v>
      </c>
    </row>
    <row r="868" spans="1:10" hidden="1" x14ac:dyDescent="0.25">
      <c r="A868" s="14">
        <v>12</v>
      </c>
      <c r="B868" s="13">
        <v>46004</v>
      </c>
      <c r="C868" s="17" t="s">
        <v>1068</v>
      </c>
      <c r="D868" s="15">
        <v>194.25</v>
      </c>
      <c r="E868" s="16" t="s">
        <v>1069</v>
      </c>
      <c r="F868" s="14" t="s">
        <v>1579</v>
      </c>
      <c r="G868" s="16" t="s">
        <v>1495</v>
      </c>
      <c r="H868" s="17" t="s">
        <v>1206</v>
      </c>
      <c r="I868" s="11">
        <v>6</v>
      </c>
    </row>
    <row r="869" spans="1:10" hidden="1" x14ac:dyDescent="0.25">
      <c r="A869" s="14">
        <v>12</v>
      </c>
      <c r="B869" s="13">
        <v>46005</v>
      </c>
      <c r="C869" s="17" t="s">
        <v>8</v>
      </c>
      <c r="D869" s="15">
        <v>400</v>
      </c>
      <c r="E869" s="16" t="s">
        <v>1058</v>
      </c>
      <c r="F869" s="14" t="s">
        <v>1588</v>
      </c>
      <c r="G869" s="16" t="s">
        <v>1489</v>
      </c>
      <c r="H869" s="17" t="s">
        <v>1327</v>
      </c>
      <c r="I869" s="11">
        <v>6</v>
      </c>
    </row>
    <row r="870" spans="1:10" hidden="1" x14ac:dyDescent="0.25">
      <c r="A870" s="14">
        <v>12</v>
      </c>
      <c r="B870" s="13">
        <v>46005</v>
      </c>
      <c r="C870" s="17" t="s">
        <v>8</v>
      </c>
      <c r="D870" s="15">
        <v>304.52</v>
      </c>
      <c r="E870" s="16" t="s">
        <v>1057</v>
      </c>
      <c r="F870" s="14" t="s">
        <v>1804</v>
      </c>
      <c r="G870" s="16" t="s">
        <v>1493</v>
      </c>
      <c r="H870" s="17" t="s">
        <v>1215</v>
      </c>
      <c r="I870" s="11">
        <v>4</v>
      </c>
    </row>
    <row r="871" spans="1:10" hidden="1" x14ac:dyDescent="0.25">
      <c r="A871" s="14">
        <v>12</v>
      </c>
      <c r="B871" s="13">
        <v>46005</v>
      </c>
      <c r="C871" s="17" t="s">
        <v>8</v>
      </c>
      <c r="D871" s="15">
        <v>293.97000000000003</v>
      </c>
      <c r="E871" s="16" t="s">
        <v>1057</v>
      </c>
      <c r="F871" s="14" t="s">
        <v>1804</v>
      </c>
      <c r="G871" s="16" t="s">
        <v>1494</v>
      </c>
      <c r="H871" s="17" t="s">
        <v>1215</v>
      </c>
      <c r="I871" s="11">
        <v>4</v>
      </c>
    </row>
    <row r="872" spans="1:10" hidden="1" x14ac:dyDescent="0.25">
      <c r="A872" s="14">
        <v>12</v>
      </c>
      <c r="B872" s="13">
        <v>46005</v>
      </c>
      <c r="C872" s="17" t="s">
        <v>32</v>
      </c>
      <c r="D872" s="15">
        <v>30</v>
      </c>
      <c r="E872" s="16" t="s">
        <v>1059</v>
      </c>
      <c r="F872" s="14"/>
      <c r="G872" s="16" t="s">
        <v>1497</v>
      </c>
      <c r="H872" s="17" t="s">
        <v>1387</v>
      </c>
      <c r="I872" s="11">
        <v>8</v>
      </c>
    </row>
    <row r="873" spans="1:10" hidden="1" x14ac:dyDescent="0.25">
      <c r="A873" s="14">
        <v>12</v>
      </c>
      <c r="B873" s="13">
        <v>46006</v>
      </c>
      <c r="C873" s="17" t="s">
        <v>8</v>
      </c>
      <c r="D873" s="15">
        <v>463.71</v>
      </c>
      <c r="E873" s="16" t="s">
        <v>1051</v>
      </c>
      <c r="F873" s="14" t="s">
        <v>1714</v>
      </c>
      <c r="G873" s="16" t="s">
        <v>1494</v>
      </c>
      <c r="H873" s="17" t="s">
        <v>1330</v>
      </c>
      <c r="I873" s="11">
        <v>5</v>
      </c>
    </row>
    <row r="874" spans="1:10" hidden="1" x14ac:dyDescent="0.25">
      <c r="A874" s="14">
        <v>12</v>
      </c>
      <c r="B874" s="13">
        <v>46006</v>
      </c>
      <c r="C874" s="17" t="s">
        <v>8</v>
      </c>
      <c r="D874" s="15">
        <v>1</v>
      </c>
      <c r="E874" s="16" t="s">
        <v>1056</v>
      </c>
      <c r="F874" s="14" t="s">
        <v>1588</v>
      </c>
      <c r="G874" s="16" t="s">
        <v>1489</v>
      </c>
      <c r="H874" s="17" t="s">
        <v>1327</v>
      </c>
      <c r="I874" s="11">
        <v>6</v>
      </c>
    </row>
    <row r="875" spans="1:10" hidden="1" x14ac:dyDescent="0.25">
      <c r="A875" s="14">
        <v>12</v>
      </c>
      <c r="B875" s="13">
        <v>46006</v>
      </c>
      <c r="C875" s="17" t="s">
        <v>8</v>
      </c>
      <c r="D875" s="15">
        <v>40</v>
      </c>
      <c r="E875" s="16" t="s">
        <v>1055</v>
      </c>
      <c r="F875" s="14"/>
      <c r="G875" s="16" t="s">
        <v>1498</v>
      </c>
      <c r="H875" s="17" t="s">
        <v>1266</v>
      </c>
      <c r="I875" s="11">
        <v>7</v>
      </c>
    </row>
    <row r="876" spans="1:10" hidden="1" x14ac:dyDescent="0.25">
      <c r="A876" s="14">
        <v>12</v>
      </c>
      <c r="B876" s="13">
        <v>46006</v>
      </c>
      <c r="C876" s="17" t="s">
        <v>8</v>
      </c>
      <c r="D876" s="15">
        <v>383.1</v>
      </c>
      <c r="E876" s="16" t="s">
        <v>1053</v>
      </c>
      <c r="F876" s="14" t="s">
        <v>1758</v>
      </c>
      <c r="G876" s="16" t="s">
        <v>1494</v>
      </c>
      <c r="H876" s="17" t="s">
        <v>1373</v>
      </c>
      <c r="I876" s="11">
        <v>6</v>
      </c>
    </row>
    <row r="877" spans="1:10" hidden="1" x14ac:dyDescent="0.25">
      <c r="A877" s="14">
        <v>12</v>
      </c>
      <c r="B877" s="13">
        <v>46006</v>
      </c>
      <c r="C877" s="17" t="s">
        <v>8</v>
      </c>
      <c r="D877" s="15">
        <v>380.78</v>
      </c>
      <c r="E877" s="16" t="s">
        <v>1054</v>
      </c>
      <c r="F877" s="14" t="s">
        <v>1758</v>
      </c>
      <c r="G877" s="16" t="s">
        <v>1495</v>
      </c>
      <c r="H877" s="17" t="s">
        <v>1373</v>
      </c>
      <c r="I877" s="11">
        <v>6</v>
      </c>
    </row>
    <row r="878" spans="1:10" hidden="1" x14ac:dyDescent="0.25">
      <c r="A878" s="14">
        <v>12</v>
      </c>
      <c r="B878" s="13">
        <v>46006</v>
      </c>
      <c r="C878" s="17" t="s">
        <v>8</v>
      </c>
      <c r="D878" s="15">
        <v>389.72</v>
      </c>
      <c r="E878" s="16" t="s">
        <v>1052</v>
      </c>
      <c r="F878" s="14" t="s">
        <v>1629</v>
      </c>
      <c r="G878" s="16" t="s">
        <v>1495</v>
      </c>
      <c r="H878" s="17" t="s">
        <v>1222</v>
      </c>
      <c r="I878" s="11">
        <v>5</v>
      </c>
    </row>
    <row r="879" spans="1:10" hidden="1" x14ac:dyDescent="0.25">
      <c r="A879" s="14">
        <v>12</v>
      </c>
      <c r="B879" s="13">
        <v>46006</v>
      </c>
      <c r="C879" s="17" t="s">
        <v>32</v>
      </c>
      <c r="D879" s="25">
        <v>301.98</v>
      </c>
      <c r="E879" s="16" t="s">
        <v>1050</v>
      </c>
      <c r="F879" s="14" t="s">
        <v>1661</v>
      </c>
      <c r="G879" s="16" t="s">
        <v>1492</v>
      </c>
      <c r="H879" s="17" t="s">
        <v>1387</v>
      </c>
      <c r="I879" s="11">
        <v>8</v>
      </c>
      <c r="J879" s="15">
        <v>1300.6400000000001</v>
      </c>
    </row>
    <row r="880" spans="1:10" hidden="1" x14ac:dyDescent="0.25">
      <c r="A880" s="14">
        <v>12</v>
      </c>
      <c r="B880" s="13">
        <v>46006</v>
      </c>
      <c r="C880" s="17" t="s">
        <v>32</v>
      </c>
      <c r="D880" s="25">
        <v>381.14</v>
      </c>
      <c r="E880" s="16" t="s">
        <v>1050</v>
      </c>
      <c r="F880" s="14" t="s">
        <v>1661</v>
      </c>
      <c r="G880" s="16" t="s">
        <v>1493</v>
      </c>
      <c r="H880" s="17" t="s">
        <v>1387</v>
      </c>
      <c r="I880" s="11">
        <v>8</v>
      </c>
    </row>
    <row r="881" spans="1:9" hidden="1" x14ac:dyDescent="0.25">
      <c r="A881" s="14">
        <v>12</v>
      </c>
      <c r="B881" s="13">
        <v>46006</v>
      </c>
      <c r="C881" s="17" t="s">
        <v>32</v>
      </c>
      <c r="D881" s="25">
        <v>308.32</v>
      </c>
      <c r="E881" s="16" t="s">
        <v>1050</v>
      </c>
      <c r="F881" s="14" t="s">
        <v>1661</v>
      </c>
      <c r="G881" s="16" t="s">
        <v>1494</v>
      </c>
      <c r="H881" s="17" t="s">
        <v>1387</v>
      </c>
      <c r="I881" s="11">
        <v>8</v>
      </c>
    </row>
    <row r="882" spans="1:9" hidden="1" x14ac:dyDescent="0.25">
      <c r="A882" s="14">
        <v>12</v>
      </c>
      <c r="B882" s="13">
        <v>46006</v>
      </c>
      <c r="C882" s="17" t="s">
        <v>32</v>
      </c>
      <c r="D882" s="25">
        <v>309.2</v>
      </c>
      <c r="E882" s="16" t="s">
        <v>1050</v>
      </c>
      <c r="F882" s="14" t="s">
        <v>1661</v>
      </c>
      <c r="G882" s="16" t="s">
        <v>1495</v>
      </c>
      <c r="H882" s="17" t="s">
        <v>1387</v>
      </c>
      <c r="I882" s="11">
        <v>8</v>
      </c>
    </row>
    <row r="883" spans="1:9" hidden="1" x14ac:dyDescent="0.25">
      <c r="A883" s="14">
        <v>12</v>
      </c>
      <c r="B883" s="13">
        <v>46007</v>
      </c>
      <c r="C883" s="17" t="s">
        <v>8</v>
      </c>
      <c r="D883" s="15">
        <v>448.81</v>
      </c>
      <c r="E883" s="16" t="s">
        <v>1041</v>
      </c>
      <c r="F883" s="14" t="s">
        <v>1551</v>
      </c>
      <c r="G883" s="16" t="s">
        <v>1494</v>
      </c>
      <c r="H883" s="17" t="s">
        <v>1307</v>
      </c>
      <c r="I883" s="11">
        <v>8</v>
      </c>
    </row>
    <row r="884" spans="1:9" hidden="1" x14ac:dyDescent="0.25">
      <c r="A884" s="14">
        <v>12</v>
      </c>
      <c r="B884" s="13">
        <v>46007</v>
      </c>
      <c r="C884" s="17" t="s">
        <v>8</v>
      </c>
      <c r="D884" s="15">
        <v>439.19</v>
      </c>
      <c r="E884" s="16" t="s">
        <v>1042</v>
      </c>
      <c r="F884" s="14" t="s">
        <v>1551</v>
      </c>
      <c r="G884" s="16" t="s">
        <v>1495</v>
      </c>
      <c r="H884" s="17" t="s">
        <v>1307</v>
      </c>
      <c r="I884" s="11">
        <v>8</v>
      </c>
    </row>
    <row r="885" spans="1:9" hidden="1" x14ac:dyDescent="0.25">
      <c r="A885" s="14">
        <v>12</v>
      </c>
      <c r="B885" s="13">
        <v>46007</v>
      </c>
      <c r="C885" s="17" t="s">
        <v>8</v>
      </c>
      <c r="D885" s="15">
        <v>176.67</v>
      </c>
      <c r="E885" s="16" t="s">
        <v>1041</v>
      </c>
      <c r="F885" s="14" t="s">
        <v>1927</v>
      </c>
      <c r="G885" s="16" t="s">
        <v>1494</v>
      </c>
      <c r="H885" s="17" t="s">
        <v>1307</v>
      </c>
      <c r="I885" s="11">
        <v>6</v>
      </c>
    </row>
    <row r="886" spans="1:9" hidden="1" x14ac:dyDescent="0.25">
      <c r="A886" s="14">
        <v>12</v>
      </c>
      <c r="B886" s="13">
        <v>46007</v>
      </c>
      <c r="C886" s="17" t="s">
        <v>8</v>
      </c>
      <c r="D886" s="15">
        <v>185.83</v>
      </c>
      <c r="E886" s="16" t="s">
        <v>1042</v>
      </c>
      <c r="F886" s="14" t="s">
        <v>1927</v>
      </c>
      <c r="G886" s="16" t="s">
        <v>1495</v>
      </c>
      <c r="H886" s="17" t="s">
        <v>1307</v>
      </c>
      <c r="I886" s="11">
        <v>6</v>
      </c>
    </row>
    <row r="887" spans="1:9" hidden="1" x14ac:dyDescent="0.25">
      <c r="A887" s="14">
        <v>12</v>
      </c>
      <c r="B887" s="13">
        <v>46007</v>
      </c>
      <c r="C887" s="17" t="s">
        <v>8</v>
      </c>
      <c r="D887" s="15">
        <v>257.19</v>
      </c>
      <c r="E887" s="16" t="s">
        <v>1041</v>
      </c>
      <c r="F887" s="14" t="s">
        <v>1955</v>
      </c>
      <c r="G887" s="16" t="s">
        <v>1494</v>
      </c>
      <c r="H887" s="17" t="s">
        <v>1307</v>
      </c>
      <c r="I887" s="11">
        <v>5</v>
      </c>
    </row>
    <row r="888" spans="1:9" hidden="1" x14ac:dyDescent="0.25">
      <c r="A888" s="14">
        <v>12</v>
      </c>
      <c r="B888" s="13">
        <v>46007</v>
      </c>
      <c r="C888" s="17" t="s">
        <v>8</v>
      </c>
      <c r="D888" s="15">
        <v>257.41000000000003</v>
      </c>
      <c r="E888" s="16" t="s">
        <v>1042</v>
      </c>
      <c r="F888" s="14" t="s">
        <v>1955</v>
      </c>
      <c r="G888" s="16" t="s">
        <v>1495</v>
      </c>
      <c r="H888" s="17" t="s">
        <v>1307</v>
      </c>
      <c r="I888" s="11">
        <v>5</v>
      </c>
    </row>
    <row r="889" spans="1:9" hidden="1" x14ac:dyDescent="0.25">
      <c r="A889" s="14">
        <v>12</v>
      </c>
      <c r="B889" s="13">
        <v>46007</v>
      </c>
      <c r="C889" s="17" t="s">
        <v>8</v>
      </c>
      <c r="D889" s="15">
        <v>80.52</v>
      </c>
      <c r="E889" s="16" t="s">
        <v>1047</v>
      </c>
      <c r="F889" s="14" t="s">
        <v>1826</v>
      </c>
      <c r="G889" s="16" t="s">
        <v>1492</v>
      </c>
      <c r="H889" s="17" t="s">
        <v>1332</v>
      </c>
      <c r="I889" s="11">
        <v>5</v>
      </c>
    </row>
    <row r="890" spans="1:9" hidden="1" x14ac:dyDescent="0.25">
      <c r="A890" s="14">
        <v>12</v>
      </c>
      <c r="B890" s="13">
        <v>46007</v>
      </c>
      <c r="C890" s="17" t="s">
        <v>8</v>
      </c>
      <c r="D890" s="15">
        <v>80.52</v>
      </c>
      <c r="E890" s="16" t="s">
        <v>1047</v>
      </c>
      <c r="F890" s="14" t="s">
        <v>1826</v>
      </c>
      <c r="G890" s="16" t="s">
        <v>1493</v>
      </c>
      <c r="H890" s="17" t="s">
        <v>1332</v>
      </c>
      <c r="I890" s="11">
        <v>5</v>
      </c>
    </row>
    <row r="891" spans="1:9" hidden="1" x14ac:dyDescent="0.25">
      <c r="A891" s="14">
        <v>12</v>
      </c>
      <c r="B891" s="13">
        <v>46007</v>
      </c>
      <c r="C891" s="17" t="s">
        <v>8</v>
      </c>
      <c r="D891" s="15">
        <v>80.52</v>
      </c>
      <c r="E891" s="16" t="s">
        <v>1047</v>
      </c>
      <c r="F891" s="14" t="s">
        <v>1826</v>
      </c>
      <c r="G891" s="16" t="s">
        <v>1494</v>
      </c>
      <c r="H891" s="17" t="s">
        <v>1332</v>
      </c>
      <c r="I891" s="11">
        <v>5</v>
      </c>
    </row>
    <row r="892" spans="1:9" hidden="1" x14ac:dyDescent="0.25">
      <c r="A892" s="14">
        <v>12</v>
      </c>
      <c r="B892" s="13">
        <v>46007</v>
      </c>
      <c r="C892" s="17" t="s">
        <v>8</v>
      </c>
      <c r="D892" s="15">
        <v>80.52</v>
      </c>
      <c r="E892" s="16" t="s">
        <v>1047</v>
      </c>
      <c r="F892" s="14" t="s">
        <v>1826</v>
      </c>
      <c r="G892" s="16" t="s">
        <v>1495</v>
      </c>
      <c r="H892" s="17" t="s">
        <v>1332</v>
      </c>
      <c r="I892" s="11">
        <v>5</v>
      </c>
    </row>
    <row r="893" spans="1:9" x14ac:dyDescent="0.25">
      <c r="A893" s="14">
        <v>12</v>
      </c>
      <c r="B893" s="13">
        <v>46007</v>
      </c>
      <c r="C893" s="17" t="s">
        <v>8</v>
      </c>
      <c r="D893" s="15">
        <v>383.76</v>
      </c>
      <c r="E893" s="16" t="s">
        <v>1046</v>
      </c>
      <c r="F893" s="14" t="s">
        <v>1830</v>
      </c>
      <c r="G893" s="16" t="s">
        <v>1495</v>
      </c>
      <c r="H893" s="17" t="s">
        <v>1235</v>
      </c>
      <c r="I893" s="11">
        <v>7</v>
      </c>
    </row>
    <row r="894" spans="1:9" hidden="1" x14ac:dyDescent="0.25">
      <c r="A894" s="14">
        <v>12</v>
      </c>
      <c r="B894" s="13">
        <v>46007</v>
      </c>
      <c r="C894" s="17" t="s">
        <v>8</v>
      </c>
      <c r="D894" s="15">
        <v>473.01</v>
      </c>
      <c r="E894" s="16" t="s">
        <v>1043</v>
      </c>
      <c r="F894" s="14" t="s">
        <v>1882</v>
      </c>
      <c r="G894" s="16" t="s">
        <v>1495</v>
      </c>
      <c r="H894" s="17" t="s">
        <v>1429</v>
      </c>
      <c r="I894" s="11">
        <v>6</v>
      </c>
    </row>
    <row r="895" spans="1:9" hidden="1" x14ac:dyDescent="0.25">
      <c r="A895" s="14">
        <v>12</v>
      </c>
      <c r="B895" s="13">
        <v>46007</v>
      </c>
      <c r="C895" s="17" t="s">
        <v>8</v>
      </c>
      <c r="D895" s="15">
        <v>175.75</v>
      </c>
      <c r="E895" s="16" t="s">
        <v>1048</v>
      </c>
      <c r="F895" s="14" t="s">
        <v>1728</v>
      </c>
      <c r="G895" s="16" t="s">
        <v>1494</v>
      </c>
      <c r="H895" s="17" t="s">
        <v>1228</v>
      </c>
      <c r="I895" s="11">
        <v>5</v>
      </c>
    </row>
    <row r="896" spans="1:9" hidden="1" x14ac:dyDescent="0.25">
      <c r="A896" s="14">
        <v>12</v>
      </c>
      <c r="B896" s="13">
        <v>46007</v>
      </c>
      <c r="C896" s="17" t="s">
        <v>92</v>
      </c>
      <c r="D896" s="15">
        <v>40</v>
      </c>
      <c r="E896" s="16" t="s">
        <v>1049</v>
      </c>
      <c r="F896" s="14"/>
      <c r="G896" s="16" t="s">
        <v>1498</v>
      </c>
      <c r="H896" s="17" t="s">
        <v>92</v>
      </c>
      <c r="I896" s="11">
        <v>0</v>
      </c>
    </row>
    <row r="897" spans="1:9" hidden="1" x14ac:dyDescent="0.25">
      <c r="A897" s="14">
        <v>12</v>
      </c>
      <c r="B897" s="13">
        <v>46007</v>
      </c>
      <c r="C897" s="17" t="s">
        <v>1044</v>
      </c>
      <c r="D897" s="15">
        <v>392.7</v>
      </c>
      <c r="E897" s="16" t="s">
        <v>1045</v>
      </c>
      <c r="F897" s="17" t="s">
        <v>1703</v>
      </c>
      <c r="G897" s="16" t="s">
        <v>1495</v>
      </c>
      <c r="H897" s="17" t="s">
        <v>1206</v>
      </c>
      <c r="I897" s="11">
        <v>7</v>
      </c>
    </row>
    <row r="898" spans="1:9" hidden="1" x14ac:dyDescent="0.25">
      <c r="A898" s="14">
        <v>12</v>
      </c>
      <c r="B898" s="13">
        <v>46008</v>
      </c>
      <c r="C898" s="17" t="s">
        <v>16</v>
      </c>
      <c r="D898" s="15">
        <v>318.60000000000002</v>
      </c>
      <c r="E898" s="16" t="s">
        <v>1038</v>
      </c>
      <c r="F898" s="14" t="s">
        <v>1647</v>
      </c>
      <c r="G898" s="16" t="s">
        <v>1492</v>
      </c>
      <c r="H898" s="17" t="s">
        <v>1305</v>
      </c>
      <c r="I898" s="11">
        <v>4</v>
      </c>
    </row>
    <row r="899" spans="1:9" hidden="1" x14ac:dyDescent="0.25">
      <c r="A899" s="14">
        <v>12</v>
      </c>
      <c r="B899" s="13">
        <v>46008</v>
      </c>
      <c r="C899" s="17" t="s">
        <v>32</v>
      </c>
      <c r="D899" s="15">
        <v>40</v>
      </c>
      <c r="E899" s="16" t="s">
        <v>1040</v>
      </c>
      <c r="F899" s="14"/>
      <c r="G899" s="16" t="s">
        <v>1498</v>
      </c>
      <c r="H899" s="17" t="s">
        <v>1401</v>
      </c>
      <c r="I899" s="11">
        <v>7</v>
      </c>
    </row>
    <row r="900" spans="1:9" hidden="1" x14ac:dyDescent="0.25">
      <c r="A900" s="14">
        <v>12</v>
      </c>
      <c r="B900" s="13">
        <v>46008</v>
      </c>
      <c r="C900" s="17" t="s">
        <v>8</v>
      </c>
      <c r="D900" s="15">
        <v>386.74</v>
      </c>
      <c r="E900" s="16" t="s">
        <v>1037</v>
      </c>
      <c r="F900" s="14" t="s">
        <v>2046</v>
      </c>
      <c r="G900" s="16" t="s">
        <v>1495</v>
      </c>
      <c r="H900" s="17" t="s">
        <v>1351</v>
      </c>
      <c r="I900" s="11">
        <v>5</v>
      </c>
    </row>
    <row r="901" spans="1:9" hidden="1" x14ac:dyDescent="0.25">
      <c r="A901" s="14">
        <v>12</v>
      </c>
      <c r="B901" s="13">
        <v>46008</v>
      </c>
      <c r="C901" s="17" t="s">
        <v>8</v>
      </c>
      <c r="D901" s="15">
        <v>254.32</v>
      </c>
      <c r="E901" s="16" t="s">
        <v>1039</v>
      </c>
      <c r="F901" s="14" t="s">
        <v>1975</v>
      </c>
      <c r="G901" s="16" t="s">
        <v>1494</v>
      </c>
      <c r="H901" s="17" t="s">
        <v>1362</v>
      </c>
      <c r="I901" s="11">
        <v>4</v>
      </c>
    </row>
    <row r="902" spans="1:9" hidden="1" x14ac:dyDescent="0.25">
      <c r="A902" s="14">
        <v>12</v>
      </c>
      <c r="B902" s="13">
        <v>46008</v>
      </c>
      <c r="C902" s="17" t="s">
        <v>8</v>
      </c>
      <c r="D902" s="15">
        <v>1000</v>
      </c>
      <c r="E902" s="16" t="s">
        <v>1036</v>
      </c>
      <c r="F902" s="14" t="s">
        <v>1832</v>
      </c>
      <c r="G902" s="16" t="s">
        <v>1495</v>
      </c>
      <c r="H902" s="17" t="s">
        <v>1208</v>
      </c>
      <c r="I902" s="11">
        <v>7</v>
      </c>
    </row>
    <row r="903" spans="1:9" hidden="1" x14ac:dyDescent="0.25">
      <c r="A903" s="14">
        <v>12</v>
      </c>
      <c r="B903" s="13">
        <v>46009</v>
      </c>
      <c r="C903" s="17" t="s">
        <v>46</v>
      </c>
      <c r="D903" s="15">
        <v>450</v>
      </c>
      <c r="E903" s="16" t="s">
        <v>1033</v>
      </c>
      <c r="F903" s="14" t="s">
        <v>1664</v>
      </c>
      <c r="G903" s="16" t="s">
        <v>1495</v>
      </c>
      <c r="H903" s="17" t="s">
        <v>1233</v>
      </c>
      <c r="I903" s="11">
        <v>5</v>
      </c>
    </row>
    <row r="904" spans="1:9" hidden="1" x14ac:dyDescent="0.25">
      <c r="A904" s="14">
        <v>12</v>
      </c>
      <c r="B904" s="13">
        <v>46009</v>
      </c>
      <c r="C904" s="17" t="s">
        <v>8</v>
      </c>
      <c r="D904" s="15">
        <v>274.77</v>
      </c>
      <c r="E904" s="16" t="s">
        <v>1035</v>
      </c>
      <c r="F904" s="14" t="s">
        <v>1918</v>
      </c>
      <c r="G904" s="16" t="s">
        <v>1495</v>
      </c>
      <c r="H904" s="17" t="s">
        <v>1252</v>
      </c>
      <c r="I904" s="11">
        <v>5</v>
      </c>
    </row>
    <row r="905" spans="1:9" hidden="1" x14ac:dyDescent="0.25">
      <c r="A905" s="14">
        <v>12</v>
      </c>
      <c r="B905" s="13">
        <v>46009</v>
      </c>
      <c r="C905" s="17" t="s">
        <v>8</v>
      </c>
      <c r="D905" s="15">
        <v>388.84</v>
      </c>
      <c r="E905" s="16" t="s">
        <v>1034</v>
      </c>
      <c r="F905" s="14" t="s">
        <v>1996</v>
      </c>
      <c r="G905" s="16" t="s">
        <v>1494</v>
      </c>
      <c r="H905" s="17" t="s">
        <v>1309</v>
      </c>
      <c r="I905" s="11">
        <v>6</v>
      </c>
    </row>
    <row r="906" spans="1:9" hidden="1" x14ac:dyDescent="0.25">
      <c r="A906" s="14">
        <v>12</v>
      </c>
      <c r="B906" s="13">
        <v>46010</v>
      </c>
      <c r="C906" s="17" t="s">
        <v>8</v>
      </c>
      <c r="D906" s="15">
        <v>50</v>
      </c>
      <c r="E906" s="16" t="s">
        <v>1030</v>
      </c>
      <c r="F906" s="14"/>
      <c r="G906" s="16" t="s">
        <v>1497</v>
      </c>
      <c r="H906" s="17" t="s">
        <v>1470</v>
      </c>
      <c r="I906" s="11">
        <v>0</v>
      </c>
    </row>
    <row r="907" spans="1:9" hidden="1" x14ac:dyDescent="0.25">
      <c r="A907" s="14">
        <v>12</v>
      </c>
      <c r="B907" s="13">
        <v>46010</v>
      </c>
      <c r="C907" s="17" t="s">
        <v>531</v>
      </c>
      <c r="D907" s="15">
        <v>170.93</v>
      </c>
      <c r="E907" s="16" t="s">
        <v>1027</v>
      </c>
      <c r="F907" s="14" t="s">
        <v>1946</v>
      </c>
      <c r="G907" s="16" t="s">
        <v>1494</v>
      </c>
      <c r="H907" s="17" t="s">
        <v>1367</v>
      </c>
      <c r="I907" s="11">
        <v>5</v>
      </c>
    </row>
    <row r="908" spans="1:9" hidden="1" x14ac:dyDescent="0.25">
      <c r="A908" s="14">
        <v>12</v>
      </c>
      <c r="B908" s="13">
        <v>46010</v>
      </c>
      <c r="C908" s="17" t="s">
        <v>531</v>
      </c>
      <c r="D908" s="15">
        <v>171.77</v>
      </c>
      <c r="E908" s="16" t="s">
        <v>1027</v>
      </c>
      <c r="F908" s="14" t="s">
        <v>1946</v>
      </c>
      <c r="G908" s="16" t="s">
        <v>1495</v>
      </c>
      <c r="H908" s="17" t="s">
        <v>1367</v>
      </c>
      <c r="I908" s="11">
        <v>5</v>
      </c>
    </row>
    <row r="909" spans="1:9" hidden="1" x14ac:dyDescent="0.25">
      <c r="A909" s="14">
        <v>12</v>
      </c>
      <c r="B909" s="13">
        <v>46010</v>
      </c>
      <c r="C909" s="17" t="s">
        <v>8</v>
      </c>
      <c r="D909" s="15">
        <v>40</v>
      </c>
      <c r="E909" s="16" t="s">
        <v>1031</v>
      </c>
      <c r="F909" s="14"/>
      <c r="G909" s="16" t="s">
        <v>1498</v>
      </c>
      <c r="H909" s="17" t="s">
        <v>1304</v>
      </c>
      <c r="I909" s="11">
        <v>0</v>
      </c>
    </row>
    <row r="910" spans="1:9" hidden="1" x14ac:dyDescent="0.25">
      <c r="A910" s="14">
        <v>12</v>
      </c>
      <c r="B910" s="13">
        <v>46010</v>
      </c>
      <c r="C910" s="17" t="s">
        <v>8</v>
      </c>
      <c r="D910" s="15">
        <v>40</v>
      </c>
      <c r="E910" s="16" t="s">
        <v>1032</v>
      </c>
      <c r="F910" s="14"/>
      <c r="G910" s="16" t="s">
        <v>1498</v>
      </c>
      <c r="H910" s="17" t="s">
        <v>1304</v>
      </c>
      <c r="I910" s="11">
        <v>0</v>
      </c>
    </row>
    <row r="911" spans="1:9" hidden="1" x14ac:dyDescent="0.25">
      <c r="A911" s="14">
        <v>12</v>
      </c>
      <c r="B911" s="13">
        <v>46010</v>
      </c>
      <c r="C911" s="17" t="s">
        <v>8</v>
      </c>
      <c r="D911" s="15">
        <v>260.39</v>
      </c>
      <c r="E911" s="16" t="s">
        <v>1028</v>
      </c>
      <c r="F911" s="14" t="s">
        <v>1806</v>
      </c>
      <c r="G911" s="16" t="s">
        <v>1495</v>
      </c>
      <c r="H911" s="17" t="s">
        <v>1359</v>
      </c>
      <c r="I911" s="11">
        <v>5</v>
      </c>
    </row>
    <row r="912" spans="1:9" hidden="1" x14ac:dyDescent="0.25">
      <c r="A912" s="14">
        <v>12</v>
      </c>
      <c r="B912" s="13">
        <v>46010</v>
      </c>
      <c r="C912" s="17" t="s">
        <v>8</v>
      </c>
      <c r="D912" s="15">
        <v>190</v>
      </c>
      <c r="E912" s="16" t="s">
        <v>1029</v>
      </c>
      <c r="F912" s="14" t="s">
        <v>1963</v>
      </c>
      <c r="G912" s="16" t="s">
        <v>1495</v>
      </c>
      <c r="H912" s="17" t="s">
        <v>1335</v>
      </c>
      <c r="I912" s="11">
        <v>6</v>
      </c>
    </row>
    <row r="913" spans="1:9" hidden="1" x14ac:dyDescent="0.25">
      <c r="A913" s="14">
        <v>12</v>
      </c>
      <c r="B913" s="13">
        <v>46011</v>
      </c>
      <c r="C913" s="17" t="s">
        <v>20</v>
      </c>
      <c r="D913" s="15">
        <v>431.87</v>
      </c>
      <c r="E913" s="16" t="s">
        <v>1021</v>
      </c>
      <c r="F913" s="14" t="s">
        <v>1933</v>
      </c>
      <c r="G913" s="16" t="s">
        <v>1492</v>
      </c>
      <c r="H913" s="17" t="s">
        <v>1267</v>
      </c>
      <c r="I913" s="11">
        <v>6</v>
      </c>
    </row>
    <row r="914" spans="1:9" hidden="1" x14ac:dyDescent="0.25">
      <c r="A914" s="14">
        <v>12</v>
      </c>
      <c r="B914" s="13">
        <v>46011</v>
      </c>
      <c r="C914" s="17" t="s">
        <v>20</v>
      </c>
      <c r="D914" s="15">
        <v>421.12</v>
      </c>
      <c r="E914" s="16" t="s">
        <v>1022</v>
      </c>
      <c r="F914" s="14" t="s">
        <v>1933</v>
      </c>
      <c r="G914" s="16" t="s">
        <v>1491</v>
      </c>
      <c r="H914" s="17" t="s">
        <v>1267</v>
      </c>
      <c r="I914" s="11">
        <v>6</v>
      </c>
    </row>
    <row r="915" spans="1:9" hidden="1" x14ac:dyDescent="0.25">
      <c r="A915" s="14">
        <v>12</v>
      </c>
      <c r="B915" s="13">
        <v>46011</v>
      </c>
      <c r="C915" s="17" t="s">
        <v>8</v>
      </c>
      <c r="D915" s="15">
        <v>179.54</v>
      </c>
      <c r="E915" s="16" t="s">
        <v>1025</v>
      </c>
      <c r="F915" s="14" t="s">
        <v>1792</v>
      </c>
      <c r="G915" s="16" t="s">
        <v>1494</v>
      </c>
      <c r="H915" s="17" t="s">
        <v>1292</v>
      </c>
      <c r="I915" s="11">
        <v>5</v>
      </c>
    </row>
    <row r="916" spans="1:9" hidden="1" x14ac:dyDescent="0.25">
      <c r="A916" s="14">
        <v>12</v>
      </c>
      <c r="B916" s="13">
        <v>46011</v>
      </c>
      <c r="C916" s="17" t="s">
        <v>23</v>
      </c>
      <c r="D916" s="15">
        <v>77.760000000000005</v>
      </c>
      <c r="E916" s="16" t="s">
        <v>1026</v>
      </c>
      <c r="F916" s="14" t="s">
        <v>1843</v>
      </c>
      <c r="G916" s="16" t="s">
        <v>1495</v>
      </c>
      <c r="H916" s="17" t="s">
        <v>1242</v>
      </c>
      <c r="I916" s="11">
        <v>10</v>
      </c>
    </row>
    <row r="917" spans="1:9" hidden="1" x14ac:dyDescent="0.25">
      <c r="A917" s="14">
        <v>12</v>
      </c>
      <c r="B917" s="13">
        <v>46011</v>
      </c>
      <c r="C917" s="17" t="s">
        <v>8</v>
      </c>
      <c r="D917" s="15">
        <v>165.07</v>
      </c>
      <c r="E917" s="16" t="s">
        <v>1020</v>
      </c>
      <c r="F917" s="14" t="s">
        <v>1886</v>
      </c>
      <c r="G917" s="16" t="s">
        <v>1491</v>
      </c>
      <c r="H917" s="17" t="s">
        <v>1471</v>
      </c>
      <c r="I917" s="11">
        <v>4</v>
      </c>
    </row>
    <row r="918" spans="1:9" hidden="1" x14ac:dyDescent="0.25">
      <c r="A918" s="14">
        <v>12</v>
      </c>
      <c r="B918" s="13">
        <v>46011</v>
      </c>
      <c r="C918" s="17" t="s">
        <v>8</v>
      </c>
      <c r="D918" s="15">
        <v>170.93</v>
      </c>
      <c r="E918" s="16" t="s">
        <v>1020</v>
      </c>
      <c r="F918" s="14" t="s">
        <v>1886</v>
      </c>
      <c r="G918" s="16" t="s">
        <v>1492</v>
      </c>
      <c r="H918" s="17" t="s">
        <v>1471</v>
      </c>
      <c r="I918" s="11">
        <v>4</v>
      </c>
    </row>
    <row r="919" spans="1:9" hidden="1" x14ac:dyDescent="0.25">
      <c r="A919" s="14">
        <v>12</v>
      </c>
      <c r="B919" s="13">
        <v>46011</v>
      </c>
      <c r="C919" s="17" t="s">
        <v>8</v>
      </c>
      <c r="D919" s="15">
        <v>170.93</v>
      </c>
      <c r="E919" s="16" t="s">
        <v>1020</v>
      </c>
      <c r="F919" s="14" t="s">
        <v>1886</v>
      </c>
      <c r="G919" s="16" t="s">
        <v>1493</v>
      </c>
      <c r="H919" s="17" t="s">
        <v>1471</v>
      </c>
      <c r="I919" s="11">
        <v>4</v>
      </c>
    </row>
    <row r="920" spans="1:9" hidden="1" x14ac:dyDescent="0.25">
      <c r="A920" s="14">
        <v>12</v>
      </c>
      <c r="B920" s="13">
        <v>46011</v>
      </c>
      <c r="C920" s="17" t="s">
        <v>8</v>
      </c>
      <c r="D920" s="15">
        <v>160.93</v>
      </c>
      <c r="E920" s="16" t="s">
        <v>1020</v>
      </c>
      <c r="F920" s="14" t="s">
        <v>1886</v>
      </c>
      <c r="G920" s="16" t="s">
        <v>1494</v>
      </c>
      <c r="H920" s="17" t="s">
        <v>1471</v>
      </c>
      <c r="I920" s="11">
        <v>4</v>
      </c>
    </row>
    <row r="921" spans="1:9" hidden="1" x14ac:dyDescent="0.25">
      <c r="A921" s="14">
        <v>12</v>
      </c>
      <c r="B921" s="13">
        <v>46011</v>
      </c>
      <c r="C921" s="17" t="s">
        <v>8</v>
      </c>
      <c r="D921" s="15">
        <v>296.83999999999997</v>
      </c>
      <c r="E921" s="16" t="s">
        <v>1024</v>
      </c>
      <c r="F921" s="14" t="s">
        <v>1675</v>
      </c>
      <c r="G921" s="16" t="s">
        <v>1494</v>
      </c>
      <c r="H921" s="17" t="s">
        <v>1355</v>
      </c>
      <c r="I921" s="11">
        <v>10</v>
      </c>
    </row>
    <row r="922" spans="1:9" hidden="1" x14ac:dyDescent="0.25">
      <c r="A922" s="14">
        <v>12</v>
      </c>
      <c r="B922" s="13">
        <v>46011</v>
      </c>
      <c r="C922" s="17" t="s">
        <v>8</v>
      </c>
      <c r="D922" s="15">
        <v>395.68</v>
      </c>
      <c r="E922" s="16" t="s">
        <v>1023</v>
      </c>
      <c r="F922" s="14" t="s">
        <v>2037</v>
      </c>
      <c r="G922" s="16" t="s">
        <v>1495</v>
      </c>
      <c r="H922" s="17" t="s">
        <v>1258</v>
      </c>
      <c r="I922" s="11">
        <v>6</v>
      </c>
    </row>
    <row r="923" spans="1:9" hidden="1" x14ac:dyDescent="0.25">
      <c r="A923" s="14">
        <v>12</v>
      </c>
      <c r="B923" s="13">
        <v>46012</v>
      </c>
      <c r="C923" s="17" t="s">
        <v>8</v>
      </c>
      <c r="D923" s="15">
        <v>40</v>
      </c>
      <c r="E923" s="16" t="s">
        <v>1005</v>
      </c>
      <c r="F923" s="14"/>
      <c r="G923" s="16" t="s">
        <v>1498</v>
      </c>
      <c r="H923" s="17" t="s">
        <v>1472</v>
      </c>
      <c r="I923" s="11">
        <v>0</v>
      </c>
    </row>
    <row r="924" spans="1:9" hidden="1" x14ac:dyDescent="0.25">
      <c r="A924" s="14">
        <v>12</v>
      </c>
      <c r="B924" s="13">
        <v>46012</v>
      </c>
      <c r="C924" s="17" t="s">
        <v>8</v>
      </c>
      <c r="D924" s="15">
        <v>30</v>
      </c>
      <c r="E924" s="16" t="s">
        <v>1005</v>
      </c>
      <c r="F924" s="14"/>
      <c r="G924" s="16" t="s">
        <v>1497</v>
      </c>
      <c r="H924" s="17" t="s">
        <v>1472</v>
      </c>
      <c r="I924" s="11">
        <v>0</v>
      </c>
    </row>
    <row r="925" spans="1:9" hidden="1" x14ac:dyDescent="0.25">
      <c r="A925" s="14">
        <v>12</v>
      </c>
      <c r="B925" s="13">
        <v>46012</v>
      </c>
      <c r="C925" s="17" t="s">
        <v>8</v>
      </c>
      <c r="D925" s="15">
        <v>390.37</v>
      </c>
      <c r="E925" s="16" t="s">
        <v>1003</v>
      </c>
      <c r="F925" s="14" t="s">
        <v>1617</v>
      </c>
      <c r="G925" s="16" t="s">
        <v>1495</v>
      </c>
      <c r="H925" s="17" t="s">
        <v>1234</v>
      </c>
      <c r="I925" s="11">
        <v>7</v>
      </c>
    </row>
    <row r="926" spans="1:9" hidden="1" x14ac:dyDescent="0.25">
      <c r="A926" s="14">
        <v>12</v>
      </c>
      <c r="B926" s="13">
        <v>46012</v>
      </c>
      <c r="C926" s="17" t="s">
        <v>20</v>
      </c>
      <c r="D926" s="15">
        <v>173.91</v>
      </c>
      <c r="E926" s="16" t="s">
        <v>1004</v>
      </c>
      <c r="F926" s="14" t="s">
        <v>1642</v>
      </c>
      <c r="G926" s="16" t="s">
        <v>1495</v>
      </c>
      <c r="H926" s="17" t="s">
        <v>1230</v>
      </c>
      <c r="I926" s="11">
        <v>5</v>
      </c>
    </row>
    <row r="927" spans="1:9" hidden="1" x14ac:dyDescent="0.25">
      <c r="A927" s="14">
        <v>12</v>
      </c>
      <c r="B927" s="13">
        <v>46012</v>
      </c>
      <c r="C927" s="17" t="s">
        <v>32</v>
      </c>
      <c r="D927" s="15">
        <v>40</v>
      </c>
      <c r="E927" s="16" t="s">
        <v>1006</v>
      </c>
      <c r="F927" s="14"/>
      <c r="G927" s="16" t="s">
        <v>1498</v>
      </c>
      <c r="H927" s="17" t="s">
        <v>1401</v>
      </c>
      <c r="I927" s="11">
        <v>7</v>
      </c>
    </row>
    <row r="928" spans="1:9" hidden="1" x14ac:dyDescent="0.25">
      <c r="A928" s="14">
        <v>12</v>
      </c>
      <c r="B928" s="13">
        <v>46013</v>
      </c>
      <c r="C928" s="17" t="s">
        <v>8</v>
      </c>
      <c r="D928" s="15">
        <v>410.58</v>
      </c>
      <c r="E928" s="16" t="s">
        <v>992</v>
      </c>
      <c r="F928" s="14" t="s">
        <v>1526</v>
      </c>
      <c r="G928" s="16" t="s">
        <v>1495</v>
      </c>
      <c r="H928" s="17" t="s">
        <v>1294</v>
      </c>
      <c r="I928" s="11">
        <v>5</v>
      </c>
    </row>
    <row r="929" spans="1:9" hidden="1" x14ac:dyDescent="0.25">
      <c r="A929" s="14">
        <v>12</v>
      </c>
      <c r="B929" s="13">
        <v>46013</v>
      </c>
      <c r="C929" s="17" t="s">
        <v>8</v>
      </c>
      <c r="D929" s="15">
        <v>403.2</v>
      </c>
      <c r="E929" s="16" t="s">
        <v>993</v>
      </c>
      <c r="F929" s="14" t="s">
        <v>1526</v>
      </c>
      <c r="G929" s="16" t="s">
        <v>1494</v>
      </c>
      <c r="H929" s="17" t="s">
        <v>1294</v>
      </c>
      <c r="I929" s="11">
        <v>5</v>
      </c>
    </row>
    <row r="930" spans="1:9" hidden="1" x14ac:dyDescent="0.25">
      <c r="A930" s="14">
        <v>12</v>
      </c>
      <c r="B930" s="13">
        <v>46013</v>
      </c>
      <c r="C930" s="17" t="s">
        <v>8</v>
      </c>
      <c r="D930" s="15">
        <v>446.24</v>
      </c>
      <c r="E930" s="16" t="s">
        <v>991</v>
      </c>
      <c r="F930" s="14" t="s">
        <v>1938</v>
      </c>
      <c r="G930" s="16" t="s">
        <v>1495</v>
      </c>
      <c r="H930" s="17" t="s">
        <v>1207</v>
      </c>
      <c r="I930" s="11">
        <v>6</v>
      </c>
    </row>
    <row r="931" spans="1:9" hidden="1" x14ac:dyDescent="0.25">
      <c r="A931" s="14">
        <v>12</v>
      </c>
      <c r="B931" s="13">
        <v>46013</v>
      </c>
      <c r="C931" s="17" t="s">
        <v>1001</v>
      </c>
      <c r="D931" s="15">
        <v>1.93</v>
      </c>
      <c r="E931" s="16" t="s">
        <v>1002</v>
      </c>
      <c r="F931" s="14" t="s">
        <v>1508</v>
      </c>
      <c r="G931" s="16" t="s">
        <v>2068</v>
      </c>
      <c r="H931" s="17" t="s">
        <v>1001</v>
      </c>
      <c r="I931" s="11">
        <v>3</v>
      </c>
    </row>
    <row r="932" spans="1:9" hidden="1" x14ac:dyDescent="0.25">
      <c r="A932" s="14">
        <v>12</v>
      </c>
      <c r="B932" s="13">
        <v>46013</v>
      </c>
      <c r="C932" s="17" t="s">
        <v>8</v>
      </c>
      <c r="D932" s="15">
        <v>254.32</v>
      </c>
      <c r="E932" s="16" t="s">
        <v>998</v>
      </c>
      <c r="F932" s="14" t="s">
        <v>1688</v>
      </c>
      <c r="G932" s="16" t="s">
        <v>1494</v>
      </c>
      <c r="H932" s="17" t="s">
        <v>1226</v>
      </c>
      <c r="I932" s="11">
        <v>4</v>
      </c>
    </row>
    <row r="933" spans="1:9" hidden="1" x14ac:dyDescent="0.25">
      <c r="A933" s="14">
        <v>12</v>
      </c>
      <c r="B933" s="13">
        <v>46013</v>
      </c>
      <c r="C933" s="17" t="s">
        <v>8</v>
      </c>
      <c r="D933" s="15">
        <v>257.41000000000003</v>
      </c>
      <c r="E933" s="16" t="s">
        <v>997</v>
      </c>
      <c r="F933" s="14" t="s">
        <v>1764</v>
      </c>
      <c r="G933" s="16" t="s">
        <v>1495</v>
      </c>
      <c r="H933" s="17" t="s">
        <v>1225</v>
      </c>
      <c r="I933" s="11">
        <v>5</v>
      </c>
    </row>
    <row r="934" spans="1:9" hidden="1" x14ac:dyDescent="0.25">
      <c r="A934" s="14">
        <v>12</v>
      </c>
      <c r="B934" s="13">
        <v>46013</v>
      </c>
      <c r="C934" s="17" t="s">
        <v>8</v>
      </c>
      <c r="D934" s="15">
        <v>323.77999999999997</v>
      </c>
      <c r="E934" s="16" t="s">
        <v>996</v>
      </c>
      <c r="F934" s="14" t="s">
        <v>1845</v>
      </c>
      <c r="G934" s="16" t="s">
        <v>1493</v>
      </c>
      <c r="H934" s="17" t="s">
        <v>1251</v>
      </c>
      <c r="I934" s="11">
        <v>3</v>
      </c>
    </row>
    <row r="935" spans="1:9" hidden="1" x14ac:dyDescent="0.25">
      <c r="A935" s="14">
        <v>12</v>
      </c>
      <c r="B935" s="13">
        <v>46013</v>
      </c>
      <c r="C935" s="17" t="s">
        <v>8</v>
      </c>
      <c r="D935" s="15">
        <v>376.51</v>
      </c>
      <c r="E935" s="16" t="s">
        <v>994</v>
      </c>
      <c r="F935" s="14" t="s">
        <v>1855</v>
      </c>
      <c r="G935" s="16" t="s">
        <v>1495</v>
      </c>
      <c r="H935" s="17" t="s">
        <v>1473</v>
      </c>
      <c r="I935" s="11">
        <v>7</v>
      </c>
    </row>
    <row r="936" spans="1:9" hidden="1" x14ac:dyDescent="0.25">
      <c r="A936" s="14">
        <v>12</v>
      </c>
      <c r="B936" s="13">
        <v>46013</v>
      </c>
      <c r="C936" s="17" t="s">
        <v>16</v>
      </c>
      <c r="D936" s="15">
        <v>179.87</v>
      </c>
      <c r="E936" s="16" t="s">
        <v>1000</v>
      </c>
      <c r="F936" s="14" t="s">
        <v>1697</v>
      </c>
      <c r="G936" s="16" t="s">
        <v>1495</v>
      </c>
      <c r="H936" s="17" t="s">
        <v>1336</v>
      </c>
      <c r="I936" s="11">
        <v>6</v>
      </c>
    </row>
    <row r="937" spans="1:9" hidden="1" x14ac:dyDescent="0.25">
      <c r="A937" s="14">
        <v>12</v>
      </c>
      <c r="B937" s="13">
        <v>46013</v>
      </c>
      <c r="C937" s="17" t="s">
        <v>8</v>
      </c>
      <c r="D937" s="15">
        <v>188.81</v>
      </c>
      <c r="E937" s="16" t="s">
        <v>999</v>
      </c>
      <c r="F937" s="14" t="s">
        <v>1906</v>
      </c>
      <c r="G937" s="16" t="s">
        <v>1495</v>
      </c>
      <c r="H937" s="17" t="s">
        <v>1255</v>
      </c>
      <c r="I937" s="11">
        <v>6</v>
      </c>
    </row>
    <row r="938" spans="1:9" hidden="1" x14ac:dyDescent="0.25">
      <c r="A938" s="14">
        <v>12</v>
      </c>
      <c r="B938" s="13">
        <v>46013</v>
      </c>
      <c r="C938" s="17" t="s">
        <v>8</v>
      </c>
      <c r="D938" s="15">
        <v>374.82</v>
      </c>
      <c r="E938" s="16" t="s">
        <v>995</v>
      </c>
      <c r="F938" s="14" t="s">
        <v>1961</v>
      </c>
      <c r="G938" s="16" t="s">
        <v>1495</v>
      </c>
      <c r="H938" s="17" t="s">
        <v>1295</v>
      </c>
      <c r="I938" s="11">
        <v>5</v>
      </c>
    </row>
    <row r="939" spans="1:9" hidden="1" x14ac:dyDescent="0.25">
      <c r="A939" s="14">
        <v>12</v>
      </c>
      <c r="B939" s="13">
        <v>46014</v>
      </c>
      <c r="C939" s="17" t="s">
        <v>23</v>
      </c>
      <c r="D939" s="15">
        <v>321.12</v>
      </c>
      <c r="E939" s="16" t="s">
        <v>986</v>
      </c>
      <c r="F939" s="14" t="s">
        <v>1767</v>
      </c>
      <c r="G939" s="16" t="s">
        <v>1495</v>
      </c>
      <c r="H939" s="17" t="s">
        <v>1264</v>
      </c>
      <c r="I939" s="11">
        <v>5</v>
      </c>
    </row>
    <row r="940" spans="1:9" hidden="1" x14ac:dyDescent="0.25">
      <c r="A940" s="14">
        <v>12</v>
      </c>
      <c r="B940" s="13">
        <v>46014</v>
      </c>
      <c r="C940" s="17" t="s">
        <v>16</v>
      </c>
      <c r="D940" s="15">
        <v>188.81</v>
      </c>
      <c r="E940" s="16" t="s">
        <v>987</v>
      </c>
      <c r="F940" s="14" t="s">
        <v>1602</v>
      </c>
      <c r="G940" s="16" t="s">
        <v>1495</v>
      </c>
      <c r="H940" s="17" t="s">
        <v>1265</v>
      </c>
      <c r="I940" s="11">
        <v>5</v>
      </c>
    </row>
    <row r="941" spans="1:9" hidden="1" x14ac:dyDescent="0.25">
      <c r="A941" s="14">
        <v>12</v>
      </c>
      <c r="B941" s="13">
        <v>46014</v>
      </c>
      <c r="C941" s="17" t="s">
        <v>8</v>
      </c>
      <c r="D941" s="15">
        <v>40</v>
      </c>
      <c r="E941" s="16" t="s">
        <v>990</v>
      </c>
      <c r="F941" s="14"/>
      <c r="G941" s="16" t="s">
        <v>1498</v>
      </c>
      <c r="H941" s="17" t="s">
        <v>1278</v>
      </c>
      <c r="I941" s="11">
        <v>8</v>
      </c>
    </row>
    <row r="942" spans="1:9" hidden="1" x14ac:dyDescent="0.25">
      <c r="A942" s="14">
        <v>12</v>
      </c>
      <c r="B942" s="13">
        <v>46014</v>
      </c>
      <c r="C942" s="17" t="s">
        <v>8</v>
      </c>
      <c r="D942" s="15">
        <v>40</v>
      </c>
      <c r="E942" s="16" t="s">
        <v>989</v>
      </c>
      <c r="F942" s="14"/>
      <c r="G942" s="16" t="s">
        <v>1498</v>
      </c>
      <c r="H942" s="17" t="s">
        <v>1445</v>
      </c>
      <c r="I942" s="11">
        <v>7</v>
      </c>
    </row>
    <row r="943" spans="1:9" hidden="1" x14ac:dyDescent="0.25">
      <c r="A943" s="14">
        <v>12</v>
      </c>
      <c r="B943" s="13">
        <v>46014</v>
      </c>
      <c r="C943" s="17" t="s">
        <v>8</v>
      </c>
      <c r="D943" s="15">
        <v>409.56</v>
      </c>
      <c r="E943" s="16" t="s">
        <v>984</v>
      </c>
      <c r="F943" s="14" t="s">
        <v>1858</v>
      </c>
      <c r="G943" s="16" t="s">
        <v>1495</v>
      </c>
      <c r="H943" s="17" t="s">
        <v>1404</v>
      </c>
      <c r="I943" s="11">
        <v>6</v>
      </c>
    </row>
    <row r="944" spans="1:9" hidden="1" x14ac:dyDescent="0.25">
      <c r="A944" s="14">
        <v>12</v>
      </c>
      <c r="B944" s="13">
        <v>46014</v>
      </c>
      <c r="C944" s="17" t="s">
        <v>8</v>
      </c>
      <c r="D944" s="15">
        <v>341.98</v>
      </c>
      <c r="E944" s="16" t="s">
        <v>985</v>
      </c>
      <c r="F944" s="14" t="s">
        <v>1867</v>
      </c>
      <c r="G944" s="16" t="s">
        <v>1495</v>
      </c>
      <c r="H944" s="17" t="s">
        <v>1375</v>
      </c>
      <c r="I944" s="11">
        <v>2</v>
      </c>
    </row>
    <row r="945" spans="1:9" hidden="1" x14ac:dyDescent="0.25">
      <c r="A945" s="14">
        <v>12</v>
      </c>
      <c r="B945" s="13">
        <v>46014</v>
      </c>
      <c r="C945" s="17" t="s">
        <v>8</v>
      </c>
      <c r="D945" s="15">
        <v>452.23</v>
      </c>
      <c r="E945" s="16" t="s">
        <v>983</v>
      </c>
      <c r="F945" s="14" t="s">
        <v>1849</v>
      </c>
      <c r="G945" s="16" t="s">
        <v>1495</v>
      </c>
      <c r="H945" s="17" t="s">
        <v>1246</v>
      </c>
      <c r="I945" s="11">
        <v>6</v>
      </c>
    </row>
    <row r="946" spans="1:9" hidden="1" x14ac:dyDescent="0.25">
      <c r="A946" s="14">
        <v>12</v>
      </c>
      <c r="B946" s="13">
        <v>46014</v>
      </c>
      <c r="C946" s="17" t="s">
        <v>8</v>
      </c>
      <c r="D946" s="15">
        <v>40</v>
      </c>
      <c r="E946" s="16" t="s">
        <v>988</v>
      </c>
      <c r="F946" s="14"/>
      <c r="G946" s="16" t="s">
        <v>1498</v>
      </c>
      <c r="H946" s="17" t="s">
        <v>1355</v>
      </c>
      <c r="I946" s="11">
        <v>10</v>
      </c>
    </row>
    <row r="947" spans="1:9" hidden="1" x14ac:dyDescent="0.25">
      <c r="A947" s="14">
        <v>12</v>
      </c>
      <c r="B947" s="13">
        <v>46015</v>
      </c>
      <c r="C947" s="17" t="s">
        <v>8</v>
      </c>
      <c r="D947" s="15">
        <v>285.36</v>
      </c>
      <c r="E947" s="16" t="s">
        <v>979</v>
      </c>
      <c r="F947" s="14" t="s">
        <v>1753</v>
      </c>
      <c r="G947" s="16" t="s">
        <v>1495</v>
      </c>
      <c r="H947" s="17" t="s">
        <v>1474</v>
      </c>
      <c r="I947" s="11">
        <v>5</v>
      </c>
    </row>
    <row r="948" spans="1:9" hidden="1" x14ac:dyDescent="0.25">
      <c r="A948" s="14">
        <v>12</v>
      </c>
      <c r="B948" s="13">
        <v>46015</v>
      </c>
      <c r="C948" s="17" t="s">
        <v>8</v>
      </c>
      <c r="D948" s="15">
        <v>397.81</v>
      </c>
      <c r="E948" s="16" t="s">
        <v>977</v>
      </c>
      <c r="F948" s="14" t="s">
        <v>1504</v>
      </c>
      <c r="G948" s="16" t="s">
        <v>1493</v>
      </c>
      <c r="H948" s="17" t="s">
        <v>1320</v>
      </c>
      <c r="I948" s="11">
        <v>7</v>
      </c>
    </row>
    <row r="949" spans="1:9" hidden="1" x14ac:dyDescent="0.25">
      <c r="A949" s="14">
        <v>12</v>
      </c>
      <c r="B949" s="13">
        <v>46015</v>
      </c>
      <c r="C949" s="17" t="s">
        <v>8</v>
      </c>
      <c r="D949" s="15">
        <v>380.78</v>
      </c>
      <c r="E949" s="16" t="s">
        <v>978</v>
      </c>
      <c r="F949" s="14" t="s">
        <v>1943</v>
      </c>
      <c r="G949" s="16" t="s">
        <v>1495</v>
      </c>
      <c r="H949" s="17" t="s">
        <v>1282</v>
      </c>
      <c r="I949" s="11">
        <v>5</v>
      </c>
    </row>
    <row r="950" spans="1:9" hidden="1" x14ac:dyDescent="0.25">
      <c r="A950" s="14">
        <v>12</v>
      </c>
      <c r="B950" s="13">
        <v>46016</v>
      </c>
      <c r="C950" s="17" t="s">
        <v>8</v>
      </c>
      <c r="D950" s="15">
        <v>173.91</v>
      </c>
      <c r="E950" s="16" t="s">
        <v>976</v>
      </c>
      <c r="F950" s="14" t="s">
        <v>1731</v>
      </c>
      <c r="G950" s="16" t="s">
        <v>1495</v>
      </c>
      <c r="H950" s="17" t="s">
        <v>1217</v>
      </c>
      <c r="I950" s="11">
        <v>5</v>
      </c>
    </row>
    <row r="951" spans="1:9" hidden="1" x14ac:dyDescent="0.25">
      <c r="A951" s="14">
        <v>12</v>
      </c>
      <c r="B951" s="13">
        <v>46016</v>
      </c>
      <c r="C951" s="17" t="s">
        <v>16</v>
      </c>
      <c r="D951" s="15">
        <v>385.97</v>
      </c>
      <c r="E951" s="16" t="s">
        <v>975</v>
      </c>
      <c r="F951" s="14" t="s">
        <v>1835</v>
      </c>
      <c r="G951" s="16" t="s">
        <v>1494</v>
      </c>
      <c r="H951" s="17" t="s">
        <v>1288</v>
      </c>
      <c r="I951" s="11">
        <v>5</v>
      </c>
    </row>
    <row r="952" spans="1:9" hidden="1" x14ac:dyDescent="0.25">
      <c r="A952" s="14">
        <v>12</v>
      </c>
      <c r="B952" s="13">
        <v>46017</v>
      </c>
      <c r="C952" s="17" t="s">
        <v>20</v>
      </c>
      <c r="D952" s="15">
        <v>408.94</v>
      </c>
      <c r="E952" s="16" t="s">
        <v>965</v>
      </c>
      <c r="F952" s="14" t="s">
        <v>2016</v>
      </c>
      <c r="G952" s="16" t="s">
        <v>1494</v>
      </c>
      <c r="H952" s="17" t="s">
        <v>1275</v>
      </c>
      <c r="I952" s="11">
        <v>5</v>
      </c>
    </row>
    <row r="953" spans="1:9" hidden="1" x14ac:dyDescent="0.25">
      <c r="A953" s="14">
        <v>12</v>
      </c>
      <c r="B953" s="13">
        <v>46017</v>
      </c>
      <c r="C953" s="17" t="s">
        <v>8</v>
      </c>
      <c r="D953" s="15">
        <v>418.32</v>
      </c>
      <c r="E953" s="16" t="s">
        <v>964</v>
      </c>
      <c r="F953" s="14" t="s">
        <v>1565</v>
      </c>
      <c r="G953" s="16" t="s">
        <v>1495</v>
      </c>
      <c r="H953" s="17" t="s">
        <v>1326</v>
      </c>
      <c r="I953" s="11">
        <v>5</v>
      </c>
    </row>
    <row r="954" spans="1:9" hidden="1" x14ac:dyDescent="0.25">
      <c r="A954" s="14">
        <v>12</v>
      </c>
      <c r="B954" s="13">
        <v>46017</v>
      </c>
      <c r="C954" s="17" t="s">
        <v>23</v>
      </c>
      <c r="D954" s="15">
        <v>171.15</v>
      </c>
      <c r="E954" s="16" t="s">
        <v>971</v>
      </c>
      <c r="F954" s="14" t="s">
        <v>2032</v>
      </c>
      <c r="G954" s="16" t="s">
        <v>1494</v>
      </c>
      <c r="H954" s="17" t="s">
        <v>1293</v>
      </c>
      <c r="I954" s="11">
        <v>4</v>
      </c>
    </row>
    <row r="955" spans="1:9" hidden="1" x14ac:dyDescent="0.25">
      <c r="A955" s="14">
        <v>12</v>
      </c>
      <c r="B955" s="13">
        <v>46017</v>
      </c>
      <c r="C955" s="17" t="s">
        <v>8</v>
      </c>
      <c r="D955" s="15">
        <v>40</v>
      </c>
      <c r="E955" s="16" t="s">
        <v>973</v>
      </c>
      <c r="F955" s="14"/>
      <c r="G955" s="16" t="s">
        <v>1498</v>
      </c>
      <c r="H955" s="17" t="s">
        <v>1266</v>
      </c>
      <c r="I955" s="11">
        <v>7</v>
      </c>
    </row>
    <row r="956" spans="1:9" hidden="1" x14ac:dyDescent="0.25">
      <c r="A956" s="14">
        <v>12</v>
      </c>
      <c r="B956" s="13">
        <v>46017</v>
      </c>
      <c r="C956" s="17" t="s">
        <v>32</v>
      </c>
      <c r="D956" s="15">
        <v>365.88</v>
      </c>
      <c r="E956" s="16" t="s">
        <v>969</v>
      </c>
      <c r="F956" s="14" t="s">
        <v>1958</v>
      </c>
      <c r="G956" s="16" t="s">
        <v>1493</v>
      </c>
      <c r="H956" s="17" t="s">
        <v>1432</v>
      </c>
      <c r="I956" s="11">
        <v>3</v>
      </c>
    </row>
    <row r="957" spans="1:9" hidden="1" x14ac:dyDescent="0.25">
      <c r="A957" s="14">
        <v>12</v>
      </c>
      <c r="B957" s="13">
        <v>46017</v>
      </c>
      <c r="C957" s="17" t="s">
        <v>8</v>
      </c>
      <c r="D957" s="15">
        <v>527.23</v>
      </c>
      <c r="E957" s="16" t="s">
        <v>961</v>
      </c>
      <c r="F957" s="14" t="s">
        <v>1784</v>
      </c>
      <c r="G957" s="16" t="s">
        <v>1495</v>
      </c>
      <c r="H957" s="17" t="s">
        <v>1274</v>
      </c>
      <c r="I957" s="11">
        <v>5</v>
      </c>
    </row>
    <row r="958" spans="1:9" hidden="1" x14ac:dyDescent="0.25">
      <c r="A958" s="14">
        <v>12</v>
      </c>
      <c r="B958" s="13">
        <v>46017</v>
      </c>
      <c r="C958" s="17" t="s">
        <v>32</v>
      </c>
      <c r="D958" s="15">
        <v>368.86</v>
      </c>
      <c r="E958" s="16" t="s">
        <v>967</v>
      </c>
      <c r="F958" s="14" t="s">
        <v>1502</v>
      </c>
      <c r="G958" s="16" t="s">
        <v>1495</v>
      </c>
      <c r="H958" s="17" t="s">
        <v>1451</v>
      </c>
      <c r="I958" s="11">
        <v>6</v>
      </c>
    </row>
    <row r="959" spans="1:9" hidden="1" x14ac:dyDescent="0.25">
      <c r="A959" s="14">
        <v>12</v>
      </c>
      <c r="B959" s="13">
        <v>46017</v>
      </c>
      <c r="C959" s="17" t="s">
        <v>32</v>
      </c>
      <c r="D959" s="15">
        <v>365.88</v>
      </c>
      <c r="E959" s="16" t="s">
        <v>968</v>
      </c>
      <c r="F959" s="14" t="s">
        <v>1502</v>
      </c>
      <c r="G959" s="16" t="s">
        <v>1493</v>
      </c>
      <c r="H959" s="17" t="s">
        <v>1451</v>
      </c>
      <c r="I959" s="11">
        <v>6</v>
      </c>
    </row>
    <row r="960" spans="1:9" hidden="1" x14ac:dyDescent="0.25">
      <c r="A960" s="14">
        <v>12</v>
      </c>
      <c r="B960" s="13">
        <v>46017</v>
      </c>
      <c r="C960" s="17" t="s">
        <v>8</v>
      </c>
      <c r="D960" s="15">
        <v>170.93</v>
      </c>
      <c r="E960" s="16" t="s">
        <v>972</v>
      </c>
      <c r="F960" s="14" t="s">
        <v>1847</v>
      </c>
      <c r="G960" s="16" t="s">
        <v>1495</v>
      </c>
      <c r="H960" s="17" t="s">
        <v>1322</v>
      </c>
      <c r="I960" s="11">
        <v>6</v>
      </c>
    </row>
    <row r="961" spans="1:9" hidden="1" x14ac:dyDescent="0.25">
      <c r="A961" s="14">
        <v>12</v>
      </c>
      <c r="B961" s="13">
        <v>46017</v>
      </c>
      <c r="C961" s="17" t="s">
        <v>8</v>
      </c>
      <c r="D961" s="15">
        <v>40</v>
      </c>
      <c r="E961" s="16" t="s">
        <v>974</v>
      </c>
      <c r="F961" s="14"/>
      <c r="G961" s="16" t="s">
        <v>1498</v>
      </c>
      <c r="H961" s="17" t="s">
        <v>1322</v>
      </c>
      <c r="I961" s="11">
        <v>6</v>
      </c>
    </row>
    <row r="962" spans="1:9" hidden="1" x14ac:dyDescent="0.25">
      <c r="A962" s="14">
        <v>12</v>
      </c>
      <c r="B962" s="13">
        <v>46017</v>
      </c>
      <c r="C962" s="17" t="s">
        <v>8</v>
      </c>
      <c r="D962" s="15">
        <v>265.8</v>
      </c>
      <c r="E962" s="16" t="s">
        <v>970</v>
      </c>
      <c r="F962" s="14" t="s">
        <v>1984</v>
      </c>
      <c r="G962" s="16" t="s">
        <v>1494</v>
      </c>
      <c r="H962" s="17" t="s">
        <v>1394</v>
      </c>
      <c r="I962" s="11">
        <v>3</v>
      </c>
    </row>
    <row r="963" spans="1:9" hidden="1" x14ac:dyDescent="0.25">
      <c r="A963" s="14">
        <v>12</v>
      </c>
      <c r="B963" s="13">
        <v>46017</v>
      </c>
      <c r="C963" s="17" t="s">
        <v>962</v>
      </c>
      <c r="D963" s="15">
        <v>454</v>
      </c>
      <c r="E963" s="16" t="s">
        <v>963</v>
      </c>
      <c r="F963" s="14"/>
      <c r="G963" s="16" t="s">
        <v>2068</v>
      </c>
      <c r="H963" s="17" t="s">
        <v>1206</v>
      </c>
      <c r="I963" s="11">
        <v>0</v>
      </c>
    </row>
    <row r="964" spans="1:9" hidden="1" x14ac:dyDescent="0.25">
      <c r="A964" s="14">
        <v>12</v>
      </c>
      <c r="B964" s="13">
        <v>46017</v>
      </c>
      <c r="C964" s="17" t="s">
        <v>8</v>
      </c>
      <c r="D964" s="15">
        <v>392.07</v>
      </c>
      <c r="E964" s="16" t="s">
        <v>966</v>
      </c>
      <c r="F964" s="14" t="s">
        <v>2035</v>
      </c>
      <c r="G964" s="16" t="s">
        <v>1494</v>
      </c>
      <c r="H964" s="17" t="s">
        <v>1444</v>
      </c>
      <c r="I964" s="11">
        <v>4</v>
      </c>
    </row>
    <row r="965" spans="1:9" hidden="1" x14ac:dyDescent="0.25">
      <c r="A965" s="14">
        <v>12</v>
      </c>
      <c r="B965" s="13">
        <v>46018</v>
      </c>
      <c r="C965" s="17" t="s">
        <v>32</v>
      </c>
      <c r="D965" s="15">
        <v>40</v>
      </c>
      <c r="E965" s="16" t="s">
        <v>960</v>
      </c>
      <c r="F965" s="14"/>
      <c r="G965" s="16" t="s">
        <v>1498</v>
      </c>
      <c r="H965" s="17" t="s">
        <v>1475</v>
      </c>
      <c r="I965" s="11">
        <v>0</v>
      </c>
    </row>
    <row r="966" spans="1:9" hidden="1" x14ac:dyDescent="0.25">
      <c r="A966" s="14">
        <v>12</v>
      </c>
      <c r="B966" s="13">
        <v>46018</v>
      </c>
      <c r="C966" s="17" t="s">
        <v>20</v>
      </c>
      <c r="D966" s="15">
        <v>182.14</v>
      </c>
      <c r="E966" s="16" t="s">
        <v>959</v>
      </c>
      <c r="F966" s="14" t="s">
        <v>1535</v>
      </c>
      <c r="G966" s="16" t="s">
        <v>1495</v>
      </c>
      <c r="H966" s="17" t="s">
        <v>1240</v>
      </c>
      <c r="I966" s="11">
        <v>5</v>
      </c>
    </row>
    <row r="967" spans="1:9" hidden="1" x14ac:dyDescent="0.25">
      <c r="A967" s="14">
        <v>12</v>
      </c>
      <c r="B967" s="13">
        <v>46018</v>
      </c>
      <c r="C967" s="17" t="s">
        <v>32</v>
      </c>
      <c r="D967" s="15">
        <v>377.8</v>
      </c>
      <c r="E967" s="16" t="s">
        <v>957</v>
      </c>
      <c r="F967" s="14" t="s">
        <v>1952</v>
      </c>
      <c r="G967" s="16" t="s">
        <v>1495</v>
      </c>
      <c r="H967" s="17" t="s">
        <v>1289</v>
      </c>
      <c r="I967" s="11">
        <v>5</v>
      </c>
    </row>
    <row r="968" spans="1:9" hidden="1" x14ac:dyDescent="0.25">
      <c r="A968" s="14">
        <v>12</v>
      </c>
      <c r="B968" s="13">
        <v>46018</v>
      </c>
      <c r="C968" s="17" t="s">
        <v>32</v>
      </c>
      <c r="D968" s="15">
        <v>374.49</v>
      </c>
      <c r="E968" s="16" t="s">
        <v>958</v>
      </c>
      <c r="F968" s="14" t="s">
        <v>1952</v>
      </c>
      <c r="G968" s="16" t="s">
        <v>1494</v>
      </c>
      <c r="H968" s="17" t="s">
        <v>1289</v>
      </c>
      <c r="I968" s="11">
        <v>5</v>
      </c>
    </row>
    <row r="969" spans="1:9" hidden="1" x14ac:dyDescent="0.25">
      <c r="A969" s="14">
        <v>12</v>
      </c>
      <c r="B969" s="13">
        <v>46019</v>
      </c>
      <c r="C969" s="17" t="s">
        <v>8</v>
      </c>
      <c r="D969" s="15">
        <v>312.52999999999997</v>
      </c>
      <c r="E969" s="16" t="s">
        <v>944</v>
      </c>
      <c r="F969" s="14" t="s">
        <v>1638</v>
      </c>
      <c r="G969" s="16" t="s">
        <v>1495</v>
      </c>
      <c r="H969" s="17" t="s">
        <v>1356</v>
      </c>
      <c r="I969" s="11">
        <v>6</v>
      </c>
    </row>
    <row r="970" spans="1:9" hidden="1" x14ac:dyDescent="0.25">
      <c r="A970" s="14">
        <v>12</v>
      </c>
      <c r="B970" s="13">
        <v>46019</v>
      </c>
      <c r="C970" s="17" t="s">
        <v>32</v>
      </c>
      <c r="D970" s="15">
        <v>50</v>
      </c>
      <c r="E970" s="16" t="s">
        <v>945</v>
      </c>
      <c r="F970" s="14"/>
      <c r="G970" s="16" t="s">
        <v>1497</v>
      </c>
      <c r="H970" s="17" t="s">
        <v>1325</v>
      </c>
      <c r="I970" s="11">
        <v>5</v>
      </c>
    </row>
    <row r="971" spans="1:9" hidden="1" x14ac:dyDescent="0.25">
      <c r="A971" s="14">
        <v>12</v>
      </c>
      <c r="B971" s="13">
        <v>46019</v>
      </c>
      <c r="C971" s="17" t="s">
        <v>8</v>
      </c>
      <c r="D971" s="15">
        <v>387.66</v>
      </c>
      <c r="E971" s="16" t="s">
        <v>943</v>
      </c>
      <c r="F971" s="14" t="s">
        <v>1903</v>
      </c>
      <c r="G971" s="16" t="s">
        <v>1495</v>
      </c>
      <c r="H971" s="17" t="s">
        <v>1211</v>
      </c>
      <c r="I971" s="11">
        <v>6</v>
      </c>
    </row>
    <row r="972" spans="1:9" hidden="1" x14ac:dyDescent="0.25">
      <c r="A972" s="14">
        <v>12</v>
      </c>
      <c r="B972" s="13">
        <v>46020</v>
      </c>
      <c r="C972" s="17" t="s">
        <v>8</v>
      </c>
      <c r="D972" s="15">
        <v>251.45</v>
      </c>
      <c r="E972" s="16" t="s">
        <v>937</v>
      </c>
      <c r="F972" s="14" t="s">
        <v>2013</v>
      </c>
      <c r="G972" s="16" t="s">
        <v>1495</v>
      </c>
      <c r="H972" s="17" t="s">
        <v>1369</v>
      </c>
      <c r="I972" s="11">
        <v>5</v>
      </c>
    </row>
    <row r="973" spans="1:9" hidden="1" x14ac:dyDescent="0.25">
      <c r="A973" s="14">
        <v>12</v>
      </c>
      <c r="B973" s="13">
        <v>46020</v>
      </c>
      <c r="C973" s="17" t="s">
        <v>8</v>
      </c>
      <c r="D973" s="15">
        <v>100</v>
      </c>
      <c r="E973" s="16" t="s">
        <v>940</v>
      </c>
      <c r="F973" s="14"/>
      <c r="G973" s="16" t="s">
        <v>2069</v>
      </c>
      <c r="H973" s="17" t="s">
        <v>1307</v>
      </c>
      <c r="I973" s="11">
        <v>8</v>
      </c>
    </row>
    <row r="974" spans="1:9" hidden="1" x14ac:dyDescent="0.25">
      <c r="A974" s="14">
        <v>12</v>
      </c>
      <c r="B974" s="13">
        <v>46020</v>
      </c>
      <c r="C974" s="17" t="s">
        <v>8</v>
      </c>
      <c r="D974" s="15">
        <v>40</v>
      </c>
      <c r="E974" s="16" t="s">
        <v>941</v>
      </c>
      <c r="F974" s="14"/>
      <c r="G974" s="16" t="s">
        <v>1498</v>
      </c>
      <c r="H974" s="17" t="s">
        <v>1260</v>
      </c>
      <c r="I974" s="11">
        <v>5</v>
      </c>
    </row>
    <row r="975" spans="1:9" hidden="1" x14ac:dyDescent="0.25">
      <c r="A975" s="14">
        <v>12</v>
      </c>
      <c r="B975" s="13">
        <v>46020</v>
      </c>
      <c r="C975" s="17" t="s">
        <v>8</v>
      </c>
      <c r="D975" s="15">
        <v>179.87</v>
      </c>
      <c r="E975" s="16" t="s">
        <v>938</v>
      </c>
      <c r="F975" s="14" t="s">
        <v>1838</v>
      </c>
      <c r="G975" s="16" t="s">
        <v>1495</v>
      </c>
      <c r="H975" s="17" t="s">
        <v>1266</v>
      </c>
      <c r="I975" s="11">
        <v>7</v>
      </c>
    </row>
    <row r="976" spans="1:9" hidden="1" x14ac:dyDescent="0.25">
      <c r="A976" s="14">
        <v>12</v>
      </c>
      <c r="B976" s="13">
        <v>46020</v>
      </c>
      <c r="C976" s="17" t="s">
        <v>23</v>
      </c>
      <c r="D976" s="15">
        <v>173.91</v>
      </c>
      <c r="E976" s="16" t="s">
        <v>939</v>
      </c>
      <c r="F976" s="14" t="s">
        <v>1841</v>
      </c>
      <c r="G976" s="16" t="s">
        <v>1495</v>
      </c>
      <c r="H976" s="17" t="s">
        <v>1218</v>
      </c>
      <c r="I976" s="11">
        <v>5</v>
      </c>
    </row>
    <row r="977" spans="1:9" hidden="1" x14ac:dyDescent="0.25">
      <c r="A977" s="14">
        <v>12</v>
      </c>
      <c r="B977" s="13">
        <v>46020</v>
      </c>
      <c r="C977" s="17" t="s">
        <v>8</v>
      </c>
      <c r="D977" s="15">
        <v>372.01</v>
      </c>
      <c r="E977" s="16" t="s">
        <v>936</v>
      </c>
      <c r="F977" s="14" t="s">
        <v>1912</v>
      </c>
      <c r="G977" s="16" t="s">
        <v>1495</v>
      </c>
      <c r="H977" s="17" t="s">
        <v>1324</v>
      </c>
      <c r="I977" s="11">
        <v>6</v>
      </c>
    </row>
    <row r="978" spans="1:9" hidden="1" x14ac:dyDescent="0.25">
      <c r="A978" s="14">
        <v>12</v>
      </c>
      <c r="B978" s="13">
        <v>46020</v>
      </c>
      <c r="C978" s="17" t="s">
        <v>8</v>
      </c>
      <c r="D978" s="15">
        <v>11.75</v>
      </c>
      <c r="E978" s="16" t="s">
        <v>942</v>
      </c>
      <c r="F978" s="14" t="s">
        <v>1912</v>
      </c>
      <c r="G978" s="16" t="s">
        <v>1495</v>
      </c>
      <c r="H978" s="17" t="s">
        <v>1324</v>
      </c>
      <c r="I978" s="11">
        <v>6</v>
      </c>
    </row>
    <row r="979" spans="1:9" hidden="1" x14ac:dyDescent="0.25">
      <c r="A979" s="14">
        <v>12</v>
      </c>
      <c r="B979" s="13">
        <v>46020</v>
      </c>
      <c r="C979" s="17" t="s">
        <v>8</v>
      </c>
      <c r="D979" s="15">
        <v>374.82</v>
      </c>
      <c r="E979" s="16" t="s">
        <v>935</v>
      </c>
      <c r="F979" s="14" t="s">
        <v>2030</v>
      </c>
      <c r="G979" s="16" t="s">
        <v>1495</v>
      </c>
      <c r="H979" s="17" t="s">
        <v>1476</v>
      </c>
      <c r="I979" s="11">
        <v>5</v>
      </c>
    </row>
    <row r="980" spans="1:9" hidden="1" x14ac:dyDescent="0.25">
      <c r="A980" s="14">
        <v>12</v>
      </c>
      <c r="B980" s="13">
        <v>46021</v>
      </c>
      <c r="C980" s="17" t="s">
        <v>8</v>
      </c>
      <c r="D980" s="15">
        <v>580</v>
      </c>
      <c r="E980" s="16" t="s">
        <v>922</v>
      </c>
      <c r="F980" s="14"/>
      <c r="G980" s="16" t="s">
        <v>1499</v>
      </c>
      <c r="H980" s="17" t="s">
        <v>1466</v>
      </c>
      <c r="I980" s="11">
        <v>3</v>
      </c>
    </row>
    <row r="981" spans="1:9" hidden="1" x14ac:dyDescent="0.25">
      <c r="A981" s="14">
        <v>12</v>
      </c>
      <c r="B981" s="13">
        <v>46021</v>
      </c>
      <c r="C981" s="17" t="s">
        <v>20</v>
      </c>
      <c r="D981" s="15">
        <v>443.74</v>
      </c>
      <c r="E981" s="16" t="s">
        <v>925</v>
      </c>
      <c r="F981" s="14" t="s">
        <v>1933</v>
      </c>
      <c r="G981" s="16" t="s">
        <v>1493</v>
      </c>
      <c r="H981" s="17" t="s">
        <v>1267</v>
      </c>
      <c r="I981" s="11">
        <v>6</v>
      </c>
    </row>
    <row r="982" spans="1:9" hidden="1" x14ac:dyDescent="0.25">
      <c r="A982" s="14">
        <v>12</v>
      </c>
      <c r="B982" s="13">
        <v>46021</v>
      </c>
      <c r="C982" s="17" t="s">
        <v>8</v>
      </c>
      <c r="D982" s="15">
        <v>412.48</v>
      </c>
      <c r="E982" s="16" t="s">
        <v>926</v>
      </c>
      <c r="F982" s="14" t="s">
        <v>1685</v>
      </c>
      <c r="G982" s="16" t="s">
        <v>1495</v>
      </c>
      <c r="H982" s="17" t="s">
        <v>1232</v>
      </c>
      <c r="I982" s="11">
        <v>8</v>
      </c>
    </row>
    <row r="983" spans="1:9" hidden="1" x14ac:dyDescent="0.25">
      <c r="A983" s="14">
        <v>12</v>
      </c>
      <c r="B983" s="13">
        <v>46021</v>
      </c>
      <c r="C983" s="17" t="s">
        <v>8</v>
      </c>
      <c r="D983" s="15">
        <v>394.68</v>
      </c>
      <c r="E983" s="16" t="s">
        <v>927</v>
      </c>
      <c r="F983" s="14" t="s">
        <v>1685</v>
      </c>
      <c r="G983" s="16" t="s">
        <v>1494</v>
      </c>
      <c r="H983" s="17" t="s">
        <v>1232</v>
      </c>
      <c r="I983" s="11">
        <v>8</v>
      </c>
    </row>
    <row r="984" spans="1:9" hidden="1" x14ac:dyDescent="0.25">
      <c r="A984" s="14">
        <v>12</v>
      </c>
      <c r="B984" s="13">
        <v>46021</v>
      </c>
      <c r="C984" s="17" t="s">
        <v>8</v>
      </c>
      <c r="D984" s="15">
        <v>182.49</v>
      </c>
      <c r="E984" s="16" t="s">
        <v>933</v>
      </c>
      <c r="F984" s="14" t="s">
        <v>1861</v>
      </c>
      <c r="G984" s="16" t="s">
        <v>1495</v>
      </c>
      <c r="H984" s="17" t="s">
        <v>1360</v>
      </c>
      <c r="I984" s="11">
        <v>5</v>
      </c>
    </row>
    <row r="985" spans="1:9" hidden="1" x14ac:dyDescent="0.25">
      <c r="A985" s="14">
        <v>12</v>
      </c>
      <c r="B985" s="13">
        <v>46021</v>
      </c>
      <c r="C985" s="17" t="s">
        <v>8</v>
      </c>
      <c r="D985" s="15">
        <v>80.52</v>
      </c>
      <c r="E985" s="16" t="s">
        <v>934</v>
      </c>
      <c r="F985" s="14" t="s">
        <v>2052</v>
      </c>
      <c r="G985" s="16" t="s">
        <v>1495</v>
      </c>
      <c r="H985" s="17" t="s">
        <v>1360</v>
      </c>
      <c r="I985" s="11">
        <v>5</v>
      </c>
    </row>
    <row r="986" spans="1:9" hidden="1" x14ac:dyDescent="0.25">
      <c r="A986" s="14">
        <v>12</v>
      </c>
      <c r="B986" s="13">
        <v>46021</v>
      </c>
      <c r="C986" s="17" t="s">
        <v>8</v>
      </c>
      <c r="D986" s="15">
        <v>268.67</v>
      </c>
      <c r="E986" s="16" t="s">
        <v>931</v>
      </c>
      <c r="F986" s="14" t="s">
        <v>1864</v>
      </c>
      <c r="G986" s="16" t="s">
        <v>1494</v>
      </c>
      <c r="H986" s="17" t="s">
        <v>1278</v>
      </c>
      <c r="I986" s="11">
        <v>5</v>
      </c>
    </row>
    <row r="987" spans="1:9" hidden="1" x14ac:dyDescent="0.25">
      <c r="A987" s="14">
        <v>12</v>
      </c>
      <c r="B987" s="13">
        <v>46021</v>
      </c>
      <c r="C987" s="17" t="s">
        <v>8</v>
      </c>
      <c r="D987" s="15">
        <v>263.37</v>
      </c>
      <c r="E987" s="16" t="s">
        <v>932</v>
      </c>
      <c r="F987" s="14" t="s">
        <v>1864</v>
      </c>
      <c r="G987" s="16" t="s">
        <v>1495</v>
      </c>
      <c r="H987" s="17" t="s">
        <v>1278</v>
      </c>
      <c r="I987" s="11">
        <v>5</v>
      </c>
    </row>
    <row r="988" spans="1:9" hidden="1" x14ac:dyDescent="0.25">
      <c r="A988" s="14">
        <v>12</v>
      </c>
      <c r="B988" s="13">
        <v>46021</v>
      </c>
      <c r="C988" s="17" t="s">
        <v>8</v>
      </c>
      <c r="D988" s="15">
        <v>383.76</v>
      </c>
      <c r="E988" s="16" t="s">
        <v>929</v>
      </c>
      <c r="F988" s="14" t="s">
        <v>1523</v>
      </c>
      <c r="G988" s="16" t="s">
        <v>1495</v>
      </c>
      <c r="H988" s="17" t="s">
        <v>1281</v>
      </c>
      <c r="I988" s="11">
        <v>5</v>
      </c>
    </row>
    <row r="989" spans="1:9" hidden="1" x14ac:dyDescent="0.25">
      <c r="A989" s="14">
        <v>12</v>
      </c>
      <c r="B989" s="13">
        <v>46021</v>
      </c>
      <c r="C989" s="17" t="s">
        <v>187</v>
      </c>
      <c r="D989" s="15">
        <v>617.70000000000005</v>
      </c>
      <c r="E989" s="16" t="s">
        <v>921</v>
      </c>
      <c r="F989" s="14" t="s">
        <v>1781</v>
      </c>
      <c r="G989" s="16" t="s">
        <v>1495</v>
      </c>
      <c r="H989" s="17" t="s">
        <v>1782</v>
      </c>
      <c r="I989" s="11">
        <v>9</v>
      </c>
    </row>
    <row r="990" spans="1:9" hidden="1" x14ac:dyDescent="0.25">
      <c r="A990" s="14">
        <v>12</v>
      </c>
      <c r="B990" s="13">
        <v>46021</v>
      </c>
      <c r="C990" s="17" t="s">
        <v>8</v>
      </c>
      <c r="D990" s="15">
        <v>312.18</v>
      </c>
      <c r="E990" s="16" t="s">
        <v>930</v>
      </c>
      <c r="F990" s="14" t="s">
        <v>1691</v>
      </c>
      <c r="G990" s="16" t="s">
        <v>1495</v>
      </c>
      <c r="H990" s="17" t="s">
        <v>1237</v>
      </c>
      <c r="I990" s="11">
        <v>6</v>
      </c>
    </row>
    <row r="991" spans="1:9" hidden="1" x14ac:dyDescent="0.25">
      <c r="A991" s="14">
        <v>12</v>
      </c>
      <c r="B991" s="13">
        <v>46021</v>
      </c>
      <c r="C991" s="17" t="s">
        <v>8</v>
      </c>
      <c r="D991" s="15">
        <v>756.01</v>
      </c>
      <c r="E991" s="16" t="s">
        <v>920</v>
      </c>
      <c r="F991" s="14" t="s">
        <v>1680</v>
      </c>
      <c r="G991" s="16" t="s">
        <v>1495</v>
      </c>
      <c r="H991" s="17" t="s">
        <v>1271</v>
      </c>
      <c r="I991" s="11">
        <v>7</v>
      </c>
    </row>
    <row r="992" spans="1:9" hidden="1" x14ac:dyDescent="0.25">
      <c r="A992" s="14">
        <v>12</v>
      </c>
      <c r="B992" s="13">
        <v>46021</v>
      </c>
      <c r="C992" s="17" t="s">
        <v>20</v>
      </c>
      <c r="D992" s="15">
        <v>393.68</v>
      </c>
      <c r="E992" s="16" t="s">
        <v>928</v>
      </c>
      <c r="F992" s="14" t="s">
        <v>1742</v>
      </c>
      <c r="G992" s="16" t="s">
        <v>1495</v>
      </c>
      <c r="H992" s="17" t="s">
        <v>20</v>
      </c>
      <c r="I992" s="11">
        <v>8</v>
      </c>
    </row>
    <row r="993" spans="1:9" hidden="1" x14ac:dyDescent="0.25">
      <c r="A993" s="14">
        <v>12</v>
      </c>
      <c r="B993" s="13">
        <v>46021</v>
      </c>
      <c r="C993" s="17" t="s">
        <v>923</v>
      </c>
      <c r="D993" s="15">
        <v>524.25</v>
      </c>
      <c r="E993" s="16" t="s">
        <v>924</v>
      </c>
      <c r="F993" s="14" t="s">
        <v>2010</v>
      </c>
      <c r="G993" s="16" t="s">
        <v>1495</v>
      </c>
      <c r="H993" s="17" t="s">
        <v>1206</v>
      </c>
      <c r="I993" s="11">
        <v>5</v>
      </c>
    </row>
    <row r="994" spans="1:9" hidden="1" x14ac:dyDescent="0.25">
      <c r="A994" s="14">
        <v>12</v>
      </c>
      <c r="B994" s="13">
        <v>46022</v>
      </c>
      <c r="C994" s="17" t="s">
        <v>16</v>
      </c>
      <c r="D994" s="15">
        <v>378.65</v>
      </c>
      <c r="E994" s="16" t="s">
        <v>914</v>
      </c>
      <c r="F994" s="14" t="s">
        <v>1778</v>
      </c>
      <c r="G994" s="16" t="s">
        <v>1493</v>
      </c>
      <c r="H994" s="17" t="s">
        <v>1420</v>
      </c>
      <c r="I994" s="11">
        <v>3</v>
      </c>
    </row>
    <row r="995" spans="1:9" hidden="1" x14ac:dyDescent="0.25">
      <c r="A995" s="14">
        <v>12</v>
      </c>
      <c r="B995" s="13">
        <v>46022</v>
      </c>
      <c r="C995" s="17" t="s">
        <v>8</v>
      </c>
      <c r="D995" s="15">
        <v>360.81</v>
      </c>
      <c r="E995" s="16" t="s">
        <v>909</v>
      </c>
      <c r="F995" s="14" t="s">
        <v>1563</v>
      </c>
      <c r="G995" s="16" t="s">
        <v>1491</v>
      </c>
      <c r="H995" s="17" t="s">
        <v>1300</v>
      </c>
      <c r="I995" s="11">
        <v>4</v>
      </c>
    </row>
    <row r="996" spans="1:9" hidden="1" x14ac:dyDescent="0.25">
      <c r="A996" s="14">
        <v>12</v>
      </c>
      <c r="B996" s="13">
        <v>46022</v>
      </c>
      <c r="C996" s="17" t="s">
        <v>8</v>
      </c>
      <c r="D996" s="15">
        <v>374.19</v>
      </c>
      <c r="E996" s="16" t="s">
        <v>909</v>
      </c>
      <c r="F996" s="14" t="s">
        <v>1563</v>
      </c>
      <c r="G996" s="16" t="s">
        <v>1492</v>
      </c>
      <c r="H996" s="17" t="s">
        <v>1300</v>
      </c>
      <c r="I996" s="11">
        <v>4</v>
      </c>
    </row>
    <row r="997" spans="1:9" hidden="1" x14ac:dyDescent="0.25">
      <c r="A997" s="14">
        <v>12</v>
      </c>
      <c r="B997" s="13">
        <v>46022</v>
      </c>
      <c r="C997" s="17" t="s">
        <v>16</v>
      </c>
      <c r="D997" s="15">
        <v>510.26</v>
      </c>
      <c r="E997" s="16" t="s">
        <v>912</v>
      </c>
      <c r="F997" s="14" t="s">
        <v>1711</v>
      </c>
      <c r="G997" s="16" t="s">
        <v>1492</v>
      </c>
      <c r="H997" s="17" t="s">
        <v>1312</v>
      </c>
      <c r="I997" s="11">
        <v>5</v>
      </c>
    </row>
    <row r="998" spans="1:9" hidden="1" x14ac:dyDescent="0.25">
      <c r="A998" s="14">
        <v>12</v>
      </c>
      <c r="B998" s="13">
        <v>46022</v>
      </c>
      <c r="C998" s="17" t="s">
        <v>32</v>
      </c>
      <c r="D998" s="15">
        <v>23.37</v>
      </c>
      <c r="E998" s="16" t="s">
        <v>918</v>
      </c>
      <c r="F998" s="14" t="s">
        <v>1614</v>
      </c>
      <c r="G998" s="16" t="s">
        <v>1495</v>
      </c>
      <c r="H998" s="17" t="s">
        <v>1219</v>
      </c>
      <c r="I998" s="11">
        <v>5</v>
      </c>
    </row>
    <row r="999" spans="1:9" hidden="1" x14ac:dyDescent="0.25">
      <c r="A999" s="14">
        <v>12</v>
      </c>
      <c r="B999" s="13">
        <v>46022</v>
      </c>
      <c r="C999" s="17" t="s">
        <v>8</v>
      </c>
      <c r="D999" s="15">
        <v>30</v>
      </c>
      <c r="E999" s="16" t="s">
        <v>917</v>
      </c>
      <c r="F999" s="14"/>
      <c r="G999" s="16" t="s">
        <v>1497</v>
      </c>
      <c r="H999" s="17" t="s">
        <v>1250</v>
      </c>
      <c r="I999" s="11">
        <v>5</v>
      </c>
    </row>
    <row r="1000" spans="1:9" hidden="1" x14ac:dyDescent="0.25">
      <c r="A1000" s="14">
        <v>12</v>
      </c>
      <c r="B1000" s="13">
        <v>46022</v>
      </c>
      <c r="C1000" s="17" t="s">
        <v>23</v>
      </c>
      <c r="D1000" s="15">
        <v>673.43</v>
      </c>
      <c r="E1000" s="16" t="s">
        <v>910</v>
      </c>
      <c r="F1000" s="14" t="s">
        <v>1773</v>
      </c>
      <c r="G1000" s="16" t="s">
        <v>1495</v>
      </c>
      <c r="H1000" s="17" t="s">
        <v>1358</v>
      </c>
      <c r="I1000" s="11">
        <v>5</v>
      </c>
    </row>
    <row r="1001" spans="1:9" hidden="1" x14ac:dyDescent="0.25">
      <c r="A1001" s="14">
        <v>12</v>
      </c>
      <c r="B1001" s="13">
        <v>46022</v>
      </c>
      <c r="C1001" s="17" t="s">
        <v>8</v>
      </c>
      <c r="D1001" s="15">
        <v>396.7</v>
      </c>
      <c r="E1001" s="16" t="s">
        <v>913</v>
      </c>
      <c r="F1001" s="14" t="s">
        <v>1798</v>
      </c>
      <c r="G1001" s="16" t="s">
        <v>1495</v>
      </c>
      <c r="H1001" s="17" t="s">
        <v>1334</v>
      </c>
      <c r="I1001" s="11">
        <v>8</v>
      </c>
    </row>
    <row r="1002" spans="1:9" hidden="1" x14ac:dyDescent="0.25">
      <c r="A1002" s="14">
        <v>12</v>
      </c>
      <c r="B1002" s="13">
        <v>46022</v>
      </c>
      <c r="C1002" s="17" t="s">
        <v>8</v>
      </c>
      <c r="D1002" s="15">
        <v>80.52</v>
      </c>
      <c r="E1002" s="16" t="s">
        <v>916</v>
      </c>
      <c r="F1002" s="14" t="s">
        <v>1801</v>
      </c>
      <c r="G1002" s="16" t="s">
        <v>1495</v>
      </c>
      <c r="H1002" s="17" t="s">
        <v>1334</v>
      </c>
      <c r="I1002" s="11">
        <v>5</v>
      </c>
    </row>
    <row r="1003" spans="1:9" hidden="1" x14ac:dyDescent="0.25">
      <c r="A1003" s="14">
        <v>12</v>
      </c>
      <c r="B1003" s="13">
        <v>46022</v>
      </c>
      <c r="C1003" s="17" t="s">
        <v>8</v>
      </c>
      <c r="D1003" s="15">
        <v>580</v>
      </c>
      <c r="E1003" s="16" t="s">
        <v>911</v>
      </c>
      <c r="F1003" s="14"/>
      <c r="G1003" s="16" t="s">
        <v>1499</v>
      </c>
      <c r="H1003" s="17" t="s">
        <v>1343</v>
      </c>
      <c r="I1003" s="11">
        <v>8</v>
      </c>
    </row>
    <row r="1004" spans="1:9" hidden="1" x14ac:dyDescent="0.25">
      <c r="A1004" s="14">
        <v>12</v>
      </c>
      <c r="B1004" s="13">
        <v>46022</v>
      </c>
      <c r="C1004" s="17" t="s">
        <v>8</v>
      </c>
      <c r="D1004" s="15">
        <v>303.24</v>
      </c>
      <c r="E1004" s="16" t="s">
        <v>915</v>
      </c>
      <c r="F1004" s="14" t="s">
        <v>1991</v>
      </c>
      <c r="G1004" s="16" t="s">
        <v>1495</v>
      </c>
      <c r="H1004" s="17" t="s">
        <v>1343</v>
      </c>
      <c r="I1004" s="11">
        <v>8</v>
      </c>
    </row>
  </sheetData>
  <autoFilter ref="A1:I1004" xr:uid="{E05CAD5A-E6FB-48CE-884D-D589205992A2}">
    <filterColumn colId="5">
      <filters>
        <filter val="PP-118"/>
      </filters>
    </filterColumn>
  </autoFilter>
  <phoneticPr fontId="5" type="noConversion"/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6B452FE-2ABE-430A-90EC-C573E657F850}">
          <x14:formula1>
            <xm:f>tablas!$A$2:$A$20</xm:f>
          </x14:formula1>
          <xm:sqref>G3:G346 G349:G1004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39DC-8A0D-4680-939A-393A7BD594B2}">
  <dimension ref="A1:R206"/>
  <sheetViews>
    <sheetView showGridLines="0" workbookViewId="0">
      <pane xSplit="3" ySplit="1" topLeftCell="K193" activePane="bottomRight" state="frozen"/>
      <selection pane="topRight" activeCell="D1" sqref="D1"/>
      <selection pane="bottomLeft" activeCell="A2" sqref="A2"/>
      <selection pane="bottomRight" activeCell="Q204" sqref="Q204"/>
    </sheetView>
  </sheetViews>
  <sheetFormatPr baseColWidth="10" defaultRowHeight="15" x14ac:dyDescent="0.25"/>
  <cols>
    <col min="1" max="1" width="11" customWidth="1"/>
    <col min="2" max="2" width="33.7109375" customWidth="1"/>
    <col min="3" max="3" width="10.28515625" bestFit="1" customWidth="1"/>
    <col min="4" max="5" width="9.5703125" bestFit="1" customWidth="1"/>
    <col min="6" max="9" width="8" bestFit="1" customWidth="1"/>
    <col min="10" max="11" width="9.5703125" bestFit="1" customWidth="1"/>
    <col min="12" max="17" width="10.5703125" bestFit="1" customWidth="1"/>
    <col min="18" max="18" width="11.5703125" bestFit="1" customWidth="1"/>
  </cols>
  <sheetData>
    <row r="1" spans="1:18" s="22" customFormat="1" ht="57" customHeight="1" x14ac:dyDescent="0.25">
      <c r="A1" s="23" t="s">
        <v>1509</v>
      </c>
      <c r="B1" s="23" t="s">
        <v>1510</v>
      </c>
      <c r="C1" s="23" t="s">
        <v>1511</v>
      </c>
      <c r="D1" s="23">
        <v>2023</v>
      </c>
      <c r="E1" s="23">
        <v>2024</v>
      </c>
      <c r="F1" s="23" t="s">
        <v>1484</v>
      </c>
      <c r="G1" s="23" t="s">
        <v>1485</v>
      </c>
      <c r="H1" s="23" t="s">
        <v>1486</v>
      </c>
      <c r="I1" s="23" t="s">
        <v>1487</v>
      </c>
      <c r="J1" s="23" t="s">
        <v>1488</v>
      </c>
      <c r="K1" s="23" t="s">
        <v>1489</v>
      </c>
      <c r="L1" s="23" t="s">
        <v>1490</v>
      </c>
      <c r="M1" s="23" t="s">
        <v>1491</v>
      </c>
      <c r="N1" s="23" t="s">
        <v>1492</v>
      </c>
      <c r="O1" s="23" t="s">
        <v>1493</v>
      </c>
      <c r="P1" s="23" t="s">
        <v>1494</v>
      </c>
      <c r="Q1" s="23" t="s">
        <v>1495</v>
      </c>
      <c r="R1" s="23" t="s">
        <v>2066</v>
      </c>
    </row>
    <row r="2" spans="1:18" x14ac:dyDescent="0.25">
      <c r="A2" s="17" t="s">
        <v>1512</v>
      </c>
      <c r="B2" s="17" t="s">
        <v>1513</v>
      </c>
      <c r="C2" s="17" t="s">
        <v>1514</v>
      </c>
      <c r="D2" s="27"/>
      <c r="E2" s="25"/>
      <c r="F2" s="25"/>
      <c r="G2" s="25"/>
      <c r="H2" s="25"/>
      <c r="I2" s="25"/>
      <c r="J2" s="25"/>
      <c r="K2" s="25"/>
      <c r="L2" s="25"/>
      <c r="M2" s="25">
        <v>174.63</v>
      </c>
      <c r="N2" s="25">
        <v>180.84</v>
      </c>
      <c r="O2" s="25">
        <v>180.84</v>
      </c>
      <c r="P2" s="25">
        <v>180.84</v>
      </c>
      <c r="Q2" s="25">
        <v>180.84</v>
      </c>
      <c r="R2" s="26">
        <f>SUM(D2:Q2)</f>
        <v>897.99000000000012</v>
      </c>
    </row>
    <row r="3" spans="1:18" x14ac:dyDescent="0.25">
      <c r="A3" s="17" t="s">
        <v>1501</v>
      </c>
      <c r="B3" s="17" t="s">
        <v>1515</v>
      </c>
      <c r="C3" s="17" t="s">
        <v>1516</v>
      </c>
      <c r="D3" s="25"/>
      <c r="E3" s="25"/>
      <c r="F3" s="25">
        <v>0</v>
      </c>
      <c r="G3" s="25">
        <v>0</v>
      </c>
      <c r="H3" s="25">
        <v>0</v>
      </c>
      <c r="I3" s="25">
        <v>0</v>
      </c>
      <c r="J3" s="25">
        <v>0</v>
      </c>
      <c r="K3" s="25">
        <v>385.31</v>
      </c>
      <c r="L3" s="25">
        <v>382.13</v>
      </c>
      <c r="M3" s="25">
        <v>368.11</v>
      </c>
      <c r="N3" s="25">
        <v>378.78</v>
      </c>
      <c r="O3" s="25">
        <v>377.16</v>
      </c>
      <c r="P3" s="25">
        <v>370.23</v>
      </c>
      <c r="Q3" s="25">
        <v>377.02</v>
      </c>
      <c r="R3" s="26">
        <f t="shared" ref="R3:R66" si="0">SUM(D3:Q3)</f>
        <v>2638.7400000000002</v>
      </c>
    </row>
    <row r="4" spans="1:18" x14ac:dyDescent="0.25">
      <c r="A4" s="17" t="s">
        <v>1517</v>
      </c>
      <c r="B4" s="17" t="s">
        <v>1518</v>
      </c>
      <c r="C4" s="17" t="s">
        <v>1519</v>
      </c>
      <c r="D4" s="25"/>
      <c r="E4" s="25"/>
      <c r="F4" s="25"/>
      <c r="G4" s="25"/>
      <c r="H4" s="25"/>
      <c r="I4" s="25"/>
      <c r="J4" s="25"/>
      <c r="K4" s="25"/>
      <c r="L4" s="25"/>
      <c r="M4" s="25">
        <v>392.7</v>
      </c>
      <c r="N4" s="25">
        <v>404.17</v>
      </c>
      <c r="O4" s="25">
        <v>408.64</v>
      </c>
      <c r="P4" s="25">
        <v>387.14</v>
      </c>
      <c r="Q4" s="25">
        <v>395.44</v>
      </c>
      <c r="R4" s="26">
        <f t="shared" si="0"/>
        <v>1988.0900000000001</v>
      </c>
    </row>
    <row r="5" spans="1:18" x14ac:dyDescent="0.25">
      <c r="A5" s="17" t="s">
        <v>1520</v>
      </c>
      <c r="B5" s="17" t="s">
        <v>1521</v>
      </c>
      <c r="C5" s="17" t="s">
        <v>1522</v>
      </c>
      <c r="D5" s="25"/>
      <c r="E5" s="25"/>
      <c r="F5" s="25"/>
      <c r="G5" s="25"/>
      <c r="H5" s="25"/>
      <c r="I5" s="25"/>
      <c r="J5" s="25"/>
      <c r="K5" s="25"/>
      <c r="L5" s="25"/>
      <c r="M5" s="25">
        <v>173.01</v>
      </c>
      <c r="N5" s="25">
        <v>179.66</v>
      </c>
      <c r="O5" s="25">
        <v>178.54</v>
      </c>
      <c r="P5" s="25">
        <v>172.94</v>
      </c>
      <c r="Q5" s="25">
        <v>179.63</v>
      </c>
      <c r="R5" s="26">
        <f t="shared" si="0"/>
        <v>883.77999999999986</v>
      </c>
    </row>
    <row r="6" spans="1:18" x14ac:dyDescent="0.25">
      <c r="A6" s="17" t="s">
        <v>1523</v>
      </c>
      <c r="B6" s="17" t="s">
        <v>1524</v>
      </c>
      <c r="C6" s="17" t="s">
        <v>1525</v>
      </c>
      <c r="D6" s="25"/>
      <c r="E6" s="25"/>
      <c r="F6" s="25"/>
      <c r="G6" s="25"/>
      <c r="H6" s="25"/>
      <c r="I6" s="25"/>
      <c r="J6" s="25"/>
      <c r="K6" s="25"/>
      <c r="L6" s="25"/>
      <c r="M6" s="25">
        <v>379.5</v>
      </c>
      <c r="N6" s="25">
        <v>386.65</v>
      </c>
      <c r="O6" s="25">
        <v>385.04</v>
      </c>
      <c r="P6" s="25">
        <v>380.23</v>
      </c>
      <c r="Q6" s="25">
        <v>383.76</v>
      </c>
      <c r="R6" s="26">
        <f t="shared" si="0"/>
        <v>1915.18</v>
      </c>
    </row>
    <row r="7" spans="1:18" x14ac:dyDescent="0.25">
      <c r="A7" s="17" t="s">
        <v>1526</v>
      </c>
      <c r="B7" s="17" t="s">
        <v>1294</v>
      </c>
      <c r="C7" s="17" t="s">
        <v>1527</v>
      </c>
      <c r="D7" s="25"/>
      <c r="E7" s="25"/>
      <c r="F7" s="25"/>
      <c r="G7" s="25"/>
      <c r="H7" s="25"/>
      <c r="I7" s="25"/>
      <c r="J7" s="25"/>
      <c r="K7" s="25"/>
      <c r="L7" s="25"/>
      <c r="M7" s="25">
        <v>386.94</v>
      </c>
      <c r="N7" s="25">
        <v>419.89</v>
      </c>
      <c r="O7" s="25">
        <v>423.35</v>
      </c>
      <c r="P7" s="25">
        <v>403.2</v>
      </c>
      <c r="Q7" s="25">
        <v>410.58</v>
      </c>
      <c r="R7" s="26">
        <f t="shared" si="0"/>
        <v>2043.9599999999998</v>
      </c>
    </row>
    <row r="8" spans="1:18" x14ac:dyDescent="0.25">
      <c r="A8" s="17" t="s">
        <v>1528</v>
      </c>
      <c r="B8" s="17" t="s">
        <v>1422</v>
      </c>
      <c r="C8" s="17" t="s">
        <v>1529</v>
      </c>
      <c r="D8" s="25"/>
      <c r="E8" s="25"/>
      <c r="F8" s="25"/>
      <c r="G8" s="25"/>
      <c r="H8" s="25"/>
      <c r="I8" s="25"/>
      <c r="J8" s="25"/>
      <c r="K8" s="25"/>
      <c r="L8" s="25"/>
      <c r="M8" s="25">
        <v>516.67999999999995</v>
      </c>
      <c r="N8" s="25">
        <v>531.16</v>
      </c>
      <c r="O8" s="25">
        <v>531.16</v>
      </c>
      <c r="P8" s="25">
        <v>531.16</v>
      </c>
      <c r="Q8" s="25">
        <v>534.1400000000001</v>
      </c>
      <c r="R8" s="26">
        <f t="shared" si="0"/>
        <v>2644.3</v>
      </c>
    </row>
    <row r="9" spans="1:18" x14ac:dyDescent="0.25">
      <c r="A9" s="17" t="s">
        <v>1530</v>
      </c>
      <c r="B9" s="17" t="s">
        <v>1531</v>
      </c>
      <c r="C9" s="17" t="s">
        <v>1532</v>
      </c>
      <c r="D9" s="25"/>
      <c r="E9" s="25"/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324.29000000000002</v>
      </c>
      <c r="M9" s="25">
        <v>312.02999999999997</v>
      </c>
      <c r="N9" s="25">
        <v>327.24</v>
      </c>
      <c r="O9" s="25">
        <v>324.7</v>
      </c>
      <c r="P9" s="25">
        <v>306.74</v>
      </c>
      <c r="Q9" s="25">
        <v>318.57</v>
      </c>
      <c r="R9" s="26">
        <f t="shared" si="0"/>
        <v>1913.57</v>
      </c>
    </row>
    <row r="10" spans="1:18" x14ac:dyDescent="0.25">
      <c r="A10" s="17" t="s">
        <v>1533</v>
      </c>
      <c r="B10" s="17" t="s">
        <v>1427</v>
      </c>
      <c r="C10" s="17" t="s">
        <v>1534</v>
      </c>
      <c r="D10" s="25"/>
      <c r="E10" s="25"/>
      <c r="F10" s="25"/>
      <c r="G10" s="25"/>
      <c r="H10" s="25"/>
      <c r="I10" s="25"/>
      <c r="J10" s="25"/>
      <c r="K10" s="25"/>
      <c r="L10" s="25"/>
      <c r="M10" s="25">
        <v>242.83</v>
      </c>
      <c r="N10" s="25">
        <v>255.6</v>
      </c>
      <c r="O10" s="25">
        <v>257.83999999999997</v>
      </c>
      <c r="P10" s="25">
        <v>254.32</v>
      </c>
      <c r="Q10" s="25">
        <v>251.45</v>
      </c>
      <c r="R10" s="26">
        <f t="shared" si="0"/>
        <v>1262.04</v>
      </c>
    </row>
    <row r="11" spans="1:18" x14ac:dyDescent="0.25">
      <c r="A11" s="17" t="s">
        <v>1535</v>
      </c>
      <c r="B11" s="17" t="s">
        <v>1536</v>
      </c>
      <c r="C11" s="17" t="s">
        <v>1537</v>
      </c>
      <c r="D11" s="25"/>
      <c r="E11" s="25"/>
      <c r="F11" s="25"/>
      <c r="G11" s="25"/>
      <c r="H11" s="25"/>
      <c r="I11" s="25"/>
      <c r="J11" s="25"/>
      <c r="K11" s="25"/>
      <c r="L11" s="25"/>
      <c r="M11" s="25">
        <v>181.74</v>
      </c>
      <c r="N11" s="25">
        <v>183.67</v>
      </c>
      <c r="O11" s="25">
        <v>183.15</v>
      </c>
      <c r="P11" s="25">
        <v>176.23</v>
      </c>
      <c r="Q11" s="25">
        <v>182.14000000000001</v>
      </c>
      <c r="R11" s="26">
        <f t="shared" si="0"/>
        <v>906.93</v>
      </c>
    </row>
    <row r="12" spans="1:18" x14ac:dyDescent="0.25">
      <c r="A12" s="17" t="s">
        <v>1538</v>
      </c>
      <c r="B12" s="17" t="s">
        <v>1539</v>
      </c>
      <c r="C12" s="17" t="s">
        <v>1540</v>
      </c>
      <c r="D12" s="25"/>
      <c r="E12" s="25"/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80.52</v>
      </c>
      <c r="M12" s="25">
        <v>77.760000000000005</v>
      </c>
      <c r="N12" s="25">
        <v>80.52</v>
      </c>
      <c r="O12" s="25">
        <v>80.52</v>
      </c>
      <c r="P12" s="25">
        <v>80.52</v>
      </c>
      <c r="Q12" s="25">
        <v>80.52</v>
      </c>
      <c r="R12" s="26">
        <f t="shared" si="0"/>
        <v>480.35999999999996</v>
      </c>
    </row>
    <row r="13" spans="1:18" x14ac:dyDescent="0.25">
      <c r="A13" s="17" t="s">
        <v>1502</v>
      </c>
      <c r="B13" s="17" t="s">
        <v>1541</v>
      </c>
      <c r="C13" s="17" t="s">
        <v>1542</v>
      </c>
      <c r="D13" s="25"/>
      <c r="E13" s="25"/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377.49</v>
      </c>
      <c r="M13" s="25">
        <v>357.07</v>
      </c>
      <c r="N13" s="25">
        <v>374.19</v>
      </c>
      <c r="O13" s="25">
        <v>365.88</v>
      </c>
      <c r="P13" s="25">
        <v>368.75</v>
      </c>
      <c r="Q13" s="25">
        <v>368.86</v>
      </c>
      <c r="R13" s="26">
        <f t="shared" si="0"/>
        <v>2212.2400000000002</v>
      </c>
    </row>
    <row r="14" spans="1:18" x14ac:dyDescent="0.25">
      <c r="A14" s="17" t="s">
        <v>1543</v>
      </c>
      <c r="B14" s="17" t="s">
        <v>1393</v>
      </c>
      <c r="C14" s="17" t="s">
        <v>1544</v>
      </c>
      <c r="D14" s="25"/>
      <c r="E14" s="25"/>
      <c r="F14" s="25"/>
      <c r="G14" s="25"/>
      <c r="H14" s="25"/>
      <c r="I14" s="25"/>
      <c r="J14" s="25"/>
      <c r="K14" s="25"/>
      <c r="L14" s="25"/>
      <c r="M14" s="25">
        <v>357.07</v>
      </c>
      <c r="N14" s="25">
        <v>370.03</v>
      </c>
      <c r="O14" s="25">
        <v>365.88</v>
      </c>
      <c r="P14" s="25">
        <v>371.62</v>
      </c>
      <c r="Q14" s="25">
        <v>365.88</v>
      </c>
      <c r="R14" s="26">
        <f t="shared" si="0"/>
        <v>1830.48</v>
      </c>
    </row>
    <row r="15" spans="1:18" x14ac:dyDescent="0.25">
      <c r="A15" s="17" t="s">
        <v>1545</v>
      </c>
      <c r="B15" s="17" t="s">
        <v>1546</v>
      </c>
      <c r="C15" s="17" t="s">
        <v>1547</v>
      </c>
      <c r="D15" s="25"/>
      <c r="E15" s="25"/>
      <c r="F15" s="25"/>
      <c r="G15" s="25"/>
      <c r="H15" s="25"/>
      <c r="I15" s="25"/>
      <c r="J15" s="25"/>
      <c r="K15" s="25"/>
      <c r="L15" s="25"/>
      <c r="M15" s="25">
        <v>641.04999999999995</v>
      </c>
      <c r="N15" s="25">
        <v>654.98</v>
      </c>
      <c r="O15" s="25">
        <v>674.36</v>
      </c>
      <c r="P15" s="25">
        <v>613.96</v>
      </c>
      <c r="Q15" s="25">
        <v>624.98</v>
      </c>
      <c r="R15" s="26">
        <f t="shared" si="0"/>
        <v>3209.33</v>
      </c>
    </row>
    <row r="16" spans="1:18" x14ac:dyDescent="0.25">
      <c r="A16" s="17" t="s">
        <v>1548</v>
      </c>
      <c r="B16" s="17" t="s">
        <v>1549</v>
      </c>
      <c r="C16" s="17" t="s">
        <v>1550</v>
      </c>
      <c r="D16" s="25"/>
      <c r="E16" s="25"/>
      <c r="F16" s="25"/>
      <c r="G16" s="25"/>
      <c r="H16" s="25"/>
      <c r="I16" s="25"/>
      <c r="J16" s="25"/>
      <c r="K16" s="25"/>
      <c r="L16" s="25"/>
      <c r="M16" s="25">
        <v>425.63</v>
      </c>
      <c r="N16" s="25">
        <v>440.75</v>
      </c>
      <c r="O16" s="25">
        <v>440.75</v>
      </c>
      <c r="P16" s="25">
        <v>440.75</v>
      </c>
      <c r="Q16" s="25">
        <v>440.75</v>
      </c>
      <c r="R16" s="26">
        <f t="shared" si="0"/>
        <v>2188.63</v>
      </c>
    </row>
    <row r="17" spans="1:18" x14ac:dyDescent="0.25">
      <c r="A17" s="17" t="s">
        <v>1551</v>
      </c>
      <c r="B17" s="17" t="s">
        <v>1552</v>
      </c>
      <c r="C17" s="17" t="s">
        <v>1553</v>
      </c>
      <c r="D17" s="25"/>
      <c r="E17" s="25"/>
      <c r="F17" s="25"/>
      <c r="G17" s="25"/>
      <c r="H17" s="25"/>
      <c r="I17" s="25"/>
      <c r="J17" s="25"/>
      <c r="K17" s="25"/>
      <c r="L17" s="25"/>
      <c r="M17" s="25">
        <v>445.24</v>
      </c>
      <c r="N17" s="25">
        <v>447.3</v>
      </c>
      <c r="O17" s="25">
        <v>447.92</v>
      </c>
      <c r="P17" s="25">
        <v>441.54</v>
      </c>
      <c r="Q17" s="25">
        <v>440.26</v>
      </c>
      <c r="R17" s="26">
        <f t="shared" si="0"/>
        <v>2222.2600000000002</v>
      </c>
    </row>
    <row r="18" spans="1:18" x14ac:dyDescent="0.25">
      <c r="A18" s="17" t="s">
        <v>1554</v>
      </c>
      <c r="B18" s="17" t="s">
        <v>1555</v>
      </c>
      <c r="C18" s="17" t="s">
        <v>1556</v>
      </c>
      <c r="D18" s="25"/>
      <c r="E18" s="25"/>
      <c r="F18" s="25"/>
      <c r="G18" s="25"/>
      <c r="H18" s="25"/>
      <c r="I18" s="25"/>
      <c r="J18" s="25"/>
      <c r="K18" s="25"/>
      <c r="L18" s="25"/>
      <c r="M18" s="25">
        <v>2056.59</v>
      </c>
      <c r="N18" s="25">
        <v>1268.22</v>
      </c>
      <c r="O18" s="25">
        <v>1264.3699999999999</v>
      </c>
      <c r="P18" s="25">
        <v>1099.17</v>
      </c>
      <c r="Q18" s="25">
        <v>1096.52</v>
      </c>
      <c r="R18" s="26">
        <f t="shared" si="0"/>
        <v>6784.8700000000008</v>
      </c>
    </row>
    <row r="19" spans="1:18" x14ac:dyDescent="0.25">
      <c r="A19" s="17" t="s">
        <v>1557</v>
      </c>
      <c r="B19" s="17" t="s">
        <v>1558</v>
      </c>
      <c r="C19" s="17" t="s">
        <v>1559</v>
      </c>
      <c r="D19" s="25"/>
      <c r="E19" s="25"/>
      <c r="F19" s="25"/>
      <c r="G19" s="25"/>
      <c r="H19" s="25"/>
      <c r="I19" s="25"/>
      <c r="J19" s="25"/>
      <c r="K19" s="25"/>
      <c r="L19" s="25"/>
      <c r="M19" s="25">
        <v>306.42</v>
      </c>
      <c r="N19" s="25">
        <v>320.47000000000003</v>
      </c>
      <c r="O19" s="25">
        <v>332.24</v>
      </c>
      <c r="P19" s="25">
        <v>306.33999999999997</v>
      </c>
      <c r="Q19" s="25">
        <v>313.51</v>
      </c>
      <c r="R19" s="26">
        <f t="shared" si="0"/>
        <v>1578.98</v>
      </c>
    </row>
    <row r="20" spans="1:18" x14ac:dyDescent="0.25">
      <c r="A20" s="17" t="s">
        <v>1560</v>
      </c>
      <c r="B20" s="17" t="s">
        <v>1561</v>
      </c>
      <c r="C20" s="17" t="s">
        <v>1562</v>
      </c>
      <c r="D20" s="25"/>
      <c r="E20" s="25"/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456.23</v>
      </c>
      <c r="L20" s="25">
        <v>456.23</v>
      </c>
      <c r="M20" s="25">
        <v>445</v>
      </c>
      <c r="N20" s="25">
        <v>453.21</v>
      </c>
      <c r="O20" s="25">
        <v>453.52</v>
      </c>
      <c r="P20" s="25">
        <v>449.36</v>
      </c>
      <c r="Q20" s="25">
        <v>449.69</v>
      </c>
      <c r="R20" s="26">
        <f t="shared" si="0"/>
        <v>3163.2400000000002</v>
      </c>
    </row>
    <row r="21" spans="1:18" x14ac:dyDescent="0.25">
      <c r="A21" s="17" t="s">
        <v>1563</v>
      </c>
      <c r="B21" s="17" t="s">
        <v>1300</v>
      </c>
      <c r="C21" s="17" t="s">
        <v>1564</v>
      </c>
      <c r="D21" s="25"/>
      <c r="E21" s="25"/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369.75</v>
      </c>
      <c r="L21" s="25">
        <v>377.49</v>
      </c>
      <c r="M21" s="25">
        <v>360.81</v>
      </c>
      <c r="N21" s="25">
        <v>374.19</v>
      </c>
      <c r="O21" s="25">
        <v>378.65</v>
      </c>
      <c r="P21" s="25">
        <v>374.49</v>
      </c>
      <c r="Q21" s="25">
        <v>365.88</v>
      </c>
      <c r="R21" s="26">
        <f t="shared" si="0"/>
        <v>2601.2600000000002</v>
      </c>
    </row>
    <row r="22" spans="1:18" x14ac:dyDescent="0.25">
      <c r="A22" s="17" t="s">
        <v>1565</v>
      </c>
      <c r="B22" s="17" t="s">
        <v>1566</v>
      </c>
      <c r="C22" s="17" t="s">
        <v>1567</v>
      </c>
      <c r="D22" s="25"/>
      <c r="E22" s="25"/>
      <c r="F22" s="25"/>
      <c r="G22" s="25"/>
      <c r="H22" s="25"/>
      <c r="I22" s="25"/>
      <c r="J22" s="25"/>
      <c r="K22" s="25"/>
      <c r="L22" s="25"/>
      <c r="M22" s="25">
        <v>411.66</v>
      </c>
      <c r="N22" s="25">
        <v>434.92</v>
      </c>
      <c r="O22" s="25">
        <v>434.56</v>
      </c>
      <c r="P22" s="25">
        <v>403.19</v>
      </c>
      <c r="Q22" s="25">
        <v>418.32</v>
      </c>
      <c r="R22" s="26">
        <f t="shared" si="0"/>
        <v>2102.65</v>
      </c>
    </row>
    <row r="23" spans="1:18" x14ac:dyDescent="0.25">
      <c r="A23" s="17" t="s">
        <v>1505</v>
      </c>
      <c r="B23" s="17" t="s">
        <v>1568</v>
      </c>
      <c r="C23" s="17" t="s">
        <v>1569</v>
      </c>
      <c r="D23" s="25"/>
      <c r="E23" s="25"/>
      <c r="F23" s="25"/>
      <c r="G23" s="25"/>
      <c r="H23" s="25"/>
      <c r="I23" s="25"/>
      <c r="J23" s="25"/>
      <c r="K23" s="25"/>
      <c r="L23" s="25"/>
      <c r="M23" s="25">
        <v>365.78</v>
      </c>
      <c r="N23" s="25">
        <v>385.43</v>
      </c>
      <c r="O23" s="25">
        <v>382.69</v>
      </c>
      <c r="P23" s="25">
        <v>374.78</v>
      </c>
      <c r="Q23" s="25">
        <v>382.96999999999997</v>
      </c>
      <c r="R23" s="26">
        <f t="shared" si="0"/>
        <v>1891.65</v>
      </c>
    </row>
    <row r="24" spans="1:18" x14ac:dyDescent="0.25">
      <c r="A24" s="17" t="s">
        <v>1570</v>
      </c>
      <c r="B24" s="17" t="s">
        <v>1213</v>
      </c>
      <c r="C24" s="17" t="s">
        <v>1571</v>
      </c>
      <c r="D24" s="25"/>
      <c r="E24" s="25"/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333.9</v>
      </c>
      <c r="M24" s="25">
        <v>342.91</v>
      </c>
      <c r="N24" s="25">
        <v>341.92</v>
      </c>
      <c r="O24" s="25">
        <v>346.99</v>
      </c>
      <c r="P24" s="25">
        <v>331.64</v>
      </c>
      <c r="Q24" s="25">
        <v>332.52</v>
      </c>
      <c r="R24" s="26">
        <f t="shared" si="0"/>
        <v>2029.88</v>
      </c>
    </row>
    <row r="25" spans="1:18" x14ac:dyDescent="0.25">
      <c r="A25" s="17" t="s">
        <v>1572</v>
      </c>
      <c r="B25" s="17" t="s">
        <v>1268</v>
      </c>
      <c r="C25" s="17" t="s">
        <v>1573</v>
      </c>
      <c r="D25" s="25"/>
      <c r="E25" s="25"/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328.03</v>
      </c>
      <c r="M25" s="25">
        <v>327.97</v>
      </c>
      <c r="N25" s="25">
        <v>341.92</v>
      </c>
      <c r="O25" s="25">
        <v>327.84</v>
      </c>
      <c r="P25" s="25">
        <v>323.02999999999997</v>
      </c>
      <c r="Q25" s="25">
        <v>335.5</v>
      </c>
      <c r="R25" s="26">
        <f t="shared" si="0"/>
        <v>1984.29</v>
      </c>
    </row>
    <row r="26" spans="1:18" x14ac:dyDescent="0.25">
      <c r="A26" s="17" t="s">
        <v>1574</v>
      </c>
      <c r="B26" s="17" t="s">
        <v>1575</v>
      </c>
      <c r="C26" s="17" t="s">
        <v>1576</v>
      </c>
      <c r="D26" s="25"/>
      <c r="E26" s="25"/>
      <c r="F26" s="25"/>
      <c r="G26" s="25"/>
      <c r="H26" s="25"/>
      <c r="I26" s="25"/>
      <c r="J26" s="25"/>
      <c r="K26" s="25"/>
      <c r="L26" s="25"/>
      <c r="M26" s="25">
        <v>950.48</v>
      </c>
      <c r="N26" s="25">
        <v>982.26</v>
      </c>
      <c r="O26" s="25">
        <v>994.95</v>
      </c>
      <c r="P26" s="25">
        <v>947.97</v>
      </c>
      <c r="Q26" s="25">
        <v>964.7299999999999</v>
      </c>
      <c r="R26" s="26">
        <f t="shared" si="0"/>
        <v>4840.3899999999994</v>
      </c>
    </row>
    <row r="27" spans="1:18" x14ac:dyDescent="0.25">
      <c r="A27" s="17" t="s">
        <v>1577</v>
      </c>
      <c r="B27" s="17" t="s">
        <v>1440</v>
      </c>
      <c r="C27" s="17" t="s">
        <v>1578</v>
      </c>
      <c r="D27" s="25"/>
      <c r="E27" s="25"/>
      <c r="F27" s="25"/>
      <c r="G27" s="25"/>
      <c r="H27" s="25"/>
      <c r="I27" s="25"/>
      <c r="J27" s="25"/>
      <c r="K27" s="25"/>
      <c r="L27" s="25"/>
      <c r="M27" s="25">
        <v>242.83</v>
      </c>
      <c r="N27" s="25">
        <v>251.45</v>
      </c>
      <c r="O27" s="25">
        <v>251.45</v>
      </c>
      <c r="P27" s="25">
        <v>251.45</v>
      </c>
      <c r="Q27" s="25">
        <v>251.45</v>
      </c>
      <c r="R27" s="26">
        <f t="shared" si="0"/>
        <v>1248.6300000000001</v>
      </c>
    </row>
    <row r="28" spans="1:18" x14ac:dyDescent="0.25">
      <c r="A28" s="17" t="s">
        <v>1579</v>
      </c>
      <c r="B28" s="17" t="s">
        <v>1580</v>
      </c>
      <c r="C28" s="17" t="s">
        <v>1581</v>
      </c>
      <c r="D28" s="25"/>
      <c r="E28" s="25"/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180.18</v>
      </c>
      <c r="M28" s="25">
        <v>187.7</v>
      </c>
      <c r="N28" s="25">
        <v>197.87</v>
      </c>
      <c r="O28" s="25">
        <v>208.18</v>
      </c>
      <c r="P28" s="25">
        <v>188.79</v>
      </c>
      <c r="Q28" s="25">
        <v>194.25</v>
      </c>
      <c r="R28" s="26">
        <f t="shared" si="0"/>
        <v>1156.97</v>
      </c>
    </row>
    <row r="29" spans="1:18" x14ac:dyDescent="0.25">
      <c r="A29" s="17" t="s">
        <v>1582</v>
      </c>
      <c r="B29" s="17" t="s">
        <v>1583</v>
      </c>
      <c r="C29" s="17" t="s">
        <v>1584</v>
      </c>
      <c r="D29" s="25"/>
      <c r="E29" s="25"/>
      <c r="F29" s="25"/>
      <c r="G29" s="25"/>
      <c r="H29" s="25"/>
      <c r="I29" s="25"/>
      <c r="J29" s="25"/>
      <c r="K29" s="25"/>
      <c r="L29" s="25"/>
      <c r="M29" s="25">
        <v>77.760000000000005</v>
      </c>
      <c r="N29" s="25">
        <v>80.52</v>
      </c>
      <c r="O29" s="25">
        <v>80.52</v>
      </c>
      <c r="P29" s="25">
        <v>80.52</v>
      </c>
      <c r="Q29" s="25">
        <v>80.52</v>
      </c>
      <c r="R29" s="26">
        <f t="shared" si="0"/>
        <v>399.84</v>
      </c>
    </row>
    <row r="30" spans="1:18" x14ac:dyDescent="0.25">
      <c r="A30" s="17" t="s">
        <v>1585</v>
      </c>
      <c r="B30" s="17" t="s">
        <v>1586</v>
      </c>
      <c r="C30" s="17" t="s">
        <v>1587</v>
      </c>
      <c r="D30" s="25"/>
      <c r="E30" s="25"/>
      <c r="F30" s="25"/>
      <c r="G30" s="25"/>
      <c r="H30" s="25"/>
      <c r="I30" s="25"/>
      <c r="J30" s="25"/>
      <c r="K30" s="25"/>
      <c r="L30" s="25"/>
      <c r="M30" s="25">
        <v>401.88</v>
      </c>
      <c r="N30" s="25">
        <v>419.89</v>
      </c>
      <c r="O30" s="25">
        <v>416.96</v>
      </c>
      <c r="P30" s="25">
        <v>400.32</v>
      </c>
      <c r="Q30" s="25">
        <v>404.62</v>
      </c>
      <c r="R30" s="26">
        <f t="shared" si="0"/>
        <v>2043.67</v>
      </c>
    </row>
    <row r="31" spans="1:18" x14ac:dyDescent="0.25">
      <c r="A31" s="17" t="s">
        <v>1588</v>
      </c>
      <c r="B31" s="17" t="s">
        <v>1327</v>
      </c>
      <c r="C31" s="17" t="s">
        <v>1589</v>
      </c>
      <c r="D31" s="25"/>
      <c r="E31" s="25"/>
      <c r="F31" s="25">
        <v>0</v>
      </c>
      <c r="G31" s="25">
        <v>0</v>
      </c>
      <c r="H31" s="25">
        <v>0</v>
      </c>
      <c r="I31" s="25">
        <v>0</v>
      </c>
      <c r="J31" s="25">
        <v>385.23</v>
      </c>
      <c r="K31" s="25">
        <v>401</v>
      </c>
      <c r="L31" s="25">
        <v>392.97</v>
      </c>
      <c r="M31" s="25">
        <v>379.48</v>
      </c>
      <c r="N31" s="25">
        <v>390.81</v>
      </c>
      <c r="O31" s="25">
        <v>397.81</v>
      </c>
      <c r="P31" s="25">
        <v>383.1</v>
      </c>
      <c r="Q31" s="25">
        <v>392.7</v>
      </c>
      <c r="R31" s="26">
        <f t="shared" si="0"/>
        <v>3123.1</v>
      </c>
    </row>
    <row r="32" spans="1:18" x14ac:dyDescent="0.25">
      <c r="A32" s="17" t="s">
        <v>1590</v>
      </c>
      <c r="B32" s="17" t="s">
        <v>1462</v>
      </c>
      <c r="C32" s="17" t="s">
        <v>1591</v>
      </c>
      <c r="D32" s="25"/>
      <c r="E32" s="25"/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396.84</v>
      </c>
      <c r="M32" s="25">
        <v>394.42</v>
      </c>
      <c r="N32" s="25">
        <v>403.27</v>
      </c>
      <c r="O32" s="25">
        <v>410.58</v>
      </c>
      <c r="P32" s="25">
        <v>388.84</v>
      </c>
      <c r="Q32" s="25">
        <v>389.71999999999997</v>
      </c>
      <c r="R32" s="26">
        <f t="shared" si="0"/>
        <v>2383.6699999999996</v>
      </c>
    </row>
    <row r="33" spans="1:18" x14ac:dyDescent="0.25">
      <c r="A33" s="17" t="s">
        <v>1503</v>
      </c>
      <c r="B33" s="17" t="s">
        <v>1287</v>
      </c>
      <c r="C33" s="17" t="s">
        <v>1592</v>
      </c>
      <c r="D33" s="25"/>
      <c r="E33" s="25"/>
      <c r="F33" s="25"/>
      <c r="G33" s="25"/>
      <c r="H33" s="25"/>
      <c r="I33" s="25"/>
      <c r="J33" s="25"/>
      <c r="K33" s="25"/>
      <c r="L33" s="25"/>
      <c r="M33" s="25">
        <v>401.88</v>
      </c>
      <c r="N33" s="25">
        <v>415.74</v>
      </c>
      <c r="O33" s="25">
        <v>429.74</v>
      </c>
      <c r="P33" s="25">
        <v>394.58</v>
      </c>
      <c r="Q33" s="25">
        <v>398.65999999999997</v>
      </c>
      <c r="R33" s="26">
        <f t="shared" si="0"/>
        <v>2040.6</v>
      </c>
    </row>
    <row r="34" spans="1:18" x14ac:dyDescent="0.25">
      <c r="A34" s="17" t="s">
        <v>1593</v>
      </c>
      <c r="B34" s="17" t="s">
        <v>1594</v>
      </c>
      <c r="C34" s="17" t="s">
        <v>1595</v>
      </c>
      <c r="D34" s="25"/>
      <c r="E34" s="25"/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358.89</v>
      </c>
      <c r="L34" s="25">
        <v>324.06</v>
      </c>
      <c r="M34" s="25">
        <v>275.58</v>
      </c>
      <c r="N34" s="25">
        <v>285.36</v>
      </c>
      <c r="O34" s="25">
        <v>298.13</v>
      </c>
      <c r="P34" s="25">
        <v>285.36</v>
      </c>
      <c r="Q34" s="25">
        <v>306.22000000000003</v>
      </c>
      <c r="R34" s="26">
        <f t="shared" si="0"/>
        <v>2133.6000000000004</v>
      </c>
    </row>
    <row r="35" spans="1:18" x14ac:dyDescent="0.25">
      <c r="A35" s="17" t="s">
        <v>1596</v>
      </c>
      <c r="B35" s="17" t="s">
        <v>1597</v>
      </c>
      <c r="C35" s="17" t="s">
        <v>1598</v>
      </c>
      <c r="D35" s="25"/>
      <c r="E35" s="25"/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324.06</v>
      </c>
      <c r="M35" s="25">
        <v>312.92</v>
      </c>
      <c r="N35" s="25">
        <v>322.75</v>
      </c>
      <c r="O35" s="25">
        <v>330.06</v>
      </c>
      <c r="P35" s="25">
        <v>308.32</v>
      </c>
      <c r="Q35" s="25">
        <v>321.12</v>
      </c>
      <c r="R35" s="26">
        <f t="shared" si="0"/>
        <v>1919.23</v>
      </c>
    </row>
    <row r="36" spans="1:18" x14ac:dyDescent="0.25">
      <c r="A36" s="17" t="s">
        <v>1599</v>
      </c>
      <c r="B36" s="17" t="s">
        <v>1600</v>
      </c>
      <c r="C36" s="17" t="s">
        <v>1601</v>
      </c>
      <c r="D36" s="25"/>
      <c r="E36" s="25"/>
      <c r="F36" s="25">
        <v>0</v>
      </c>
      <c r="G36" s="25">
        <v>0</v>
      </c>
      <c r="H36" s="25">
        <v>0</v>
      </c>
      <c r="I36" s="25">
        <v>0</v>
      </c>
      <c r="J36" s="25">
        <v>197.44</v>
      </c>
      <c r="K36" s="25">
        <v>195.43</v>
      </c>
      <c r="L36" s="25">
        <v>198.02</v>
      </c>
      <c r="M36" s="25">
        <v>189.65</v>
      </c>
      <c r="N36" s="25">
        <v>196.1</v>
      </c>
      <c r="O36" s="25">
        <v>196.68</v>
      </c>
      <c r="P36" s="25">
        <v>185.59</v>
      </c>
      <c r="Q36" s="25">
        <v>190.56</v>
      </c>
      <c r="R36" s="26">
        <f t="shared" si="0"/>
        <v>1549.4699999999998</v>
      </c>
    </row>
    <row r="37" spans="1:18" x14ac:dyDescent="0.25">
      <c r="A37" s="17" t="s">
        <v>1602</v>
      </c>
      <c r="B37" s="17" t="s">
        <v>1603</v>
      </c>
      <c r="C37" s="17" t="s">
        <v>1604</v>
      </c>
      <c r="D37" s="25"/>
      <c r="E37" s="25"/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182.54</v>
      </c>
      <c r="M37" s="25">
        <v>191.21</v>
      </c>
      <c r="N37" s="25">
        <v>191.7</v>
      </c>
      <c r="O37" s="25">
        <v>202.86</v>
      </c>
      <c r="P37" s="25">
        <v>185.28</v>
      </c>
      <c r="Q37" s="25">
        <v>188.81</v>
      </c>
      <c r="R37" s="26">
        <f t="shared" si="0"/>
        <v>1142.4000000000001</v>
      </c>
    </row>
    <row r="38" spans="1:18" x14ac:dyDescent="0.25">
      <c r="A38" s="17" t="s">
        <v>1605</v>
      </c>
      <c r="B38" s="17" t="s">
        <v>1606</v>
      </c>
      <c r="C38" s="17" t="s">
        <v>1607</v>
      </c>
      <c r="D38" s="25"/>
      <c r="E38" s="25"/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307.88</v>
      </c>
      <c r="M38" s="25">
        <v>275.58</v>
      </c>
      <c r="N38" s="25">
        <v>335.45</v>
      </c>
      <c r="O38" s="25">
        <v>313.69</v>
      </c>
      <c r="P38" s="25">
        <v>300.13</v>
      </c>
      <c r="Q38" s="25">
        <v>303.3</v>
      </c>
      <c r="R38" s="26">
        <f t="shared" si="0"/>
        <v>1836.03</v>
      </c>
    </row>
    <row r="39" spans="1:18" x14ac:dyDescent="0.25">
      <c r="A39" s="17" t="s">
        <v>1608</v>
      </c>
      <c r="B39" s="17" t="s">
        <v>1609</v>
      </c>
      <c r="C39" s="17" t="s">
        <v>1610</v>
      </c>
      <c r="D39" s="25"/>
      <c r="E39" s="25"/>
      <c r="F39" s="25"/>
      <c r="G39" s="25"/>
      <c r="H39" s="25"/>
      <c r="I39" s="25"/>
      <c r="J39" s="25"/>
      <c r="K39" s="25"/>
      <c r="L39" s="25"/>
      <c r="M39" s="25">
        <v>297.98</v>
      </c>
      <c r="N39" s="25">
        <v>297.83</v>
      </c>
      <c r="O39" s="25">
        <v>310.89999999999998</v>
      </c>
      <c r="P39" s="25">
        <v>296.83999999999997</v>
      </c>
      <c r="Q39" s="25">
        <v>300.26</v>
      </c>
      <c r="R39" s="26">
        <f t="shared" si="0"/>
        <v>1503.81</v>
      </c>
    </row>
    <row r="40" spans="1:18" x14ac:dyDescent="0.25">
      <c r="A40" s="17" t="s">
        <v>1611</v>
      </c>
      <c r="B40" s="17" t="s">
        <v>1612</v>
      </c>
      <c r="C40" s="17" t="s">
        <v>1613</v>
      </c>
      <c r="D40" s="25"/>
      <c r="E40" s="25"/>
      <c r="F40" s="25"/>
      <c r="G40" s="25"/>
      <c r="H40" s="25"/>
      <c r="I40" s="25"/>
      <c r="J40" s="25"/>
      <c r="K40" s="25"/>
      <c r="L40" s="25"/>
      <c r="M40" s="25">
        <v>172.12</v>
      </c>
      <c r="N40" s="25">
        <v>184.66</v>
      </c>
      <c r="O40" s="25">
        <v>186.24</v>
      </c>
      <c r="P40" s="25">
        <v>178.33</v>
      </c>
      <c r="Q40" s="25">
        <v>182.5</v>
      </c>
      <c r="R40" s="26">
        <f t="shared" si="0"/>
        <v>903.85</v>
      </c>
    </row>
    <row r="41" spans="1:18" x14ac:dyDescent="0.25">
      <c r="A41" s="17" t="s">
        <v>1614</v>
      </c>
      <c r="B41" s="17" t="s">
        <v>1615</v>
      </c>
      <c r="C41" s="17" t="s">
        <v>1616</v>
      </c>
      <c r="D41" s="25"/>
      <c r="E41" s="25"/>
      <c r="F41" s="25"/>
      <c r="G41" s="25"/>
      <c r="H41" s="25"/>
      <c r="I41" s="25"/>
      <c r="J41" s="25"/>
      <c r="K41" s="25"/>
      <c r="L41" s="25"/>
      <c r="M41" s="25">
        <v>23.37</v>
      </c>
      <c r="N41" s="25">
        <v>23.37</v>
      </c>
      <c r="O41" s="25">
        <v>23.37</v>
      </c>
      <c r="P41" s="25">
        <v>23.37</v>
      </c>
      <c r="Q41" s="25">
        <v>23.37</v>
      </c>
      <c r="R41" s="26">
        <f t="shared" si="0"/>
        <v>116.85000000000001</v>
      </c>
    </row>
    <row r="42" spans="1:18" x14ac:dyDescent="0.25">
      <c r="A42" s="17" t="s">
        <v>1617</v>
      </c>
      <c r="B42" s="17" t="s">
        <v>1234</v>
      </c>
      <c r="C42" s="17" t="s">
        <v>1618</v>
      </c>
      <c r="D42" s="25"/>
      <c r="E42" s="25"/>
      <c r="F42" s="25"/>
      <c r="G42" s="25"/>
      <c r="H42" s="25"/>
      <c r="I42" s="25"/>
      <c r="J42" s="25"/>
      <c r="K42" s="25"/>
      <c r="L42" s="25"/>
      <c r="M42" s="25">
        <v>374.56</v>
      </c>
      <c r="N42" s="25">
        <v>402.5</v>
      </c>
      <c r="O42" s="25">
        <v>401.16</v>
      </c>
      <c r="P42" s="25">
        <v>379.02</v>
      </c>
      <c r="Q42" s="25">
        <v>390.37</v>
      </c>
      <c r="R42" s="26">
        <f t="shared" si="0"/>
        <v>1947.6100000000001</v>
      </c>
    </row>
    <row r="43" spans="1:18" x14ac:dyDescent="0.25">
      <c r="A43" s="17" t="s">
        <v>1504</v>
      </c>
      <c r="B43" s="17" t="s">
        <v>1619</v>
      </c>
      <c r="C43" s="17" t="s">
        <v>1620</v>
      </c>
      <c r="D43" s="25"/>
      <c r="E43" s="25"/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385.23</v>
      </c>
      <c r="M43" s="25">
        <v>379.48</v>
      </c>
      <c r="N43" s="25">
        <v>386.65</v>
      </c>
      <c r="O43" s="25">
        <v>397.81</v>
      </c>
      <c r="P43" s="25">
        <v>391.71</v>
      </c>
      <c r="Q43" s="25">
        <v>389.71999999999997</v>
      </c>
      <c r="R43" s="26">
        <f t="shared" si="0"/>
        <v>2330.6</v>
      </c>
    </row>
    <row r="44" spans="1:18" x14ac:dyDescent="0.25">
      <c r="A44" s="17" t="s">
        <v>1621</v>
      </c>
      <c r="B44" s="17" t="s">
        <v>1622</v>
      </c>
      <c r="C44" s="17" t="s">
        <v>1623</v>
      </c>
      <c r="D44" s="25"/>
      <c r="E44" s="25"/>
      <c r="F44" s="25"/>
      <c r="G44" s="25"/>
      <c r="H44" s="25"/>
      <c r="I44" s="25"/>
      <c r="J44" s="25"/>
      <c r="K44" s="25"/>
      <c r="L44" s="25"/>
      <c r="M44" s="25">
        <v>383.21</v>
      </c>
      <c r="N44" s="25">
        <v>390.81</v>
      </c>
      <c r="O44" s="25">
        <v>391.42</v>
      </c>
      <c r="P44" s="25">
        <v>380.23</v>
      </c>
      <c r="Q44" s="25">
        <v>386.74</v>
      </c>
      <c r="R44" s="26">
        <f t="shared" si="0"/>
        <v>1932.41</v>
      </c>
    </row>
    <row r="45" spans="1:18" x14ac:dyDescent="0.25">
      <c r="A45" s="17" t="s">
        <v>1624</v>
      </c>
      <c r="B45" s="17" t="s">
        <v>1466</v>
      </c>
      <c r="C45" s="17" t="s">
        <v>1625</v>
      </c>
      <c r="D45" s="25"/>
      <c r="E45" s="25"/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462.96</v>
      </c>
      <c r="M45" s="25">
        <v>867.1</v>
      </c>
      <c r="N45" s="25">
        <v>909.51</v>
      </c>
      <c r="O45" s="25">
        <v>927.38</v>
      </c>
      <c r="P45" s="25">
        <v>898.14</v>
      </c>
      <c r="Q45" s="25">
        <v>898.56</v>
      </c>
      <c r="R45" s="26">
        <f t="shared" si="0"/>
        <v>4963.6499999999996</v>
      </c>
    </row>
    <row r="46" spans="1:18" x14ac:dyDescent="0.25">
      <c r="A46" s="17" t="s">
        <v>1626</v>
      </c>
      <c r="B46" s="17" t="s">
        <v>1627</v>
      </c>
      <c r="C46" s="17" t="s">
        <v>1628</v>
      </c>
      <c r="D46" s="25"/>
      <c r="E46" s="25"/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389.76</v>
      </c>
      <c r="M46" s="25">
        <v>383.29</v>
      </c>
      <c r="N46" s="25">
        <v>389.7</v>
      </c>
      <c r="O46" s="25">
        <v>393.21</v>
      </c>
      <c r="P46" s="25">
        <v>380.77</v>
      </c>
      <c r="Q46" s="25">
        <v>385.28</v>
      </c>
      <c r="R46" s="26">
        <f t="shared" si="0"/>
        <v>2322.0100000000002</v>
      </c>
    </row>
    <row r="47" spans="1:18" x14ac:dyDescent="0.25">
      <c r="A47" s="17" t="s">
        <v>1629</v>
      </c>
      <c r="B47" s="17" t="s">
        <v>1630</v>
      </c>
      <c r="C47" s="17" t="s">
        <v>1631</v>
      </c>
      <c r="D47" s="25"/>
      <c r="E47" s="25"/>
      <c r="F47" s="25"/>
      <c r="G47" s="25"/>
      <c r="H47" s="25"/>
      <c r="I47" s="25"/>
      <c r="J47" s="25"/>
      <c r="K47" s="25"/>
      <c r="L47" s="25"/>
      <c r="M47" s="25">
        <v>379.48</v>
      </c>
      <c r="N47" s="25">
        <v>394.96</v>
      </c>
      <c r="O47" s="25">
        <v>397.81</v>
      </c>
      <c r="P47" s="25">
        <v>374.49</v>
      </c>
      <c r="Q47" s="25">
        <v>389.71999999999997</v>
      </c>
      <c r="R47" s="26">
        <f t="shared" si="0"/>
        <v>1936.46</v>
      </c>
    </row>
    <row r="48" spans="1:18" x14ac:dyDescent="0.25">
      <c r="A48" s="17" t="s">
        <v>1632</v>
      </c>
      <c r="B48" s="17" t="s">
        <v>1633</v>
      </c>
      <c r="C48" s="17" t="s">
        <v>1634</v>
      </c>
      <c r="D48" s="25"/>
      <c r="E48" s="25"/>
      <c r="F48" s="25"/>
      <c r="G48" s="25"/>
      <c r="H48" s="25"/>
      <c r="I48" s="25"/>
      <c r="J48" s="25"/>
      <c r="K48" s="25"/>
      <c r="L48" s="25"/>
      <c r="M48" s="25">
        <v>265.23</v>
      </c>
      <c r="N48" s="25">
        <v>272.22000000000003</v>
      </c>
      <c r="O48" s="25">
        <v>270.61</v>
      </c>
      <c r="P48" s="25">
        <v>265.8</v>
      </c>
      <c r="Q48" s="25">
        <v>263.37</v>
      </c>
      <c r="R48" s="26">
        <f t="shared" si="0"/>
        <v>1337.23</v>
      </c>
    </row>
    <row r="49" spans="1:18" x14ac:dyDescent="0.25">
      <c r="A49" s="17" t="s">
        <v>1635</v>
      </c>
      <c r="B49" s="17" t="s">
        <v>1636</v>
      </c>
      <c r="C49" s="17" t="s">
        <v>1637</v>
      </c>
      <c r="D49" s="25"/>
      <c r="E49" s="25"/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416.19</v>
      </c>
      <c r="M49" s="25">
        <v>401.88</v>
      </c>
      <c r="N49" s="25">
        <v>415.74</v>
      </c>
      <c r="O49" s="25">
        <v>410.58</v>
      </c>
      <c r="P49" s="25">
        <v>383.1</v>
      </c>
      <c r="Q49" s="25">
        <v>371.84</v>
      </c>
      <c r="R49" s="26">
        <f t="shared" si="0"/>
        <v>2399.33</v>
      </c>
    </row>
    <row r="50" spans="1:18" x14ac:dyDescent="0.25">
      <c r="A50" s="17" t="s">
        <v>1638</v>
      </c>
      <c r="B50" s="17" t="s">
        <v>1356</v>
      </c>
      <c r="C50" s="17" t="s">
        <v>1639</v>
      </c>
      <c r="D50" s="25"/>
      <c r="E50" s="25"/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311.33</v>
      </c>
      <c r="M50" s="25">
        <v>308.12</v>
      </c>
      <c r="N50" s="25">
        <v>324.64</v>
      </c>
      <c r="O50" s="25">
        <v>319.95999999999998</v>
      </c>
      <c r="P50" s="25">
        <v>304.54000000000002</v>
      </c>
      <c r="Q50" s="25">
        <v>312.53000000000003</v>
      </c>
      <c r="R50" s="26">
        <f t="shared" si="0"/>
        <v>1881.12</v>
      </c>
    </row>
    <row r="51" spans="1:18" x14ac:dyDescent="0.25">
      <c r="A51" s="17" t="s">
        <v>1640</v>
      </c>
      <c r="B51" s="17" t="s">
        <v>1349</v>
      </c>
      <c r="C51" s="17" t="s">
        <v>1641</v>
      </c>
      <c r="D51" s="25"/>
      <c r="E51" s="25"/>
      <c r="F51" s="25"/>
      <c r="G51" s="25"/>
      <c r="H51" s="25"/>
      <c r="I51" s="25"/>
      <c r="J51" s="25"/>
      <c r="K51" s="25"/>
      <c r="L51" s="25"/>
      <c r="M51" s="25">
        <v>413.2</v>
      </c>
      <c r="N51" s="25">
        <v>401.66</v>
      </c>
      <c r="O51" s="25">
        <v>414.74</v>
      </c>
      <c r="P51" s="25">
        <v>409.29</v>
      </c>
      <c r="Q51" s="25">
        <v>410.06</v>
      </c>
      <c r="R51" s="26">
        <f t="shared" si="0"/>
        <v>2048.9499999999998</v>
      </c>
    </row>
    <row r="52" spans="1:18" x14ac:dyDescent="0.25">
      <c r="A52" s="17" t="s">
        <v>1642</v>
      </c>
      <c r="B52" s="17" t="s">
        <v>1643</v>
      </c>
      <c r="C52" s="17" t="s">
        <v>1644</v>
      </c>
      <c r="D52" s="25"/>
      <c r="E52" s="25"/>
      <c r="F52" s="25"/>
      <c r="G52" s="25"/>
      <c r="H52" s="25"/>
      <c r="I52" s="25"/>
      <c r="J52" s="25"/>
      <c r="K52" s="25"/>
      <c r="L52" s="25"/>
      <c r="M52" s="25">
        <v>172.54</v>
      </c>
      <c r="N52" s="25">
        <v>175.08</v>
      </c>
      <c r="O52" s="25">
        <v>183.7</v>
      </c>
      <c r="P52" s="25">
        <v>173.8</v>
      </c>
      <c r="Q52" s="25">
        <v>173.91</v>
      </c>
      <c r="R52" s="26">
        <f t="shared" si="0"/>
        <v>879.02999999999986</v>
      </c>
    </row>
    <row r="53" spans="1:18" x14ac:dyDescent="0.25">
      <c r="A53" s="17" t="s">
        <v>1507</v>
      </c>
      <c r="B53" s="17" t="s">
        <v>1645</v>
      </c>
      <c r="C53" s="17" t="s">
        <v>1646</v>
      </c>
      <c r="D53" s="25"/>
      <c r="E53" s="25"/>
      <c r="F53" s="25"/>
      <c r="G53" s="25"/>
      <c r="H53" s="25"/>
      <c r="I53" s="25"/>
      <c r="J53" s="25"/>
      <c r="K53" s="25"/>
      <c r="L53" s="25"/>
      <c r="M53" s="25">
        <v>301.72000000000003</v>
      </c>
      <c r="N53" s="25">
        <v>310.29000000000002</v>
      </c>
      <c r="O53" s="25">
        <v>310.89999999999998</v>
      </c>
      <c r="P53" s="25">
        <v>299.70999999999998</v>
      </c>
      <c r="Q53" s="25">
        <v>300.26</v>
      </c>
      <c r="R53" s="26">
        <f t="shared" si="0"/>
        <v>1522.8799999999999</v>
      </c>
    </row>
    <row r="54" spans="1:18" x14ac:dyDescent="0.25">
      <c r="A54" s="17" t="s">
        <v>1647</v>
      </c>
      <c r="B54" s="17" t="s">
        <v>1648</v>
      </c>
      <c r="C54" s="17" t="s">
        <v>1649</v>
      </c>
      <c r="D54" s="25"/>
      <c r="E54" s="25"/>
      <c r="F54" s="25"/>
      <c r="G54" s="25"/>
      <c r="H54" s="25"/>
      <c r="I54" s="25"/>
      <c r="J54" s="25"/>
      <c r="K54" s="25"/>
      <c r="L54" s="25"/>
      <c r="M54" s="25">
        <v>327.86</v>
      </c>
      <c r="N54" s="25">
        <v>318.60000000000002</v>
      </c>
      <c r="O54" s="25">
        <v>323.67</v>
      </c>
      <c r="P54" s="25">
        <v>308.32</v>
      </c>
      <c r="Q54" s="25">
        <v>324.10000000000002</v>
      </c>
      <c r="R54" s="26">
        <f t="shared" si="0"/>
        <v>1602.5500000000002</v>
      </c>
    </row>
    <row r="55" spans="1:18" x14ac:dyDescent="0.25">
      <c r="A55" s="17" t="s">
        <v>1650</v>
      </c>
      <c r="B55" s="17" t="s">
        <v>1651</v>
      </c>
      <c r="C55" s="17" t="s">
        <v>1652</v>
      </c>
      <c r="D55" s="25"/>
      <c r="E55" s="25"/>
      <c r="F55" s="25"/>
      <c r="G55" s="25"/>
      <c r="H55" s="25"/>
      <c r="I55" s="25"/>
      <c r="J55" s="25"/>
      <c r="K55" s="25"/>
      <c r="L55" s="25"/>
      <c r="M55" s="25">
        <v>383.21</v>
      </c>
      <c r="N55" s="25">
        <v>411.58</v>
      </c>
      <c r="O55" s="25">
        <v>410.58</v>
      </c>
      <c r="P55" s="25">
        <v>385.97</v>
      </c>
      <c r="Q55" s="25">
        <v>395.68</v>
      </c>
      <c r="R55" s="26">
        <f t="shared" si="0"/>
        <v>1987.02</v>
      </c>
    </row>
    <row r="56" spans="1:18" x14ac:dyDescent="0.25">
      <c r="A56" s="17" t="s">
        <v>1653</v>
      </c>
      <c r="B56" s="17" t="s">
        <v>1654</v>
      </c>
      <c r="C56" s="17" t="s">
        <v>1655</v>
      </c>
      <c r="D56" s="25"/>
      <c r="E56" s="25"/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412.32</v>
      </c>
      <c r="M56" s="25">
        <v>386.95</v>
      </c>
      <c r="N56" s="25">
        <v>415.74</v>
      </c>
      <c r="O56" s="25">
        <v>410.58</v>
      </c>
      <c r="P56" s="25">
        <v>394.58</v>
      </c>
      <c r="Q56" s="25">
        <v>407.6</v>
      </c>
      <c r="R56" s="26">
        <f t="shared" si="0"/>
        <v>2427.77</v>
      </c>
    </row>
    <row r="57" spans="1:18" x14ac:dyDescent="0.25">
      <c r="A57" s="17" t="s">
        <v>1656</v>
      </c>
      <c r="B57" s="17" t="s">
        <v>1657</v>
      </c>
      <c r="C57" s="17" t="s">
        <v>1658</v>
      </c>
      <c r="D57" s="25"/>
      <c r="E57" s="25"/>
      <c r="F57" s="25"/>
      <c r="G57" s="25"/>
      <c r="H57" s="25"/>
      <c r="I57" s="25"/>
      <c r="J57" s="25"/>
      <c r="K57" s="25"/>
      <c r="L57" s="25"/>
      <c r="M57" s="25">
        <v>398.15</v>
      </c>
      <c r="N57" s="25">
        <v>399.12</v>
      </c>
      <c r="O57" s="25">
        <v>410.58</v>
      </c>
      <c r="P57" s="25">
        <v>391.71</v>
      </c>
      <c r="Q57" s="25">
        <v>386.74</v>
      </c>
      <c r="R57" s="26">
        <f t="shared" si="0"/>
        <v>1986.3</v>
      </c>
    </row>
    <row r="58" spans="1:18" x14ac:dyDescent="0.25">
      <c r="A58" s="17" t="s">
        <v>1659</v>
      </c>
      <c r="B58" s="17" t="s">
        <v>1319</v>
      </c>
      <c r="C58" s="17" t="s">
        <v>1660</v>
      </c>
      <c r="D58" s="25"/>
      <c r="E58" s="25"/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373.62</v>
      </c>
      <c r="M58" s="25">
        <v>368.28</v>
      </c>
      <c r="N58" s="25">
        <v>382.5</v>
      </c>
      <c r="O58" s="25">
        <v>372.27</v>
      </c>
      <c r="P58" s="25">
        <v>374.49</v>
      </c>
      <c r="Q58" s="25">
        <v>386.74</v>
      </c>
      <c r="R58" s="26">
        <f t="shared" si="0"/>
        <v>2257.9</v>
      </c>
    </row>
    <row r="59" spans="1:18" x14ac:dyDescent="0.25">
      <c r="A59" s="17" t="s">
        <v>1661</v>
      </c>
      <c r="B59" s="17" t="s">
        <v>1662</v>
      </c>
      <c r="C59" s="17" t="s">
        <v>1663</v>
      </c>
      <c r="D59" s="25"/>
      <c r="E59" s="25"/>
      <c r="F59" s="25"/>
      <c r="G59" s="25"/>
      <c r="H59" s="25"/>
      <c r="I59" s="25"/>
      <c r="J59" s="25"/>
      <c r="K59" s="25"/>
      <c r="L59" s="25"/>
      <c r="M59" s="25">
        <v>297.98</v>
      </c>
      <c r="N59" s="25">
        <v>301.98</v>
      </c>
      <c r="O59" s="25">
        <v>381.14</v>
      </c>
      <c r="P59" s="25">
        <v>308.32</v>
      </c>
      <c r="Q59" s="25">
        <v>309.2</v>
      </c>
      <c r="R59" s="26">
        <f t="shared" si="0"/>
        <v>1598.6200000000001</v>
      </c>
    </row>
    <row r="60" spans="1:18" x14ac:dyDescent="0.25">
      <c r="A60" s="17" t="s">
        <v>1664</v>
      </c>
      <c r="B60" s="17" t="s">
        <v>1665</v>
      </c>
      <c r="C60" s="17" t="s">
        <v>1666</v>
      </c>
      <c r="D60" s="25"/>
      <c r="E60" s="25"/>
      <c r="F60" s="25"/>
      <c r="G60" s="25"/>
      <c r="H60" s="25"/>
      <c r="I60" s="25"/>
      <c r="J60" s="25"/>
      <c r="K60" s="25"/>
      <c r="L60" s="25"/>
      <c r="M60" s="25">
        <v>429.4</v>
      </c>
      <c r="N60" s="25">
        <v>444.9</v>
      </c>
      <c r="O60" s="25">
        <v>447.2</v>
      </c>
      <c r="P60" s="25">
        <v>440.8</v>
      </c>
      <c r="Q60" s="25">
        <v>450</v>
      </c>
      <c r="R60" s="26">
        <f t="shared" si="0"/>
        <v>2212.3000000000002</v>
      </c>
    </row>
    <row r="61" spans="1:18" x14ac:dyDescent="0.25">
      <c r="A61" s="17" t="s">
        <v>1667</v>
      </c>
      <c r="B61" s="17" t="s">
        <v>1668</v>
      </c>
      <c r="C61" s="17" t="s">
        <v>1669</v>
      </c>
      <c r="D61" s="25"/>
      <c r="E61" s="25"/>
      <c r="F61" s="25">
        <v>0</v>
      </c>
      <c r="G61" s="25">
        <v>0</v>
      </c>
      <c r="H61" s="25">
        <v>0</v>
      </c>
      <c r="I61" s="25">
        <v>0</v>
      </c>
      <c r="J61" s="25">
        <v>485.1</v>
      </c>
      <c r="K61" s="25">
        <v>485.1</v>
      </c>
      <c r="L61" s="25">
        <v>488.97</v>
      </c>
      <c r="M61" s="25">
        <v>468.43</v>
      </c>
      <c r="N61" s="25">
        <v>487.95</v>
      </c>
      <c r="O61" s="25">
        <v>471.94</v>
      </c>
      <c r="P61" s="25">
        <v>466.49</v>
      </c>
      <c r="Q61" s="25">
        <v>476.2</v>
      </c>
      <c r="R61" s="26">
        <f t="shared" si="0"/>
        <v>3830.1800000000003</v>
      </c>
    </row>
    <row r="62" spans="1:18" x14ac:dyDescent="0.25">
      <c r="A62" s="17" t="s">
        <v>1670</v>
      </c>
      <c r="B62" s="17" t="s">
        <v>1671</v>
      </c>
      <c r="C62" s="17" t="s">
        <v>1672</v>
      </c>
      <c r="D62" s="25"/>
      <c r="E62" s="25"/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80.52</v>
      </c>
      <c r="L62" s="25">
        <v>80.52</v>
      </c>
      <c r="M62" s="25">
        <v>77.760000000000005</v>
      </c>
      <c r="N62" s="25">
        <v>80.52</v>
      </c>
      <c r="O62" s="25">
        <v>80.52</v>
      </c>
      <c r="P62" s="25">
        <v>80.52</v>
      </c>
      <c r="Q62" s="25">
        <v>80.52</v>
      </c>
      <c r="R62" s="26">
        <f t="shared" si="0"/>
        <v>560.88</v>
      </c>
    </row>
    <row r="63" spans="1:18" x14ac:dyDescent="0.25">
      <c r="A63" s="17" t="s">
        <v>1506</v>
      </c>
      <c r="B63" s="17" t="s">
        <v>1673</v>
      </c>
      <c r="C63" s="17" t="s">
        <v>1674</v>
      </c>
      <c r="D63" s="25"/>
      <c r="E63" s="25"/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396.65</v>
      </c>
      <c r="M63" s="25">
        <v>387.51</v>
      </c>
      <c r="N63" s="25">
        <v>402.66</v>
      </c>
      <c r="O63" s="25">
        <v>396.98</v>
      </c>
      <c r="P63" s="25">
        <v>383.7</v>
      </c>
      <c r="Q63" s="25">
        <v>395.24</v>
      </c>
      <c r="R63" s="26">
        <f t="shared" si="0"/>
        <v>2362.7399999999998</v>
      </c>
    </row>
    <row r="64" spans="1:18" x14ac:dyDescent="0.25">
      <c r="A64" s="17" t="s">
        <v>1675</v>
      </c>
      <c r="B64" s="17" t="s">
        <v>1270</v>
      </c>
      <c r="C64" s="17" t="s">
        <v>1676</v>
      </c>
      <c r="D64" s="25"/>
      <c r="E64" s="25"/>
      <c r="F64" s="25"/>
      <c r="G64" s="25"/>
      <c r="H64" s="25"/>
      <c r="I64" s="25"/>
      <c r="J64" s="25"/>
      <c r="K64" s="25"/>
      <c r="L64" s="25"/>
      <c r="M64" s="25">
        <v>372.01</v>
      </c>
      <c r="N64" s="25">
        <v>390.81</v>
      </c>
      <c r="O64" s="25">
        <v>378.65</v>
      </c>
      <c r="P64" s="25">
        <v>377.36</v>
      </c>
      <c r="Q64" s="25">
        <v>383.76</v>
      </c>
      <c r="R64" s="26">
        <f t="shared" si="0"/>
        <v>1902.59</v>
      </c>
    </row>
    <row r="65" spans="1:18" x14ac:dyDescent="0.25">
      <c r="A65" s="17" t="s">
        <v>1677</v>
      </c>
      <c r="B65" s="17" t="s">
        <v>1678</v>
      </c>
      <c r="C65" s="17" t="s">
        <v>1679</v>
      </c>
      <c r="D65" s="25"/>
      <c r="E65" s="25"/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373.62</v>
      </c>
      <c r="M65" s="25">
        <v>364.64</v>
      </c>
      <c r="N65" s="25">
        <v>374.19</v>
      </c>
      <c r="O65" s="25">
        <v>372.27</v>
      </c>
      <c r="P65" s="25">
        <v>370.62</v>
      </c>
      <c r="Q65" s="25">
        <v>371.84</v>
      </c>
      <c r="R65" s="26">
        <f t="shared" si="0"/>
        <v>2227.1800000000003</v>
      </c>
    </row>
    <row r="66" spans="1:18" x14ac:dyDescent="0.25">
      <c r="A66" s="17" t="s">
        <v>1680</v>
      </c>
      <c r="B66" s="17" t="s">
        <v>1681</v>
      </c>
      <c r="C66" s="17" t="s">
        <v>1682</v>
      </c>
      <c r="D66" s="25"/>
      <c r="E66" s="25"/>
      <c r="F66" s="25"/>
      <c r="G66" s="25"/>
      <c r="H66" s="25"/>
      <c r="I66" s="25"/>
      <c r="J66" s="25"/>
      <c r="K66" s="25"/>
      <c r="L66" s="25"/>
      <c r="M66" s="25">
        <v>727.75</v>
      </c>
      <c r="N66" s="25">
        <v>763.06</v>
      </c>
      <c r="O66" s="25">
        <v>770.06</v>
      </c>
      <c r="P66" s="25">
        <v>749.61</v>
      </c>
      <c r="Q66" s="25">
        <v>756.01</v>
      </c>
      <c r="R66" s="26">
        <f t="shared" si="0"/>
        <v>3766.49</v>
      </c>
    </row>
    <row r="67" spans="1:18" x14ac:dyDescent="0.25">
      <c r="A67" s="17" t="s">
        <v>1683</v>
      </c>
      <c r="B67" s="17" t="s">
        <v>1446</v>
      </c>
      <c r="C67" s="17" t="s">
        <v>1684</v>
      </c>
      <c r="D67" s="25"/>
      <c r="E67" s="25"/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389.1</v>
      </c>
      <c r="M67" s="25">
        <v>379.48</v>
      </c>
      <c r="N67" s="25">
        <v>386.65</v>
      </c>
      <c r="O67" s="25">
        <v>391.42</v>
      </c>
      <c r="P67" s="25">
        <v>377.36</v>
      </c>
      <c r="Q67" s="25">
        <v>383.76</v>
      </c>
      <c r="R67" s="26">
        <f t="shared" ref="R67:R130" si="1">SUM(D67:Q67)</f>
        <v>2307.7700000000004</v>
      </c>
    </row>
    <row r="68" spans="1:18" x14ac:dyDescent="0.25">
      <c r="A68" s="17" t="s">
        <v>1685</v>
      </c>
      <c r="B68" s="17" t="s">
        <v>1686</v>
      </c>
      <c r="C68" s="17" t="s">
        <v>1687</v>
      </c>
      <c r="D68" s="25"/>
      <c r="E68" s="25"/>
      <c r="F68" s="25"/>
      <c r="G68" s="25"/>
      <c r="H68" s="25"/>
      <c r="I68" s="25"/>
      <c r="J68" s="25"/>
      <c r="K68" s="25"/>
      <c r="L68" s="25"/>
      <c r="M68" s="25">
        <v>402.26</v>
      </c>
      <c r="N68" s="25">
        <v>417.86</v>
      </c>
      <c r="O68" s="25">
        <v>424.85</v>
      </c>
      <c r="P68" s="25">
        <v>394.68</v>
      </c>
      <c r="Q68" s="25">
        <v>412.48</v>
      </c>
      <c r="R68" s="26">
        <f t="shared" si="1"/>
        <v>2052.13</v>
      </c>
    </row>
    <row r="69" spans="1:18" x14ac:dyDescent="0.25">
      <c r="A69" s="17" t="s">
        <v>1688</v>
      </c>
      <c r="B69" s="17" t="s">
        <v>1689</v>
      </c>
      <c r="C69" s="17" t="s">
        <v>1690</v>
      </c>
      <c r="D69" s="25"/>
      <c r="E69" s="25"/>
      <c r="F69" s="25"/>
      <c r="G69" s="25"/>
      <c r="H69" s="25"/>
      <c r="I69" s="25"/>
      <c r="J69" s="25"/>
      <c r="K69" s="25"/>
      <c r="L69" s="25"/>
      <c r="M69" s="25">
        <v>242.83</v>
      </c>
      <c r="N69" s="25">
        <v>251.45</v>
      </c>
      <c r="O69" s="25">
        <v>251.45</v>
      </c>
      <c r="P69" s="25">
        <v>254.32</v>
      </c>
      <c r="Q69" s="25">
        <v>254.43</v>
      </c>
      <c r="R69" s="26">
        <f t="shared" si="1"/>
        <v>1254.48</v>
      </c>
    </row>
    <row r="70" spans="1:18" x14ac:dyDescent="0.25">
      <c r="A70" s="17" t="s">
        <v>1691</v>
      </c>
      <c r="B70" s="17" t="s">
        <v>1692</v>
      </c>
      <c r="C70" s="17" t="s">
        <v>1693</v>
      </c>
      <c r="D70" s="25"/>
      <c r="E70" s="25"/>
      <c r="F70" s="25"/>
      <c r="G70" s="25"/>
      <c r="H70" s="25"/>
      <c r="I70" s="25"/>
      <c r="J70" s="25"/>
      <c r="K70" s="25"/>
      <c r="L70" s="25"/>
      <c r="M70" s="25">
        <v>312.92</v>
      </c>
      <c r="N70" s="25">
        <v>318.60000000000002</v>
      </c>
      <c r="O70" s="25">
        <v>317.29000000000002</v>
      </c>
      <c r="P70" s="25">
        <v>308.32</v>
      </c>
      <c r="Q70" s="25">
        <v>312.18</v>
      </c>
      <c r="R70" s="26">
        <f t="shared" si="1"/>
        <v>1569.31</v>
      </c>
    </row>
    <row r="71" spans="1:18" x14ac:dyDescent="0.25">
      <c r="A71" s="17" t="s">
        <v>1694</v>
      </c>
      <c r="B71" s="17" t="s">
        <v>1695</v>
      </c>
      <c r="C71" s="17" t="s">
        <v>1696</v>
      </c>
      <c r="D71" s="25"/>
      <c r="E71" s="25"/>
      <c r="F71" s="25"/>
      <c r="G71" s="25"/>
      <c r="H71" s="25"/>
      <c r="I71" s="25"/>
      <c r="J71" s="25"/>
      <c r="K71" s="25"/>
      <c r="L71" s="25"/>
      <c r="M71" s="25">
        <v>187.48</v>
      </c>
      <c r="N71" s="25">
        <v>187.55</v>
      </c>
      <c r="O71" s="25">
        <v>183.7</v>
      </c>
      <c r="P71" s="25">
        <v>176.67</v>
      </c>
      <c r="Q71" s="25">
        <v>179.87</v>
      </c>
      <c r="R71" s="26">
        <f t="shared" si="1"/>
        <v>915.27</v>
      </c>
    </row>
    <row r="72" spans="1:18" x14ac:dyDescent="0.25">
      <c r="A72" s="17" t="s">
        <v>1697</v>
      </c>
      <c r="B72" s="17" t="s">
        <v>1698</v>
      </c>
      <c r="C72" s="17" t="s">
        <v>1699</v>
      </c>
      <c r="D72" s="25"/>
      <c r="E72" s="25"/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182.54</v>
      </c>
      <c r="M72" s="25">
        <v>180.01</v>
      </c>
      <c r="N72" s="25">
        <v>179.24</v>
      </c>
      <c r="O72" s="25">
        <v>183.7</v>
      </c>
      <c r="P72" s="25">
        <v>179.54</v>
      </c>
      <c r="Q72" s="25">
        <v>179.87</v>
      </c>
      <c r="R72" s="26">
        <f t="shared" si="1"/>
        <v>1084.9000000000001</v>
      </c>
    </row>
    <row r="73" spans="1:18" x14ac:dyDescent="0.25">
      <c r="A73" s="17" t="s">
        <v>1700</v>
      </c>
      <c r="B73" s="17" t="s">
        <v>1701</v>
      </c>
      <c r="C73" s="17" t="s">
        <v>1702</v>
      </c>
      <c r="D73" s="25"/>
      <c r="E73" s="25"/>
      <c r="F73" s="25"/>
      <c r="G73" s="25"/>
      <c r="H73" s="25"/>
      <c r="I73" s="25"/>
      <c r="J73" s="25"/>
      <c r="K73" s="25"/>
      <c r="L73" s="25"/>
      <c r="M73" s="25">
        <v>294.25</v>
      </c>
      <c r="N73" s="25">
        <v>306.13</v>
      </c>
      <c r="O73" s="25">
        <v>317.29000000000002</v>
      </c>
      <c r="P73" s="25">
        <v>311.19</v>
      </c>
      <c r="Q73" s="25">
        <v>321.12</v>
      </c>
      <c r="R73" s="26">
        <f t="shared" si="1"/>
        <v>1549.98</v>
      </c>
    </row>
    <row r="74" spans="1:18" x14ac:dyDescent="0.25">
      <c r="A74" s="17" t="s">
        <v>1703</v>
      </c>
      <c r="B74" s="17" t="s">
        <v>1704</v>
      </c>
      <c r="C74" s="17" t="s">
        <v>1705</v>
      </c>
      <c r="D74" s="25"/>
      <c r="E74" s="25"/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80.52</v>
      </c>
      <c r="L74" s="25">
        <v>80.52</v>
      </c>
      <c r="M74" s="25">
        <v>383.21</v>
      </c>
      <c r="N74" s="25">
        <v>411.59999999999997</v>
      </c>
      <c r="O74" s="25">
        <v>404.2</v>
      </c>
      <c r="P74" s="25">
        <v>391.7</v>
      </c>
      <c r="Q74" s="25">
        <v>392.7</v>
      </c>
      <c r="R74" s="26">
        <f t="shared" si="1"/>
        <v>2144.4499999999998</v>
      </c>
    </row>
    <row r="75" spans="1:18" x14ac:dyDescent="0.25">
      <c r="A75" s="17" t="s">
        <v>1706</v>
      </c>
      <c r="B75" s="17" t="s">
        <v>1707</v>
      </c>
      <c r="C75" s="17" t="s">
        <v>1708</v>
      </c>
      <c r="D75" s="25"/>
      <c r="E75" s="25"/>
      <c r="F75" s="25"/>
      <c r="G75" s="25"/>
      <c r="H75" s="25"/>
      <c r="I75" s="25"/>
      <c r="J75" s="25"/>
      <c r="K75" s="25"/>
      <c r="L75" s="25"/>
      <c r="M75" s="25">
        <v>165.07</v>
      </c>
      <c r="N75" s="25">
        <v>175.08</v>
      </c>
      <c r="O75" s="25">
        <v>170.93</v>
      </c>
      <c r="P75" s="25">
        <v>173.8</v>
      </c>
      <c r="Q75" s="25">
        <v>173.91</v>
      </c>
      <c r="R75" s="26">
        <f t="shared" si="1"/>
        <v>858.79</v>
      </c>
    </row>
    <row r="76" spans="1:18" x14ac:dyDescent="0.25">
      <c r="A76" s="17" t="s">
        <v>1709</v>
      </c>
      <c r="B76" s="17" t="s">
        <v>1263</v>
      </c>
      <c r="C76" s="17" t="s">
        <v>1710</v>
      </c>
      <c r="D76" s="25"/>
      <c r="E76" s="25"/>
      <c r="F76" s="25"/>
      <c r="G76" s="25"/>
      <c r="H76" s="25"/>
      <c r="I76" s="25"/>
      <c r="J76" s="25"/>
      <c r="K76" s="25"/>
      <c r="L76" s="25"/>
      <c r="M76" s="25">
        <v>368.27</v>
      </c>
      <c r="N76" s="25">
        <v>374.19</v>
      </c>
      <c r="O76" s="25">
        <v>378.65</v>
      </c>
      <c r="P76" s="25">
        <v>374.49</v>
      </c>
      <c r="Q76" s="25">
        <v>374.82</v>
      </c>
      <c r="R76" s="26">
        <f t="shared" si="1"/>
        <v>1870.42</v>
      </c>
    </row>
    <row r="77" spans="1:18" x14ac:dyDescent="0.25">
      <c r="A77" s="17" t="s">
        <v>1711</v>
      </c>
      <c r="B77" s="17" t="s">
        <v>1712</v>
      </c>
      <c r="C77" s="17" t="s">
        <v>1713</v>
      </c>
      <c r="D77" s="25"/>
      <c r="E77" s="25"/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520.13</v>
      </c>
      <c r="M77" s="25">
        <v>502.27</v>
      </c>
      <c r="N77" s="25">
        <v>534.59</v>
      </c>
      <c r="O77" s="25">
        <v>505.81</v>
      </c>
      <c r="P77" s="25">
        <v>510.26</v>
      </c>
      <c r="Q77" s="25">
        <v>516.88</v>
      </c>
      <c r="R77" s="26">
        <f t="shared" si="1"/>
        <v>3089.9400000000005</v>
      </c>
    </row>
    <row r="78" spans="1:18" x14ac:dyDescent="0.25">
      <c r="A78" s="17" t="s">
        <v>1714</v>
      </c>
      <c r="B78" s="17" t="s">
        <v>1715</v>
      </c>
      <c r="C78" s="17" t="s">
        <v>1716</v>
      </c>
      <c r="D78" s="25"/>
      <c r="E78" s="25"/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456.23</v>
      </c>
      <c r="M78" s="25">
        <v>459.24</v>
      </c>
      <c r="N78" s="25">
        <v>469.83</v>
      </c>
      <c r="O78" s="25">
        <v>459.91</v>
      </c>
      <c r="P78" s="25">
        <v>463.71</v>
      </c>
      <c r="Q78" s="25">
        <v>485.45</v>
      </c>
      <c r="R78" s="26">
        <f t="shared" si="1"/>
        <v>2794.37</v>
      </c>
    </row>
    <row r="79" spans="1:18" x14ac:dyDescent="0.25">
      <c r="A79" s="17" t="s">
        <v>1717</v>
      </c>
      <c r="B79" s="17" t="s">
        <v>1718</v>
      </c>
      <c r="C79" s="17" t="s">
        <v>1719</v>
      </c>
      <c r="D79" s="25"/>
      <c r="E79" s="25"/>
      <c r="F79" s="25"/>
      <c r="G79" s="25"/>
      <c r="H79" s="25"/>
      <c r="I79" s="25"/>
      <c r="J79" s="25"/>
      <c r="K79" s="25"/>
      <c r="L79" s="25"/>
      <c r="M79" s="25">
        <v>394.36</v>
      </c>
      <c r="N79" s="25">
        <v>415.35</v>
      </c>
      <c r="O79" s="25">
        <v>430.34</v>
      </c>
      <c r="P79" s="25">
        <v>400.73</v>
      </c>
      <c r="Q79" s="25">
        <v>418.90999999999997</v>
      </c>
      <c r="R79" s="26">
        <f t="shared" si="1"/>
        <v>2059.69</v>
      </c>
    </row>
    <row r="80" spans="1:18" x14ac:dyDescent="0.25">
      <c r="A80" s="17" t="s">
        <v>1720</v>
      </c>
      <c r="B80" s="17" t="s">
        <v>1721</v>
      </c>
      <c r="C80" s="17" t="s">
        <v>1722</v>
      </c>
      <c r="D80" s="25"/>
      <c r="E80" s="25"/>
      <c r="F80" s="25"/>
      <c r="G80" s="25"/>
      <c r="H80" s="25"/>
      <c r="I80" s="25"/>
      <c r="J80" s="25"/>
      <c r="K80" s="25"/>
      <c r="L80" s="25"/>
      <c r="M80" s="25">
        <v>398.15</v>
      </c>
      <c r="N80" s="25">
        <v>424.02</v>
      </c>
      <c r="O80" s="25">
        <v>429.74</v>
      </c>
      <c r="P80" s="25">
        <v>394.58</v>
      </c>
      <c r="Q80" s="25">
        <v>404.62</v>
      </c>
      <c r="R80" s="26">
        <f t="shared" si="1"/>
        <v>2051.1099999999997</v>
      </c>
    </row>
    <row r="81" spans="1:18" x14ac:dyDescent="0.25">
      <c r="A81" s="17" t="s">
        <v>1723</v>
      </c>
      <c r="B81" s="17" t="s">
        <v>1724</v>
      </c>
      <c r="C81" s="17" t="s">
        <v>1725</v>
      </c>
      <c r="D81" s="25"/>
      <c r="E81" s="25"/>
      <c r="F81" s="25"/>
      <c r="G81" s="25"/>
      <c r="H81" s="25"/>
      <c r="I81" s="25"/>
      <c r="J81" s="25"/>
      <c r="K81" s="25"/>
      <c r="L81" s="25"/>
      <c r="M81" s="25">
        <v>265.35000000000002</v>
      </c>
      <c r="N81" s="25">
        <v>274.77</v>
      </c>
      <c r="O81" s="25">
        <v>281.16000000000003</v>
      </c>
      <c r="P81" s="25">
        <v>274.82</v>
      </c>
      <c r="Q81" s="25">
        <v>277.75</v>
      </c>
      <c r="R81" s="26">
        <f t="shared" si="1"/>
        <v>1373.85</v>
      </c>
    </row>
    <row r="82" spans="1:18" x14ac:dyDescent="0.25">
      <c r="A82" s="17" t="s">
        <v>1726</v>
      </c>
      <c r="B82" s="17" t="s">
        <v>1223</v>
      </c>
      <c r="C82" s="17" t="s">
        <v>1727</v>
      </c>
      <c r="D82" s="25"/>
      <c r="E82" s="25"/>
      <c r="F82" s="25"/>
      <c r="G82" s="25"/>
      <c r="H82" s="25"/>
      <c r="I82" s="25"/>
      <c r="J82" s="25"/>
      <c r="K82" s="25"/>
      <c r="L82" s="25"/>
      <c r="M82" s="25">
        <v>365.8</v>
      </c>
      <c r="N82" s="25">
        <v>382.39</v>
      </c>
      <c r="O82" s="25">
        <v>381.42</v>
      </c>
      <c r="P82" s="25">
        <v>373.21</v>
      </c>
      <c r="Q82" s="25">
        <v>380.25</v>
      </c>
      <c r="R82" s="26">
        <f t="shared" si="1"/>
        <v>1883.0700000000002</v>
      </c>
    </row>
    <row r="83" spans="1:18" x14ac:dyDescent="0.25">
      <c r="A83" s="17" t="s">
        <v>1728</v>
      </c>
      <c r="B83" s="17" t="s">
        <v>1729</v>
      </c>
      <c r="C83" s="17" t="s">
        <v>1730</v>
      </c>
      <c r="D83" s="25"/>
      <c r="E83" s="25"/>
      <c r="F83" s="25"/>
      <c r="G83" s="25"/>
      <c r="H83" s="25"/>
      <c r="I83" s="25"/>
      <c r="J83" s="25"/>
      <c r="K83" s="25"/>
      <c r="L83" s="25"/>
      <c r="M83" s="25">
        <v>175.82</v>
      </c>
      <c r="N83" s="25">
        <v>179.56</v>
      </c>
      <c r="O83" s="25">
        <v>178.5</v>
      </c>
      <c r="P83" s="25">
        <v>175.35</v>
      </c>
      <c r="Q83" s="25">
        <v>176.66</v>
      </c>
      <c r="R83" s="26">
        <f t="shared" si="1"/>
        <v>885.89</v>
      </c>
    </row>
    <row r="84" spans="1:18" x14ac:dyDescent="0.25">
      <c r="A84" s="17" t="s">
        <v>1731</v>
      </c>
      <c r="B84" s="17" t="s">
        <v>1217</v>
      </c>
      <c r="C84" s="17" t="s">
        <v>1732</v>
      </c>
      <c r="D84" s="25"/>
      <c r="E84" s="25"/>
      <c r="F84" s="25"/>
      <c r="G84" s="25"/>
      <c r="H84" s="25"/>
      <c r="I84" s="25"/>
      <c r="J84" s="25"/>
      <c r="K84" s="25"/>
      <c r="L84" s="25"/>
      <c r="M84" s="25">
        <v>168.8</v>
      </c>
      <c r="N84" s="25">
        <v>175.08</v>
      </c>
      <c r="O84" s="25">
        <v>177.32</v>
      </c>
      <c r="P84" s="25">
        <v>176.67</v>
      </c>
      <c r="Q84" s="25">
        <v>173.91</v>
      </c>
      <c r="R84" s="26">
        <f t="shared" si="1"/>
        <v>871.78</v>
      </c>
    </row>
    <row r="85" spans="1:18" x14ac:dyDescent="0.25">
      <c r="A85" s="17" t="s">
        <v>1733</v>
      </c>
      <c r="B85" s="17" t="s">
        <v>1734</v>
      </c>
      <c r="C85" s="17" t="s">
        <v>1735</v>
      </c>
      <c r="D85" s="25"/>
      <c r="E85" s="25"/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80.52</v>
      </c>
      <c r="M85" s="25">
        <v>377.68</v>
      </c>
      <c r="N85" s="25">
        <v>410.72</v>
      </c>
      <c r="O85" s="25">
        <v>415.06</v>
      </c>
      <c r="P85" s="25">
        <v>392.97</v>
      </c>
      <c r="Q85" s="25">
        <v>402.01</v>
      </c>
      <c r="R85" s="26">
        <f t="shared" si="1"/>
        <v>2078.96</v>
      </c>
    </row>
    <row r="86" spans="1:18" x14ac:dyDescent="0.25">
      <c r="A86" s="17" t="s">
        <v>1736</v>
      </c>
      <c r="B86" s="17" t="s">
        <v>1737</v>
      </c>
      <c r="C86" s="17" t="s">
        <v>1738</v>
      </c>
      <c r="D86" s="25"/>
      <c r="E86" s="25"/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381.36</v>
      </c>
      <c r="M86" s="25">
        <v>368.28</v>
      </c>
      <c r="N86" s="25">
        <v>374.19</v>
      </c>
      <c r="O86" s="25">
        <v>365.88</v>
      </c>
      <c r="P86" s="25">
        <v>371.62</v>
      </c>
      <c r="Q86" s="25">
        <v>368.86</v>
      </c>
      <c r="R86" s="26">
        <f t="shared" si="1"/>
        <v>2230.19</v>
      </c>
    </row>
    <row r="87" spans="1:18" x14ac:dyDescent="0.25">
      <c r="A87" s="17" t="s">
        <v>1739</v>
      </c>
      <c r="B87" s="17" t="s">
        <v>1740</v>
      </c>
      <c r="C87" s="17" t="s">
        <v>1741</v>
      </c>
      <c r="D87" s="25"/>
      <c r="E87" s="25"/>
      <c r="F87" s="25">
        <v>0</v>
      </c>
      <c r="G87" s="25">
        <v>0</v>
      </c>
      <c r="H87" s="25">
        <v>0</v>
      </c>
      <c r="I87" s="25">
        <v>0</v>
      </c>
      <c r="J87" s="25">
        <v>487.31</v>
      </c>
      <c r="K87" s="25">
        <v>466.41</v>
      </c>
      <c r="L87" s="25">
        <v>463.74</v>
      </c>
      <c r="M87" s="25">
        <v>407.07</v>
      </c>
      <c r="N87" s="25">
        <v>421.91</v>
      </c>
      <c r="O87" s="25">
        <v>422.41</v>
      </c>
      <c r="P87" s="25">
        <v>393.7</v>
      </c>
      <c r="Q87" s="25">
        <v>418.99</v>
      </c>
      <c r="R87" s="26">
        <f t="shared" si="1"/>
        <v>3481.54</v>
      </c>
    </row>
    <row r="88" spans="1:18" x14ac:dyDescent="0.25">
      <c r="A88" s="17" t="s">
        <v>1742</v>
      </c>
      <c r="B88" s="17" t="s">
        <v>1278</v>
      </c>
      <c r="C88" s="17" t="s">
        <v>1743</v>
      </c>
      <c r="D88" s="25"/>
      <c r="E88" s="25"/>
      <c r="F88" s="25"/>
      <c r="G88" s="25"/>
      <c r="H88" s="25"/>
      <c r="I88" s="25"/>
      <c r="J88" s="25"/>
      <c r="K88" s="25"/>
      <c r="L88" s="25"/>
      <c r="M88" s="25">
        <v>389.14</v>
      </c>
      <c r="N88" s="25">
        <v>409.51</v>
      </c>
      <c r="O88" s="25">
        <v>404.03</v>
      </c>
      <c r="P88" s="25">
        <v>388.09</v>
      </c>
      <c r="Q88" s="25">
        <v>393.68</v>
      </c>
      <c r="R88" s="26">
        <f t="shared" si="1"/>
        <v>1984.4499999999998</v>
      </c>
    </row>
    <row r="89" spans="1:18" x14ac:dyDescent="0.25">
      <c r="A89" s="17" t="s">
        <v>1744</v>
      </c>
      <c r="B89" s="17" t="s">
        <v>1745</v>
      </c>
      <c r="C89" s="17" t="s">
        <v>1746</v>
      </c>
      <c r="D89" s="25"/>
      <c r="E89" s="25"/>
      <c r="F89" s="25">
        <v>0</v>
      </c>
      <c r="G89" s="25">
        <v>385.43</v>
      </c>
      <c r="H89" s="25">
        <v>404.78</v>
      </c>
      <c r="I89" s="25">
        <v>373.62</v>
      </c>
      <c r="J89" s="25">
        <v>381.36</v>
      </c>
      <c r="K89" s="25">
        <v>381.36</v>
      </c>
      <c r="L89" s="25">
        <v>373.62</v>
      </c>
      <c r="M89" s="25">
        <v>368.25</v>
      </c>
      <c r="N89" s="25">
        <v>386.65</v>
      </c>
      <c r="O89" s="25">
        <v>385.04</v>
      </c>
      <c r="P89" s="25">
        <v>385.97</v>
      </c>
      <c r="Q89" s="25">
        <v>368.86</v>
      </c>
      <c r="R89" s="26">
        <f t="shared" si="1"/>
        <v>4194.9399999999996</v>
      </c>
    </row>
    <row r="90" spans="1:18" x14ac:dyDescent="0.25">
      <c r="A90" s="17" t="s">
        <v>1747</v>
      </c>
      <c r="B90" s="17" t="s">
        <v>1748</v>
      </c>
      <c r="C90" s="17" t="s">
        <v>1749</v>
      </c>
      <c r="D90" s="25"/>
      <c r="E90" s="25"/>
      <c r="F90" s="25">
        <v>0</v>
      </c>
      <c r="G90" s="25">
        <v>0</v>
      </c>
      <c r="H90" s="25">
        <v>0</v>
      </c>
      <c r="I90" s="25">
        <v>0</v>
      </c>
      <c r="J90" s="25">
        <v>0</v>
      </c>
      <c r="K90" s="25">
        <v>23.32</v>
      </c>
      <c r="L90" s="25">
        <v>194.25</v>
      </c>
      <c r="M90" s="25">
        <v>187.59</v>
      </c>
      <c r="N90" s="25">
        <v>194.25</v>
      </c>
      <c r="O90" s="25">
        <v>194.25</v>
      </c>
      <c r="P90" s="25">
        <v>199.99</v>
      </c>
      <c r="Q90" s="25">
        <v>194.25</v>
      </c>
      <c r="R90" s="26">
        <f t="shared" si="1"/>
        <v>1187.9000000000001</v>
      </c>
    </row>
    <row r="91" spans="1:18" x14ac:dyDescent="0.25">
      <c r="A91" s="17" t="s">
        <v>1750</v>
      </c>
      <c r="B91" s="17" t="s">
        <v>1751</v>
      </c>
      <c r="C91" s="17" t="s">
        <v>1752</v>
      </c>
      <c r="D91" s="25"/>
      <c r="E91" s="25"/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365.88</v>
      </c>
      <c r="M91" s="25">
        <v>360.8</v>
      </c>
      <c r="N91" s="25">
        <v>394.96</v>
      </c>
      <c r="O91" s="25">
        <v>423.35</v>
      </c>
      <c r="P91" s="25">
        <v>397.45</v>
      </c>
      <c r="Q91" s="25">
        <v>410.58</v>
      </c>
      <c r="R91" s="26">
        <f t="shared" si="1"/>
        <v>2353.0200000000004</v>
      </c>
    </row>
    <row r="92" spans="1:18" x14ac:dyDescent="0.25">
      <c r="A92" s="17" t="s">
        <v>1753</v>
      </c>
      <c r="B92" s="17" t="s">
        <v>1754</v>
      </c>
      <c r="C92" s="17" t="s">
        <v>1755</v>
      </c>
      <c r="D92" s="25"/>
      <c r="E92" s="25"/>
      <c r="F92" s="25"/>
      <c r="G92" s="25"/>
      <c r="H92" s="25"/>
      <c r="I92" s="25"/>
      <c r="J92" s="25"/>
      <c r="K92" s="25"/>
      <c r="L92" s="25"/>
      <c r="M92" s="25">
        <v>275.58</v>
      </c>
      <c r="N92" s="25">
        <v>285.36</v>
      </c>
      <c r="O92" s="25">
        <v>285.36</v>
      </c>
      <c r="P92" s="25">
        <v>288.23</v>
      </c>
      <c r="Q92" s="25">
        <v>285.36</v>
      </c>
      <c r="R92" s="26">
        <f t="shared" si="1"/>
        <v>1419.8900000000003</v>
      </c>
    </row>
    <row r="93" spans="1:18" x14ac:dyDescent="0.25">
      <c r="A93" s="17" t="s">
        <v>1756</v>
      </c>
      <c r="B93" s="17" t="s">
        <v>1439</v>
      </c>
      <c r="C93" s="17" t="s">
        <v>1757</v>
      </c>
      <c r="D93" s="25"/>
      <c r="E93" s="25"/>
      <c r="F93" s="25"/>
      <c r="G93" s="25"/>
      <c r="H93" s="25"/>
      <c r="I93" s="25"/>
      <c r="J93" s="25"/>
      <c r="K93" s="25"/>
      <c r="L93" s="25"/>
      <c r="M93" s="25">
        <v>254.03</v>
      </c>
      <c r="N93" s="25">
        <v>259.76</v>
      </c>
      <c r="O93" s="25">
        <v>276.99</v>
      </c>
      <c r="P93" s="25">
        <v>254.32</v>
      </c>
      <c r="Q93" s="25">
        <v>257.41000000000003</v>
      </c>
      <c r="R93" s="26">
        <f t="shared" si="1"/>
        <v>1302.51</v>
      </c>
    </row>
    <row r="94" spans="1:18" x14ac:dyDescent="0.25">
      <c r="A94" s="17" t="s">
        <v>1758</v>
      </c>
      <c r="B94" s="17" t="s">
        <v>1759</v>
      </c>
      <c r="C94" s="17" t="s">
        <v>1760</v>
      </c>
      <c r="D94" s="25"/>
      <c r="E94" s="25"/>
      <c r="F94" s="25"/>
      <c r="G94" s="25"/>
      <c r="H94" s="25"/>
      <c r="I94" s="25"/>
      <c r="J94" s="25"/>
      <c r="K94" s="25"/>
      <c r="L94" s="25"/>
      <c r="M94" s="25">
        <v>375.74</v>
      </c>
      <c r="N94" s="25">
        <v>390.81</v>
      </c>
      <c r="O94" s="25">
        <v>397.81</v>
      </c>
      <c r="P94" s="25">
        <v>383.1</v>
      </c>
      <c r="Q94" s="25">
        <v>380.78</v>
      </c>
      <c r="R94" s="26">
        <f t="shared" si="1"/>
        <v>1928.24</v>
      </c>
    </row>
    <row r="95" spans="1:18" x14ac:dyDescent="0.25">
      <c r="A95" s="17" t="s">
        <v>1761</v>
      </c>
      <c r="B95" s="17" t="s">
        <v>1762</v>
      </c>
      <c r="C95" s="17" t="s">
        <v>1763</v>
      </c>
      <c r="D95" s="25"/>
      <c r="E95" s="25"/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5">
        <v>255.32</v>
      </c>
      <c r="M95" s="25">
        <v>250.3</v>
      </c>
      <c r="N95" s="25">
        <v>259.76</v>
      </c>
      <c r="O95" s="25">
        <v>251.45</v>
      </c>
      <c r="P95" s="25">
        <v>262.93</v>
      </c>
      <c r="Q95" s="25">
        <v>251.45</v>
      </c>
      <c r="R95" s="26">
        <f t="shared" si="1"/>
        <v>1531.21</v>
      </c>
    </row>
    <row r="96" spans="1:18" x14ac:dyDescent="0.25">
      <c r="A96" s="17" t="s">
        <v>1764</v>
      </c>
      <c r="B96" s="17" t="s">
        <v>1765</v>
      </c>
      <c r="C96" s="17" t="s">
        <v>1766</v>
      </c>
      <c r="D96" s="25"/>
      <c r="E96" s="25"/>
      <c r="F96" s="25"/>
      <c r="G96" s="25"/>
      <c r="H96" s="25"/>
      <c r="I96" s="25"/>
      <c r="J96" s="25"/>
      <c r="K96" s="25"/>
      <c r="L96" s="25"/>
      <c r="M96" s="25">
        <v>261.5</v>
      </c>
      <c r="N96" s="25">
        <v>272.22000000000003</v>
      </c>
      <c r="O96" s="25">
        <v>270.61</v>
      </c>
      <c r="P96" s="25">
        <v>260.06</v>
      </c>
      <c r="Q96" s="25">
        <v>257.41000000000003</v>
      </c>
      <c r="R96" s="26">
        <f t="shared" si="1"/>
        <v>1321.8000000000002</v>
      </c>
    </row>
    <row r="97" spans="1:18" x14ac:dyDescent="0.25">
      <c r="A97" s="17" t="s">
        <v>1767</v>
      </c>
      <c r="B97" s="17" t="s">
        <v>1768</v>
      </c>
      <c r="C97" s="17" t="s">
        <v>1769</v>
      </c>
      <c r="D97" s="25"/>
      <c r="E97" s="25"/>
      <c r="F97" s="25"/>
      <c r="G97" s="25"/>
      <c r="H97" s="25"/>
      <c r="I97" s="25"/>
      <c r="J97" s="25"/>
      <c r="K97" s="25"/>
      <c r="L97" s="25"/>
      <c r="M97" s="25">
        <v>294.25</v>
      </c>
      <c r="N97" s="25">
        <v>339.37</v>
      </c>
      <c r="O97" s="25">
        <v>342.83</v>
      </c>
      <c r="P97" s="25">
        <v>316.93</v>
      </c>
      <c r="Q97" s="25">
        <v>321.12</v>
      </c>
      <c r="R97" s="26">
        <f t="shared" si="1"/>
        <v>1614.5</v>
      </c>
    </row>
    <row r="98" spans="1:18" x14ac:dyDescent="0.25">
      <c r="A98" s="17" t="s">
        <v>1770</v>
      </c>
      <c r="B98" s="17" t="s">
        <v>1771</v>
      </c>
      <c r="C98" s="17" t="s">
        <v>1772</v>
      </c>
      <c r="D98" s="25"/>
      <c r="E98" s="25"/>
      <c r="F98" s="25"/>
      <c r="G98" s="25"/>
      <c r="H98" s="25"/>
      <c r="I98" s="25"/>
      <c r="J98" s="25"/>
      <c r="K98" s="25"/>
      <c r="L98" s="25"/>
      <c r="M98" s="25">
        <v>381.5</v>
      </c>
      <c r="N98" s="25">
        <v>390.96</v>
      </c>
      <c r="O98" s="25">
        <v>376.09</v>
      </c>
      <c r="P98" s="25">
        <v>367.03</v>
      </c>
      <c r="Q98" s="25">
        <v>368.33</v>
      </c>
      <c r="R98" s="26">
        <f t="shared" si="1"/>
        <v>1883.9099999999999</v>
      </c>
    </row>
    <row r="99" spans="1:18" x14ac:dyDescent="0.25">
      <c r="A99" s="17" t="s">
        <v>1773</v>
      </c>
      <c r="B99" s="17" t="s">
        <v>1358</v>
      </c>
      <c r="C99" s="17" t="s">
        <v>1774</v>
      </c>
      <c r="D99" s="25"/>
      <c r="E99" s="25"/>
      <c r="F99" s="25"/>
      <c r="G99" s="25"/>
      <c r="H99" s="25"/>
      <c r="I99" s="25"/>
      <c r="J99" s="25"/>
      <c r="K99" s="25"/>
      <c r="L99" s="25"/>
      <c r="M99" s="25">
        <v>641.09</v>
      </c>
      <c r="N99" s="25">
        <v>653.11</v>
      </c>
      <c r="O99" s="25">
        <v>659.81</v>
      </c>
      <c r="P99" s="25">
        <v>660.74</v>
      </c>
      <c r="Q99" s="25">
        <v>673.43000000000006</v>
      </c>
      <c r="R99" s="26">
        <f t="shared" si="1"/>
        <v>3288.1800000000003</v>
      </c>
    </row>
    <row r="100" spans="1:18" x14ac:dyDescent="0.25">
      <c r="A100" s="17" t="s">
        <v>1775</v>
      </c>
      <c r="B100" s="17" t="s">
        <v>1776</v>
      </c>
      <c r="C100" s="17" t="s">
        <v>1777</v>
      </c>
      <c r="D100" s="25"/>
      <c r="E100" s="25"/>
      <c r="F100" s="25">
        <v>0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  <c r="L100" s="25">
        <v>304.70999999999998</v>
      </c>
      <c r="M100" s="25">
        <v>297.99</v>
      </c>
      <c r="N100" s="25">
        <v>306.13</v>
      </c>
      <c r="O100" s="25">
        <v>304.52</v>
      </c>
      <c r="P100" s="25">
        <v>302.58</v>
      </c>
      <c r="Q100" s="25">
        <v>300.26</v>
      </c>
      <c r="R100" s="26">
        <f t="shared" si="1"/>
        <v>1816.1899999999998</v>
      </c>
    </row>
    <row r="101" spans="1:18" x14ac:dyDescent="0.25">
      <c r="A101" s="17" t="s">
        <v>1778</v>
      </c>
      <c r="B101" s="17" t="s">
        <v>1779</v>
      </c>
      <c r="C101" s="17" t="s">
        <v>1780</v>
      </c>
      <c r="D101" s="25"/>
      <c r="E101" s="25"/>
      <c r="F101" s="25"/>
      <c r="G101" s="25"/>
      <c r="H101" s="25"/>
      <c r="I101" s="25"/>
      <c r="J101" s="25"/>
      <c r="K101" s="25"/>
      <c r="L101" s="25"/>
      <c r="M101" s="25">
        <v>386.95</v>
      </c>
      <c r="N101" s="25">
        <v>378.34</v>
      </c>
      <c r="O101" s="25">
        <v>378.65</v>
      </c>
      <c r="P101" s="25">
        <v>377.36</v>
      </c>
      <c r="Q101" s="25">
        <v>380.78</v>
      </c>
      <c r="R101" s="26">
        <f t="shared" si="1"/>
        <v>1902.0800000000002</v>
      </c>
    </row>
    <row r="102" spans="1:18" x14ac:dyDescent="0.25">
      <c r="A102" s="17" t="s">
        <v>1781</v>
      </c>
      <c r="B102" s="17" t="s">
        <v>1782</v>
      </c>
      <c r="C102" s="17" t="s">
        <v>1783</v>
      </c>
      <c r="D102" s="25"/>
      <c r="E102" s="25"/>
      <c r="F102" s="25"/>
      <c r="G102" s="25"/>
      <c r="H102" s="25"/>
      <c r="I102" s="25"/>
      <c r="J102" s="25"/>
      <c r="K102" s="25"/>
      <c r="L102" s="25"/>
      <c r="M102" s="25">
        <v>598.16999999999996</v>
      </c>
      <c r="N102" s="25">
        <v>620</v>
      </c>
      <c r="O102" s="25">
        <v>618.07000000000005</v>
      </c>
      <c r="P102" s="25">
        <v>620.29999999999995</v>
      </c>
      <c r="Q102" s="25">
        <v>617.64</v>
      </c>
      <c r="R102" s="26">
        <f t="shared" si="1"/>
        <v>3074.18</v>
      </c>
    </row>
    <row r="103" spans="1:18" x14ac:dyDescent="0.25">
      <c r="A103" s="17" t="s">
        <v>1784</v>
      </c>
      <c r="B103" s="17" t="s">
        <v>1274</v>
      </c>
      <c r="C103" s="17" t="s">
        <v>1785</v>
      </c>
      <c r="D103" s="25"/>
      <c r="E103" s="25"/>
      <c r="F103" s="25"/>
      <c r="G103" s="25"/>
      <c r="H103" s="25"/>
      <c r="I103" s="25"/>
      <c r="J103" s="25"/>
      <c r="K103" s="25"/>
      <c r="L103" s="25"/>
      <c r="M103" s="25">
        <v>507.13</v>
      </c>
      <c r="N103" s="25">
        <v>521.27</v>
      </c>
      <c r="O103" s="25">
        <v>521.27</v>
      </c>
      <c r="P103" s="25">
        <v>524.14</v>
      </c>
      <c r="Q103" s="25">
        <v>527.23</v>
      </c>
      <c r="R103" s="26">
        <f t="shared" si="1"/>
        <v>2601.04</v>
      </c>
    </row>
    <row r="104" spans="1:18" x14ac:dyDescent="0.25">
      <c r="A104" s="17" t="s">
        <v>1786</v>
      </c>
      <c r="B104" s="17" t="s">
        <v>1787</v>
      </c>
      <c r="C104" s="17" t="s">
        <v>1788</v>
      </c>
      <c r="D104" s="25"/>
      <c r="E104" s="25"/>
      <c r="F104" s="25"/>
      <c r="G104" s="25"/>
      <c r="H104" s="25"/>
      <c r="I104" s="25"/>
      <c r="J104" s="25"/>
      <c r="K104" s="25"/>
      <c r="L104" s="25"/>
      <c r="M104" s="25">
        <v>175.66</v>
      </c>
      <c r="N104" s="25">
        <v>173.35</v>
      </c>
      <c r="O104" s="25">
        <v>170.93</v>
      </c>
      <c r="P104" s="25">
        <v>170.93</v>
      </c>
      <c r="Q104" s="25">
        <v>170.93</v>
      </c>
      <c r="R104" s="26">
        <f t="shared" si="1"/>
        <v>861.80000000000018</v>
      </c>
    </row>
    <row r="105" spans="1:18" x14ac:dyDescent="0.25">
      <c r="A105" s="17" t="s">
        <v>1789</v>
      </c>
      <c r="B105" s="17" t="s">
        <v>1790</v>
      </c>
      <c r="C105" s="17" t="s">
        <v>1791</v>
      </c>
      <c r="D105" s="25"/>
      <c r="E105" s="25"/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387.01</v>
      </c>
      <c r="M105" s="25">
        <v>374.65</v>
      </c>
      <c r="N105" s="25">
        <v>393.07</v>
      </c>
      <c r="O105" s="25">
        <v>391.74</v>
      </c>
      <c r="P105" s="25">
        <v>377.82</v>
      </c>
      <c r="Q105" s="25">
        <v>390.85</v>
      </c>
      <c r="R105" s="26">
        <f t="shared" si="1"/>
        <v>2315.14</v>
      </c>
    </row>
    <row r="106" spans="1:18" x14ac:dyDescent="0.25">
      <c r="A106" s="17" t="s">
        <v>1792</v>
      </c>
      <c r="B106" s="17" t="s">
        <v>1793</v>
      </c>
      <c r="C106" s="17" t="s">
        <v>1794</v>
      </c>
      <c r="D106" s="25"/>
      <c r="E106" s="25"/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25">
        <v>0</v>
      </c>
      <c r="L106" s="25">
        <v>178.67</v>
      </c>
      <c r="M106" s="25">
        <v>183.74</v>
      </c>
      <c r="N106" s="25">
        <v>179.24</v>
      </c>
      <c r="O106" s="25">
        <v>183.7</v>
      </c>
      <c r="P106" s="25">
        <v>179.54</v>
      </c>
      <c r="Q106" s="25">
        <v>179.87</v>
      </c>
      <c r="R106" s="26">
        <f t="shared" si="1"/>
        <v>1084.7599999999998</v>
      </c>
    </row>
    <row r="107" spans="1:18" x14ac:dyDescent="0.25">
      <c r="A107" s="17" t="s">
        <v>1795</v>
      </c>
      <c r="B107" s="17" t="s">
        <v>1796</v>
      </c>
      <c r="C107" s="17" t="s">
        <v>1797</v>
      </c>
      <c r="D107" s="25"/>
      <c r="E107" s="25"/>
      <c r="F107" s="25"/>
      <c r="G107" s="25"/>
      <c r="H107" s="25"/>
      <c r="I107" s="25"/>
      <c r="J107" s="25"/>
      <c r="K107" s="25"/>
      <c r="L107" s="25"/>
      <c r="M107" s="25">
        <v>339.26</v>
      </c>
      <c r="N107" s="25">
        <v>344.43</v>
      </c>
      <c r="O107" s="25">
        <v>344.74</v>
      </c>
      <c r="P107" s="25">
        <v>343.45</v>
      </c>
      <c r="Q107" s="25">
        <v>340.90999999999997</v>
      </c>
      <c r="R107" s="26">
        <f t="shared" si="1"/>
        <v>1712.79</v>
      </c>
    </row>
    <row r="108" spans="1:18" x14ac:dyDescent="0.25">
      <c r="A108" s="17" t="s">
        <v>1798</v>
      </c>
      <c r="B108" s="17" t="s">
        <v>1799</v>
      </c>
      <c r="C108" s="17" t="s">
        <v>1800</v>
      </c>
      <c r="D108" s="25"/>
      <c r="E108" s="25"/>
      <c r="F108" s="25"/>
      <c r="G108" s="25"/>
      <c r="H108" s="25"/>
      <c r="I108" s="25"/>
      <c r="J108" s="25"/>
      <c r="K108" s="25"/>
      <c r="L108" s="25"/>
      <c r="M108" s="25">
        <v>391.13</v>
      </c>
      <c r="N108" s="25">
        <v>401.16</v>
      </c>
      <c r="O108" s="25">
        <v>399.49</v>
      </c>
      <c r="P108" s="25">
        <v>386.57</v>
      </c>
      <c r="Q108" s="25">
        <v>396.7</v>
      </c>
      <c r="R108" s="26">
        <f t="shared" si="1"/>
        <v>1975.05</v>
      </c>
    </row>
    <row r="109" spans="1:18" x14ac:dyDescent="0.25">
      <c r="A109" s="17" t="s">
        <v>1801</v>
      </c>
      <c r="B109" s="17" t="s">
        <v>1802</v>
      </c>
      <c r="C109" s="17" t="s">
        <v>1803</v>
      </c>
      <c r="D109" s="25"/>
      <c r="E109" s="25"/>
      <c r="F109" s="25"/>
      <c r="G109" s="25"/>
      <c r="H109" s="25"/>
      <c r="I109" s="25"/>
      <c r="J109" s="25"/>
      <c r="K109" s="25"/>
      <c r="L109" s="25"/>
      <c r="M109" s="25">
        <v>77.75</v>
      </c>
      <c r="N109" s="25">
        <v>80.52</v>
      </c>
      <c r="O109" s="25">
        <v>80.52</v>
      </c>
      <c r="P109" s="25">
        <v>80.52</v>
      </c>
      <c r="Q109" s="25">
        <v>80.52</v>
      </c>
      <c r="R109" s="26">
        <f t="shared" si="1"/>
        <v>399.82999999999993</v>
      </c>
    </row>
    <row r="110" spans="1:18" x14ac:dyDescent="0.25">
      <c r="A110" s="17" t="s">
        <v>1804</v>
      </c>
      <c r="B110" s="17" t="s">
        <v>1215</v>
      </c>
      <c r="C110" s="17" t="s">
        <v>1805</v>
      </c>
      <c r="D110" s="25"/>
      <c r="E110" s="25"/>
      <c r="F110" s="25"/>
      <c r="G110" s="25"/>
      <c r="H110" s="25"/>
      <c r="I110" s="25"/>
      <c r="J110" s="25"/>
      <c r="K110" s="25"/>
      <c r="L110" s="25"/>
      <c r="M110" s="25">
        <v>301.72000000000003</v>
      </c>
      <c r="N110" s="25">
        <v>301.98</v>
      </c>
      <c r="O110" s="25">
        <v>304.52</v>
      </c>
      <c r="P110" s="25">
        <v>293.97000000000003</v>
      </c>
      <c r="Q110" s="25">
        <v>291.32</v>
      </c>
      <c r="R110" s="26">
        <f t="shared" si="1"/>
        <v>1493.51</v>
      </c>
    </row>
    <row r="111" spans="1:18" x14ac:dyDescent="0.25">
      <c r="A111" s="17" t="s">
        <v>1806</v>
      </c>
      <c r="B111" s="17" t="s">
        <v>1807</v>
      </c>
      <c r="C111" s="17" t="s">
        <v>1808</v>
      </c>
      <c r="D111" s="25"/>
      <c r="E111" s="25"/>
      <c r="F111" s="25"/>
      <c r="G111" s="25"/>
      <c r="H111" s="25"/>
      <c r="I111" s="25"/>
      <c r="J111" s="25"/>
      <c r="K111" s="25"/>
      <c r="L111" s="25"/>
      <c r="M111" s="25">
        <v>254.03</v>
      </c>
      <c r="N111" s="25">
        <v>259.76</v>
      </c>
      <c r="O111" s="25">
        <v>270.61</v>
      </c>
      <c r="P111" s="25">
        <v>262.93</v>
      </c>
      <c r="Q111" s="25">
        <v>260.39</v>
      </c>
      <c r="R111" s="26">
        <f t="shared" si="1"/>
        <v>1307.7199999999998</v>
      </c>
    </row>
    <row r="112" spans="1:18" x14ac:dyDescent="0.25">
      <c r="A112" s="17" t="s">
        <v>1809</v>
      </c>
      <c r="B112" s="17" t="s">
        <v>1810</v>
      </c>
      <c r="C112" s="17" t="s">
        <v>1811</v>
      </c>
      <c r="D112" s="25"/>
      <c r="E112" s="25"/>
      <c r="F112" s="25"/>
      <c r="G112" s="25"/>
      <c r="H112" s="25"/>
      <c r="I112" s="25"/>
      <c r="J112" s="25"/>
      <c r="K112" s="25"/>
      <c r="L112" s="25"/>
      <c r="M112" s="25">
        <v>261.5</v>
      </c>
      <c r="N112" s="25">
        <v>272.22000000000003</v>
      </c>
      <c r="O112" s="25">
        <v>270.61</v>
      </c>
      <c r="P112" s="25">
        <v>265.8</v>
      </c>
      <c r="Q112" s="25">
        <v>269.33</v>
      </c>
      <c r="R112" s="26">
        <f t="shared" si="1"/>
        <v>1339.46</v>
      </c>
    </row>
    <row r="113" spans="1:18" x14ac:dyDescent="0.25">
      <c r="A113" s="17" t="s">
        <v>1812</v>
      </c>
      <c r="B113" s="17" t="s">
        <v>1813</v>
      </c>
      <c r="C113" s="17" t="s">
        <v>1814</v>
      </c>
      <c r="D113" s="25"/>
      <c r="E113" s="25"/>
      <c r="F113" s="25"/>
      <c r="G113" s="25"/>
      <c r="H113" s="25"/>
      <c r="I113" s="25"/>
      <c r="J113" s="25"/>
      <c r="K113" s="25"/>
      <c r="L113" s="25"/>
      <c r="M113" s="25">
        <v>489.12</v>
      </c>
      <c r="N113" s="25">
        <v>507.23</v>
      </c>
      <c r="O113" s="25">
        <v>498.22</v>
      </c>
      <c r="P113" s="25">
        <v>480.94</v>
      </c>
      <c r="Q113" s="25">
        <v>488.43</v>
      </c>
      <c r="R113" s="26">
        <f t="shared" si="1"/>
        <v>2463.94</v>
      </c>
    </row>
    <row r="114" spans="1:18" x14ac:dyDescent="0.25">
      <c r="A114" s="17" t="s">
        <v>1815</v>
      </c>
      <c r="B114" s="17" t="s">
        <v>1816</v>
      </c>
      <c r="C114" s="17" t="s">
        <v>1817</v>
      </c>
      <c r="D114" s="25"/>
      <c r="E114" s="25"/>
      <c r="F114" s="25"/>
      <c r="G114" s="25"/>
      <c r="H114" s="25"/>
      <c r="I114" s="25"/>
      <c r="J114" s="25"/>
      <c r="K114" s="25"/>
      <c r="L114" s="25"/>
      <c r="M114" s="25">
        <v>265.23</v>
      </c>
      <c r="N114" s="25">
        <v>272.22000000000003</v>
      </c>
      <c r="O114" s="25">
        <v>264.22000000000003</v>
      </c>
      <c r="P114" s="25">
        <v>254.32</v>
      </c>
      <c r="Q114" s="25">
        <v>254.43</v>
      </c>
      <c r="R114" s="26">
        <f t="shared" si="1"/>
        <v>1310.42</v>
      </c>
    </row>
    <row r="115" spans="1:18" x14ac:dyDescent="0.25">
      <c r="A115" s="17" t="s">
        <v>1818</v>
      </c>
      <c r="B115" s="17" t="s">
        <v>1395</v>
      </c>
      <c r="C115" s="17" t="s">
        <v>1819</v>
      </c>
      <c r="D115" s="25"/>
      <c r="E115" s="25"/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5">
        <v>553.99</v>
      </c>
      <c r="M115" s="25">
        <v>430.34</v>
      </c>
      <c r="N115" s="25">
        <v>452.3</v>
      </c>
      <c r="O115" s="25">
        <v>455.67</v>
      </c>
      <c r="P115" s="25">
        <v>449.64</v>
      </c>
      <c r="Q115" s="25">
        <v>451.03</v>
      </c>
      <c r="R115" s="26">
        <f t="shared" si="1"/>
        <v>2792.9700000000003</v>
      </c>
    </row>
    <row r="116" spans="1:18" x14ac:dyDescent="0.25">
      <c r="A116" s="17" t="s">
        <v>1820</v>
      </c>
      <c r="B116" s="17" t="s">
        <v>1821</v>
      </c>
      <c r="C116" s="17" t="s">
        <v>1822</v>
      </c>
      <c r="D116" s="25"/>
      <c r="E116" s="25"/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327.93</v>
      </c>
      <c r="M116" s="25">
        <v>327.86</v>
      </c>
      <c r="N116" s="25">
        <v>339.37</v>
      </c>
      <c r="O116" s="25">
        <v>342.83</v>
      </c>
      <c r="P116" s="25">
        <v>311.19</v>
      </c>
      <c r="Q116" s="25">
        <v>321.12</v>
      </c>
      <c r="R116" s="26">
        <f t="shared" si="1"/>
        <v>1970.3000000000002</v>
      </c>
    </row>
    <row r="117" spans="1:18" x14ac:dyDescent="0.25">
      <c r="A117" s="17" t="s">
        <v>1823</v>
      </c>
      <c r="B117" s="17" t="s">
        <v>1824</v>
      </c>
      <c r="C117" s="17" t="s">
        <v>1825</v>
      </c>
      <c r="D117" s="25"/>
      <c r="E117" s="25"/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404.58</v>
      </c>
      <c r="L117" s="25">
        <v>400.71</v>
      </c>
      <c r="M117" s="25">
        <v>371.71</v>
      </c>
      <c r="N117" s="25">
        <v>415.74</v>
      </c>
      <c r="O117" s="25">
        <v>397.81</v>
      </c>
      <c r="P117" s="25">
        <v>388.84</v>
      </c>
      <c r="Q117" s="25">
        <v>395.68</v>
      </c>
      <c r="R117" s="26">
        <f t="shared" si="1"/>
        <v>2775.0699999999997</v>
      </c>
    </row>
    <row r="118" spans="1:18" x14ac:dyDescent="0.25">
      <c r="A118" s="17" t="s">
        <v>1826</v>
      </c>
      <c r="B118" s="17" t="s">
        <v>1332</v>
      </c>
      <c r="C118" s="17" t="s">
        <v>1827</v>
      </c>
      <c r="D118" s="25"/>
      <c r="E118" s="25"/>
      <c r="F118" s="25"/>
      <c r="G118" s="25"/>
      <c r="H118" s="25"/>
      <c r="I118" s="25"/>
      <c r="J118" s="25"/>
      <c r="K118" s="25"/>
      <c r="L118" s="25"/>
      <c r="M118" s="25">
        <v>77.760000000000005</v>
      </c>
      <c r="N118" s="25">
        <v>80.52</v>
      </c>
      <c r="O118" s="25">
        <v>80.52</v>
      </c>
      <c r="P118" s="25">
        <v>80.52</v>
      </c>
      <c r="Q118" s="25">
        <v>80.52</v>
      </c>
      <c r="R118" s="26">
        <f t="shared" si="1"/>
        <v>399.84</v>
      </c>
    </row>
    <row r="119" spans="1:18" x14ac:dyDescent="0.25">
      <c r="A119" s="17" t="s">
        <v>1828</v>
      </c>
      <c r="B119" s="17" t="s">
        <v>1385</v>
      </c>
      <c r="C119" s="17" t="s">
        <v>1829</v>
      </c>
      <c r="D119" s="25"/>
      <c r="E119" s="25"/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314.5</v>
      </c>
      <c r="M119" s="25">
        <v>315.14999999999998</v>
      </c>
      <c r="N119" s="25">
        <v>313.33999999999997</v>
      </c>
      <c r="O119" s="25">
        <v>317.12</v>
      </c>
      <c r="P119" s="25">
        <v>305.52999999999997</v>
      </c>
      <c r="Q119" s="25">
        <v>296.84000000000003</v>
      </c>
      <c r="R119" s="26">
        <f t="shared" si="1"/>
        <v>1862.48</v>
      </c>
    </row>
    <row r="120" spans="1:18" x14ac:dyDescent="0.25">
      <c r="A120" s="17" t="s">
        <v>1830</v>
      </c>
      <c r="B120" s="17" t="s">
        <v>1235</v>
      </c>
      <c r="C120" s="17" t="s">
        <v>1831</v>
      </c>
      <c r="D120" s="25"/>
      <c r="E120" s="25"/>
      <c r="F120" s="25"/>
      <c r="G120" s="25"/>
      <c r="H120" s="25"/>
      <c r="I120" s="25"/>
      <c r="J120" s="25"/>
      <c r="K120" s="25"/>
      <c r="L120" s="25"/>
      <c r="M120" s="25">
        <v>372.01</v>
      </c>
      <c r="N120" s="25">
        <v>386.65</v>
      </c>
      <c r="O120" s="25">
        <v>391.42</v>
      </c>
      <c r="P120" s="25">
        <v>380.23</v>
      </c>
      <c r="Q120" s="25">
        <v>383.76</v>
      </c>
      <c r="R120" s="26">
        <f t="shared" si="1"/>
        <v>1914.07</v>
      </c>
    </row>
    <row r="121" spans="1:18" x14ac:dyDescent="0.25">
      <c r="A121" s="17" t="s">
        <v>1832</v>
      </c>
      <c r="B121" s="17" t="s">
        <v>1833</v>
      </c>
      <c r="C121" s="17" t="s">
        <v>1834</v>
      </c>
      <c r="D121" s="25"/>
      <c r="E121" s="25"/>
      <c r="F121" s="25"/>
      <c r="G121" s="25"/>
      <c r="H121" s="25"/>
      <c r="I121" s="25"/>
      <c r="J121" s="25"/>
      <c r="K121" s="25"/>
      <c r="L121" s="25"/>
      <c r="M121" s="25">
        <v>455.51</v>
      </c>
      <c r="N121" s="25">
        <v>461.52</v>
      </c>
      <c r="O121" s="25">
        <v>447.14</v>
      </c>
      <c r="P121" s="25">
        <v>461.34000000000003</v>
      </c>
      <c r="Q121" s="25">
        <v>446.71</v>
      </c>
      <c r="R121" s="26">
        <f t="shared" si="1"/>
        <v>2272.2200000000003</v>
      </c>
    </row>
    <row r="122" spans="1:18" x14ac:dyDescent="0.25">
      <c r="A122" s="17" t="s">
        <v>1835</v>
      </c>
      <c r="B122" s="17" t="s">
        <v>1836</v>
      </c>
      <c r="C122" s="17" t="s">
        <v>1837</v>
      </c>
      <c r="D122" s="25"/>
      <c r="E122" s="25"/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381.36</v>
      </c>
      <c r="M122" s="25">
        <v>390.68</v>
      </c>
      <c r="N122" s="25">
        <v>386.65</v>
      </c>
      <c r="O122" s="25">
        <v>391.42</v>
      </c>
      <c r="P122" s="25">
        <v>385.97</v>
      </c>
      <c r="Q122" s="25">
        <v>395.68</v>
      </c>
      <c r="R122" s="26">
        <f t="shared" si="1"/>
        <v>2331.7600000000002</v>
      </c>
    </row>
    <row r="123" spans="1:18" x14ac:dyDescent="0.25">
      <c r="A123" s="17" t="s">
        <v>1838</v>
      </c>
      <c r="B123" s="17" t="s">
        <v>1839</v>
      </c>
      <c r="C123" s="17" t="s">
        <v>1840</v>
      </c>
      <c r="D123" s="25"/>
      <c r="E123" s="25"/>
      <c r="F123" s="25"/>
      <c r="G123" s="25"/>
      <c r="H123" s="25"/>
      <c r="I123" s="25"/>
      <c r="J123" s="25"/>
      <c r="K123" s="25"/>
      <c r="L123" s="25"/>
      <c r="M123" s="25">
        <v>183.74</v>
      </c>
      <c r="N123" s="25">
        <v>187.55</v>
      </c>
      <c r="O123" s="25">
        <v>183.7</v>
      </c>
      <c r="P123" s="25">
        <v>182.41</v>
      </c>
      <c r="Q123" s="25">
        <v>179.87</v>
      </c>
      <c r="R123" s="26">
        <f t="shared" si="1"/>
        <v>917.27</v>
      </c>
    </row>
    <row r="124" spans="1:18" x14ac:dyDescent="0.25">
      <c r="A124" s="17" t="s">
        <v>1841</v>
      </c>
      <c r="B124" s="17" t="s">
        <v>1218</v>
      </c>
      <c r="C124" s="17" t="s">
        <v>1842</v>
      </c>
      <c r="D124" s="25"/>
      <c r="E124" s="25"/>
      <c r="F124" s="25"/>
      <c r="G124" s="25"/>
      <c r="H124" s="25"/>
      <c r="I124" s="25"/>
      <c r="J124" s="25"/>
      <c r="K124" s="25"/>
      <c r="L124" s="25"/>
      <c r="M124" s="25">
        <v>168.8</v>
      </c>
      <c r="N124" s="25">
        <v>179.24</v>
      </c>
      <c r="O124" s="25">
        <v>170.93</v>
      </c>
      <c r="P124" s="25">
        <v>176.67</v>
      </c>
      <c r="Q124" s="25">
        <v>173.91</v>
      </c>
      <c r="R124" s="26">
        <f t="shared" si="1"/>
        <v>869.55</v>
      </c>
    </row>
    <row r="125" spans="1:18" x14ac:dyDescent="0.25">
      <c r="A125" s="17" t="s">
        <v>1843</v>
      </c>
      <c r="B125" s="17" t="s">
        <v>1242</v>
      </c>
      <c r="C125" s="17" t="s">
        <v>1844</v>
      </c>
      <c r="D125" s="25"/>
      <c r="E125" s="25"/>
      <c r="F125" s="25">
        <v>0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186.41</v>
      </c>
      <c r="M125" s="25">
        <v>257.77</v>
      </c>
      <c r="N125" s="25">
        <v>263.91000000000003</v>
      </c>
      <c r="O125" s="25">
        <v>270.61</v>
      </c>
      <c r="P125" s="25">
        <v>262.93</v>
      </c>
      <c r="Q125" s="25">
        <v>266.35000000000002</v>
      </c>
      <c r="R125" s="26">
        <f t="shared" si="1"/>
        <v>1507.98</v>
      </c>
    </row>
    <row r="126" spans="1:18" x14ac:dyDescent="0.25">
      <c r="A126" s="17" t="s">
        <v>1845</v>
      </c>
      <c r="B126" s="17" t="s">
        <v>1251</v>
      </c>
      <c r="C126" s="17" t="s">
        <v>1846</v>
      </c>
      <c r="D126" s="25"/>
      <c r="E126" s="25"/>
      <c r="F126" s="25"/>
      <c r="G126" s="25"/>
      <c r="H126" s="25"/>
      <c r="I126" s="25"/>
      <c r="J126" s="25"/>
      <c r="K126" s="25"/>
      <c r="L126" s="25"/>
      <c r="M126" s="25">
        <v>319.19</v>
      </c>
      <c r="N126" s="25">
        <v>333.72</v>
      </c>
      <c r="O126" s="25">
        <v>327.96</v>
      </c>
      <c r="P126" s="25">
        <v>304.51</v>
      </c>
      <c r="Q126" s="25">
        <v>309.25</v>
      </c>
      <c r="R126" s="26">
        <f t="shared" si="1"/>
        <v>1594.63</v>
      </c>
    </row>
    <row r="127" spans="1:18" x14ac:dyDescent="0.25">
      <c r="A127" s="17" t="s">
        <v>1847</v>
      </c>
      <c r="B127" s="17" t="s">
        <v>1322</v>
      </c>
      <c r="C127" s="17" t="s">
        <v>1848</v>
      </c>
      <c r="D127" s="25"/>
      <c r="E127" s="25"/>
      <c r="F127" s="25"/>
      <c r="G127" s="25"/>
      <c r="H127" s="25"/>
      <c r="I127" s="25"/>
      <c r="J127" s="25"/>
      <c r="K127" s="25"/>
      <c r="L127" s="25"/>
      <c r="M127" s="25">
        <v>183.74</v>
      </c>
      <c r="N127" s="25">
        <v>183.39</v>
      </c>
      <c r="O127" s="25">
        <v>190.09</v>
      </c>
      <c r="P127" s="25">
        <v>182.41</v>
      </c>
      <c r="Q127" s="25">
        <v>170.93</v>
      </c>
      <c r="R127" s="26">
        <f t="shared" si="1"/>
        <v>910.56</v>
      </c>
    </row>
    <row r="128" spans="1:18" x14ac:dyDescent="0.25">
      <c r="A128" s="17" t="s">
        <v>1849</v>
      </c>
      <c r="B128" s="17" t="s">
        <v>1850</v>
      </c>
      <c r="C128" s="17" t="s">
        <v>1851</v>
      </c>
      <c r="D128" s="25"/>
      <c r="E128" s="25"/>
      <c r="F128" s="25"/>
      <c r="G128" s="25"/>
      <c r="H128" s="25"/>
      <c r="I128" s="25"/>
      <c r="J128" s="25"/>
      <c r="K128" s="25"/>
      <c r="L128" s="25"/>
      <c r="M128" s="25">
        <v>488.43</v>
      </c>
      <c r="N128" s="25">
        <v>455.7</v>
      </c>
      <c r="O128" s="25">
        <v>515.24</v>
      </c>
      <c r="P128" s="25">
        <v>405.92</v>
      </c>
      <c r="Q128" s="25">
        <v>452.23</v>
      </c>
      <c r="R128" s="26">
        <f t="shared" si="1"/>
        <v>2317.52</v>
      </c>
    </row>
    <row r="129" spans="1:18" x14ac:dyDescent="0.25">
      <c r="A129" s="17" t="s">
        <v>1852</v>
      </c>
      <c r="B129" s="17" t="s">
        <v>1853</v>
      </c>
      <c r="C129" s="17" t="s">
        <v>1854</v>
      </c>
      <c r="D129" s="25"/>
      <c r="E129" s="25"/>
      <c r="F129" s="25"/>
      <c r="G129" s="25"/>
      <c r="H129" s="25"/>
      <c r="I129" s="25"/>
      <c r="J129" s="25"/>
      <c r="K129" s="25"/>
      <c r="L129" s="25"/>
      <c r="M129" s="25">
        <v>368.34</v>
      </c>
      <c r="N129" s="25">
        <v>380.46</v>
      </c>
      <c r="O129" s="25">
        <v>380.22</v>
      </c>
      <c r="P129" s="25">
        <v>372.41</v>
      </c>
      <c r="Q129" s="25">
        <v>372.09</v>
      </c>
      <c r="R129" s="26">
        <f t="shared" si="1"/>
        <v>1873.52</v>
      </c>
    </row>
    <row r="130" spans="1:18" x14ac:dyDescent="0.25">
      <c r="A130" s="17" t="s">
        <v>1855</v>
      </c>
      <c r="B130" s="17" t="s">
        <v>1856</v>
      </c>
      <c r="C130" s="17" t="s">
        <v>1857</v>
      </c>
      <c r="D130" s="25"/>
      <c r="E130" s="25"/>
      <c r="F130" s="25"/>
      <c r="G130" s="25"/>
      <c r="H130" s="25"/>
      <c r="I130" s="25"/>
      <c r="J130" s="25"/>
      <c r="K130" s="25"/>
      <c r="L130" s="25"/>
      <c r="M130" s="25">
        <v>411.38</v>
      </c>
      <c r="N130" s="25">
        <v>436.2</v>
      </c>
      <c r="O130" s="25">
        <v>449.42</v>
      </c>
      <c r="P130" s="25">
        <v>408.72</v>
      </c>
      <c r="Q130" s="25">
        <v>376.51</v>
      </c>
      <c r="R130" s="26">
        <f t="shared" si="1"/>
        <v>2082.23</v>
      </c>
    </row>
    <row r="131" spans="1:18" x14ac:dyDescent="0.25">
      <c r="A131" s="17" t="s">
        <v>1858</v>
      </c>
      <c r="B131" s="17" t="s">
        <v>1859</v>
      </c>
      <c r="C131" s="17" t="s">
        <v>1860</v>
      </c>
      <c r="D131" s="25"/>
      <c r="E131" s="25"/>
      <c r="F131" s="25"/>
      <c r="G131" s="25"/>
      <c r="H131" s="25"/>
      <c r="I131" s="25"/>
      <c r="J131" s="25"/>
      <c r="K131" s="25"/>
      <c r="L131" s="25"/>
      <c r="M131" s="25">
        <v>404.47</v>
      </c>
      <c r="N131" s="25">
        <v>414.44</v>
      </c>
      <c r="O131" s="25">
        <v>418.25</v>
      </c>
      <c r="P131" s="25">
        <v>391.99</v>
      </c>
      <c r="Q131" s="25">
        <v>409.56</v>
      </c>
      <c r="R131" s="26">
        <f t="shared" ref="R131:R194" si="2">SUM(D131:Q131)</f>
        <v>2038.71</v>
      </c>
    </row>
    <row r="132" spans="1:18" x14ac:dyDescent="0.25">
      <c r="A132" s="17" t="s">
        <v>1861</v>
      </c>
      <c r="B132" s="17" t="s">
        <v>1862</v>
      </c>
      <c r="C132" s="17" t="s">
        <v>1863</v>
      </c>
      <c r="D132" s="25"/>
      <c r="E132" s="25"/>
      <c r="F132" s="25"/>
      <c r="G132" s="25"/>
      <c r="H132" s="25"/>
      <c r="I132" s="25"/>
      <c r="J132" s="25"/>
      <c r="K132" s="25"/>
      <c r="L132" s="25"/>
      <c r="M132" s="25">
        <v>171.23</v>
      </c>
      <c r="N132" s="25">
        <v>180.86</v>
      </c>
      <c r="O132" s="25">
        <v>182.64</v>
      </c>
      <c r="P132" s="25">
        <v>175.8</v>
      </c>
      <c r="Q132" s="25">
        <v>182.49</v>
      </c>
      <c r="R132" s="26">
        <f t="shared" si="2"/>
        <v>893.02</v>
      </c>
    </row>
    <row r="133" spans="1:18" x14ac:dyDescent="0.25">
      <c r="A133" s="17" t="s">
        <v>1864</v>
      </c>
      <c r="B133" s="17" t="s">
        <v>1865</v>
      </c>
      <c r="C133" s="17" t="s">
        <v>1866</v>
      </c>
      <c r="D133" s="25"/>
      <c r="E133" s="25"/>
      <c r="F133" s="25"/>
      <c r="G133" s="25"/>
      <c r="H133" s="25"/>
      <c r="I133" s="25"/>
      <c r="J133" s="25"/>
      <c r="K133" s="25"/>
      <c r="L133" s="25"/>
      <c r="M133" s="25">
        <v>261.5</v>
      </c>
      <c r="N133" s="25">
        <v>263.91000000000003</v>
      </c>
      <c r="O133" s="25">
        <v>264.22000000000003</v>
      </c>
      <c r="P133" s="25">
        <v>268.67</v>
      </c>
      <c r="Q133" s="25">
        <v>263.37</v>
      </c>
      <c r="R133" s="26">
        <f t="shared" si="2"/>
        <v>1321.67</v>
      </c>
    </row>
    <row r="134" spans="1:18" x14ac:dyDescent="0.25">
      <c r="A134" s="17" t="s">
        <v>1867</v>
      </c>
      <c r="B134" s="17" t="s">
        <v>1868</v>
      </c>
      <c r="C134" s="17" t="s">
        <v>1869</v>
      </c>
      <c r="D134" s="25"/>
      <c r="E134" s="25"/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5">
        <v>355.02</v>
      </c>
      <c r="M134" s="25">
        <v>324.12</v>
      </c>
      <c r="N134" s="25">
        <v>339.37</v>
      </c>
      <c r="O134" s="25">
        <v>349.22</v>
      </c>
      <c r="P134" s="25">
        <v>314.06</v>
      </c>
      <c r="Q134" s="25">
        <v>341.98</v>
      </c>
      <c r="R134" s="26">
        <f t="shared" si="2"/>
        <v>2023.77</v>
      </c>
    </row>
    <row r="135" spans="1:18" x14ac:dyDescent="0.25">
      <c r="A135" s="17" t="s">
        <v>1870</v>
      </c>
      <c r="B135" s="17" t="s">
        <v>1871</v>
      </c>
      <c r="C135" s="17" t="s">
        <v>1872</v>
      </c>
      <c r="D135" s="25"/>
      <c r="E135" s="25"/>
      <c r="F135" s="25"/>
      <c r="G135" s="25"/>
      <c r="H135" s="25"/>
      <c r="I135" s="25"/>
      <c r="J135" s="25"/>
      <c r="K135" s="25"/>
      <c r="L135" s="25"/>
      <c r="M135" s="25">
        <v>268.97000000000003</v>
      </c>
      <c r="N135" s="25">
        <v>288.83999999999997</v>
      </c>
      <c r="O135" s="25">
        <v>283.38</v>
      </c>
      <c r="P135" s="25">
        <v>268.67</v>
      </c>
      <c r="Q135" s="25">
        <v>278.27</v>
      </c>
      <c r="R135" s="26">
        <f t="shared" si="2"/>
        <v>1388.1299999999999</v>
      </c>
    </row>
    <row r="136" spans="1:18" x14ac:dyDescent="0.25">
      <c r="A136" s="17" t="s">
        <v>1873</v>
      </c>
      <c r="B136" s="17" t="s">
        <v>1874</v>
      </c>
      <c r="C136" s="17" t="s">
        <v>1875</v>
      </c>
      <c r="D136" s="25"/>
      <c r="E136" s="25"/>
      <c r="F136" s="25"/>
      <c r="G136" s="25"/>
      <c r="H136" s="25"/>
      <c r="I136" s="25"/>
      <c r="J136" s="25"/>
      <c r="K136" s="25"/>
      <c r="L136" s="25"/>
      <c r="M136" s="25">
        <v>272.82</v>
      </c>
      <c r="N136" s="25">
        <v>287.23</v>
      </c>
      <c r="O136" s="25">
        <v>287.54000000000002</v>
      </c>
      <c r="P136" s="25">
        <v>280.51</v>
      </c>
      <c r="Q136" s="25">
        <v>283.70999999999998</v>
      </c>
      <c r="R136" s="26">
        <f t="shared" si="2"/>
        <v>1411.81</v>
      </c>
    </row>
    <row r="137" spans="1:18" x14ac:dyDescent="0.25">
      <c r="A137" s="17" t="s">
        <v>1876</v>
      </c>
      <c r="B137" s="17" t="s">
        <v>1877</v>
      </c>
      <c r="C137" s="17" t="s">
        <v>1878</v>
      </c>
      <c r="D137" s="25"/>
      <c r="E137" s="25"/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365.88</v>
      </c>
      <c r="M137" s="25">
        <v>364.54</v>
      </c>
      <c r="N137" s="25">
        <v>378.34</v>
      </c>
      <c r="O137" s="25">
        <v>385.04</v>
      </c>
      <c r="P137" s="25">
        <v>368.75</v>
      </c>
      <c r="Q137" s="25">
        <v>374.82</v>
      </c>
      <c r="R137" s="26">
        <f t="shared" si="2"/>
        <v>2237.37</v>
      </c>
    </row>
    <row r="138" spans="1:18" x14ac:dyDescent="0.25">
      <c r="A138" s="17" t="s">
        <v>1879</v>
      </c>
      <c r="B138" s="17" t="s">
        <v>1880</v>
      </c>
      <c r="C138" s="17" t="s">
        <v>1881</v>
      </c>
      <c r="D138" s="25"/>
      <c r="E138" s="25"/>
      <c r="F138" s="25"/>
      <c r="G138" s="25"/>
      <c r="H138" s="25"/>
      <c r="I138" s="25"/>
      <c r="J138" s="25"/>
      <c r="K138" s="25"/>
      <c r="L138" s="25"/>
      <c r="M138" s="25">
        <v>250.3</v>
      </c>
      <c r="N138" s="25">
        <v>259.76</v>
      </c>
      <c r="O138" s="25">
        <v>257.83999999999997</v>
      </c>
      <c r="P138" s="25">
        <v>254.32</v>
      </c>
      <c r="Q138" s="25">
        <v>257.41000000000003</v>
      </c>
      <c r="R138" s="26">
        <f t="shared" si="2"/>
        <v>1279.6300000000001</v>
      </c>
    </row>
    <row r="139" spans="1:18" x14ac:dyDescent="0.25">
      <c r="A139" s="17" t="s">
        <v>1882</v>
      </c>
      <c r="B139" s="17" t="s">
        <v>1429</v>
      </c>
      <c r="C139" s="17" t="s">
        <v>1883</v>
      </c>
      <c r="D139" s="25"/>
      <c r="E139" s="25"/>
      <c r="F139" s="25"/>
      <c r="G139" s="25"/>
      <c r="H139" s="25"/>
      <c r="I139" s="25"/>
      <c r="J139" s="25"/>
      <c r="K139" s="25"/>
      <c r="L139" s="25"/>
      <c r="M139" s="25">
        <v>507.9</v>
      </c>
      <c r="N139" s="25">
        <v>518.08000000000004</v>
      </c>
      <c r="O139" s="25">
        <v>515.15</v>
      </c>
      <c r="P139" s="25">
        <v>472.68</v>
      </c>
      <c r="Q139" s="25">
        <v>473.01</v>
      </c>
      <c r="R139" s="26">
        <f t="shared" si="2"/>
        <v>2486.8200000000002</v>
      </c>
    </row>
    <row r="140" spans="1:18" x14ac:dyDescent="0.25">
      <c r="A140" s="17" t="s">
        <v>1884</v>
      </c>
      <c r="B140" s="17" t="s">
        <v>1431</v>
      </c>
      <c r="C140" s="17" t="s">
        <v>1885</v>
      </c>
      <c r="D140" s="25"/>
      <c r="E140" s="25"/>
      <c r="F140" s="25"/>
      <c r="G140" s="25"/>
      <c r="H140" s="25"/>
      <c r="I140" s="25"/>
      <c r="J140" s="25"/>
      <c r="K140" s="25"/>
      <c r="L140" s="25"/>
      <c r="M140" s="25">
        <v>22.52</v>
      </c>
      <c r="N140" s="25">
        <v>23.32</v>
      </c>
      <c r="O140" s="25">
        <v>23.32</v>
      </c>
      <c r="P140" s="25">
        <v>23.32</v>
      </c>
      <c r="Q140" s="25">
        <v>23.32</v>
      </c>
      <c r="R140" s="26">
        <f t="shared" si="2"/>
        <v>115.79999999999998</v>
      </c>
    </row>
    <row r="141" spans="1:18" x14ac:dyDescent="0.25">
      <c r="A141" s="17" t="s">
        <v>1886</v>
      </c>
      <c r="B141" s="17" t="s">
        <v>1471</v>
      </c>
      <c r="C141" s="17" t="s">
        <v>1887</v>
      </c>
      <c r="D141" s="25"/>
      <c r="E141" s="25"/>
      <c r="F141" s="25"/>
      <c r="G141" s="25"/>
      <c r="H141" s="25"/>
      <c r="I141" s="25"/>
      <c r="J141" s="25"/>
      <c r="K141" s="25"/>
      <c r="L141" s="25"/>
      <c r="M141" s="25">
        <v>165.07</v>
      </c>
      <c r="N141" s="25">
        <v>170.93</v>
      </c>
      <c r="O141" s="25">
        <v>170.93</v>
      </c>
      <c r="P141" s="25">
        <v>170.93</v>
      </c>
      <c r="Q141" s="25">
        <v>170.93</v>
      </c>
      <c r="R141" s="26">
        <f t="shared" si="2"/>
        <v>848.79</v>
      </c>
    </row>
    <row r="142" spans="1:18" x14ac:dyDescent="0.25">
      <c r="A142" s="17" t="s">
        <v>1888</v>
      </c>
      <c r="B142" s="17" t="s">
        <v>1889</v>
      </c>
      <c r="C142" s="17" t="s">
        <v>1890</v>
      </c>
      <c r="D142" s="25"/>
      <c r="E142" s="25"/>
      <c r="F142" s="25"/>
      <c r="G142" s="25"/>
      <c r="H142" s="25"/>
      <c r="I142" s="25"/>
      <c r="J142" s="25"/>
      <c r="K142" s="25"/>
      <c r="L142" s="25"/>
      <c r="M142" s="25">
        <v>543.97</v>
      </c>
      <c r="N142" s="25">
        <v>80.52</v>
      </c>
      <c r="O142" s="25">
        <v>80.52</v>
      </c>
      <c r="P142" s="25">
        <v>80.52</v>
      </c>
      <c r="Q142" s="25">
        <v>80.52</v>
      </c>
      <c r="R142" s="26">
        <f t="shared" si="2"/>
        <v>866.05</v>
      </c>
    </row>
    <row r="143" spans="1:18" x14ac:dyDescent="0.25">
      <c r="A143" s="17" t="s">
        <v>1891</v>
      </c>
      <c r="B143" s="17" t="s">
        <v>1892</v>
      </c>
      <c r="C143" s="17" t="s">
        <v>1893</v>
      </c>
      <c r="D143" s="25"/>
      <c r="E143" s="25"/>
      <c r="F143" s="25"/>
      <c r="G143" s="25"/>
      <c r="H143" s="25"/>
      <c r="I143" s="25"/>
      <c r="J143" s="25"/>
      <c r="K143" s="25"/>
      <c r="L143" s="25"/>
      <c r="M143" s="25">
        <v>191.21</v>
      </c>
      <c r="N143" s="25">
        <v>187.55</v>
      </c>
      <c r="O143" s="25">
        <v>190.09</v>
      </c>
      <c r="P143" s="25">
        <v>185.28</v>
      </c>
      <c r="Q143" s="25">
        <v>185.83</v>
      </c>
      <c r="R143" s="26">
        <f t="shared" si="2"/>
        <v>939.96</v>
      </c>
    </row>
    <row r="144" spans="1:18" x14ac:dyDescent="0.25">
      <c r="A144" s="17" t="s">
        <v>1894</v>
      </c>
      <c r="B144" s="17" t="s">
        <v>1895</v>
      </c>
      <c r="C144" s="17" t="s">
        <v>1896</v>
      </c>
      <c r="D144" s="25"/>
      <c r="E144" s="25"/>
      <c r="F144" s="25"/>
      <c r="G144" s="25"/>
      <c r="H144" s="25"/>
      <c r="I144" s="25"/>
      <c r="J144" s="25"/>
      <c r="K144" s="25"/>
      <c r="L144" s="25"/>
      <c r="M144" s="25">
        <v>316.64999999999998</v>
      </c>
      <c r="N144" s="25">
        <v>318.60000000000002</v>
      </c>
      <c r="O144" s="25">
        <v>310.89999999999998</v>
      </c>
      <c r="P144" s="25">
        <v>302.58</v>
      </c>
      <c r="Q144" s="25">
        <v>312.18</v>
      </c>
      <c r="R144" s="26">
        <f t="shared" si="2"/>
        <v>1560.91</v>
      </c>
    </row>
    <row r="145" spans="1:18" x14ac:dyDescent="0.25">
      <c r="A145" s="17" t="s">
        <v>1897</v>
      </c>
      <c r="B145" s="17" t="s">
        <v>1898</v>
      </c>
      <c r="C145" s="17" t="s">
        <v>1899</v>
      </c>
      <c r="D145" s="25">
        <v>1099.8</v>
      </c>
      <c r="E145" s="25">
        <v>3717.73</v>
      </c>
      <c r="F145" s="25">
        <v>302.58</v>
      </c>
      <c r="G145" s="25">
        <v>305.64</v>
      </c>
      <c r="H145" s="25">
        <v>309.7</v>
      </c>
      <c r="I145" s="25">
        <v>302.74</v>
      </c>
      <c r="J145" s="25">
        <v>454.37</v>
      </c>
      <c r="K145" s="25">
        <v>288.8</v>
      </c>
      <c r="L145" s="25">
        <v>288.07</v>
      </c>
      <c r="M145" s="25">
        <v>276.66000000000003</v>
      </c>
      <c r="N145" s="25">
        <v>294.16000000000003</v>
      </c>
      <c r="O145" s="25">
        <v>291.44</v>
      </c>
      <c r="P145" s="25">
        <v>286.05</v>
      </c>
      <c r="Q145" s="25">
        <v>291.28000000000003</v>
      </c>
      <c r="R145" s="26">
        <f t="shared" si="2"/>
        <v>8509.0199999999986</v>
      </c>
    </row>
    <row r="146" spans="1:18" x14ac:dyDescent="0.25">
      <c r="A146" s="17" t="s">
        <v>1900</v>
      </c>
      <c r="B146" s="17" t="s">
        <v>1901</v>
      </c>
      <c r="C146" s="17" t="s">
        <v>1902</v>
      </c>
      <c r="D146" s="25"/>
      <c r="E146" s="25"/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266.93</v>
      </c>
      <c r="M146" s="25">
        <v>261.5</v>
      </c>
      <c r="N146" s="25">
        <v>268.07</v>
      </c>
      <c r="O146" s="25">
        <v>270.61</v>
      </c>
      <c r="P146" s="25">
        <v>265.8</v>
      </c>
      <c r="Q146" s="25">
        <v>251.45</v>
      </c>
      <c r="R146" s="26">
        <f t="shared" si="2"/>
        <v>1584.3600000000001</v>
      </c>
    </row>
    <row r="147" spans="1:18" x14ac:dyDescent="0.25">
      <c r="A147" s="17" t="s">
        <v>1903</v>
      </c>
      <c r="B147" s="17" t="s">
        <v>1904</v>
      </c>
      <c r="C147" s="17" t="s">
        <v>1905</v>
      </c>
      <c r="D147" s="25"/>
      <c r="E147" s="25"/>
      <c r="F147" s="25"/>
      <c r="G147" s="25"/>
      <c r="H147" s="25"/>
      <c r="I147" s="25"/>
      <c r="J147" s="25"/>
      <c r="K147" s="25"/>
      <c r="L147" s="25"/>
      <c r="M147" s="25">
        <v>380.04</v>
      </c>
      <c r="N147" s="25">
        <v>390.2</v>
      </c>
      <c r="O147" s="25">
        <v>393.36</v>
      </c>
      <c r="P147" s="25">
        <v>378.49</v>
      </c>
      <c r="Q147" s="25">
        <v>387.65999999999997</v>
      </c>
      <c r="R147" s="26">
        <f t="shared" si="2"/>
        <v>1929.75</v>
      </c>
    </row>
    <row r="148" spans="1:18" x14ac:dyDescent="0.25">
      <c r="A148" s="17" t="s">
        <v>1906</v>
      </c>
      <c r="B148" s="17" t="s">
        <v>1907</v>
      </c>
      <c r="C148" s="17" t="s">
        <v>1908</v>
      </c>
      <c r="D148" s="25"/>
      <c r="E148" s="25"/>
      <c r="F148" s="25"/>
      <c r="G148" s="25"/>
      <c r="H148" s="25"/>
      <c r="I148" s="25"/>
      <c r="J148" s="25"/>
      <c r="K148" s="25"/>
      <c r="L148" s="25"/>
      <c r="M148" s="25">
        <v>213.72728500000002</v>
      </c>
      <c r="N148" s="25">
        <v>215.01889140000003</v>
      </c>
      <c r="O148" s="25">
        <v>219.78889140000001</v>
      </c>
      <c r="P148" s="25">
        <v>205.73</v>
      </c>
      <c r="Q148" s="25">
        <v>212.13</v>
      </c>
      <c r="R148" s="26">
        <f t="shared" si="2"/>
        <v>1066.3950678000001</v>
      </c>
    </row>
    <row r="149" spans="1:18" x14ac:dyDescent="0.25">
      <c r="A149" s="17" t="s">
        <v>1909</v>
      </c>
      <c r="B149" s="17" t="s">
        <v>1910</v>
      </c>
      <c r="C149" s="17" t="s">
        <v>1911</v>
      </c>
      <c r="D149" s="25"/>
      <c r="E149" s="25"/>
      <c r="F149" s="25">
        <v>0</v>
      </c>
      <c r="G149" s="25">
        <v>0</v>
      </c>
      <c r="H149" s="25">
        <v>0</v>
      </c>
      <c r="I149" s="25">
        <v>0</v>
      </c>
      <c r="J149" s="25">
        <v>0</v>
      </c>
      <c r="K149" s="25">
        <v>362.86</v>
      </c>
      <c r="L149" s="25">
        <v>355.12</v>
      </c>
      <c r="M149" s="25">
        <v>350.38</v>
      </c>
      <c r="N149" s="25">
        <v>362.69</v>
      </c>
      <c r="O149" s="25">
        <v>353.38</v>
      </c>
      <c r="P149" s="25">
        <v>340.25</v>
      </c>
      <c r="Q149" s="25">
        <v>344.44</v>
      </c>
      <c r="R149" s="26">
        <f t="shared" si="2"/>
        <v>2469.1200000000003</v>
      </c>
    </row>
    <row r="150" spans="1:18" x14ac:dyDescent="0.25">
      <c r="A150" s="17" t="s">
        <v>1912</v>
      </c>
      <c r="B150" s="17" t="s">
        <v>1913</v>
      </c>
      <c r="C150" s="17" t="s">
        <v>1914</v>
      </c>
      <c r="D150" s="25"/>
      <c r="E150" s="25"/>
      <c r="F150" s="25"/>
      <c r="G150" s="25"/>
      <c r="H150" s="25"/>
      <c r="I150" s="25"/>
      <c r="J150" s="25"/>
      <c r="K150" s="25"/>
      <c r="L150" s="25"/>
      <c r="M150" s="25">
        <v>372.01</v>
      </c>
      <c r="N150" s="25">
        <v>378.34</v>
      </c>
      <c r="O150" s="25">
        <v>385.04</v>
      </c>
      <c r="P150" s="25">
        <v>377.36</v>
      </c>
      <c r="Q150" s="25">
        <v>383.76</v>
      </c>
      <c r="R150" s="26">
        <f t="shared" si="2"/>
        <v>1896.51</v>
      </c>
    </row>
    <row r="151" spans="1:18" x14ac:dyDescent="0.25">
      <c r="A151" s="17" t="s">
        <v>1915</v>
      </c>
      <c r="B151" s="17" t="s">
        <v>1916</v>
      </c>
      <c r="C151" s="17" t="s">
        <v>1917</v>
      </c>
      <c r="D151" s="25"/>
      <c r="E151" s="25"/>
      <c r="F151" s="25">
        <v>0</v>
      </c>
      <c r="G151" s="25">
        <v>0</v>
      </c>
      <c r="H151" s="25">
        <v>0</v>
      </c>
      <c r="I151" s="25">
        <v>296.97000000000003</v>
      </c>
      <c r="J151" s="25">
        <v>289.23</v>
      </c>
      <c r="K151" s="25">
        <v>293.10000000000002</v>
      </c>
      <c r="L151" s="25">
        <v>296.97000000000003</v>
      </c>
      <c r="M151" s="25">
        <v>279.31</v>
      </c>
      <c r="N151" s="25">
        <v>289.51</v>
      </c>
      <c r="O151" s="25">
        <v>285.36</v>
      </c>
      <c r="P151" s="25">
        <v>288.23</v>
      </c>
      <c r="Q151" s="25">
        <v>288.34000000000003</v>
      </c>
      <c r="R151" s="26">
        <f t="shared" si="2"/>
        <v>2607.02</v>
      </c>
    </row>
    <row r="152" spans="1:18" x14ac:dyDescent="0.25">
      <c r="A152" s="17" t="s">
        <v>1918</v>
      </c>
      <c r="B152" s="17" t="s">
        <v>1919</v>
      </c>
      <c r="C152" s="17" t="s">
        <v>1920</v>
      </c>
      <c r="D152" s="25"/>
      <c r="E152" s="25"/>
      <c r="F152" s="25"/>
      <c r="G152" s="25"/>
      <c r="H152" s="25"/>
      <c r="I152" s="25"/>
      <c r="J152" s="25"/>
      <c r="K152" s="25"/>
      <c r="L152" s="25"/>
      <c r="M152" s="25">
        <v>269.08</v>
      </c>
      <c r="N152" s="25">
        <v>274.77</v>
      </c>
      <c r="O152" s="25">
        <v>274.77</v>
      </c>
      <c r="P152" s="25">
        <v>277.64</v>
      </c>
      <c r="Q152" s="25">
        <v>274.77</v>
      </c>
      <c r="R152" s="26">
        <f t="shared" si="2"/>
        <v>1371.0299999999997</v>
      </c>
    </row>
    <row r="153" spans="1:18" x14ac:dyDescent="0.25">
      <c r="A153" s="17" t="s">
        <v>1921</v>
      </c>
      <c r="B153" s="17" t="s">
        <v>1922</v>
      </c>
      <c r="C153" s="17" t="s">
        <v>1923</v>
      </c>
      <c r="D153" s="25"/>
      <c r="E153" s="25"/>
      <c r="F153" s="25"/>
      <c r="G153" s="25"/>
      <c r="H153" s="25"/>
      <c r="I153" s="25"/>
      <c r="J153" s="25"/>
      <c r="K153" s="25"/>
      <c r="L153" s="25"/>
      <c r="M153" s="25">
        <v>397</v>
      </c>
      <c r="N153" s="25">
        <v>416.89</v>
      </c>
      <c r="O153" s="25">
        <v>417.21</v>
      </c>
      <c r="P153" s="25">
        <v>387.26</v>
      </c>
      <c r="Q153" s="25">
        <v>403.63</v>
      </c>
      <c r="R153" s="26">
        <f t="shared" si="2"/>
        <v>2021.9899999999998</v>
      </c>
    </row>
    <row r="154" spans="1:18" x14ac:dyDescent="0.25">
      <c r="A154" s="17" t="s">
        <v>1924</v>
      </c>
      <c r="B154" s="17" t="s">
        <v>1925</v>
      </c>
      <c r="C154" s="17" t="s">
        <v>1926</v>
      </c>
      <c r="D154" s="25"/>
      <c r="E154" s="25"/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263.06</v>
      </c>
      <c r="M154" s="25">
        <v>250.3</v>
      </c>
      <c r="N154" s="25">
        <v>259.76</v>
      </c>
      <c r="O154" s="25">
        <v>257.83999999999997</v>
      </c>
      <c r="P154" s="25">
        <v>254.32</v>
      </c>
      <c r="Q154" s="25">
        <v>251.45</v>
      </c>
      <c r="R154" s="26">
        <f t="shared" si="2"/>
        <v>1536.73</v>
      </c>
    </row>
    <row r="155" spans="1:18" x14ac:dyDescent="0.25">
      <c r="A155" s="17" t="s">
        <v>1927</v>
      </c>
      <c r="B155" s="17" t="s">
        <v>1928</v>
      </c>
      <c r="C155" s="17" t="s">
        <v>1929</v>
      </c>
      <c r="D155" s="25"/>
      <c r="E155" s="25"/>
      <c r="F155" s="25"/>
      <c r="G155" s="25"/>
      <c r="H155" s="25"/>
      <c r="I155" s="25"/>
      <c r="J155" s="25"/>
      <c r="K155" s="25"/>
      <c r="L155" s="25"/>
      <c r="M155" s="25">
        <v>180.01</v>
      </c>
      <c r="N155" s="25">
        <v>187.55</v>
      </c>
      <c r="O155" s="25">
        <v>177.32</v>
      </c>
      <c r="P155" s="25">
        <v>176.67</v>
      </c>
      <c r="Q155" s="25">
        <v>185.83</v>
      </c>
      <c r="R155" s="26">
        <f t="shared" si="2"/>
        <v>907.38</v>
      </c>
    </row>
    <row r="156" spans="1:18" x14ac:dyDescent="0.25">
      <c r="A156" s="17" t="s">
        <v>1930</v>
      </c>
      <c r="B156" s="17" t="s">
        <v>1931</v>
      </c>
      <c r="C156" s="17" t="s">
        <v>1932</v>
      </c>
      <c r="D156" s="25"/>
      <c r="E156" s="25"/>
      <c r="F156" s="25"/>
      <c r="G156" s="25"/>
      <c r="H156" s="25"/>
      <c r="I156" s="25"/>
      <c r="J156" s="25"/>
      <c r="K156" s="25"/>
      <c r="L156" s="25"/>
      <c r="M156" s="25">
        <v>371.22</v>
      </c>
      <c r="N156" s="25">
        <v>375.09</v>
      </c>
      <c r="O156" s="25">
        <v>380.18</v>
      </c>
      <c r="P156" s="25">
        <v>356.21</v>
      </c>
      <c r="Q156" s="25">
        <v>350.8</v>
      </c>
      <c r="R156" s="26">
        <f t="shared" si="2"/>
        <v>1833.5</v>
      </c>
    </row>
    <row r="157" spans="1:18" x14ac:dyDescent="0.25">
      <c r="A157" s="17" t="s">
        <v>1933</v>
      </c>
      <c r="B157" s="17" t="s">
        <v>1934</v>
      </c>
      <c r="C157" s="17" t="s">
        <v>1935</v>
      </c>
      <c r="D157" s="25"/>
      <c r="E157" s="25"/>
      <c r="F157" s="25">
        <v>0</v>
      </c>
      <c r="G157" s="25">
        <v>0</v>
      </c>
      <c r="H157" s="25">
        <v>0</v>
      </c>
      <c r="I157" s="25">
        <v>0</v>
      </c>
      <c r="J157" s="25">
        <v>0</v>
      </c>
      <c r="K157" s="25">
        <v>432.78</v>
      </c>
      <c r="L157" s="25">
        <v>432.31</v>
      </c>
      <c r="M157" s="25">
        <v>421.12</v>
      </c>
      <c r="N157" s="25">
        <v>431.87</v>
      </c>
      <c r="O157" s="25">
        <v>443.74</v>
      </c>
      <c r="P157" s="25">
        <v>412.35</v>
      </c>
      <c r="Q157" s="25">
        <v>423.24</v>
      </c>
      <c r="R157" s="26">
        <f t="shared" si="2"/>
        <v>2997.41</v>
      </c>
    </row>
    <row r="158" spans="1:18" x14ac:dyDescent="0.25">
      <c r="A158" s="17" t="s">
        <v>1936</v>
      </c>
      <c r="B158" s="17" t="s">
        <v>1364</v>
      </c>
      <c r="C158" s="17" t="s">
        <v>1937</v>
      </c>
      <c r="D158" s="25"/>
      <c r="E158" s="25"/>
      <c r="F158" s="25"/>
      <c r="G158" s="25"/>
      <c r="H158" s="25"/>
      <c r="I158" s="25"/>
      <c r="J158" s="25"/>
      <c r="K158" s="25"/>
      <c r="L158" s="25"/>
      <c r="M158" s="25">
        <v>386.95</v>
      </c>
      <c r="N158" s="25">
        <v>424.05</v>
      </c>
      <c r="O158" s="25">
        <v>397.81</v>
      </c>
      <c r="P158" s="25">
        <v>371.62</v>
      </c>
      <c r="Q158" s="25">
        <v>365.88</v>
      </c>
      <c r="R158" s="26">
        <f t="shared" si="2"/>
        <v>1946.31</v>
      </c>
    </row>
    <row r="159" spans="1:18" x14ac:dyDescent="0.25">
      <c r="A159" s="17" t="s">
        <v>1938</v>
      </c>
      <c r="B159" s="17" t="s">
        <v>1939</v>
      </c>
      <c r="C159" s="17" t="s">
        <v>1940</v>
      </c>
      <c r="D159" s="25"/>
      <c r="E159" s="25"/>
      <c r="F159" s="25"/>
      <c r="G159" s="25"/>
      <c r="H159" s="25"/>
      <c r="I159" s="25"/>
      <c r="J159" s="25"/>
      <c r="K159" s="25"/>
      <c r="L159" s="25"/>
      <c r="M159" s="25">
        <v>451.41</v>
      </c>
      <c r="N159" s="25">
        <v>461.39</v>
      </c>
      <c r="O159" s="25">
        <v>462.85</v>
      </c>
      <c r="P159" s="25">
        <v>429.29</v>
      </c>
      <c r="Q159" s="25">
        <v>446.24</v>
      </c>
      <c r="R159" s="26">
        <f t="shared" si="2"/>
        <v>2251.1800000000003</v>
      </c>
    </row>
    <row r="160" spans="1:18" x14ac:dyDescent="0.25">
      <c r="A160" s="17" t="s">
        <v>1941</v>
      </c>
      <c r="B160" s="17" t="s">
        <v>1239</v>
      </c>
      <c r="C160" s="17" t="s">
        <v>1942</v>
      </c>
      <c r="D160" s="25"/>
      <c r="E160" s="25"/>
      <c r="F160" s="25"/>
      <c r="G160" s="25"/>
      <c r="H160" s="25"/>
      <c r="I160" s="25"/>
      <c r="J160" s="25"/>
      <c r="K160" s="25"/>
      <c r="L160" s="25"/>
      <c r="M160" s="25">
        <v>202.41</v>
      </c>
      <c r="N160" s="25">
        <v>195.86</v>
      </c>
      <c r="O160" s="25">
        <v>196.47</v>
      </c>
      <c r="P160" s="25">
        <v>182.41</v>
      </c>
      <c r="Q160" s="25">
        <v>194.77</v>
      </c>
      <c r="R160" s="26">
        <f t="shared" si="2"/>
        <v>971.92</v>
      </c>
    </row>
    <row r="161" spans="1:18" x14ac:dyDescent="0.25">
      <c r="A161" s="17" t="s">
        <v>1943</v>
      </c>
      <c r="B161" s="17" t="s">
        <v>1944</v>
      </c>
      <c r="C161" s="17" t="s">
        <v>1945</v>
      </c>
      <c r="D161" s="25"/>
      <c r="E161" s="25"/>
      <c r="F161" s="25"/>
      <c r="G161" s="25"/>
      <c r="H161" s="25"/>
      <c r="I161" s="25"/>
      <c r="J161" s="25"/>
      <c r="K161" s="25"/>
      <c r="L161" s="25"/>
      <c r="M161" s="25">
        <v>379.48</v>
      </c>
      <c r="N161" s="25">
        <v>386.65</v>
      </c>
      <c r="O161" s="25">
        <v>391.42</v>
      </c>
      <c r="P161" s="25">
        <v>377.36</v>
      </c>
      <c r="Q161" s="25">
        <v>380.78</v>
      </c>
      <c r="R161" s="26">
        <f t="shared" si="2"/>
        <v>1915.6899999999998</v>
      </c>
    </row>
    <row r="162" spans="1:18" x14ac:dyDescent="0.25">
      <c r="A162" s="17" t="s">
        <v>1946</v>
      </c>
      <c r="B162" s="17" t="s">
        <v>1947</v>
      </c>
      <c r="C162" s="17" t="s">
        <v>1948</v>
      </c>
      <c r="D162" s="25"/>
      <c r="E162" s="25"/>
      <c r="F162" s="25"/>
      <c r="G162" s="25"/>
      <c r="H162" s="25"/>
      <c r="I162" s="25"/>
      <c r="J162" s="25"/>
      <c r="K162" s="25"/>
      <c r="L162" s="25"/>
      <c r="M162" s="25">
        <v>165.56</v>
      </c>
      <c r="N162" s="25">
        <v>172.28</v>
      </c>
      <c r="O162" s="25">
        <v>172.21</v>
      </c>
      <c r="P162" s="25">
        <v>170.93</v>
      </c>
      <c r="Q162" s="25">
        <v>171.77</v>
      </c>
      <c r="R162" s="26">
        <f t="shared" si="2"/>
        <v>852.75</v>
      </c>
    </row>
    <row r="163" spans="1:18" x14ac:dyDescent="0.25">
      <c r="A163" s="17" t="s">
        <v>1949</v>
      </c>
      <c r="B163" s="17" t="s">
        <v>1950</v>
      </c>
      <c r="C163" s="17" t="s">
        <v>1951</v>
      </c>
      <c r="D163" s="25"/>
      <c r="E163" s="25"/>
      <c r="F163" s="25"/>
      <c r="G163" s="25"/>
      <c r="H163" s="25"/>
      <c r="I163" s="25"/>
      <c r="J163" s="25"/>
      <c r="K163" s="25"/>
      <c r="L163" s="25"/>
      <c r="M163" s="25">
        <v>639.25</v>
      </c>
      <c r="N163" s="25">
        <v>564.4</v>
      </c>
      <c r="O163" s="25">
        <v>582.25</v>
      </c>
      <c r="P163" s="25">
        <v>559.86</v>
      </c>
      <c r="Q163" s="25">
        <v>563.94000000000005</v>
      </c>
      <c r="R163" s="26">
        <f t="shared" si="2"/>
        <v>2909.7000000000003</v>
      </c>
    </row>
    <row r="164" spans="1:18" x14ac:dyDescent="0.25">
      <c r="A164" s="17" t="s">
        <v>1952</v>
      </c>
      <c r="B164" s="17" t="s">
        <v>1953</v>
      </c>
      <c r="C164" s="17" t="s">
        <v>1954</v>
      </c>
      <c r="D164" s="25"/>
      <c r="E164" s="25"/>
      <c r="F164" s="25"/>
      <c r="G164" s="25"/>
      <c r="H164" s="25"/>
      <c r="I164" s="25"/>
      <c r="J164" s="25"/>
      <c r="K164" s="25"/>
      <c r="L164" s="25"/>
      <c r="M164" s="25">
        <v>364.54</v>
      </c>
      <c r="N164" s="25">
        <v>378.34</v>
      </c>
      <c r="O164" s="25">
        <v>385.04</v>
      </c>
      <c r="P164" s="25">
        <v>374.49</v>
      </c>
      <c r="Q164" s="25">
        <v>377.8</v>
      </c>
      <c r="R164" s="26">
        <f t="shared" si="2"/>
        <v>1880.21</v>
      </c>
    </row>
    <row r="165" spans="1:18" x14ac:dyDescent="0.25">
      <c r="A165" s="17" t="s">
        <v>1955</v>
      </c>
      <c r="B165" s="17" t="s">
        <v>1956</v>
      </c>
      <c r="C165" s="17" t="s">
        <v>1957</v>
      </c>
      <c r="D165" s="25"/>
      <c r="E165" s="25"/>
      <c r="F165" s="25"/>
      <c r="G165" s="25"/>
      <c r="H165" s="25"/>
      <c r="I165" s="25"/>
      <c r="J165" s="25"/>
      <c r="K165" s="25"/>
      <c r="L165" s="25"/>
      <c r="M165" s="25">
        <v>261.5</v>
      </c>
      <c r="N165" s="25">
        <v>263.91000000000003</v>
      </c>
      <c r="O165" s="25">
        <v>264.22000000000003</v>
      </c>
      <c r="P165" s="25">
        <v>257.19</v>
      </c>
      <c r="Q165" s="25">
        <v>257.41000000000003</v>
      </c>
      <c r="R165" s="26">
        <f t="shared" si="2"/>
        <v>1304.2300000000002</v>
      </c>
    </row>
    <row r="166" spans="1:18" x14ac:dyDescent="0.25">
      <c r="A166" s="17" t="s">
        <v>1958</v>
      </c>
      <c r="B166" s="17" t="s">
        <v>1959</v>
      </c>
      <c r="C166" s="17" t="s">
        <v>1960</v>
      </c>
      <c r="D166" s="25"/>
      <c r="E166" s="25"/>
      <c r="F166" s="25"/>
      <c r="G166" s="25"/>
      <c r="H166" s="25"/>
      <c r="I166" s="25"/>
      <c r="J166" s="25"/>
      <c r="K166" s="25"/>
      <c r="L166" s="25"/>
      <c r="M166" s="25">
        <v>364.54</v>
      </c>
      <c r="N166" s="25">
        <v>365.88</v>
      </c>
      <c r="O166" s="25">
        <v>365.88</v>
      </c>
      <c r="P166" s="25">
        <v>365.88</v>
      </c>
      <c r="Q166" s="25">
        <v>365.88</v>
      </c>
      <c r="R166" s="26">
        <f t="shared" si="2"/>
        <v>1828.0600000000004</v>
      </c>
    </row>
    <row r="167" spans="1:18" x14ac:dyDescent="0.25">
      <c r="A167" s="17" t="s">
        <v>1961</v>
      </c>
      <c r="B167" s="17" t="s">
        <v>1295</v>
      </c>
      <c r="C167" s="17" t="s">
        <v>1962</v>
      </c>
      <c r="D167" s="25"/>
      <c r="E167" s="25"/>
      <c r="F167" s="25"/>
      <c r="G167" s="25"/>
      <c r="H167" s="25"/>
      <c r="I167" s="25"/>
      <c r="J167" s="25"/>
      <c r="K167" s="25"/>
      <c r="L167" s="25"/>
      <c r="M167" s="25">
        <v>383.21</v>
      </c>
      <c r="N167" s="25">
        <v>399.12</v>
      </c>
      <c r="O167" s="25">
        <v>391.42</v>
      </c>
      <c r="P167" s="25">
        <v>380.23</v>
      </c>
      <c r="Q167" s="25">
        <v>374.82</v>
      </c>
      <c r="R167" s="26">
        <f t="shared" si="2"/>
        <v>1928.8</v>
      </c>
    </row>
    <row r="168" spans="1:18" x14ac:dyDescent="0.25">
      <c r="A168" s="17" t="s">
        <v>1963</v>
      </c>
      <c r="B168" s="17" t="s">
        <v>1964</v>
      </c>
      <c r="C168" s="17" t="s">
        <v>1965</v>
      </c>
      <c r="D168" s="25"/>
      <c r="E168" s="25"/>
      <c r="F168" s="25"/>
      <c r="G168" s="25"/>
      <c r="H168" s="25"/>
      <c r="I168" s="25"/>
      <c r="J168" s="25"/>
      <c r="K168" s="25"/>
      <c r="L168" s="25"/>
      <c r="M168" s="25">
        <v>190</v>
      </c>
      <c r="N168" s="25">
        <v>205.53</v>
      </c>
      <c r="O168" s="25">
        <v>204.81</v>
      </c>
      <c r="P168" s="25">
        <v>199.05</v>
      </c>
      <c r="Q168" s="25">
        <v>202.42</v>
      </c>
      <c r="R168" s="26">
        <f t="shared" si="2"/>
        <v>1001.8099999999998</v>
      </c>
    </row>
    <row r="169" spans="1:18" x14ac:dyDescent="0.25">
      <c r="A169" s="17" t="s">
        <v>1966</v>
      </c>
      <c r="B169" s="17" t="s">
        <v>1967</v>
      </c>
      <c r="C169" s="17" t="s">
        <v>1968</v>
      </c>
      <c r="D169" s="25"/>
      <c r="E169" s="25"/>
      <c r="F169" s="25"/>
      <c r="G169" s="25"/>
      <c r="H169" s="25"/>
      <c r="I169" s="25"/>
      <c r="J169" s="25"/>
      <c r="K169" s="25"/>
      <c r="L169" s="25"/>
      <c r="M169" s="25">
        <v>242.83</v>
      </c>
      <c r="N169" s="25">
        <v>255.6</v>
      </c>
      <c r="O169" s="25">
        <v>251.45</v>
      </c>
      <c r="P169" s="25">
        <v>251.45</v>
      </c>
      <c r="Q169" s="25">
        <v>254.43</v>
      </c>
      <c r="R169" s="26">
        <f t="shared" si="2"/>
        <v>1255.76</v>
      </c>
    </row>
    <row r="170" spans="1:18" x14ac:dyDescent="0.25">
      <c r="A170" s="17" t="s">
        <v>1969</v>
      </c>
      <c r="B170" s="17" t="s">
        <v>1970</v>
      </c>
      <c r="C170" s="17" t="s">
        <v>1971</v>
      </c>
      <c r="D170" s="25"/>
      <c r="E170" s="25"/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175.57</v>
      </c>
      <c r="M170" s="25">
        <v>168.8</v>
      </c>
      <c r="N170" s="25">
        <v>183.39</v>
      </c>
      <c r="O170" s="25">
        <v>190.09</v>
      </c>
      <c r="P170" s="25">
        <v>182.41</v>
      </c>
      <c r="Q170" s="25">
        <v>182.85</v>
      </c>
      <c r="R170" s="26">
        <f t="shared" si="2"/>
        <v>1083.1099999999999</v>
      </c>
    </row>
    <row r="171" spans="1:18" x14ac:dyDescent="0.25">
      <c r="A171" s="17" t="s">
        <v>1972</v>
      </c>
      <c r="B171" s="17" t="s">
        <v>1973</v>
      </c>
      <c r="C171" s="17" t="s">
        <v>1974</v>
      </c>
      <c r="D171" s="25"/>
      <c r="E171" s="25"/>
      <c r="F171" s="25"/>
      <c r="G171" s="25"/>
      <c r="H171" s="25"/>
      <c r="I171" s="25"/>
      <c r="J171" s="25"/>
      <c r="K171" s="25"/>
      <c r="L171" s="25"/>
      <c r="M171" s="25">
        <v>176.27</v>
      </c>
      <c r="N171" s="25">
        <v>175.08</v>
      </c>
      <c r="O171" s="25">
        <v>183.7</v>
      </c>
      <c r="P171" s="25">
        <v>182.41</v>
      </c>
      <c r="Q171" s="25">
        <v>173.91</v>
      </c>
      <c r="R171" s="26">
        <f t="shared" si="2"/>
        <v>891.36999999999989</v>
      </c>
    </row>
    <row r="172" spans="1:18" x14ac:dyDescent="0.25">
      <c r="A172" s="17" t="s">
        <v>1975</v>
      </c>
      <c r="B172" s="17" t="s">
        <v>1976</v>
      </c>
      <c r="C172" s="17" t="s">
        <v>1977</v>
      </c>
      <c r="D172" s="25"/>
      <c r="E172" s="25"/>
      <c r="F172" s="25"/>
      <c r="G172" s="25"/>
      <c r="H172" s="25"/>
      <c r="I172" s="25"/>
      <c r="J172" s="25"/>
      <c r="K172" s="25"/>
      <c r="L172" s="25"/>
      <c r="M172" s="25">
        <v>242.83</v>
      </c>
      <c r="N172" s="25">
        <v>251.45</v>
      </c>
      <c r="O172" s="25">
        <v>257.83999999999997</v>
      </c>
      <c r="P172" s="25">
        <v>254.32</v>
      </c>
      <c r="Q172" s="25">
        <v>251.45</v>
      </c>
      <c r="R172" s="26">
        <f t="shared" si="2"/>
        <v>1257.8899999999999</v>
      </c>
    </row>
    <row r="173" spans="1:18" x14ac:dyDescent="0.25">
      <c r="A173" s="17" t="s">
        <v>1978</v>
      </c>
      <c r="B173" s="17" t="s">
        <v>1979</v>
      </c>
      <c r="C173" s="17" t="s">
        <v>1980</v>
      </c>
      <c r="D173" s="25"/>
      <c r="E173" s="25"/>
      <c r="F173" s="25"/>
      <c r="G173" s="25"/>
      <c r="H173" s="25"/>
      <c r="I173" s="25"/>
      <c r="J173" s="25"/>
      <c r="K173" s="25"/>
      <c r="L173" s="25"/>
      <c r="M173" s="25">
        <v>378.24</v>
      </c>
      <c r="N173" s="25">
        <v>393.92</v>
      </c>
      <c r="O173" s="25">
        <v>396.65</v>
      </c>
      <c r="P173" s="25">
        <v>380.97</v>
      </c>
      <c r="Q173" s="25">
        <v>387.36</v>
      </c>
      <c r="R173" s="26">
        <f t="shared" si="2"/>
        <v>1937.1399999999999</v>
      </c>
    </row>
    <row r="174" spans="1:18" x14ac:dyDescent="0.25">
      <c r="A174" s="17" t="s">
        <v>1981</v>
      </c>
      <c r="B174" s="17" t="s">
        <v>1982</v>
      </c>
      <c r="C174" s="17" t="s">
        <v>1983</v>
      </c>
      <c r="D174" s="25"/>
      <c r="E174" s="25"/>
      <c r="F174" s="25">
        <v>0</v>
      </c>
      <c r="G174" s="25">
        <v>0</v>
      </c>
      <c r="H174" s="25">
        <v>0</v>
      </c>
      <c r="I174" s="25">
        <v>0</v>
      </c>
      <c r="J174" s="25">
        <v>0</v>
      </c>
      <c r="K174" s="25">
        <v>0</v>
      </c>
      <c r="L174" s="25">
        <v>396.84</v>
      </c>
      <c r="M174" s="25">
        <v>368.27</v>
      </c>
      <c r="N174" s="25">
        <v>382.5</v>
      </c>
      <c r="O174" s="25">
        <v>378.65</v>
      </c>
      <c r="P174" s="25">
        <v>377.36</v>
      </c>
      <c r="Q174" s="25">
        <v>377.8</v>
      </c>
      <c r="R174" s="26">
        <f t="shared" si="2"/>
        <v>2281.42</v>
      </c>
    </row>
    <row r="175" spans="1:18" x14ac:dyDescent="0.25">
      <c r="A175" s="17" t="s">
        <v>1984</v>
      </c>
      <c r="B175" s="17" t="s">
        <v>1394</v>
      </c>
      <c r="C175" s="17" t="s">
        <v>1985</v>
      </c>
      <c r="D175" s="25"/>
      <c r="E175" s="25"/>
      <c r="F175" s="25"/>
      <c r="G175" s="25"/>
      <c r="H175" s="25"/>
      <c r="I175" s="25"/>
      <c r="J175" s="25"/>
      <c r="K175" s="25"/>
      <c r="L175" s="25"/>
      <c r="M175" s="25">
        <v>272.7</v>
      </c>
      <c r="N175" s="25">
        <v>288.83999999999997</v>
      </c>
      <c r="O175" s="25">
        <v>296.14999999999998</v>
      </c>
      <c r="P175" s="25">
        <v>265.8</v>
      </c>
      <c r="Q175" s="25">
        <v>269.33</v>
      </c>
      <c r="R175" s="26">
        <f t="shared" si="2"/>
        <v>1392.82</v>
      </c>
    </row>
    <row r="176" spans="1:18" x14ac:dyDescent="0.25">
      <c r="A176" s="17" t="s">
        <v>1986</v>
      </c>
      <c r="B176" s="17" t="s">
        <v>1227</v>
      </c>
      <c r="C176" s="17" t="s">
        <v>1987</v>
      </c>
      <c r="D176" s="25"/>
      <c r="E176" s="25"/>
      <c r="F176" s="25"/>
      <c r="G176" s="25"/>
      <c r="H176" s="25"/>
      <c r="I176" s="25"/>
      <c r="J176" s="25"/>
      <c r="K176" s="25"/>
      <c r="L176" s="25"/>
      <c r="M176" s="25">
        <v>195.06</v>
      </c>
      <c r="N176" s="25">
        <v>283.08</v>
      </c>
      <c r="O176" s="25">
        <v>274.77</v>
      </c>
      <c r="P176" s="25">
        <v>280.51</v>
      </c>
      <c r="Q176" s="25">
        <v>277.75</v>
      </c>
      <c r="R176" s="26">
        <f t="shared" si="2"/>
        <v>1311.17</v>
      </c>
    </row>
    <row r="177" spans="1:18" x14ac:dyDescent="0.25">
      <c r="A177" s="17" t="s">
        <v>1988</v>
      </c>
      <c r="B177" s="17" t="s">
        <v>1989</v>
      </c>
      <c r="C177" s="17" t="s">
        <v>1990</v>
      </c>
      <c r="D177" s="25"/>
      <c r="E177" s="25"/>
      <c r="F177" s="25"/>
      <c r="G177" s="25"/>
      <c r="H177" s="25"/>
      <c r="I177" s="25"/>
      <c r="J177" s="25"/>
      <c r="K177" s="25"/>
      <c r="L177" s="25"/>
      <c r="M177" s="25">
        <v>165.07</v>
      </c>
      <c r="N177" s="25">
        <v>175.08</v>
      </c>
      <c r="O177" s="25">
        <v>177.32</v>
      </c>
      <c r="P177" s="25">
        <v>176.67</v>
      </c>
      <c r="Q177" s="25">
        <v>173.91</v>
      </c>
      <c r="R177" s="26">
        <f t="shared" si="2"/>
        <v>868.05</v>
      </c>
    </row>
    <row r="178" spans="1:18" x14ac:dyDescent="0.25">
      <c r="A178" s="17" t="s">
        <v>1991</v>
      </c>
      <c r="B178" s="17" t="s">
        <v>1343</v>
      </c>
      <c r="C178" s="17" t="s">
        <v>1992</v>
      </c>
      <c r="D178" s="25"/>
      <c r="E178" s="25"/>
      <c r="F178" s="25"/>
      <c r="G178" s="25"/>
      <c r="H178" s="25"/>
      <c r="I178" s="25"/>
      <c r="J178" s="25"/>
      <c r="K178" s="25"/>
      <c r="L178" s="25"/>
      <c r="M178" s="25">
        <v>309.19</v>
      </c>
      <c r="N178" s="25">
        <v>314.44</v>
      </c>
      <c r="O178" s="25">
        <v>317.29000000000002</v>
      </c>
      <c r="P178" s="25">
        <v>302.58</v>
      </c>
      <c r="Q178" s="25">
        <v>303.24</v>
      </c>
      <c r="R178" s="26">
        <f t="shared" si="2"/>
        <v>1546.74</v>
      </c>
    </row>
    <row r="179" spans="1:18" x14ac:dyDescent="0.25">
      <c r="A179" s="17" t="s">
        <v>1993</v>
      </c>
      <c r="B179" s="17" t="s">
        <v>1994</v>
      </c>
      <c r="C179" s="17" t="s">
        <v>1995</v>
      </c>
      <c r="D179" s="25"/>
      <c r="E179" s="25"/>
      <c r="F179" s="25">
        <v>0</v>
      </c>
      <c r="G179" s="25">
        <v>0</v>
      </c>
      <c r="H179" s="25">
        <v>0</v>
      </c>
      <c r="I179" s="25">
        <v>0</v>
      </c>
      <c r="J179" s="25">
        <v>0</v>
      </c>
      <c r="K179" s="25">
        <v>0</v>
      </c>
      <c r="L179" s="25">
        <v>194.25</v>
      </c>
      <c r="M179" s="25">
        <v>187.59</v>
      </c>
      <c r="N179" s="25">
        <v>194.25</v>
      </c>
      <c r="O179" s="25">
        <v>194.25</v>
      </c>
      <c r="P179" s="25">
        <v>194.25</v>
      </c>
      <c r="Q179" s="25">
        <v>194.25</v>
      </c>
      <c r="R179" s="26">
        <f t="shared" si="2"/>
        <v>1158.8400000000001</v>
      </c>
    </row>
    <row r="180" spans="1:18" x14ac:dyDescent="0.25">
      <c r="A180" s="17" t="s">
        <v>1996</v>
      </c>
      <c r="B180" s="17" t="s">
        <v>1309</v>
      </c>
      <c r="C180" s="17" t="s">
        <v>1997</v>
      </c>
      <c r="D180" s="25"/>
      <c r="E180" s="25"/>
      <c r="F180" s="25"/>
      <c r="G180" s="25"/>
      <c r="H180" s="25"/>
      <c r="I180" s="25"/>
      <c r="J180" s="25"/>
      <c r="K180" s="25"/>
      <c r="L180" s="25"/>
      <c r="M180" s="25">
        <v>401.88</v>
      </c>
      <c r="N180" s="25">
        <v>403.27</v>
      </c>
      <c r="O180" s="25">
        <v>410.58</v>
      </c>
      <c r="P180" s="25">
        <v>388.84</v>
      </c>
      <c r="Q180" s="25">
        <v>395.68</v>
      </c>
      <c r="R180" s="26">
        <f t="shared" si="2"/>
        <v>2000.25</v>
      </c>
    </row>
    <row r="181" spans="1:18" x14ac:dyDescent="0.25">
      <c r="A181" s="17" t="s">
        <v>1998</v>
      </c>
      <c r="B181" s="17" t="s">
        <v>1999</v>
      </c>
      <c r="C181" s="17" t="s">
        <v>2000</v>
      </c>
      <c r="D181" s="25"/>
      <c r="E181" s="25"/>
      <c r="F181" s="25"/>
      <c r="G181" s="25"/>
      <c r="H181" s="25"/>
      <c r="I181" s="25"/>
      <c r="J181" s="25"/>
      <c r="K181" s="25"/>
      <c r="L181" s="25"/>
      <c r="M181" s="25">
        <v>294.25</v>
      </c>
      <c r="N181" s="25">
        <v>306.13</v>
      </c>
      <c r="O181" s="25">
        <v>310.89999999999998</v>
      </c>
      <c r="P181" s="25">
        <v>305.45</v>
      </c>
      <c r="Q181" s="25">
        <v>294.3</v>
      </c>
      <c r="R181" s="26">
        <f t="shared" si="2"/>
        <v>1511.03</v>
      </c>
    </row>
    <row r="182" spans="1:18" x14ac:dyDescent="0.25">
      <c r="A182" s="17" t="s">
        <v>2001</v>
      </c>
      <c r="B182" s="17" t="s">
        <v>2002</v>
      </c>
      <c r="C182" s="17" t="s">
        <v>2003</v>
      </c>
      <c r="D182" s="25"/>
      <c r="E182" s="25"/>
      <c r="F182" s="25"/>
      <c r="G182" s="25"/>
      <c r="H182" s="25"/>
      <c r="I182" s="25"/>
      <c r="J182" s="25"/>
      <c r="K182" s="25"/>
      <c r="L182" s="25"/>
      <c r="M182" s="25">
        <v>383.21</v>
      </c>
      <c r="N182" s="25">
        <v>394.96</v>
      </c>
      <c r="O182" s="25">
        <v>397.81</v>
      </c>
      <c r="P182" s="25">
        <v>388.84</v>
      </c>
      <c r="Q182" s="25">
        <v>389.71999999999997</v>
      </c>
      <c r="R182" s="26">
        <f t="shared" si="2"/>
        <v>1954.54</v>
      </c>
    </row>
    <row r="183" spans="1:18" x14ac:dyDescent="0.25">
      <c r="A183" s="17" t="s">
        <v>2004</v>
      </c>
      <c r="B183" s="17" t="s">
        <v>2005</v>
      </c>
      <c r="C183" s="17" t="s">
        <v>2006</v>
      </c>
      <c r="D183" s="25"/>
      <c r="E183" s="25"/>
      <c r="F183" s="25"/>
      <c r="G183" s="25"/>
      <c r="H183" s="25"/>
      <c r="I183" s="25"/>
      <c r="J183" s="25"/>
      <c r="K183" s="25"/>
      <c r="L183" s="25"/>
      <c r="M183" s="25">
        <v>394.41</v>
      </c>
      <c r="N183" s="25">
        <v>407.43</v>
      </c>
      <c r="O183" s="25">
        <v>404.19</v>
      </c>
      <c r="P183" s="25">
        <v>388.84</v>
      </c>
      <c r="Q183" s="25">
        <v>395.68</v>
      </c>
      <c r="R183" s="26">
        <f t="shared" si="2"/>
        <v>1990.55</v>
      </c>
    </row>
    <row r="184" spans="1:18" x14ac:dyDescent="0.25">
      <c r="A184" s="17" t="s">
        <v>2007</v>
      </c>
      <c r="B184" s="17" t="s">
        <v>2008</v>
      </c>
      <c r="C184" s="17" t="s">
        <v>2009</v>
      </c>
      <c r="D184" s="25"/>
      <c r="E184" s="25"/>
      <c r="F184" s="25"/>
      <c r="G184" s="25"/>
      <c r="H184" s="25"/>
      <c r="I184" s="25"/>
      <c r="J184" s="25"/>
      <c r="K184" s="25"/>
      <c r="L184" s="25"/>
      <c r="M184" s="25">
        <v>383.21</v>
      </c>
      <c r="N184" s="25">
        <v>378.34</v>
      </c>
      <c r="O184" s="25">
        <v>391.42</v>
      </c>
      <c r="P184" s="25">
        <v>388.84</v>
      </c>
      <c r="Q184" s="25">
        <v>529.77</v>
      </c>
      <c r="R184" s="26">
        <f t="shared" si="2"/>
        <v>2071.58</v>
      </c>
    </row>
    <row r="185" spans="1:18" x14ac:dyDescent="0.25">
      <c r="A185" s="17" t="s">
        <v>2010</v>
      </c>
      <c r="B185" s="17" t="s">
        <v>2011</v>
      </c>
      <c r="C185" s="17" t="s">
        <v>2012</v>
      </c>
      <c r="D185" s="25"/>
      <c r="E185" s="25"/>
      <c r="F185" s="25"/>
      <c r="G185" s="25"/>
      <c r="H185" s="25"/>
      <c r="I185" s="25"/>
      <c r="J185" s="25"/>
      <c r="K185" s="25"/>
      <c r="L185" s="25"/>
      <c r="M185" s="25">
        <v>522.05999999999995</v>
      </c>
      <c r="N185" s="25">
        <v>525.41999999999996</v>
      </c>
      <c r="O185" s="25">
        <v>521.27</v>
      </c>
      <c r="P185" s="25">
        <v>532.75</v>
      </c>
      <c r="Q185" s="25">
        <v>524.25</v>
      </c>
      <c r="R185" s="26">
        <f t="shared" si="2"/>
        <v>2625.75</v>
      </c>
    </row>
    <row r="186" spans="1:18" x14ac:dyDescent="0.25">
      <c r="A186" s="17" t="s">
        <v>2013</v>
      </c>
      <c r="B186" s="17" t="s">
        <v>2014</v>
      </c>
      <c r="C186" s="17" t="s">
        <v>2015</v>
      </c>
      <c r="D186" s="25"/>
      <c r="E186" s="25"/>
      <c r="F186" s="25"/>
      <c r="G186" s="25"/>
      <c r="H186" s="25"/>
      <c r="I186" s="25"/>
      <c r="J186" s="25"/>
      <c r="K186" s="25"/>
      <c r="L186" s="25"/>
      <c r="M186" s="25">
        <v>243.49</v>
      </c>
      <c r="N186" s="25">
        <v>170.93</v>
      </c>
      <c r="O186" s="25">
        <v>170.93</v>
      </c>
      <c r="P186" s="25">
        <v>251.45</v>
      </c>
      <c r="Q186" s="25">
        <v>251.45</v>
      </c>
      <c r="R186" s="26">
        <f t="shared" si="2"/>
        <v>1088.25</v>
      </c>
    </row>
    <row r="187" spans="1:18" x14ac:dyDescent="0.25">
      <c r="A187" s="17" t="s">
        <v>2016</v>
      </c>
      <c r="B187" s="17" t="s">
        <v>2017</v>
      </c>
      <c r="C187" s="17" t="s">
        <v>2018</v>
      </c>
      <c r="D187" s="25"/>
      <c r="E187" s="25"/>
      <c r="F187" s="25">
        <v>0</v>
      </c>
      <c r="G187" s="25">
        <v>0</v>
      </c>
      <c r="H187" s="25">
        <v>0</v>
      </c>
      <c r="I187" s="25">
        <v>0</v>
      </c>
      <c r="J187" s="25">
        <v>0</v>
      </c>
      <c r="K187" s="25">
        <v>0</v>
      </c>
      <c r="L187" s="25"/>
      <c r="M187" s="25">
        <v>420.55</v>
      </c>
      <c r="N187" s="25">
        <v>440.66</v>
      </c>
      <c r="O187" s="25">
        <v>429.74</v>
      </c>
      <c r="P187" s="25">
        <v>408.94</v>
      </c>
      <c r="Q187" s="25">
        <v>416.53999999999996</v>
      </c>
      <c r="R187" s="26">
        <f t="shared" si="2"/>
        <v>2116.4300000000003</v>
      </c>
    </row>
    <row r="188" spans="1:18" x14ac:dyDescent="0.25">
      <c r="A188" s="17" t="s">
        <v>2019</v>
      </c>
      <c r="B188" s="17" t="s">
        <v>2020</v>
      </c>
      <c r="C188" s="17" t="s">
        <v>2021</v>
      </c>
      <c r="D188" s="25"/>
      <c r="E188" s="25"/>
      <c r="F188" s="25"/>
      <c r="G188" s="25"/>
      <c r="H188" s="25"/>
      <c r="I188" s="25"/>
      <c r="J188" s="25"/>
      <c r="K188" s="25"/>
      <c r="L188" s="25"/>
      <c r="M188" s="25">
        <v>455.62</v>
      </c>
      <c r="N188" s="25">
        <v>468.22</v>
      </c>
      <c r="O188" s="25">
        <v>464.07</v>
      </c>
      <c r="P188" s="25">
        <v>466.94</v>
      </c>
      <c r="Q188" s="25">
        <v>464.07</v>
      </c>
      <c r="R188" s="26">
        <f t="shared" si="2"/>
        <v>2318.92</v>
      </c>
    </row>
    <row r="189" spans="1:18" x14ac:dyDescent="0.25">
      <c r="A189" s="17" t="s">
        <v>2022</v>
      </c>
      <c r="B189" s="17" t="s">
        <v>2023</v>
      </c>
      <c r="C189" s="17" t="s">
        <v>2024</v>
      </c>
      <c r="D189" s="25"/>
      <c r="E189" s="25"/>
      <c r="F189" s="25"/>
      <c r="G189" s="25"/>
      <c r="H189" s="25"/>
      <c r="I189" s="25"/>
      <c r="J189" s="25"/>
      <c r="K189" s="25"/>
      <c r="L189" s="25"/>
      <c r="M189" s="25">
        <v>165.07</v>
      </c>
      <c r="N189" s="25">
        <v>170.93</v>
      </c>
      <c r="O189" s="25">
        <v>177.32</v>
      </c>
      <c r="P189" s="25">
        <v>176.67</v>
      </c>
      <c r="Q189" s="25">
        <v>170.93</v>
      </c>
      <c r="R189" s="26">
        <f t="shared" si="2"/>
        <v>860.91999999999985</v>
      </c>
    </row>
    <row r="190" spans="1:18" x14ac:dyDescent="0.25">
      <c r="A190" s="17" t="s">
        <v>2025</v>
      </c>
      <c r="B190" s="17" t="s">
        <v>1308</v>
      </c>
      <c r="C190" s="17" t="s">
        <v>2026</v>
      </c>
      <c r="D190" s="25"/>
      <c r="E190" s="25"/>
      <c r="F190" s="25"/>
      <c r="G190" s="25"/>
      <c r="H190" s="25"/>
      <c r="I190" s="25"/>
      <c r="J190" s="25"/>
      <c r="K190" s="25"/>
      <c r="L190" s="25"/>
      <c r="M190" s="25">
        <v>446.4</v>
      </c>
      <c r="N190" s="25">
        <v>446.4</v>
      </c>
      <c r="O190" s="25">
        <v>446.4</v>
      </c>
      <c r="P190" s="25">
        <v>446.4</v>
      </c>
      <c r="Q190" s="25">
        <v>446.4</v>
      </c>
      <c r="R190" s="26">
        <f t="shared" si="2"/>
        <v>2232</v>
      </c>
    </row>
    <row r="191" spans="1:18" x14ac:dyDescent="0.25">
      <c r="A191" s="17" t="s">
        <v>2027</v>
      </c>
      <c r="B191" s="17" t="s">
        <v>2028</v>
      </c>
      <c r="C191" s="17" t="s">
        <v>2029</v>
      </c>
      <c r="D191" s="25"/>
      <c r="E191" s="25"/>
      <c r="F191" s="25"/>
      <c r="G191" s="25"/>
      <c r="H191" s="25"/>
      <c r="I191" s="25"/>
      <c r="J191" s="25"/>
      <c r="K191" s="25"/>
      <c r="L191" s="25"/>
      <c r="M191" s="25">
        <v>372.79</v>
      </c>
      <c r="N191" s="25">
        <v>396.48</v>
      </c>
      <c r="O191" s="25">
        <v>404.01</v>
      </c>
      <c r="P191" s="25">
        <v>382.05</v>
      </c>
      <c r="Q191" s="25">
        <v>391.13</v>
      </c>
      <c r="R191" s="26">
        <f t="shared" si="2"/>
        <v>1946.46</v>
      </c>
    </row>
    <row r="192" spans="1:18" x14ac:dyDescent="0.25">
      <c r="A192" s="17" t="s">
        <v>2030</v>
      </c>
      <c r="B192" s="17" t="s">
        <v>1476</v>
      </c>
      <c r="C192" s="17" t="s">
        <v>2031</v>
      </c>
      <c r="D192" s="25"/>
      <c r="E192" s="25"/>
      <c r="F192" s="25"/>
      <c r="G192" s="25"/>
      <c r="H192" s="25"/>
      <c r="I192" s="25"/>
      <c r="J192" s="25"/>
      <c r="K192" s="25"/>
      <c r="L192" s="25"/>
      <c r="M192" s="25">
        <v>372.01</v>
      </c>
      <c r="N192" s="25">
        <v>386.65</v>
      </c>
      <c r="O192" s="25">
        <v>385.04</v>
      </c>
      <c r="P192" s="25">
        <v>374.49</v>
      </c>
      <c r="Q192" s="25">
        <v>374.82</v>
      </c>
      <c r="R192" s="26">
        <f t="shared" si="2"/>
        <v>1893.01</v>
      </c>
    </row>
    <row r="193" spans="1:18" x14ac:dyDescent="0.25">
      <c r="A193" s="17" t="s">
        <v>2032</v>
      </c>
      <c r="B193" s="17" t="s">
        <v>2033</v>
      </c>
      <c r="C193" s="17" t="s">
        <v>2034</v>
      </c>
      <c r="D193" s="25"/>
      <c r="E193" s="25"/>
      <c r="F193" s="25"/>
      <c r="G193" s="25"/>
      <c r="H193" s="25"/>
      <c r="I193" s="25"/>
      <c r="J193" s="25"/>
      <c r="K193" s="25"/>
      <c r="L193" s="25"/>
      <c r="M193" s="25">
        <v>172.54</v>
      </c>
      <c r="N193" s="25">
        <v>172.86</v>
      </c>
      <c r="O193" s="25">
        <v>177.77</v>
      </c>
      <c r="P193" s="25">
        <v>171.15</v>
      </c>
      <c r="Q193" s="25">
        <v>177.58</v>
      </c>
      <c r="R193" s="26">
        <f t="shared" si="2"/>
        <v>871.9</v>
      </c>
    </row>
    <row r="194" spans="1:18" x14ac:dyDescent="0.25">
      <c r="A194" s="17" t="s">
        <v>2035</v>
      </c>
      <c r="B194" s="17" t="s">
        <v>1444</v>
      </c>
      <c r="C194" s="17" t="s">
        <v>2036</v>
      </c>
      <c r="D194" s="25"/>
      <c r="E194" s="25"/>
      <c r="F194" s="25"/>
      <c r="G194" s="25"/>
      <c r="H194" s="25"/>
      <c r="I194" s="25"/>
      <c r="J194" s="25"/>
      <c r="K194" s="25"/>
      <c r="L194" s="25"/>
      <c r="M194" s="25">
        <v>387.06</v>
      </c>
      <c r="N194" s="25">
        <v>389.2</v>
      </c>
      <c r="O194" s="25">
        <v>389.2</v>
      </c>
      <c r="P194" s="25">
        <v>392.07</v>
      </c>
      <c r="Q194" s="25">
        <v>389.2</v>
      </c>
      <c r="R194" s="26">
        <f t="shared" si="2"/>
        <v>1946.73</v>
      </c>
    </row>
    <row r="195" spans="1:18" x14ac:dyDescent="0.25">
      <c r="A195" s="17" t="s">
        <v>2037</v>
      </c>
      <c r="B195" s="17" t="s">
        <v>2038</v>
      </c>
      <c r="C195" s="17" t="s">
        <v>2039</v>
      </c>
      <c r="D195" s="25"/>
      <c r="E195" s="25"/>
      <c r="F195" s="25"/>
      <c r="G195" s="25"/>
      <c r="H195" s="25"/>
      <c r="I195" s="25"/>
      <c r="J195" s="25"/>
      <c r="K195" s="25"/>
      <c r="L195" s="25"/>
      <c r="M195" s="25">
        <v>405.61</v>
      </c>
      <c r="N195" s="25">
        <v>411.58</v>
      </c>
      <c r="O195" s="25">
        <v>423.35</v>
      </c>
      <c r="P195" s="25">
        <v>397.45</v>
      </c>
      <c r="Q195" s="25">
        <v>395.68</v>
      </c>
      <c r="R195" s="26">
        <f t="shared" ref="R195:R205" si="3">SUM(D195:Q195)</f>
        <v>2033.67</v>
      </c>
    </row>
    <row r="196" spans="1:18" x14ac:dyDescent="0.25">
      <c r="A196" s="17" t="s">
        <v>2040</v>
      </c>
      <c r="B196" s="17" t="s">
        <v>2041</v>
      </c>
      <c r="C196" s="17" t="s">
        <v>2042</v>
      </c>
      <c r="D196" s="25"/>
      <c r="E196" s="25"/>
      <c r="F196" s="25"/>
      <c r="G196" s="25"/>
      <c r="H196" s="25"/>
      <c r="I196" s="25"/>
      <c r="J196" s="25"/>
      <c r="K196" s="25"/>
      <c r="L196" s="25"/>
      <c r="M196" s="25">
        <v>178.4</v>
      </c>
      <c r="N196" s="25">
        <v>170.93</v>
      </c>
      <c r="O196" s="25">
        <v>209.24</v>
      </c>
      <c r="P196" s="25">
        <v>188.15</v>
      </c>
      <c r="Q196" s="25">
        <v>182.85</v>
      </c>
      <c r="R196" s="26">
        <f t="shared" si="3"/>
        <v>929.57</v>
      </c>
    </row>
    <row r="197" spans="1:18" x14ac:dyDescent="0.25">
      <c r="A197" s="17" t="s">
        <v>2043</v>
      </c>
      <c r="B197" s="17" t="s">
        <v>2044</v>
      </c>
      <c r="C197" s="17" t="s">
        <v>2045</v>
      </c>
      <c r="D197" s="25"/>
      <c r="E197" s="25"/>
      <c r="F197" s="25"/>
      <c r="G197" s="25"/>
      <c r="H197" s="25"/>
      <c r="I197" s="25"/>
      <c r="J197" s="25"/>
      <c r="K197" s="25"/>
      <c r="L197" s="25"/>
      <c r="M197" s="25">
        <v>0</v>
      </c>
      <c r="N197" s="25">
        <v>365.88</v>
      </c>
      <c r="O197" s="25">
        <v>372.27</v>
      </c>
      <c r="P197" s="25">
        <v>368.75</v>
      </c>
      <c r="Q197" s="25">
        <v>416.53999999999996</v>
      </c>
      <c r="R197" s="26">
        <f t="shared" si="3"/>
        <v>1523.44</v>
      </c>
    </row>
    <row r="198" spans="1:18" x14ac:dyDescent="0.25">
      <c r="A198" s="17" t="s">
        <v>2046</v>
      </c>
      <c r="B198" s="17" t="s">
        <v>2047</v>
      </c>
      <c r="C198" s="17" t="s">
        <v>2048</v>
      </c>
      <c r="D198" s="25"/>
      <c r="E198" s="25"/>
      <c r="F198" s="25"/>
      <c r="G198" s="25"/>
      <c r="H198" s="25"/>
      <c r="I198" s="25"/>
      <c r="J198" s="25"/>
      <c r="K198" s="25"/>
      <c r="L198" s="25"/>
      <c r="M198" s="25">
        <v>0</v>
      </c>
      <c r="N198" s="25">
        <v>378.34</v>
      </c>
      <c r="O198" s="25">
        <v>385.04</v>
      </c>
      <c r="P198" s="25">
        <v>380.23</v>
      </c>
      <c r="Q198" s="25">
        <v>386.74</v>
      </c>
      <c r="R198" s="26">
        <f t="shared" si="3"/>
        <v>1530.3500000000001</v>
      </c>
    </row>
    <row r="199" spans="1:18" x14ac:dyDescent="0.25">
      <c r="A199" s="17" t="s">
        <v>2049</v>
      </c>
      <c r="B199" s="17" t="s">
        <v>2050</v>
      </c>
      <c r="C199" s="17" t="s">
        <v>2051</v>
      </c>
      <c r="D199" s="25"/>
      <c r="E199" s="25"/>
      <c r="F199" s="25"/>
      <c r="G199" s="25"/>
      <c r="H199" s="25"/>
      <c r="I199" s="25"/>
      <c r="J199" s="25"/>
      <c r="K199" s="25"/>
      <c r="L199" s="25"/>
      <c r="M199" s="25">
        <v>0</v>
      </c>
      <c r="N199" s="25">
        <v>487.21</v>
      </c>
      <c r="O199" s="25">
        <v>510.83</v>
      </c>
      <c r="P199" s="25">
        <v>501.86</v>
      </c>
      <c r="Q199" s="25">
        <v>505.71999999999997</v>
      </c>
      <c r="R199" s="26">
        <f t="shared" si="3"/>
        <v>2005.6200000000001</v>
      </c>
    </row>
    <row r="200" spans="1:18" x14ac:dyDescent="0.25">
      <c r="A200" s="17" t="s">
        <v>2052</v>
      </c>
      <c r="B200" s="17" t="s">
        <v>2053</v>
      </c>
      <c r="C200" s="17" t="s">
        <v>2054</v>
      </c>
      <c r="D200" s="25"/>
      <c r="E200" s="25"/>
      <c r="F200" s="25"/>
      <c r="G200" s="25"/>
      <c r="H200" s="25"/>
      <c r="I200" s="25"/>
      <c r="J200" s="25"/>
      <c r="K200" s="25"/>
      <c r="L200" s="25">
        <v>80.52</v>
      </c>
      <c r="M200" s="25">
        <v>77.757975000000016</v>
      </c>
      <c r="N200" s="25">
        <v>80.52</v>
      </c>
      <c r="O200" s="25">
        <v>80.51931900000001</v>
      </c>
      <c r="P200" s="25">
        <v>80.52</v>
      </c>
      <c r="Q200" s="25">
        <v>80.52</v>
      </c>
      <c r="R200" s="26">
        <f t="shared" si="3"/>
        <v>480.35729399999997</v>
      </c>
    </row>
    <row r="201" spans="1:18" x14ac:dyDescent="0.25">
      <c r="A201" s="17" t="s">
        <v>2055</v>
      </c>
      <c r="B201" s="17" t="s">
        <v>2056</v>
      </c>
      <c r="C201" s="17" t="s">
        <v>2057</v>
      </c>
      <c r="D201" s="25"/>
      <c r="E201" s="25"/>
      <c r="F201" s="25"/>
      <c r="G201" s="25"/>
      <c r="H201" s="25"/>
      <c r="I201" s="25"/>
      <c r="J201" s="25"/>
      <c r="K201" s="25"/>
      <c r="L201" s="25"/>
      <c r="M201" s="25">
        <v>77.757975000000016</v>
      </c>
      <c r="N201" s="25">
        <v>80.52</v>
      </c>
      <c r="O201" s="25">
        <v>80.51931900000001</v>
      </c>
      <c r="P201" s="25">
        <v>80.52</v>
      </c>
      <c r="Q201" s="25">
        <v>80.52</v>
      </c>
      <c r="R201" s="26">
        <f t="shared" si="3"/>
        <v>399.83729399999999</v>
      </c>
    </row>
    <row r="202" spans="1:18" x14ac:dyDescent="0.25">
      <c r="A202" s="17" t="s">
        <v>2058</v>
      </c>
      <c r="B202" s="17" t="s">
        <v>2059</v>
      </c>
      <c r="C202" s="17" t="s">
        <v>2060</v>
      </c>
      <c r="D202" s="25"/>
      <c r="E202" s="25"/>
      <c r="F202" s="25"/>
      <c r="G202" s="25"/>
      <c r="H202" s="25"/>
      <c r="I202" s="25"/>
      <c r="J202" s="25"/>
      <c r="K202" s="25"/>
      <c r="L202" s="25"/>
      <c r="M202" s="25">
        <v>45.04</v>
      </c>
      <c r="N202" s="25">
        <v>46.64</v>
      </c>
      <c r="O202" s="25">
        <v>46.64</v>
      </c>
      <c r="P202" s="25">
        <v>46.64</v>
      </c>
      <c r="Q202" s="25">
        <v>46.64</v>
      </c>
      <c r="R202" s="26">
        <f t="shared" si="3"/>
        <v>231.59999999999997</v>
      </c>
    </row>
    <row r="203" spans="1:18" x14ac:dyDescent="0.25">
      <c r="A203" s="17" t="s">
        <v>2061</v>
      </c>
      <c r="B203" s="17" t="s">
        <v>2062</v>
      </c>
      <c r="C203" s="17" t="s">
        <v>2063</v>
      </c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>
        <v>80.52</v>
      </c>
      <c r="Q203" s="25">
        <v>80.52</v>
      </c>
      <c r="R203" s="26">
        <f t="shared" si="3"/>
        <v>161.04</v>
      </c>
    </row>
    <row r="204" spans="1:18" x14ac:dyDescent="0.25">
      <c r="A204" s="17" t="s">
        <v>2318</v>
      </c>
      <c r="B204" s="17" t="s">
        <v>2320</v>
      </c>
      <c r="C204" s="17" t="s">
        <v>1738</v>
      </c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>
        <v>368.86</v>
      </c>
      <c r="R204" s="26">
        <f t="shared" si="3"/>
        <v>368.86</v>
      </c>
    </row>
    <row r="205" spans="1:18" x14ac:dyDescent="0.25">
      <c r="A205" s="17" t="s">
        <v>2064</v>
      </c>
      <c r="B205" s="17" t="s">
        <v>2065</v>
      </c>
      <c r="C205" s="17" t="s">
        <v>2064</v>
      </c>
      <c r="D205" s="25"/>
      <c r="E205" s="25"/>
      <c r="F205" s="25"/>
      <c r="G205" s="25"/>
      <c r="H205" s="25"/>
      <c r="I205" s="25"/>
      <c r="J205" s="25"/>
      <c r="K205" s="25"/>
      <c r="L205" s="25">
        <v>1954.48</v>
      </c>
      <c r="M205" s="25">
        <v>1965.14</v>
      </c>
      <c r="N205" s="25">
        <v>2660.09</v>
      </c>
      <c r="O205" s="25">
        <v>1208.27</v>
      </c>
      <c r="P205" s="25">
        <v>1433.96</v>
      </c>
      <c r="Q205" s="25"/>
      <c r="R205" s="26">
        <f t="shared" si="3"/>
        <v>9221.9399999999987</v>
      </c>
    </row>
    <row r="206" spans="1:18" x14ac:dyDescent="0.25">
      <c r="A206" s="17"/>
      <c r="B206" s="17"/>
      <c r="C206" s="17"/>
      <c r="D206" s="26">
        <f>SUM(D2:D205)</f>
        <v>1099.8</v>
      </c>
      <c r="E206" s="26">
        <f t="shared" ref="E206:R206" si="4">SUM(E2:E205)</f>
        <v>3717.73</v>
      </c>
      <c r="F206" s="26">
        <f t="shared" si="4"/>
        <v>302.58</v>
      </c>
      <c r="G206" s="26">
        <f t="shared" si="4"/>
        <v>691.06999999999994</v>
      </c>
      <c r="H206" s="26">
        <f t="shared" si="4"/>
        <v>714.48</v>
      </c>
      <c r="I206" s="26">
        <f t="shared" si="4"/>
        <v>973.33</v>
      </c>
      <c r="J206" s="26">
        <f t="shared" si="4"/>
        <v>2680.04</v>
      </c>
      <c r="K206" s="26">
        <f t="shared" si="4"/>
        <v>5465.9599999999991</v>
      </c>
      <c r="L206" s="26">
        <f t="shared" si="4"/>
        <v>21261.320000000003</v>
      </c>
      <c r="M206" s="26">
        <f t="shared" si="4"/>
        <v>68056.103234999988</v>
      </c>
      <c r="N206" s="26">
        <f t="shared" si="4"/>
        <v>70747.068891400035</v>
      </c>
      <c r="O206" s="26">
        <f t="shared" si="4"/>
        <v>69695.937529399947</v>
      </c>
      <c r="P206" s="26">
        <f t="shared" si="4"/>
        <v>67732.790000000037</v>
      </c>
      <c r="Q206" s="26">
        <f t="shared" si="4"/>
        <v>67502.950000000012</v>
      </c>
      <c r="R206" s="26">
        <f t="shared" si="4"/>
        <v>380641.15965579991</v>
      </c>
    </row>
  </sheetData>
  <autoFilter ref="A1:R206" xr:uid="{72EF39DC-8A0D-4680-939A-393A7BD594B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B790-35CA-4F98-B694-5D89327AC758}">
  <sheetPr>
    <pageSetUpPr fitToPage="1"/>
  </sheetPr>
  <dimension ref="A1:U211"/>
  <sheetViews>
    <sheetView showGridLines="0" workbookViewId="0">
      <pane xSplit="3" ySplit="6" topLeftCell="L202" activePane="bottomRight" state="frozen"/>
      <selection pane="topRight" activeCell="D1" sqref="D1"/>
      <selection pane="bottomLeft" activeCell="A2" sqref="A2"/>
      <selection pane="bottomRight" activeCell="B210" sqref="B210"/>
    </sheetView>
  </sheetViews>
  <sheetFormatPr baseColWidth="10" defaultRowHeight="15" x14ac:dyDescent="0.25"/>
  <cols>
    <col min="1" max="1" width="11" customWidth="1"/>
    <col min="2" max="2" width="33.7109375" customWidth="1"/>
    <col min="3" max="3" width="10.28515625" bestFit="1" customWidth="1"/>
    <col min="4" max="5" width="9.5703125" customWidth="1"/>
    <col min="6" max="9" width="8" customWidth="1"/>
    <col min="10" max="11" width="9.5703125" customWidth="1"/>
    <col min="12" max="17" width="10.5703125" customWidth="1"/>
    <col min="18" max="18" width="11.5703125" customWidth="1"/>
    <col min="19" max="19" width="11.42578125" customWidth="1"/>
    <col min="21" max="21" width="14.7109375" customWidth="1"/>
  </cols>
  <sheetData>
    <row r="1" spans="1:21" ht="15.75" x14ac:dyDescent="0.25">
      <c r="A1" s="114" t="s">
        <v>2297</v>
      </c>
      <c r="B1" s="115"/>
    </row>
    <row r="2" spans="1:21" ht="15.75" x14ac:dyDescent="0.25">
      <c r="A2" s="114" t="s">
        <v>2298</v>
      </c>
      <c r="B2" s="115"/>
    </row>
    <row r="3" spans="1:21" ht="15.75" x14ac:dyDescent="0.25">
      <c r="A3" s="125">
        <v>20614642247</v>
      </c>
      <c r="B3" s="125"/>
    </row>
    <row r="4" spans="1:21" ht="31.5" x14ac:dyDescent="0.5">
      <c r="A4" s="113" t="s">
        <v>2315</v>
      </c>
      <c r="B4" s="112"/>
    </row>
    <row r="5" spans="1:21" ht="10.5" customHeight="1" x14ac:dyDescent="0.25">
      <c r="A5" s="79"/>
    </row>
    <row r="6" spans="1:21" s="22" customFormat="1" ht="57" customHeight="1" x14ac:dyDescent="0.25">
      <c r="A6" s="23" t="s">
        <v>1509</v>
      </c>
      <c r="B6" s="23" t="s">
        <v>1510</v>
      </c>
      <c r="C6" s="24" t="s">
        <v>1511</v>
      </c>
      <c r="D6" s="23">
        <v>2023</v>
      </c>
      <c r="E6" s="23">
        <v>2024</v>
      </c>
      <c r="F6" s="23" t="s">
        <v>1484</v>
      </c>
      <c r="G6" s="23" t="s">
        <v>1485</v>
      </c>
      <c r="H6" s="23" t="s">
        <v>1486</v>
      </c>
      <c r="I6" s="23" t="s">
        <v>1487</v>
      </c>
      <c r="J6" s="23" t="s">
        <v>1488</v>
      </c>
      <c r="K6" s="23" t="s">
        <v>1489</v>
      </c>
      <c r="L6" s="23" t="s">
        <v>1490</v>
      </c>
      <c r="M6" s="23" t="s">
        <v>1491</v>
      </c>
      <c r="N6" s="23" t="s">
        <v>1492</v>
      </c>
      <c r="O6" s="23" t="s">
        <v>1493</v>
      </c>
      <c r="P6" s="23" t="s">
        <v>1494</v>
      </c>
      <c r="Q6" s="23" t="s">
        <v>1495</v>
      </c>
      <c r="R6" s="23" t="s">
        <v>2066</v>
      </c>
      <c r="T6" s="24" t="s">
        <v>2316</v>
      </c>
      <c r="U6" s="24" t="s">
        <v>2317</v>
      </c>
    </row>
    <row r="7" spans="1:21" x14ac:dyDescent="0.25">
      <c r="A7" s="17" t="s">
        <v>1512</v>
      </c>
      <c r="B7" s="17" t="s">
        <v>1513</v>
      </c>
      <c r="C7" s="17" t="s">
        <v>1514</v>
      </c>
      <c r="D7" s="25">
        <f>cuotas_emitidas!D2-SUMIFS(ingresos!$D:$D,ingresos!$F:$F,saldos!$A7,ingresos!$G:$G,saldos!D$6)</f>
        <v>0</v>
      </c>
      <c r="E7" s="25">
        <f>cuotas_emitidas!E2-SUMIFS(ingresos!$D:$D,ingresos!$F:$F,saldos!$A7,ingresos!$G:$G,saldos!E$6)</f>
        <v>0</v>
      </c>
      <c r="F7" s="25">
        <f>cuotas_emitidas!F2-SUMIFS(ingresos!$D:$D,ingresos!$F:$F,saldos!$A7,ingresos!$G:$G,saldos!F$6)</f>
        <v>0</v>
      </c>
      <c r="G7" s="25">
        <f>cuotas_emitidas!G2-SUMIFS(ingresos!$D:$D,ingresos!$F:$F,saldos!$A7,ingresos!$G:$G,saldos!G$6)</f>
        <v>0</v>
      </c>
      <c r="H7" s="25">
        <f>cuotas_emitidas!H2-SUMIFS(ingresos!$D:$D,ingresos!$F:$F,saldos!$A7,ingresos!$G:$G,saldos!H$6)</f>
        <v>0</v>
      </c>
      <c r="I7" s="25">
        <f>cuotas_emitidas!I2-SUMIFS(ingresos!$D:$D,ingresos!$F:$F,saldos!$A7,ingresos!$G:$G,saldos!I$6)</f>
        <v>0</v>
      </c>
      <c r="J7" s="25">
        <f>cuotas_emitidas!J2-SUMIFS(ingresos!$D:$D,ingresos!$F:$F,saldos!$A7,ingresos!$G:$G,saldos!J$6)</f>
        <v>0</v>
      </c>
      <c r="K7" s="25">
        <f>cuotas_emitidas!K2-SUMIFS(ingresos!$D:$D,ingresos!$F:$F,saldos!$A7,ingresos!$G:$G,saldos!K$6)</f>
        <v>0</v>
      </c>
      <c r="L7" s="25">
        <f>cuotas_emitidas!L2-SUMIFS(ingresos!$D:$D,ingresos!$F:$F,saldos!$A7,ingresos!$G:$G,saldos!L$6)</f>
        <v>0</v>
      </c>
      <c r="M7" s="25">
        <f>cuotas_emitidas!M2-SUMIFS(ingresos!$D:$D,ingresos!$F:$F,saldos!$A7,ingresos!$G:$G,saldos!M$6)</f>
        <v>174.63</v>
      </c>
      <c r="N7" s="25">
        <f>cuotas_emitidas!N2-SUMIFS(ingresos!$D:$D,ingresos!$F:$F,saldos!$A7,ingresos!$G:$G,saldos!N$6)</f>
        <v>180.84</v>
      </c>
      <c r="O7" s="25">
        <f>cuotas_emitidas!O2-SUMIFS(ingresos!$D:$D,ingresos!$F:$F,saldos!$A7,ingresos!$G:$G,saldos!O$6)</f>
        <v>180.84</v>
      </c>
      <c r="P7" s="25">
        <f>cuotas_emitidas!P2-SUMIFS(ingresos!$D:$D,ingresos!$F:$F,saldos!$A7,ingresos!$G:$G,saldos!P$6)</f>
        <v>180.84</v>
      </c>
      <c r="Q7" s="25">
        <f>cuotas_emitidas!Q2-SUMIFS(ingresos!$D:$D,ingresos!$F:$F,saldos!$A7,ingresos!$G:$G,saldos!Q$6)</f>
        <v>180.84</v>
      </c>
      <c r="R7" s="26">
        <f>SUM(D7:Q7)</f>
        <v>897.99000000000012</v>
      </c>
      <c r="T7" s="26">
        <f>Q7</f>
        <v>180.84</v>
      </c>
      <c r="U7" s="26">
        <f>R7-T7</f>
        <v>717.15000000000009</v>
      </c>
    </row>
    <row r="8" spans="1:21" x14ac:dyDescent="0.25">
      <c r="A8" s="17" t="s">
        <v>1501</v>
      </c>
      <c r="B8" s="17" t="s">
        <v>1515</v>
      </c>
      <c r="C8" s="17" t="s">
        <v>1516</v>
      </c>
      <c r="D8" s="25">
        <f>cuotas_emitidas!D3-SUMIFS(ingresos!$D:$D,ingresos!$F:$F,saldos!$A8,ingresos!$G:$G,saldos!D$6)</f>
        <v>0</v>
      </c>
      <c r="E8" s="25">
        <f>cuotas_emitidas!E3-SUMIFS(ingresos!$D:$D,ingresos!$F:$F,saldos!$A8,ingresos!$G:$G,saldos!E$6)</f>
        <v>0</v>
      </c>
      <c r="F8" s="25">
        <f>cuotas_emitidas!F3-SUMIFS(ingresos!$D:$D,ingresos!$F:$F,saldos!$A8,ingresos!$G:$G,saldos!F$6)</f>
        <v>0</v>
      </c>
      <c r="G8" s="25">
        <f>cuotas_emitidas!G3-SUMIFS(ingresos!$D:$D,ingresos!$F:$F,saldos!$A8,ingresos!$G:$G,saldos!G$6)</f>
        <v>0</v>
      </c>
      <c r="H8" s="25">
        <f>cuotas_emitidas!H3-SUMIFS(ingresos!$D:$D,ingresos!$F:$F,saldos!$A8,ingresos!$G:$G,saldos!H$6)</f>
        <v>0</v>
      </c>
      <c r="I8" s="25">
        <f>cuotas_emitidas!I3-SUMIFS(ingresos!$D:$D,ingresos!$F:$F,saldos!$A8,ingresos!$G:$G,saldos!I$6)</f>
        <v>0</v>
      </c>
      <c r="J8" s="25">
        <f>cuotas_emitidas!J3-SUMIFS(ingresos!$D:$D,ingresos!$F:$F,saldos!$A8,ingresos!$G:$G,saldos!J$6)</f>
        <v>0</v>
      </c>
      <c r="K8" s="25">
        <f>cuotas_emitidas!K3-SUMIFS(ingresos!$D:$D,ingresos!$F:$F,saldos!$A8,ingresos!$G:$G,saldos!K$6)</f>
        <v>0</v>
      </c>
      <c r="L8" s="25">
        <f>cuotas_emitidas!L3-SUMIFS(ingresos!$D:$D,ingresos!$F:$F,saldos!$A8,ingresos!$G:$G,saldos!L$6)</f>
        <v>0</v>
      </c>
      <c r="M8" s="25">
        <f>cuotas_emitidas!M3-SUMIFS(ingresos!$D:$D,ingresos!$F:$F,saldos!$A8,ingresos!$G:$G,saldos!M$6)</f>
        <v>0</v>
      </c>
      <c r="N8" s="25">
        <f>cuotas_emitidas!N3-SUMIFS(ingresos!$D:$D,ingresos!$F:$F,saldos!$A8,ingresos!$G:$G,saldos!N$6)</f>
        <v>0</v>
      </c>
      <c r="O8" s="25">
        <f>cuotas_emitidas!O3-SUMIFS(ingresos!$D:$D,ingresos!$F:$F,saldos!$A8,ingresos!$G:$G,saldos!O$6)</f>
        <v>0</v>
      </c>
      <c r="P8" s="25">
        <f>cuotas_emitidas!P3-SUMIFS(ingresos!$D:$D,ingresos!$F:$F,saldos!$A8,ingresos!$G:$G,saldos!P$6)</f>
        <v>0</v>
      </c>
      <c r="Q8" s="25">
        <f>cuotas_emitidas!Q3-SUMIFS(ingresos!$D:$D,ingresos!$F:$F,saldos!$A8,ingresos!$G:$G,saldos!Q$6)</f>
        <v>377.02</v>
      </c>
      <c r="R8" s="26">
        <f t="shared" ref="R8:R71" si="0">SUM(D8:Q8)</f>
        <v>377.02</v>
      </c>
      <c r="T8" s="26">
        <f t="shared" ref="T8:T71" si="1">Q8</f>
        <v>377.02</v>
      </c>
      <c r="U8" s="26">
        <f t="shared" ref="U8:U71" si="2">R8-T8</f>
        <v>0</v>
      </c>
    </row>
    <row r="9" spans="1:21" x14ac:dyDescent="0.25">
      <c r="A9" s="17" t="s">
        <v>1517</v>
      </c>
      <c r="B9" s="17" t="s">
        <v>1518</v>
      </c>
      <c r="C9" s="17" t="s">
        <v>1519</v>
      </c>
      <c r="D9" s="25">
        <f>cuotas_emitidas!D4-SUMIFS(ingresos!$D:$D,ingresos!$F:$F,saldos!$A9,ingresos!$G:$G,saldos!D$6)</f>
        <v>0</v>
      </c>
      <c r="E9" s="25">
        <f>cuotas_emitidas!E4-SUMIFS(ingresos!$D:$D,ingresos!$F:$F,saldos!$A9,ingresos!$G:$G,saldos!E$6)</f>
        <v>0</v>
      </c>
      <c r="F9" s="25">
        <f>cuotas_emitidas!F4-SUMIFS(ingresos!$D:$D,ingresos!$F:$F,saldos!$A9,ingresos!$G:$G,saldos!F$6)</f>
        <v>0</v>
      </c>
      <c r="G9" s="25">
        <f>cuotas_emitidas!G4-SUMIFS(ingresos!$D:$D,ingresos!$F:$F,saldos!$A9,ingresos!$G:$G,saldos!G$6)</f>
        <v>0</v>
      </c>
      <c r="H9" s="25">
        <f>cuotas_emitidas!H4-SUMIFS(ingresos!$D:$D,ingresos!$F:$F,saldos!$A9,ingresos!$G:$G,saldos!H$6)</f>
        <v>0</v>
      </c>
      <c r="I9" s="25">
        <f>cuotas_emitidas!I4-SUMIFS(ingresos!$D:$D,ingresos!$F:$F,saldos!$A9,ingresos!$G:$G,saldos!I$6)</f>
        <v>0</v>
      </c>
      <c r="J9" s="25">
        <f>cuotas_emitidas!J4-SUMIFS(ingresos!$D:$D,ingresos!$F:$F,saldos!$A9,ingresos!$G:$G,saldos!J$6)</f>
        <v>0</v>
      </c>
      <c r="K9" s="25">
        <f>cuotas_emitidas!K4-SUMIFS(ingresos!$D:$D,ingresos!$F:$F,saldos!$A9,ingresos!$G:$G,saldos!K$6)</f>
        <v>0</v>
      </c>
      <c r="L9" s="25">
        <f>cuotas_emitidas!L4-SUMIFS(ingresos!$D:$D,ingresos!$F:$F,saldos!$A9,ingresos!$G:$G,saldos!L$6)</f>
        <v>0</v>
      </c>
      <c r="M9" s="25">
        <f>cuotas_emitidas!M4-SUMIFS(ingresos!$D:$D,ingresos!$F:$F,saldos!$A9,ingresos!$G:$G,saldos!M$6)</f>
        <v>0</v>
      </c>
      <c r="N9" s="25">
        <f>cuotas_emitidas!N4-SUMIFS(ingresos!$D:$D,ingresos!$F:$F,saldos!$A9,ingresos!$G:$G,saldos!N$6)</f>
        <v>0</v>
      </c>
      <c r="O9" s="25">
        <f>cuotas_emitidas!O4-SUMIFS(ingresos!$D:$D,ingresos!$F:$F,saldos!$A9,ingresos!$G:$G,saldos!O$6)</f>
        <v>0</v>
      </c>
      <c r="P9" s="25">
        <f>cuotas_emitidas!P4-SUMIFS(ingresos!$D:$D,ingresos!$F:$F,saldos!$A9,ingresos!$G:$G,saldos!P$6)</f>
        <v>0</v>
      </c>
      <c r="Q9" s="25">
        <f>cuotas_emitidas!Q4-SUMIFS(ingresos!$D:$D,ingresos!$F:$F,saldos!$A9,ingresos!$G:$G,saldos!Q$6)</f>
        <v>395.44</v>
      </c>
      <c r="R9" s="26">
        <f t="shared" si="0"/>
        <v>395.44</v>
      </c>
      <c r="T9" s="26">
        <f t="shared" si="1"/>
        <v>395.44</v>
      </c>
      <c r="U9" s="26">
        <f t="shared" si="2"/>
        <v>0</v>
      </c>
    </row>
    <row r="10" spans="1:21" x14ac:dyDescent="0.25">
      <c r="A10" s="17" t="s">
        <v>1520</v>
      </c>
      <c r="B10" s="17" t="s">
        <v>1521</v>
      </c>
      <c r="C10" s="17" t="s">
        <v>1522</v>
      </c>
      <c r="D10" s="25">
        <f>cuotas_emitidas!D5-SUMIFS(ingresos!$D:$D,ingresos!$F:$F,saldos!$A10,ingresos!$G:$G,saldos!D$6)</f>
        <v>0</v>
      </c>
      <c r="E10" s="25">
        <f>cuotas_emitidas!E5-SUMIFS(ingresos!$D:$D,ingresos!$F:$F,saldos!$A10,ingresos!$G:$G,saldos!E$6)</f>
        <v>0</v>
      </c>
      <c r="F10" s="25">
        <f>cuotas_emitidas!F5-SUMIFS(ingresos!$D:$D,ingresos!$F:$F,saldos!$A10,ingresos!$G:$G,saldos!F$6)</f>
        <v>0</v>
      </c>
      <c r="G10" s="25">
        <f>cuotas_emitidas!G5-SUMIFS(ingresos!$D:$D,ingresos!$F:$F,saldos!$A10,ingresos!$G:$G,saldos!G$6)</f>
        <v>0</v>
      </c>
      <c r="H10" s="25">
        <f>cuotas_emitidas!H5-SUMIFS(ingresos!$D:$D,ingresos!$F:$F,saldos!$A10,ingresos!$G:$G,saldos!H$6)</f>
        <v>0</v>
      </c>
      <c r="I10" s="25">
        <f>cuotas_emitidas!I5-SUMIFS(ingresos!$D:$D,ingresos!$F:$F,saldos!$A10,ingresos!$G:$G,saldos!I$6)</f>
        <v>0</v>
      </c>
      <c r="J10" s="25">
        <f>cuotas_emitidas!J5-SUMIFS(ingresos!$D:$D,ingresos!$F:$F,saldos!$A10,ingresos!$G:$G,saldos!J$6)</f>
        <v>0</v>
      </c>
      <c r="K10" s="25">
        <f>cuotas_emitidas!K5-SUMIFS(ingresos!$D:$D,ingresos!$F:$F,saldos!$A10,ingresos!$G:$G,saldos!K$6)</f>
        <v>0</v>
      </c>
      <c r="L10" s="25">
        <f>cuotas_emitidas!L5-SUMIFS(ingresos!$D:$D,ingresos!$F:$F,saldos!$A10,ingresos!$G:$G,saldos!L$6)</f>
        <v>0</v>
      </c>
      <c r="M10" s="25">
        <f>cuotas_emitidas!M5-SUMIFS(ingresos!$D:$D,ingresos!$F:$F,saldos!$A10,ingresos!$G:$G,saldos!M$6)</f>
        <v>0</v>
      </c>
      <c r="N10" s="25">
        <f>cuotas_emitidas!N5-SUMIFS(ingresos!$D:$D,ingresos!$F:$F,saldos!$A10,ingresos!$G:$G,saldos!N$6)</f>
        <v>0</v>
      </c>
      <c r="O10" s="25">
        <f>cuotas_emitidas!O5-SUMIFS(ingresos!$D:$D,ingresos!$F:$F,saldos!$A10,ingresos!$G:$G,saldos!O$6)</f>
        <v>0</v>
      </c>
      <c r="P10" s="25">
        <f>cuotas_emitidas!P5-SUMIFS(ingresos!$D:$D,ingresos!$F:$F,saldos!$A10,ingresos!$G:$G,saldos!P$6)</f>
        <v>0</v>
      </c>
      <c r="Q10" s="25">
        <f>cuotas_emitidas!Q5-SUMIFS(ingresos!$D:$D,ingresos!$F:$F,saldos!$A10,ingresos!$G:$G,saldos!Q$6)</f>
        <v>179.63</v>
      </c>
      <c r="R10" s="26">
        <f t="shared" si="0"/>
        <v>179.63</v>
      </c>
      <c r="T10" s="26">
        <f t="shared" si="1"/>
        <v>179.63</v>
      </c>
      <c r="U10" s="26">
        <f t="shared" si="2"/>
        <v>0</v>
      </c>
    </row>
    <row r="11" spans="1:21" x14ac:dyDescent="0.25">
      <c r="A11" s="17" t="s">
        <v>1523</v>
      </c>
      <c r="B11" s="17" t="s">
        <v>1524</v>
      </c>
      <c r="C11" s="17" t="s">
        <v>1525</v>
      </c>
      <c r="D11" s="25">
        <f>cuotas_emitidas!D6-SUMIFS(ingresos!$D:$D,ingresos!$F:$F,saldos!$A11,ingresos!$G:$G,saldos!D$6)</f>
        <v>0</v>
      </c>
      <c r="E11" s="25">
        <f>cuotas_emitidas!E6-SUMIFS(ingresos!$D:$D,ingresos!$F:$F,saldos!$A11,ingresos!$G:$G,saldos!E$6)</f>
        <v>0</v>
      </c>
      <c r="F11" s="25">
        <f>cuotas_emitidas!F6-SUMIFS(ingresos!$D:$D,ingresos!$F:$F,saldos!$A11,ingresos!$G:$G,saldos!F$6)</f>
        <v>0</v>
      </c>
      <c r="G11" s="25">
        <f>cuotas_emitidas!G6-SUMIFS(ingresos!$D:$D,ingresos!$F:$F,saldos!$A11,ingresos!$G:$G,saldos!G$6)</f>
        <v>0</v>
      </c>
      <c r="H11" s="25">
        <f>cuotas_emitidas!H6-SUMIFS(ingresos!$D:$D,ingresos!$F:$F,saldos!$A11,ingresos!$G:$G,saldos!H$6)</f>
        <v>0</v>
      </c>
      <c r="I11" s="25">
        <f>cuotas_emitidas!I6-SUMIFS(ingresos!$D:$D,ingresos!$F:$F,saldos!$A11,ingresos!$G:$G,saldos!I$6)</f>
        <v>0</v>
      </c>
      <c r="J11" s="25">
        <f>cuotas_emitidas!J6-SUMIFS(ingresos!$D:$D,ingresos!$F:$F,saldos!$A11,ingresos!$G:$G,saldos!J$6)</f>
        <v>0</v>
      </c>
      <c r="K11" s="25">
        <f>cuotas_emitidas!K6-SUMIFS(ingresos!$D:$D,ingresos!$F:$F,saldos!$A11,ingresos!$G:$G,saldos!K$6)</f>
        <v>0</v>
      </c>
      <c r="L11" s="25">
        <f>cuotas_emitidas!L6-SUMIFS(ingresos!$D:$D,ingresos!$F:$F,saldos!$A11,ingresos!$G:$G,saldos!L$6)</f>
        <v>0</v>
      </c>
      <c r="M11" s="25">
        <f>cuotas_emitidas!M6-SUMIFS(ingresos!$D:$D,ingresos!$F:$F,saldos!$A11,ingresos!$G:$G,saldos!M$6)</f>
        <v>0</v>
      </c>
      <c r="N11" s="25">
        <f>cuotas_emitidas!N6-SUMIFS(ingresos!$D:$D,ingresos!$F:$F,saldos!$A11,ingresos!$G:$G,saldos!N$6)</f>
        <v>0</v>
      </c>
      <c r="O11" s="25">
        <f>cuotas_emitidas!O6-SUMIFS(ingresos!$D:$D,ingresos!$F:$F,saldos!$A11,ingresos!$G:$G,saldos!O$6)</f>
        <v>0</v>
      </c>
      <c r="P11" s="25">
        <f>cuotas_emitidas!P6-SUMIFS(ingresos!$D:$D,ingresos!$F:$F,saldos!$A11,ingresos!$G:$G,saldos!P$6)</f>
        <v>0</v>
      </c>
      <c r="Q11" s="25">
        <f>cuotas_emitidas!Q6-SUMIFS(ingresos!$D:$D,ingresos!$F:$F,saldos!$A11,ingresos!$G:$G,saldos!Q$6)</f>
        <v>0</v>
      </c>
      <c r="R11" s="26">
        <f t="shared" si="0"/>
        <v>0</v>
      </c>
      <c r="T11" s="26">
        <f t="shared" si="1"/>
        <v>0</v>
      </c>
      <c r="U11" s="26">
        <f t="shared" si="2"/>
        <v>0</v>
      </c>
    </row>
    <row r="12" spans="1:21" x14ac:dyDescent="0.25">
      <c r="A12" s="17" t="s">
        <v>1526</v>
      </c>
      <c r="B12" s="17" t="s">
        <v>1294</v>
      </c>
      <c r="C12" s="17" t="s">
        <v>1527</v>
      </c>
      <c r="D12" s="25">
        <f>cuotas_emitidas!D7-SUMIFS(ingresos!$D:$D,ingresos!$F:$F,saldos!$A12,ingresos!$G:$G,saldos!D$6)</f>
        <v>0</v>
      </c>
      <c r="E12" s="25">
        <f>cuotas_emitidas!E7-SUMIFS(ingresos!$D:$D,ingresos!$F:$F,saldos!$A12,ingresos!$G:$G,saldos!E$6)</f>
        <v>0</v>
      </c>
      <c r="F12" s="25">
        <f>cuotas_emitidas!F7-SUMIFS(ingresos!$D:$D,ingresos!$F:$F,saldos!$A12,ingresos!$G:$G,saldos!F$6)</f>
        <v>0</v>
      </c>
      <c r="G12" s="25">
        <f>cuotas_emitidas!G7-SUMIFS(ingresos!$D:$D,ingresos!$F:$F,saldos!$A12,ingresos!$G:$G,saldos!G$6)</f>
        <v>0</v>
      </c>
      <c r="H12" s="25">
        <f>cuotas_emitidas!H7-SUMIFS(ingresos!$D:$D,ingresos!$F:$F,saldos!$A12,ingresos!$G:$G,saldos!H$6)</f>
        <v>0</v>
      </c>
      <c r="I12" s="25">
        <f>cuotas_emitidas!I7-SUMIFS(ingresos!$D:$D,ingresos!$F:$F,saldos!$A12,ingresos!$G:$G,saldos!I$6)</f>
        <v>0</v>
      </c>
      <c r="J12" s="25">
        <f>cuotas_emitidas!J7-SUMIFS(ingresos!$D:$D,ingresos!$F:$F,saldos!$A12,ingresos!$G:$G,saldos!J$6)</f>
        <v>0</v>
      </c>
      <c r="K12" s="25">
        <f>cuotas_emitidas!K7-SUMIFS(ingresos!$D:$D,ingresos!$F:$F,saldos!$A12,ingresos!$G:$G,saldos!K$6)</f>
        <v>0</v>
      </c>
      <c r="L12" s="25">
        <f>cuotas_emitidas!L7-SUMIFS(ingresos!$D:$D,ingresos!$F:$F,saldos!$A12,ingresos!$G:$G,saldos!L$6)</f>
        <v>0</v>
      </c>
      <c r="M12" s="25">
        <f>cuotas_emitidas!M7-SUMIFS(ingresos!$D:$D,ingresos!$F:$F,saldos!$A12,ingresos!$G:$G,saldos!M$6)</f>
        <v>0</v>
      </c>
      <c r="N12" s="25">
        <f>cuotas_emitidas!N7-SUMIFS(ingresos!$D:$D,ingresos!$F:$F,saldos!$A12,ingresos!$G:$G,saldos!N$6)</f>
        <v>0</v>
      </c>
      <c r="O12" s="25">
        <f>cuotas_emitidas!O7-SUMIFS(ingresos!$D:$D,ingresos!$F:$F,saldos!$A12,ingresos!$G:$G,saldos!O$6)</f>
        <v>0</v>
      </c>
      <c r="P12" s="25">
        <f>cuotas_emitidas!P7-SUMIFS(ingresos!$D:$D,ingresos!$F:$F,saldos!$A12,ingresos!$G:$G,saldos!P$6)</f>
        <v>0</v>
      </c>
      <c r="Q12" s="25">
        <f>cuotas_emitidas!Q7-SUMIFS(ingresos!$D:$D,ingresos!$F:$F,saldos!$A12,ingresos!$G:$G,saldos!Q$6)</f>
        <v>0</v>
      </c>
      <c r="R12" s="26">
        <f t="shared" si="0"/>
        <v>0</v>
      </c>
      <c r="T12" s="26">
        <f t="shared" si="1"/>
        <v>0</v>
      </c>
      <c r="U12" s="26">
        <f t="shared" si="2"/>
        <v>0</v>
      </c>
    </row>
    <row r="13" spans="1:21" x14ac:dyDescent="0.25">
      <c r="A13" s="17" t="s">
        <v>1528</v>
      </c>
      <c r="B13" s="17" t="s">
        <v>1422</v>
      </c>
      <c r="C13" s="17" t="s">
        <v>1529</v>
      </c>
      <c r="D13" s="25">
        <f>cuotas_emitidas!D8-SUMIFS(ingresos!$D:$D,ingresos!$F:$F,saldos!$A13,ingresos!$G:$G,saldos!D$6)</f>
        <v>0</v>
      </c>
      <c r="E13" s="25">
        <f>cuotas_emitidas!E8-SUMIFS(ingresos!$D:$D,ingresos!$F:$F,saldos!$A13,ingresos!$G:$G,saldos!E$6)</f>
        <v>0</v>
      </c>
      <c r="F13" s="25">
        <f>cuotas_emitidas!F8-SUMIFS(ingresos!$D:$D,ingresos!$F:$F,saldos!$A13,ingresos!$G:$G,saldos!F$6)</f>
        <v>0</v>
      </c>
      <c r="G13" s="25">
        <f>cuotas_emitidas!G8-SUMIFS(ingresos!$D:$D,ingresos!$F:$F,saldos!$A13,ingresos!$G:$G,saldos!G$6)</f>
        <v>0</v>
      </c>
      <c r="H13" s="25">
        <f>cuotas_emitidas!H8-SUMIFS(ingresos!$D:$D,ingresos!$F:$F,saldos!$A13,ingresos!$G:$G,saldos!H$6)</f>
        <v>0</v>
      </c>
      <c r="I13" s="25">
        <f>cuotas_emitidas!I8-SUMIFS(ingresos!$D:$D,ingresos!$F:$F,saldos!$A13,ingresos!$G:$G,saldos!I$6)</f>
        <v>0</v>
      </c>
      <c r="J13" s="25">
        <f>cuotas_emitidas!J8-SUMIFS(ingresos!$D:$D,ingresos!$F:$F,saldos!$A13,ingresos!$G:$G,saldos!J$6)</f>
        <v>0</v>
      </c>
      <c r="K13" s="25">
        <f>cuotas_emitidas!K8-SUMIFS(ingresos!$D:$D,ingresos!$F:$F,saldos!$A13,ingresos!$G:$G,saldos!K$6)</f>
        <v>0</v>
      </c>
      <c r="L13" s="25">
        <f>cuotas_emitidas!L8-SUMIFS(ingresos!$D:$D,ingresos!$F:$F,saldos!$A13,ingresos!$G:$G,saldos!L$6)</f>
        <v>0</v>
      </c>
      <c r="M13" s="25">
        <f>cuotas_emitidas!M8-SUMIFS(ingresos!$D:$D,ingresos!$F:$F,saldos!$A13,ingresos!$G:$G,saldos!M$6)</f>
        <v>0</v>
      </c>
      <c r="N13" s="25">
        <f>cuotas_emitidas!N8-SUMIFS(ingresos!$D:$D,ingresos!$F:$F,saldos!$A13,ingresos!$G:$G,saldos!N$6)</f>
        <v>0</v>
      </c>
      <c r="O13" s="25">
        <f>cuotas_emitidas!O8-SUMIFS(ingresos!$D:$D,ingresos!$F:$F,saldos!$A13,ingresos!$G:$G,saldos!O$6)</f>
        <v>0</v>
      </c>
      <c r="P13" s="25">
        <f>cuotas_emitidas!P8-SUMIFS(ingresos!$D:$D,ingresos!$F:$F,saldos!$A13,ingresos!$G:$G,saldos!P$6)</f>
        <v>0</v>
      </c>
      <c r="Q13" s="25">
        <f>cuotas_emitidas!Q8-SUMIFS(ingresos!$D:$D,ingresos!$F:$F,saldos!$A13,ingresos!$G:$G,saldos!Q$6)</f>
        <v>534.1400000000001</v>
      </c>
      <c r="R13" s="26">
        <f t="shared" si="0"/>
        <v>534.1400000000001</v>
      </c>
      <c r="T13" s="26">
        <f t="shared" si="1"/>
        <v>534.1400000000001</v>
      </c>
      <c r="U13" s="26">
        <f t="shared" si="2"/>
        <v>0</v>
      </c>
    </row>
    <row r="14" spans="1:21" x14ac:dyDescent="0.25">
      <c r="A14" s="17" t="s">
        <v>1530</v>
      </c>
      <c r="B14" s="17" t="s">
        <v>1531</v>
      </c>
      <c r="C14" s="17" t="s">
        <v>1532</v>
      </c>
      <c r="D14" s="25">
        <f>cuotas_emitidas!D9-SUMIFS(ingresos!$D:$D,ingresos!$F:$F,saldos!$A14,ingresos!$G:$G,saldos!D$6)</f>
        <v>0</v>
      </c>
      <c r="E14" s="25">
        <f>cuotas_emitidas!E9-SUMIFS(ingresos!$D:$D,ingresos!$F:$F,saldos!$A14,ingresos!$G:$G,saldos!E$6)</f>
        <v>0</v>
      </c>
      <c r="F14" s="25">
        <f>cuotas_emitidas!F9-SUMIFS(ingresos!$D:$D,ingresos!$F:$F,saldos!$A14,ingresos!$G:$G,saldos!F$6)</f>
        <v>0</v>
      </c>
      <c r="G14" s="25">
        <f>cuotas_emitidas!G9-SUMIFS(ingresos!$D:$D,ingresos!$F:$F,saldos!$A14,ingresos!$G:$G,saldos!G$6)</f>
        <v>0</v>
      </c>
      <c r="H14" s="25">
        <f>cuotas_emitidas!H9-SUMIFS(ingresos!$D:$D,ingresos!$F:$F,saldos!$A14,ingresos!$G:$G,saldos!H$6)</f>
        <v>0</v>
      </c>
      <c r="I14" s="25">
        <f>cuotas_emitidas!I9-SUMIFS(ingresos!$D:$D,ingresos!$F:$F,saldos!$A14,ingresos!$G:$G,saldos!I$6)</f>
        <v>0</v>
      </c>
      <c r="J14" s="25">
        <f>cuotas_emitidas!J9-SUMIFS(ingresos!$D:$D,ingresos!$F:$F,saldos!$A14,ingresos!$G:$G,saldos!J$6)</f>
        <v>0</v>
      </c>
      <c r="K14" s="25">
        <f>cuotas_emitidas!K9-SUMIFS(ingresos!$D:$D,ingresos!$F:$F,saldos!$A14,ingresos!$G:$G,saldos!K$6)</f>
        <v>0</v>
      </c>
      <c r="L14" s="25">
        <f>cuotas_emitidas!L9-SUMIFS(ingresos!$D:$D,ingresos!$F:$F,saldos!$A14,ingresos!$G:$G,saldos!L$6)</f>
        <v>324.29000000000002</v>
      </c>
      <c r="M14" s="25">
        <f>cuotas_emitidas!M9-SUMIFS(ingresos!$D:$D,ingresos!$F:$F,saldos!$A14,ingresos!$G:$G,saldos!M$6)</f>
        <v>312.02999999999997</v>
      </c>
      <c r="N14" s="25">
        <f>cuotas_emitidas!N9-SUMIFS(ingresos!$D:$D,ingresos!$F:$F,saldos!$A14,ingresos!$G:$G,saldos!N$6)</f>
        <v>327.24</v>
      </c>
      <c r="O14" s="25">
        <f>cuotas_emitidas!O9-SUMIFS(ingresos!$D:$D,ingresos!$F:$F,saldos!$A14,ingresos!$G:$G,saldos!O$6)</f>
        <v>324.7</v>
      </c>
      <c r="P14" s="25">
        <f>cuotas_emitidas!P9-SUMIFS(ingresos!$D:$D,ingresos!$F:$F,saldos!$A14,ingresos!$G:$G,saldos!P$6)</f>
        <v>306.74</v>
      </c>
      <c r="Q14" s="25">
        <f>cuotas_emitidas!Q9-SUMIFS(ingresos!$D:$D,ingresos!$F:$F,saldos!$A14,ingresos!$G:$G,saldos!Q$6)</f>
        <v>318.57</v>
      </c>
      <c r="R14" s="26">
        <f t="shared" si="0"/>
        <v>1913.57</v>
      </c>
      <c r="T14" s="26">
        <f t="shared" si="1"/>
        <v>318.57</v>
      </c>
      <c r="U14" s="26">
        <f t="shared" si="2"/>
        <v>1595</v>
      </c>
    </row>
    <row r="15" spans="1:21" x14ac:dyDescent="0.25">
      <c r="A15" s="17" t="s">
        <v>1533</v>
      </c>
      <c r="B15" s="17" t="s">
        <v>1427</v>
      </c>
      <c r="C15" s="17" t="s">
        <v>1534</v>
      </c>
      <c r="D15" s="25">
        <f>cuotas_emitidas!D10-SUMIFS(ingresos!$D:$D,ingresos!$F:$F,saldos!$A15,ingresos!$G:$G,saldos!D$6)</f>
        <v>0</v>
      </c>
      <c r="E15" s="25">
        <f>cuotas_emitidas!E10-SUMIFS(ingresos!$D:$D,ingresos!$F:$F,saldos!$A15,ingresos!$G:$G,saldos!E$6)</f>
        <v>0</v>
      </c>
      <c r="F15" s="25">
        <f>cuotas_emitidas!F10-SUMIFS(ingresos!$D:$D,ingresos!$F:$F,saldos!$A15,ingresos!$G:$G,saldos!F$6)</f>
        <v>0</v>
      </c>
      <c r="G15" s="25">
        <f>cuotas_emitidas!G10-SUMIFS(ingresos!$D:$D,ingresos!$F:$F,saldos!$A15,ingresos!$G:$G,saldos!G$6)</f>
        <v>0</v>
      </c>
      <c r="H15" s="25">
        <f>cuotas_emitidas!H10-SUMIFS(ingresos!$D:$D,ingresos!$F:$F,saldos!$A15,ingresos!$G:$G,saldos!H$6)</f>
        <v>0</v>
      </c>
      <c r="I15" s="25">
        <f>cuotas_emitidas!I10-SUMIFS(ingresos!$D:$D,ingresos!$F:$F,saldos!$A15,ingresos!$G:$G,saldos!I$6)</f>
        <v>0</v>
      </c>
      <c r="J15" s="25">
        <f>cuotas_emitidas!J10-SUMIFS(ingresos!$D:$D,ingresos!$F:$F,saldos!$A15,ingresos!$G:$G,saldos!J$6)</f>
        <v>0</v>
      </c>
      <c r="K15" s="25">
        <f>cuotas_emitidas!K10-SUMIFS(ingresos!$D:$D,ingresos!$F:$F,saldos!$A15,ingresos!$G:$G,saldos!K$6)</f>
        <v>0</v>
      </c>
      <c r="L15" s="25">
        <f>cuotas_emitidas!L10-SUMIFS(ingresos!$D:$D,ingresos!$F:$F,saldos!$A15,ingresos!$G:$G,saldos!L$6)</f>
        <v>0</v>
      </c>
      <c r="M15" s="25">
        <f>cuotas_emitidas!M10-SUMIFS(ingresos!$D:$D,ingresos!$F:$F,saldos!$A15,ingresos!$G:$G,saldos!M$6)</f>
        <v>0</v>
      </c>
      <c r="N15" s="25">
        <f>cuotas_emitidas!N10-SUMIFS(ingresos!$D:$D,ingresos!$F:$F,saldos!$A15,ingresos!$G:$G,saldos!N$6)</f>
        <v>0</v>
      </c>
      <c r="O15" s="25">
        <f>cuotas_emitidas!O10-SUMIFS(ingresos!$D:$D,ingresos!$F:$F,saldos!$A15,ingresos!$G:$G,saldos!O$6)</f>
        <v>0</v>
      </c>
      <c r="P15" s="25">
        <f>cuotas_emitidas!P10-SUMIFS(ingresos!$D:$D,ingresos!$F:$F,saldos!$A15,ingresos!$G:$G,saldos!P$6)</f>
        <v>0</v>
      </c>
      <c r="Q15" s="25">
        <f>cuotas_emitidas!Q10-SUMIFS(ingresos!$D:$D,ingresos!$F:$F,saldos!$A15,ingresos!$G:$G,saldos!Q$6)</f>
        <v>251.45</v>
      </c>
      <c r="R15" s="26">
        <f t="shared" si="0"/>
        <v>251.45</v>
      </c>
      <c r="T15" s="26">
        <f t="shared" si="1"/>
        <v>251.45</v>
      </c>
      <c r="U15" s="26">
        <f t="shared" si="2"/>
        <v>0</v>
      </c>
    </row>
    <row r="16" spans="1:21" x14ac:dyDescent="0.25">
      <c r="A16" s="17" t="s">
        <v>1535</v>
      </c>
      <c r="B16" s="17" t="s">
        <v>1536</v>
      </c>
      <c r="C16" s="17" t="s">
        <v>1537</v>
      </c>
      <c r="D16" s="25">
        <f>cuotas_emitidas!D11-SUMIFS(ingresos!$D:$D,ingresos!$F:$F,saldos!$A16,ingresos!$G:$G,saldos!D$6)</f>
        <v>0</v>
      </c>
      <c r="E16" s="25">
        <f>cuotas_emitidas!E11-SUMIFS(ingresos!$D:$D,ingresos!$F:$F,saldos!$A16,ingresos!$G:$G,saldos!E$6)</f>
        <v>0</v>
      </c>
      <c r="F16" s="25">
        <f>cuotas_emitidas!F11-SUMIFS(ingresos!$D:$D,ingresos!$F:$F,saldos!$A16,ingresos!$G:$G,saldos!F$6)</f>
        <v>0</v>
      </c>
      <c r="G16" s="25">
        <f>cuotas_emitidas!G11-SUMIFS(ingresos!$D:$D,ingresos!$F:$F,saldos!$A16,ingresos!$G:$G,saldos!G$6)</f>
        <v>0</v>
      </c>
      <c r="H16" s="25">
        <f>cuotas_emitidas!H11-SUMIFS(ingresos!$D:$D,ingresos!$F:$F,saldos!$A16,ingresos!$G:$G,saldos!H$6)</f>
        <v>0</v>
      </c>
      <c r="I16" s="25">
        <f>cuotas_emitidas!I11-SUMIFS(ingresos!$D:$D,ingresos!$F:$F,saldos!$A16,ingresos!$G:$G,saldos!I$6)</f>
        <v>0</v>
      </c>
      <c r="J16" s="25">
        <f>cuotas_emitidas!J11-SUMIFS(ingresos!$D:$D,ingresos!$F:$F,saldos!$A16,ingresos!$G:$G,saldos!J$6)</f>
        <v>0</v>
      </c>
      <c r="K16" s="25">
        <f>cuotas_emitidas!K11-SUMIFS(ingresos!$D:$D,ingresos!$F:$F,saldos!$A16,ingresos!$G:$G,saldos!K$6)</f>
        <v>0</v>
      </c>
      <c r="L16" s="25">
        <f>cuotas_emitidas!L11-SUMIFS(ingresos!$D:$D,ingresos!$F:$F,saldos!$A16,ingresos!$G:$G,saldos!L$6)</f>
        <v>0</v>
      </c>
      <c r="M16" s="25">
        <f>cuotas_emitidas!M11-SUMIFS(ingresos!$D:$D,ingresos!$F:$F,saldos!$A16,ingresos!$G:$G,saldos!M$6)</f>
        <v>0</v>
      </c>
      <c r="N16" s="25">
        <f>cuotas_emitidas!N11-SUMIFS(ingresos!$D:$D,ingresos!$F:$F,saldos!$A16,ingresos!$G:$G,saldos!N$6)</f>
        <v>1.9299999999999784</v>
      </c>
      <c r="O16" s="25">
        <f>cuotas_emitidas!O11-SUMIFS(ingresos!$D:$D,ingresos!$F:$F,saldos!$A16,ingresos!$G:$G,saldos!O$6)</f>
        <v>1.4099999999999966</v>
      </c>
      <c r="P16" s="25">
        <f>cuotas_emitidas!P11-SUMIFS(ingresos!$D:$D,ingresos!$F:$F,saldos!$A16,ingresos!$G:$G,saldos!P$6)</f>
        <v>0</v>
      </c>
      <c r="Q16" s="25">
        <f>cuotas_emitidas!Q11-SUMIFS(ingresos!$D:$D,ingresos!$F:$F,saldos!$A16,ingresos!$G:$G,saldos!Q$6)</f>
        <v>0</v>
      </c>
      <c r="R16" s="26">
        <f t="shared" si="0"/>
        <v>3.339999999999975</v>
      </c>
      <c r="T16" s="26">
        <f t="shared" si="1"/>
        <v>0</v>
      </c>
      <c r="U16" s="26">
        <f t="shared" si="2"/>
        <v>3.339999999999975</v>
      </c>
    </row>
    <row r="17" spans="1:21" x14ac:dyDescent="0.25">
      <c r="A17" s="17" t="s">
        <v>1538</v>
      </c>
      <c r="B17" s="17" t="s">
        <v>1539</v>
      </c>
      <c r="C17" s="17" t="s">
        <v>1540</v>
      </c>
      <c r="D17" s="25">
        <f>cuotas_emitidas!D12-SUMIFS(ingresos!$D:$D,ingresos!$F:$F,saldos!$A17,ingresos!$G:$G,saldos!D$6)</f>
        <v>0</v>
      </c>
      <c r="E17" s="25">
        <f>cuotas_emitidas!E12-SUMIFS(ingresos!$D:$D,ingresos!$F:$F,saldos!$A17,ingresos!$G:$G,saldos!E$6)</f>
        <v>0</v>
      </c>
      <c r="F17" s="25">
        <f>cuotas_emitidas!F12-SUMIFS(ingresos!$D:$D,ingresos!$F:$F,saldos!$A17,ingresos!$G:$G,saldos!F$6)</f>
        <v>0</v>
      </c>
      <c r="G17" s="25">
        <f>cuotas_emitidas!G12-SUMIFS(ingresos!$D:$D,ingresos!$F:$F,saldos!$A17,ingresos!$G:$G,saldos!G$6)</f>
        <v>0</v>
      </c>
      <c r="H17" s="25">
        <f>cuotas_emitidas!H12-SUMIFS(ingresos!$D:$D,ingresos!$F:$F,saldos!$A17,ingresos!$G:$G,saldos!H$6)</f>
        <v>0</v>
      </c>
      <c r="I17" s="25">
        <f>cuotas_emitidas!I12-SUMIFS(ingresos!$D:$D,ingresos!$F:$F,saldos!$A17,ingresos!$G:$G,saldos!I$6)</f>
        <v>0</v>
      </c>
      <c r="J17" s="25">
        <f>cuotas_emitidas!J12-SUMIFS(ingresos!$D:$D,ingresos!$F:$F,saldos!$A17,ingresos!$G:$G,saldos!J$6)</f>
        <v>0</v>
      </c>
      <c r="K17" s="25">
        <f>cuotas_emitidas!K12-SUMIFS(ingresos!$D:$D,ingresos!$F:$F,saldos!$A17,ingresos!$G:$G,saldos!K$6)</f>
        <v>0</v>
      </c>
      <c r="L17" s="25">
        <f>cuotas_emitidas!L12-SUMIFS(ingresos!$D:$D,ingresos!$F:$F,saldos!$A17,ingresos!$G:$G,saldos!L$6)</f>
        <v>0</v>
      </c>
      <c r="M17" s="25">
        <f>cuotas_emitidas!M12-SUMIFS(ingresos!$D:$D,ingresos!$F:$F,saldos!$A17,ingresos!$G:$G,saldos!M$6)</f>
        <v>0</v>
      </c>
      <c r="N17" s="25">
        <f>cuotas_emitidas!N12-SUMIFS(ingresos!$D:$D,ingresos!$F:$F,saldos!$A17,ingresos!$G:$G,saldos!N$6)</f>
        <v>0</v>
      </c>
      <c r="O17" s="25">
        <f>cuotas_emitidas!O12-SUMIFS(ingresos!$D:$D,ingresos!$F:$F,saldos!$A17,ingresos!$G:$G,saldos!O$6)</f>
        <v>80.52</v>
      </c>
      <c r="P17" s="25">
        <f>cuotas_emitidas!P12-SUMIFS(ingresos!$D:$D,ingresos!$F:$F,saldos!$A17,ingresos!$G:$G,saldos!P$6)</f>
        <v>80.52</v>
      </c>
      <c r="Q17" s="25">
        <f>cuotas_emitidas!Q12-SUMIFS(ingresos!$D:$D,ingresos!$F:$F,saldos!$A17,ingresos!$G:$G,saldos!Q$6)</f>
        <v>80.52</v>
      </c>
      <c r="R17" s="26">
        <f t="shared" si="0"/>
        <v>241.56</v>
      </c>
      <c r="T17" s="26">
        <f t="shared" si="1"/>
        <v>80.52</v>
      </c>
      <c r="U17" s="26">
        <f t="shared" si="2"/>
        <v>161.04000000000002</v>
      </c>
    </row>
    <row r="18" spans="1:21" x14ac:dyDescent="0.25">
      <c r="A18" s="17" t="s">
        <v>1502</v>
      </c>
      <c r="B18" s="17" t="s">
        <v>1541</v>
      </c>
      <c r="C18" s="17" t="s">
        <v>1542</v>
      </c>
      <c r="D18" s="25">
        <f>cuotas_emitidas!D13-SUMIFS(ingresos!$D:$D,ingresos!$F:$F,saldos!$A18,ingresos!$G:$G,saldos!D$6)</f>
        <v>0</v>
      </c>
      <c r="E18" s="25">
        <f>cuotas_emitidas!E13-SUMIFS(ingresos!$D:$D,ingresos!$F:$F,saldos!$A18,ingresos!$G:$G,saldos!E$6)</f>
        <v>0</v>
      </c>
      <c r="F18" s="25">
        <f>cuotas_emitidas!F13-SUMIFS(ingresos!$D:$D,ingresos!$F:$F,saldos!$A18,ingresos!$G:$G,saldos!F$6)</f>
        <v>0</v>
      </c>
      <c r="G18" s="25">
        <f>cuotas_emitidas!G13-SUMIFS(ingresos!$D:$D,ingresos!$F:$F,saldos!$A18,ingresos!$G:$G,saldos!G$6)</f>
        <v>0</v>
      </c>
      <c r="H18" s="25">
        <f>cuotas_emitidas!H13-SUMIFS(ingresos!$D:$D,ingresos!$F:$F,saldos!$A18,ingresos!$G:$G,saldos!H$6)</f>
        <v>0</v>
      </c>
      <c r="I18" s="25">
        <f>cuotas_emitidas!I13-SUMIFS(ingresos!$D:$D,ingresos!$F:$F,saldos!$A18,ingresos!$G:$G,saldos!I$6)</f>
        <v>0</v>
      </c>
      <c r="J18" s="25">
        <f>cuotas_emitidas!J13-SUMIFS(ingresos!$D:$D,ingresos!$F:$F,saldos!$A18,ingresos!$G:$G,saldos!J$6)</f>
        <v>0</v>
      </c>
      <c r="K18" s="25">
        <f>cuotas_emitidas!K13-SUMIFS(ingresos!$D:$D,ingresos!$F:$F,saldos!$A18,ingresos!$G:$G,saldos!K$6)</f>
        <v>0</v>
      </c>
      <c r="L18" s="25">
        <f>cuotas_emitidas!L13-SUMIFS(ingresos!$D:$D,ingresos!$F:$F,saldos!$A18,ingresos!$G:$G,saldos!L$6)</f>
        <v>0</v>
      </c>
      <c r="M18" s="25">
        <f>cuotas_emitidas!M13-SUMIFS(ingresos!$D:$D,ingresos!$F:$F,saldos!$A18,ingresos!$G:$G,saldos!M$6)</f>
        <v>0</v>
      </c>
      <c r="N18" s="25">
        <f>cuotas_emitidas!N13-SUMIFS(ingresos!$D:$D,ingresos!$F:$F,saldos!$A18,ingresos!$G:$G,saldos!N$6)</f>
        <v>0</v>
      </c>
      <c r="O18" s="25">
        <f>cuotas_emitidas!O13-SUMIFS(ingresos!$D:$D,ingresos!$F:$F,saldos!$A18,ingresos!$G:$G,saldos!O$6)</f>
        <v>0</v>
      </c>
      <c r="P18" s="25">
        <f>cuotas_emitidas!P13-SUMIFS(ingresos!$D:$D,ingresos!$F:$F,saldos!$A18,ingresos!$G:$G,saldos!P$6)</f>
        <v>0</v>
      </c>
      <c r="Q18" s="25">
        <f>cuotas_emitidas!Q13-SUMIFS(ingresos!$D:$D,ingresos!$F:$F,saldos!$A18,ingresos!$G:$G,saldos!Q$6)</f>
        <v>0</v>
      </c>
      <c r="R18" s="26">
        <f t="shared" si="0"/>
        <v>0</v>
      </c>
      <c r="T18" s="26">
        <f t="shared" si="1"/>
        <v>0</v>
      </c>
      <c r="U18" s="26">
        <f t="shared" si="2"/>
        <v>0</v>
      </c>
    </row>
    <row r="19" spans="1:21" x14ac:dyDescent="0.25">
      <c r="A19" s="17" t="s">
        <v>1543</v>
      </c>
      <c r="B19" s="17" t="s">
        <v>1393</v>
      </c>
      <c r="C19" s="17" t="s">
        <v>1544</v>
      </c>
      <c r="D19" s="25">
        <f>cuotas_emitidas!D14-SUMIFS(ingresos!$D:$D,ingresos!$F:$F,saldos!$A19,ingresos!$G:$G,saldos!D$6)</f>
        <v>0</v>
      </c>
      <c r="E19" s="25">
        <f>cuotas_emitidas!E14-SUMIFS(ingresos!$D:$D,ingresos!$F:$F,saldos!$A19,ingresos!$G:$G,saldos!E$6)</f>
        <v>0</v>
      </c>
      <c r="F19" s="25">
        <f>cuotas_emitidas!F14-SUMIFS(ingresos!$D:$D,ingresos!$F:$F,saldos!$A19,ingresos!$G:$G,saldos!F$6)</f>
        <v>0</v>
      </c>
      <c r="G19" s="25">
        <f>cuotas_emitidas!G14-SUMIFS(ingresos!$D:$D,ingresos!$F:$F,saldos!$A19,ingresos!$G:$G,saldos!G$6)</f>
        <v>0</v>
      </c>
      <c r="H19" s="25">
        <f>cuotas_emitidas!H14-SUMIFS(ingresos!$D:$D,ingresos!$F:$F,saldos!$A19,ingresos!$G:$G,saldos!H$6)</f>
        <v>0</v>
      </c>
      <c r="I19" s="25">
        <f>cuotas_emitidas!I14-SUMIFS(ingresos!$D:$D,ingresos!$F:$F,saldos!$A19,ingresos!$G:$G,saldos!I$6)</f>
        <v>0</v>
      </c>
      <c r="J19" s="25">
        <f>cuotas_emitidas!J14-SUMIFS(ingresos!$D:$D,ingresos!$F:$F,saldos!$A19,ingresos!$G:$G,saldos!J$6)</f>
        <v>0</v>
      </c>
      <c r="K19" s="25">
        <f>cuotas_emitidas!K14-SUMIFS(ingresos!$D:$D,ingresos!$F:$F,saldos!$A19,ingresos!$G:$G,saldos!K$6)</f>
        <v>0</v>
      </c>
      <c r="L19" s="25">
        <f>cuotas_emitidas!L14-SUMIFS(ingresos!$D:$D,ingresos!$F:$F,saldos!$A19,ingresos!$G:$G,saldos!L$6)</f>
        <v>0</v>
      </c>
      <c r="M19" s="25">
        <f>cuotas_emitidas!M14-SUMIFS(ingresos!$D:$D,ingresos!$F:$F,saldos!$A19,ingresos!$G:$G,saldos!M$6)</f>
        <v>0</v>
      </c>
      <c r="N19" s="25">
        <f>cuotas_emitidas!N14-SUMIFS(ingresos!$D:$D,ingresos!$F:$F,saldos!$A19,ingresos!$G:$G,saldos!N$6)</f>
        <v>0</v>
      </c>
      <c r="O19" s="25">
        <f>cuotas_emitidas!O14-SUMIFS(ingresos!$D:$D,ingresos!$F:$F,saldos!$A19,ingresos!$G:$G,saldos!O$6)</f>
        <v>0</v>
      </c>
      <c r="P19" s="25">
        <f>cuotas_emitidas!P14-SUMIFS(ingresos!$D:$D,ingresos!$F:$F,saldos!$A19,ingresos!$G:$G,saldos!P$6)</f>
        <v>0</v>
      </c>
      <c r="Q19" s="25">
        <f>cuotas_emitidas!Q14-SUMIFS(ingresos!$D:$D,ingresos!$F:$F,saldos!$A19,ingresos!$G:$G,saldos!Q$6)</f>
        <v>365.88</v>
      </c>
      <c r="R19" s="26">
        <f t="shared" si="0"/>
        <v>365.88</v>
      </c>
      <c r="T19" s="26">
        <f t="shared" si="1"/>
        <v>365.88</v>
      </c>
      <c r="U19" s="26">
        <f t="shared" si="2"/>
        <v>0</v>
      </c>
    </row>
    <row r="20" spans="1:21" x14ac:dyDescent="0.25">
      <c r="A20" s="17" t="s">
        <v>1545</v>
      </c>
      <c r="B20" s="17" t="s">
        <v>1546</v>
      </c>
      <c r="C20" s="17" t="s">
        <v>1547</v>
      </c>
      <c r="D20" s="25">
        <f>cuotas_emitidas!D15-SUMIFS(ingresos!$D:$D,ingresos!$F:$F,saldos!$A20,ingresos!$G:$G,saldos!D$6)</f>
        <v>0</v>
      </c>
      <c r="E20" s="25">
        <f>cuotas_emitidas!E15-SUMIFS(ingresos!$D:$D,ingresos!$F:$F,saldos!$A20,ingresos!$G:$G,saldos!E$6)</f>
        <v>0</v>
      </c>
      <c r="F20" s="25">
        <f>cuotas_emitidas!F15-SUMIFS(ingresos!$D:$D,ingresos!$F:$F,saldos!$A20,ingresos!$G:$G,saldos!F$6)</f>
        <v>0</v>
      </c>
      <c r="G20" s="25">
        <f>cuotas_emitidas!G15-SUMIFS(ingresos!$D:$D,ingresos!$F:$F,saldos!$A20,ingresos!$G:$G,saldos!G$6)</f>
        <v>0</v>
      </c>
      <c r="H20" s="25">
        <f>cuotas_emitidas!H15-SUMIFS(ingresos!$D:$D,ingresos!$F:$F,saldos!$A20,ingresos!$G:$G,saldos!H$6)</f>
        <v>0</v>
      </c>
      <c r="I20" s="25">
        <f>cuotas_emitidas!I15-SUMIFS(ingresos!$D:$D,ingresos!$F:$F,saldos!$A20,ingresos!$G:$G,saldos!I$6)</f>
        <v>0</v>
      </c>
      <c r="J20" s="25">
        <f>cuotas_emitidas!J15-SUMIFS(ingresos!$D:$D,ingresos!$F:$F,saldos!$A20,ingresos!$G:$G,saldos!J$6)</f>
        <v>0</v>
      </c>
      <c r="K20" s="25">
        <f>cuotas_emitidas!K15-SUMIFS(ingresos!$D:$D,ingresos!$F:$F,saldos!$A20,ingresos!$G:$G,saldos!K$6)</f>
        <v>0</v>
      </c>
      <c r="L20" s="25">
        <f>cuotas_emitidas!L15-SUMIFS(ingresos!$D:$D,ingresos!$F:$F,saldos!$A20,ingresos!$G:$G,saldos!L$6)</f>
        <v>0</v>
      </c>
      <c r="M20" s="25">
        <f>cuotas_emitidas!M15-SUMIFS(ingresos!$D:$D,ingresos!$F:$F,saldos!$A20,ingresos!$G:$G,saldos!M$6)</f>
        <v>0</v>
      </c>
      <c r="N20" s="25">
        <f>cuotas_emitidas!N15-SUMIFS(ingresos!$D:$D,ingresos!$F:$F,saldos!$A20,ingresos!$G:$G,saldos!N$6)</f>
        <v>0</v>
      </c>
      <c r="O20" s="25">
        <f>cuotas_emitidas!O15-SUMIFS(ingresos!$D:$D,ingresos!$F:$F,saldos!$A20,ingresos!$G:$G,saldos!O$6)</f>
        <v>0</v>
      </c>
      <c r="P20" s="25">
        <f>cuotas_emitidas!P15-SUMIFS(ingresos!$D:$D,ingresos!$F:$F,saldos!$A20,ingresos!$G:$G,saldos!P$6)</f>
        <v>0</v>
      </c>
      <c r="Q20" s="25">
        <f>cuotas_emitidas!Q15-SUMIFS(ingresos!$D:$D,ingresos!$F:$F,saldos!$A20,ingresos!$G:$G,saldos!Q$6)</f>
        <v>624.98</v>
      </c>
      <c r="R20" s="26">
        <f t="shared" si="0"/>
        <v>624.98</v>
      </c>
      <c r="T20" s="26">
        <f t="shared" si="1"/>
        <v>624.98</v>
      </c>
      <c r="U20" s="26">
        <f t="shared" si="2"/>
        <v>0</v>
      </c>
    </row>
    <row r="21" spans="1:21" x14ac:dyDescent="0.25">
      <c r="A21" s="17" t="s">
        <v>1548</v>
      </c>
      <c r="B21" s="17" t="s">
        <v>1549</v>
      </c>
      <c r="C21" s="17" t="s">
        <v>1550</v>
      </c>
      <c r="D21" s="25">
        <f>cuotas_emitidas!D16-SUMIFS(ingresos!$D:$D,ingresos!$F:$F,saldos!$A21,ingresos!$G:$G,saldos!D$6)</f>
        <v>0</v>
      </c>
      <c r="E21" s="25">
        <f>cuotas_emitidas!E16-SUMIFS(ingresos!$D:$D,ingresos!$F:$F,saldos!$A21,ingresos!$G:$G,saldos!E$6)</f>
        <v>0</v>
      </c>
      <c r="F21" s="25">
        <f>cuotas_emitidas!F16-SUMIFS(ingresos!$D:$D,ingresos!$F:$F,saldos!$A21,ingresos!$G:$G,saldos!F$6)</f>
        <v>0</v>
      </c>
      <c r="G21" s="25">
        <f>cuotas_emitidas!G16-SUMIFS(ingresos!$D:$D,ingresos!$F:$F,saldos!$A21,ingresos!$G:$G,saldos!G$6)</f>
        <v>0</v>
      </c>
      <c r="H21" s="25">
        <f>cuotas_emitidas!H16-SUMIFS(ingresos!$D:$D,ingresos!$F:$F,saldos!$A21,ingresos!$G:$G,saldos!H$6)</f>
        <v>0</v>
      </c>
      <c r="I21" s="25">
        <f>cuotas_emitidas!I16-SUMIFS(ingresos!$D:$D,ingresos!$F:$F,saldos!$A21,ingresos!$G:$G,saldos!I$6)</f>
        <v>0</v>
      </c>
      <c r="J21" s="25">
        <f>cuotas_emitidas!J16-SUMIFS(ingresos!$D:$D,ingresos!$F:$F,saldos!$A21,ingresos!$G:$G,saldos!J$6)</f>
        <v>0</v>
      </c>
      <c r="K21" s="25">
        <f>cuotas_emitidas!K16-SUMIFS(ingresos!$D:$D,ingresos!$F:$F,saldos!$A21,ingresos!$G:$G,saldos!K$6)</f>
        <v>0</v>
      </c>
      <c r="L21" s="25">
        <f>cuotas_emitidas!L16-SUMIFS(ingresos!$D:$D,ingresos!$F:$F,saldos!$A21,ingresos!$G:$G,saldos!L$6)</f>
        <v>0</v>
      </c>
      <c r="M21" s="25">
        <f>cuotas_emitidas!M16-SUMIFS(ingresos!$D:$D,ingresos!$F:$F,saldos!$A21,ingresos!$G:$G,saldos!M$6)</f>
        <v>0</v>
      </c>
      <c r="N21" s="25">
        <f>cuotas_emitidas!N16-SUMIFS(ingresos!$D:$D,ingresos!$F:$F,saldos!$A21,ingresos!$G:$G,saldos!N$6)</f>
        <v>0</v>
      </c>
      <c r="O21" s="25">
        <f>cuotas_emitidas!O16-SUMIFS(ingresos!$D:$D,ingresos!$F:$F,saldos!$A21,ingresos!$G:$G,saldos!O$6)</f>
        <v>0</v>
      </c>
      <c r="P21" s="25">
        <f>cuotas_emitidas!P16-SUMIFS(ingresos!$D:$D,ingresos!$F:$F,saldos!$A21,ingresos!$G:$G,saldos!P$6)</f>
        <v>0</v>
      </c>
      <c r="Q21" s="25">
        <f>cuotas_emitidas!Q16-SUMIFS(ingresos!$D:$D,ingresos!$F:$F,saldos!$A21,ingresos!$G:$G,saldos!Q$6)</f>
        <v>0</v>
      </c>
      <c r="R21" s="26">
        <f t="shared" si="0"/>
        <v>0</v>
      </c>
      <c r="T21" s="26">
        <f t="shared" si="1"/>
        <v>0</v>
      </c>
      <c r="U21" s="26">
        <f t="shared" si="2"/>
        <v>0</v>
      </c>
    </row>
    <row r="22" spans="1:21" x14ac:dyDescent="0.25">
      <c r="A22" s="17" t="s">
        <v>1551</v>
      </c>
      <c r="B22" s="17" t="s">
        <v>1552</v>
      </c>
      <c r="C22" s="17" t="s">
        <v>1553</v>
      </c>
      <c r="D22" s="25">
        <f>cuotas_emitidas!D17-SUMIFS(ingresos!$D:$D,ingresos!$F:$F,saldos!$A22,ingresos!$G:$G,saldos!D$6)</f>
        <v>0</v>
      </c>
      <c r="E22" s="25">
        <f>cuotas_emitidas!E17-SUMIFS(ingresos!$D:$D,ingresos!$F:$F,saldos!$A22,ingresos!$G:$G,saldos!E$6)</f>
        <v>0</v>
      </c>
      <c r="F22" s="25">
        <f>cuotas_emitidas!F17-SUMIFS(ingresos!$D:$D,ingresos!$F:$F,saldos!$A22,ingresos!$G:$G,saldos!F$6)</f>
        <v>0</v>
      </c>
      <c r="G22" s="25">
        <f>cuotas_emitidas!G17-SUMIFS(ingresos!$D:$D,ingresos!$F:$F,saldos!$A22,ingresos!$G:$G,saldos!G$6)</f>
        <v>0</v>
      </c>
      <c r="H22" s="25">
        <f>cuotas_emitidas!H17-SUMIFS(ingresos!$D:$D,ingresos!$F:$F,saldos!$A22,ingresos!$G:$G,saldos!H$6)</f>
        <v>0</v>
      </c>
      <c r="I22" s="25">
        <f>cuotas_emitidas!I17-SUMIFS(ingresos!$D:$D,ingresos!$F:$F,saldos!$A22,ingresos!$G:$G,saldos!I$6)</f>
        <v>0</v>
      </c>
      <c r="J22" s="25">
        <f>cuotas_emitidas!J17-SUMIFS(ingresos!$D:$D,ingresos!$F:$F,saldos!$A22,ingresos!$G:$G,saldos!J$6)</f>
        <v>0</v>
      </c>
      <c r="K22" s="25">
        <f>cuotas_emitidas!K17-SUMIFS(ingresos!$D:$D,ingresos!$F:$F,saldos!$A22,ingresos!$G:$G,saldos!K$6)</f>
        <v>0</v>
      </c>
      <c r="L22" s="25">
        <f>cuotas_emitidas!L17-SUMIFS(ingresos!$D:$D,ingresos!$F:$F,saldos!$A22,ingresos!$G:$G,saldos!L$6)</f>
        <v>0</v>
      </c>
      <c r="M22" s="25">
        <f>cuotas_emitidas!M17-SUMIFS(ingresos!$D:$D,ingresos!$F:$F,saldos!$A22,ingresos!$G:$G,saldos!M$6)</f>
        <v>0</v>
      </c>
      <c r="N22" s="25">
        <f>cuotas_emitidas!N17-SUMIFS(ingresos!$D:$D,ingresos!$F:$F,saldos!$A22,ingresos!$G:$G,saldos!N$6)</f>
        <v>0</v>
      </c>
      <c r="O22" s="25">
        <f>cuotas_emitidas!O17-SUMIFS(ingresos!$D:$D,ingresos!$F:$F,saldos!$A22,ingresos!$G:$G,saldos!O$6)</f>
        <v>0</v>
      </c>
      <c r="P22" s="25">
        <f>cuotas_emitidas!P17-SUMIFS(ingresos!$D:$D,ingresos!$F:$F,saldos!$A22,ingresos!$G:$G,saldos!P$6)</f>
        <v>-7.2699999999999818</v>
      </c>
      <c r="Q22" s="25">
        <f>cuotas_emitidas!Q17-SUMIFS(ingresos!$D:$D,ingresos!$F:$F,saldos!$A22,ingresos!$G:$G,saldos!Q$6)</f>
        <v>1.0699999999999932</v>
      </c>
      <c r="R22" s="26">
        <f t="shared" si="0"/>
        <v>-6.1999999999999886</v>
      </c>
      <c r="T22" s="26">
        <f t="shared" si="1"/>
        <v>1.0699999999999932</v>
      </c>
      <c r="U22" s="26">
        <f t="shared" si="2"/>
        <v>-7.2699999999999818</v>
      </c>
    </row>
    <row r="23" spans="1:21" x14ac:dyDescent="0.25">
      <c r="A23" s="17" t="s">
        <v>1554</v>
      </c>
      <c r="B23" s="17" t="s">
        <v>1555</v>
      </c>
      <c r="C23" s="17" t="s">
        <v>1556</v>
      </c>
      <c r="D23" s="25">
        <f>cuotas_emitidas!D18-SUMIFS(ingresos!$D:$D,ingresos!$F:$F,saldos!$A23,ingresos!$G:$G,saldos!D$6)</f>
        <v>0</v>
      </c>
      <c r="E23" s="25">
        <f>cuotas_emitidas!E18-SUMIFS(ingresos!$D:$D,ingresos!$F:$F,saldos!$A23,ingresos!$G:$G,saldos!E$6)</f>
        <v>0</v>
      </c>
      <c r="F23" s="25">
        <f>cuotas_emitidas!F18-SUMIFS(ingresos!$D:$D,ingresos!$F:$F,saldos!$A23,ingresos!$G:$G,saldos!F$6)</f>
        <v>0</v>
      </c>
      <c r="G23" s="25">
        <f>cuotas_emitidas!G18-SUMIFS(ingresos!$D:$D,ingresos!$F:$F,saldos!$A23,ingresos!$G:$G,saldos!G$6)</f>
        <v>0</v>
      </c>
      <c r="H23" s="25">
        <f>cuotas_emitidas!H18-SUMIFS(ingresos!$D:$D,ingresos!$F:$F,saldos!$A23,ingresos!$G:$G,saldos!H$6)</f>
        <v>0</v>
      </c>
      <c r="I23" s="25">
        <f>cuotas_emitidas!I18-SUMIFS(ingresos!$D:$D,ingresos!$F:$F,saldos!$A23,ingresos!$G:$G,saldos!I$6)</f>
        <v>0</v>
      </c>
      <c r="J23" s="25">
        <f>cuotas_emitidas!J18-SUMIFS(ingresos!$D:$D,ingresos!$F:$F,saldos!$A23,ingresos!$G:$G,saldos!J$6)</f>
        <v>0</v>
      </c>
      <c r="K23" s="25">
        <f>cuotas_emitidas!K18-SUMIFS(ingresos!$D:$D,ingresos!$F:$F,saldos!$A23,ingresos!$G:$G,saldos!K$6)</f>
        <v>0</v>
      </c>
      <c r="L23" s="25">
        <f>cuotas_emitidas!L18-SUMIFS(ingresos!$D:$D,ingresos!$F:$F,saldos!$A23,ingresos!$G:$G,saldos!L$6)</f>
        <v>0</v>
      </c>
      <c r="M23" s="25">
        <f>cuotas_emitidas!M18-SUMIFS(ingresos!$D:$D,ingresos!$F:$F,saldos!$A23,ingresos!$G:$G,saldos!M$6)</f>
        <v>0</v>
      </c>
      <c r="N23" s="25">
        <f>cuotas_emitidas!N18-SUMIFS(ingresos!$D:$D,ingresos!$F:$F,saldos!$A23,ingresos!$G:$G,saldos!N$6)</f>
        <v>0</v>
      </c>
      <c r="O23" s="25">
        <f>cuotas_emitidas!O18-SUMIFS(ingresos!$D:$D,ingresos!$F:$F,saldos!$A23,ingresos!$G:$G,saldos!O$6)</f>
        <v>0</v>
      </c>
      <c r="P23" s="25">
        <f>cuotas_emitidas!P18-SUMIFS(ingresos!$D:$D,ingresos!$F:$F,saldos!$A23,ingresos!$G:$G,saldos!P$6)</f>
        <v>1099.17</v>
      </c>
      <c r="Q23" s="25">
        <f>cuotas_emitidas!Q18-SUMIFS(ingresos!$D:$D,ingresos!$F:$F,saldos!$A23,ingresos!$G:$G,saldos!Q$6)</f>
        <v>1096.52</v>
      </c>
      <c r="R23" s="26">
        <f t="shared" si="0"/>
        <v>2195.69</v>
      </c>
      <c r="T23" s="26">
        <f t="shared" si="1"/>
        <v>1096.52</v>
      </c>
      <c r="U23" s="26">
        <f t="shared" si="2"/>
        <v>1099.17</v>
      </c>
    </row>
    <row r="24" spans="1:21" x14ac:dyDescent="0.25">
      <c r="A24" s="17" t="s">
        <v>1557</v>
      </c>
      <c r="B24" s="17" t="s">
        <v>1558</v>
      </c>
      <c r="C24" s="17" t="s">
        <v>1559</v>
      </c>
      <c r="D24" s="25">
        <f>cuotas_emitidas!D19-SUMIFS(ingresos!$D:$D,ingresos!$F:$F,saldos!$A24,ingresos!$G:$G,saldos!D$6)</f>
        <v>0</v>
      </c>
      <c r="E24" s="25">
        <f>cuotas_emitidas!E19-SUMIFS(ingresos!$D:$D,ingresos!$F:$F,saldos!$A24,ingresos!$G:$G,saldos!E$6)</f>
        <v>0</v>
      </c>
      <c r="F24" s="25">
        <f>cuotas_emitidas!F19-SUMIFS(ingresos!$D:$D,ingresos!$F:$F,saldos!$A24,ingresos!$G:$G,saldos!F$6)</f>
        <v>0</v>
      </c>
      <c r="G24" s="25">
        <f>cuotas_emitidas!G19-SUMIFS(ingresos!$D:$D,ingresos!$F:$F,saldos!$A24,ingresos!$G:$G,saldos!G$6)</f>
        <v>0</v>
      </c>
      <c r="H24" s="25">
        <f>cuotas_emitidas!H19-SUMIFS(ingresos!$D:$D,ingresos!$F:$F,saldos!$A24,ingresos!$G:$G,saldos!H$6)</f>
        <v>0</v>
      </c>
      <c r="I24" s="25">
        <f>cuotas_emitidas!I19-SUMIFS(ingresos!$D:$D,ingresos!$F:$F,saldos!$A24,ingresos!$G:$G,saldos!I$6)</f>
        <v>0</v>
      </c>
      <c r="J24" s="25">
        <f>cuotas_emitidas!J19-SUMIFS(ingresos!$D:$D,ingresos!$F:$F,saldos!$A24,ingresos!$G:$G,saldos!J$6)</f>
        <v>0</v>
      </c>
      <c r="K24" s="25">
        <f>cuotas_emitidas!K19-SUMIFS(ingresos!$D:$D,ingresos!$F:$F,saldos!$A24,ingresos!$G:$G,saldos!K$6)</f>
        <v>0</v>
      </c>
      <c r="L24" s="25">
        <f>cuotas_emitidas!L19-SUMIFS(ingresos!$D:$D,ingresos!$F:$F,saldos!$A24,ingresos!$G:$G,saldos!L$6)</f>
        <v>0</v>
      </c>
      <c r="M24" s="25">
        <f>cuotas_emitidas!M19-SUMIFS(ingresos!$D:$D,ingresos!$F:$F,saldos!$A24,ingresos!$G:$G,saldos!M$6)</f>
        <v>0</v>
      </c>
      <c r="N24" s="25">
        <f>cuotas_emitidas!N19-SUMIFS(ingresos!$D:$D,ingresos!$F:$F,saldos!$A24,ingresos!$G:$G,saldos!N$6)</f>
        <v>0</v>
      </c>
      <c r="O24" s="25">
        <f>cuotas_emitidas!O19-SUMIFS(ingresos!$D:$D,ingresos!$F:$F,saldos!$A24,ingresos!$G:$G,saldos!O$6)</f>
        <v>0</v>
      </c>
      <c r="P24" s="25">
        <f>cuotas_emitidas!P19-SUMIFS(ingresos!$D:$D,ingresos!$F:$F,saldos!$A24,ingresos!$G:$G,saldos!P$6)</f>
        <v>0</v>
      </c>
      <c r="Q24" s="25">
        <f>cuotas_emitidas!Q19-SUMIFS(ingresos!$D:$D,ingresos!$F:$F,saldos!$A24,ingresos!$G:$G,saldos!Q$6)</f>
        <v>0</v>
      </c>
      <c r="R24" s="26">
        <f t="shared" si="0"/>
        <v>0</v>
      </c>
      <c r="T24" s="26">
        <f t="shared" si="1"/>
        <v>0</v>
      </c>
      <c r="U24" s="26">
        <f t="shared" si="2"/>
        <v>0</v>
      </c>
    </row>
    <row r="25" spans="1:21" x14ac:dyDescent="0.25">
      <c r="A25" s="17" t="s">
        <v>1560</v>
      </c>
      <c r="B25" s="17" t="s">
        <v>1561</v>
      </c>
      <c r="C25" s="17" t="s">
        <v>1562</v>
      </c>
      <c r="D25" s="25">
        <f>cuotas_emitidas!D20-SUMIFS(ingresos!$D:$D,ingresos!$F:$F,saldos!$A25,ingresos!$G:$G,saldos!D$6)</f>
        <v>0</v>
      </c>
      <c r="E25" s="25">
        <f>cuotas_emitidas!E20-SUMIFS(ingresos!$D:$D,ingresos!$F:$F,saldos!$A25,ingresos!$G:$G,saldos!E$6)</f>
        <v>0</v>
      </c>
      <c r="F25" s="25">
        <f>cuotas_emitidas!F20-SUMIFS(ingresos!$D:$D,ingresos!$F:$F,saldos!$A25,ingresos!$G:$G,saldos!F$6)</f>
        <v>0</v>
      </c>
      <c r="G25" s="25">
        <f>cuotas_emitidas!G20-SUMIFS(ingresos!$D:$D,ingresos!$F:$F,saldos!$A25,ingresos!$G:$G,saldos!G$6)</f>
        <v>0</v>
      </c>
      <c r="H25" s="25">
        <f>cuotas_emitidas!H20-SUMIFS(ingresos!$D:$D,ingresos!$F:$F,saldos!$A25,ingresos!$G:$G,saldos!H$6)</f>
        <v>0</v>
      </c>
      <c r="I25" s="25">
        <f>cuotas_emitidas!I20-SUMIFS(ingresos!$D:$D,ingresos!$F:$F,saldos!$A25,ingresos!$G:$G,saldos!I$6)</f>
        <v>0</v>
      </c>
      <c r="J25" s="25">
        <f>cuotas_emitidas!J20-SUMIFS(ingresos!$D:$D,ingresos!$F:$F,saldos!$A25,ingresos!$G:$G,saldos!J$6)</f>
        <v>0</v>
      </c>
      <c r="K25" s="25">
        <f>cuotas_emitidas!K20-SUMIFS(ingresos!$D:$D,ingresos!$F:$F,saldos!$A25,ingresos!$G:$G,saldos!K$6)</f>
        <v>0</v>
      </c>
      <c r="L25" s="25">
        <f>cuotas_emitidas!L20-SUMIFS(ingresos!$D:$D,ingresos!$F:$F,saldos!$A25,ingresos!$G:$G,saldos!L$6)</f>
        <v>0</v>
      </c>
      <c r="M25" s="25">
        <f>cuotas_emitidas!M20-SUMIFS(ingresos!$D:$D,ingresos!$F:$F,saldos!$A25,ingresos!$G:$G,saldos!M$6)</f>
        <v>0</v>
      </c>
      <c r="N25" s="25">
        <f>cuotas_emitidas!N20-SUMIFS(ingresos!$D:$D,ingresos!$F:$F,saldos!$A25,ingresos!$G:$G,saldos!N$6)</f>
        <v>0</v>
      </c>
      <c r="O25" s="25">
        <f>cuotas_emitidas!O20-SUMIFS(ingresos!$D:$D,ingresos!$F:$F,saldos!$A25,ingresos!$G:$G,saldos!O$6)</f>
        <v>453.52</v>
      </c>
      <c r="P25" s="25">
        <f>cuotas_emitidas!P20-SUMIFS(ingresos!$D:$D,ingresos!$F:$F,saldos!$A25,ingresos!$G:$G,saldos!P$6)</f>
        <v>0</v>
      </c>
      <c r="Q25" s="25">
        <f>cuotas_emitidas!Q20-SUMIFS(ingresos!$D:$D,ingresos!$F:$F,saldos!$A25,ingresos!$G:$G,saldos!Q$6)</f>
        <v>449.69</v>
      </c>
      <c r="R25" s="26">
        <f t="shared" si="0"/>
        <v>903.21</v>
      </c>
      <c r="T25" s="26">
        <f t="shared" si="1"/>
        <v>449.69</v>
      </c>
      <c r="U25" s="26">
        <f t="shared" si="2"/>
        <v>453.52000000000004</v>
      </c>
    </row>
    <row r="26" spans="1:21" x14ac:dyDescent="0.25">
      <c r="A26" s="17" t="s">
        <v>1563</v>
      </c>
      <c r="B26" s="17" t="s">
        <v>1300</v>
      </c>
      <c r="C26" s="17" t="s">
        <v>1564</v>
      </c>
      <c r="D26" s="25">
        <f>cuotas_emitidas!D21-SUMIFS(ingresos!$D:$D,ingresos!$F:$F,saldos!$A26,ingresos!$G:$G,saldos!D$6)</f>
        <v>0</v>
      </c>
      <c r="E26" s="25">
        <f>cuotas_emitidas!E21-SUMIFS(ingresos!$D:$D,ingresos!$F:$F,saldos!$A26,ingresos!$G:$G,saldos!E$6)</f>
        <v>0</v>
      </c>
      <c r="F26" s="25">
        <f>cuotas_emitidas!F21-SUMIFS(ingresos!$D:$D,ingresos!$F:$F,saldos!$A26,ingresos!$G:$G,saldos!F$6)</f>
        <v>0</v>
      </c>
      <c r="G26" s="25">
        <f>cuotas_emitidas!G21-SUMIFS(ingresos!$D:$D,ingresos!$F:$F,saldos!$A26,ingresos!$G:$G,saldos!G$6)</f>
        <v>0</v>
      </c>
      <c r="H26" s="25">
        <f>cuotas_emitidas!H21-SUMIFS(ingresos!$D:$D,ingresos!$F:$F,saldos!$A26,ingresos!$G:$G,saldos!H$6)</f>
        <v>0</v>
      </c>
      <c r="I26" s="25">
        <f>cuotas_emitidas!I21-SUMIFS(ingresos!$D:$D,ingresos!$F:$F,saldos!$A26,ingresos!$G:$G,saldos!I$6)</f>
        <v>0</v>
      </c>
      <c r="J26" s="25">
        <f>cuotas_emitidas!J21-SUMIFS(ingresos!$D:$D,ingresos!$F:$F,saldos!$A26,ingresos!$G:$G,saldos!J$6)</f>
        <v>0</v>
      </c>
      <c r="K26" s="25">
        <f>cuotas_emitidas!K21-SUMIFS(ingresos!$D:$D,ingresos!$F:$F,saldos!$A26,ingresos!$G:$G,saldos!K$6)</f>
        <v>0</v>
      </c>
      <c r="L26" s="25">
        <f>cuotas_emitidas!L21-SUMIFS(ingresos!$D:$D,ingresos!$F:$F,saldos!$A26,ingresos!$G:$G,saldos!L$6)</f>
        <v>0</v>
      </c>
      <c r="M26" s="25">
        <f>cuotas_emitidas!M21-SUMIFS(ingresos!$D:$D,ingresos!$F:$F,saldos!$A26,ingresos!$G:$G,saldos!M$6)</f>
        <v>0</v>
      </c>
      <c r="N26" s="25">
        <f>cuotas_emitidas!N21-SUMIFS(ingresos!$D:$D,ingresos!$F:$F,saldos!$A26,ingresos!$G:$G,saldos!N$6)</f>
        <v>0</v>
      </c>
      <c r="O26" s="25">
        <f>cuotas_emitidas!O21-SUMIFS(ingresos!$D:$D,ingresos!$F:$F,saldos!$A26,ingresos!$G:$G,saldos!O$6)</f>
        <v>378.65</v>
      </c>
      <c r="P26" s="25">
        <f>cuotas_emitidas!P21-SUMIFS(ingresos!$D:$D,ingresos!$F:$F,saldos!$A26,ingresos!$G:$G,saldos!P$6)</f>
        <v>374.49</v>
      </c>
      <c r="Q26" s="25">
        <f>cuotas_emitidas!Q21-SUMIFS(ingresos!$D:$D,ingresos!$F:$F,saldos!$A26,ingresos!$G:$G,saldos!Q$6)</f>
        <v>365.88</v>
      </c>
      <c r="R26" s="26">
        <f t="shared" si="0"/>
        <v>1119.02</v>
      </c>
      <c r="T26" s="26">
        <f t="shared" si="1"/>
        <v>365.88</v>
      </c>
      <c r="U26" s="26">
        <f t="shared" si="2"/>
        <v>753.14</v>
      </c>
    </row>
    <row r="27" spans="1:21" x14ac:dyDescent="0.25">
      <c r="A27" s="17" t="s">
        <v>1565</v>
      </c>
      <c r="B27" s="17" t="s">
        <v>1566</v>
      </c>
      <c r="C27" s="17" t="s">
        <v>1567</v>
      </c>
      <c r="D27" s="25">
        <f>cuotas_emitidas!D22-SUMIFS(ingresos!$D:$D,ingresos!$F:$F,saldos!$A27,ingresos!$G:$G,saldos!D$6)</f>
        <v>0</v>
      </c>
      <c r="E27" s="25">
        <f>cuotas_emitidas!E22-SUMIFS(ingresos!$D:$D,ingresos!$F:$F,saldos!$A27,ingresos!$G:$G,saldos!E$6)</f>
        <v>0</v>
      </c>
      <c r="F27" s="25">
        <f>cuotas_emitidas!F22-SUMIFS(ingresos!$D:$D,ingresos!$F:$F,saldos!$A27,ingresos!$G:$G,saldos!F$6)</f>
        <v>0</v>
      </c>
      <c r="G27" s="25">
        <f>cuotas_emitidas!G22-SUMIFS(ingresos!$D:$D,ingresos!$F:$F,saldos!$A27,ingresos!$G:$G,saldos!G$6)</f>
        <v>0</v>
      </c>
      <c r="H27" s="25">
        <f>cuotas_emitidas!H22-SUMIFS(ingresos!$D:$D,ingresos!$F:$F,saldos!$A27,ingresos!$G:$G,saldos!H$6)</f>
        <v>0</v>
      </c>
      <c r="I27" s="25">
        <f>cuotas_emitidas!I22-SUMIFS(ingresos!$D:$D,ingresos!$F:$F,saldos!$A27,ingresos!$G:$G,saldos!I$6)</f>
        <v>0</v>
      </c>
      <c r="J27" s="25">
        <f>cuotas_emitidas!J22-SUMIFS(ingresos!$D:$D,ingresos!$F:$F,saldos!$A27,ingresos!$G:$G,saldos!J$6)</f>
        <v>0</v>
      </c>
      <c r="K27" s="25">
        <f>cuotas_emitidas!K22-SUMIFS(ingresos!$D:$D,ingresos!$F:$F,saldos!$A27,ingresos!$G:$G,saldos!K$6)</f>
        <v>0</v>
      </c>
      <c r="L27" s="25">
        <f>cuotas_emitidas!L22-SUMIFS(ingresos!$D:$D,ingresos!$F:$F,saldos!$A27,ingresos!$G:$G,saldos!L$6)</f>
        <v>0</v>
      </c>
      <c r="M27" s="25">
        <f>cuotas_emitidas!M22-SUMIFS(ingresos!$D:$D,ingresos!$F:$F,saldos!$A27,ingresos!$G:$G,saldos!M$6)</f>
        <v>0</v>
      </c>
      <c r="N27" s="25">
        <f>cuotas_emitidas!N22-SUMIFS(ingresos!$D:$D,ingresos!$F:$F,saldos!$A27,ingresos!$G:$G,saldos!N$6)</f>
        <v>0</v>
      </c>
      <c r="O27" s="25">
        <f>cuotas_emitidas!O22-SUMIFS(ingresos!$D:$D,ingresos!$F:$F,saldos!$A27,ingresos!$G:$G,saldos!O$6)</f>
        <v>0</v>
      </c>
      <c r="P27" s="25">
        <f>cuotas_emitidas!P22-SUMIFS(ingresos!$D:$D,ingresos!$F:$F,saldos!$A27,ingresos!$G:$G,saldos!P$6)</f>
        <v>0</v>
      </c>
      <c r="Q27" s="25">
        <f>cuotas_emitidas!Q22-SUMIFS(ingresos!$D:$D,ingresos!$F:$F,saldos!$A27,ingresos!$G:$G,saldos!Q$6)</f>
        <v>0</v>
      </c>
      <c r="R27" s="26">
        <f t="shared" si="0"/>
        <v>0</v>
      </c>
      <c r="T27" s="26">
        <f t="shared" si="1"/>
        <v>0</v>
      </c>
      <c r="U27" s="26">
        <f t="shared" si="2"/>
        <v>0</v>
      </c>
    </row>
    <row r="28" spans="1:21" x14ac:dyDescent="0.25">
      <c r="A28" s="17" t="s">
        <v>1505</v>
      </c>
      <c r="B28" s="17" t="s">
        <v>1568</v>
      </c>
      <c r="C28" s="17" t="s">
        <v>1569</v>
      </c>
      <c r="D28" s="25">
        <f>cuotas_emitidas!D23-SUMIFS(ingresos!$D:$D,ingresos!$F:$F,saldos!$A28,ingresos!$G:$G,saldos!D$6)</f>
        <v>0</v>
      </c>
      <c r="E28" s="25">
        <f>cuotas_emitidas!E23-SUMIFS(ingresos!$D:$D,ingresos!$F:$F,saldos!$A28,ingresos!$G:$G,saldos!E$6)</f>
        <v>0</v>
      </c>
      <c r="F28" s="25">
        <f>cuotas_emitidas!F23-SUMIFS(ingresos!$D:$D,ingresos!$F:$F,saldos!$A28,ingresos!$G:$G,saldos!F$6)</f>
        <v>0</v>
      </c>
      <c r="G28" s="25">
        <f>cuotas_emitidas!G23-SUMIFS(ingresos!$D:$D,ingresos!$F:$F,saldos!$A28,ingresos!$G:$G,saldos!G$6)</f>
        <v>0</v>
      </c>
      <c r="H28" s="25">
        <f>cuotas_emitidas!H23-SUMIFS(ingresos!$D:$D,ingresos!$F:$F,saldos!$A28,ingresos!$G:$G,saldos!H$6)</f>
        <v>0</v>
      </c>
      <c r="I28" s="25">
        <f>cuotas_emitidas!I23-SUMIFS(ingresos!$D:$D,ingresos!$F:$F,saldos!$A28,ingresos!$G:$G,saldos!I$6)</f>
        <v>0</v>
      </c>
      <c r="J28" s="25">
        <f>cuotas_emitidas!J23-SUMIFS(ingresos!$D:$D,ingresos!$F:$F,saldos!$A28,ingresos!$G:$G,saldos!J$6)</f>
        <v>0</v>
      </c>
      <c r="K28" s="25">
        <f>cuotas_emitidas!K23-SUMIFS(ingresos!$D:$D,ingresos!$F:$F,saldos!$A28,ingresos!$G:$G,saldos!K$6)</f>
        <v>0</v>
      </c>
      <c r="L28" s="25">
        <f>cuotas_emitidas!L23-SUMIFS(ingresos!$D:$D,ingresos!$F:$F,saldos!$A28,ingresos!$G:$G,saldos!L$6)</f>
        <v>0</v>
      </c>
      <c r="M28" s="25">
        <f>cuotas_emitidas!M23-SUMIFS(ingresos!$D:$D,ingresos!$F:$F,saldos!$A28,ingresos!$G:$G,saldos!M$6)</f>
        <v>0</v>
      </c>
      <c r="N28" s="25">
        <f>cuotas_emitidas!N23-SUMIFS(ingresos!$D:$D,ingresos!$F:$F,saldos!$A28,ingresos!$G:$G,saldos!N$6)</f>
        <v>0</v>
      </c>
      <c r="O28" s="25">
        <f>cuotas_emitidas!O23-SUMIFS(ingresos!$D:$D,ingresos!$F:$F,saldos!$A28,ingresos!$G:$G,saldos!O$6)</f>
        <v>0</v>
      </c>
      <c r="P28" s="25">
        <f>cuotas_emitidas!P23-SUMIFS(ingresos!$D:$D,ingresos!$F:$F,saldos!$A28,ingresos!$G:$G,saldos!P$6)</f>
        <v>0</v>
      </c>
      <c r="Q28" s="25">
        <f>cuotas_emitidas!Q23-SUMIFS(ingresos!$D:$D,ingresos!$F:$F,saldos!$A28,ingresos!$G:$G,saldos!Q$6)</f>
        <v>0</v>
      </c>
      <c r="R28" s="26">
        <f t="shared" si="0"/>
        <v>0</v>
      </c>
      <c r="T28" s="26">
        <f t="shared" si="1"/>
        <v>0</v>
      </c>
      <c r="U28" s="26">
        <f t="shared" si="2"/>
        <v>0</v>
      </c>
    </row>
    <row r="29" spans="1:21" x14ac:dyDescent="0.25">
      <c r="A29" s="17" t="s">
        <v>1570</v>
      </c>
      <c r="B29" s="17" t="s">
        <v>1213</v>
      </c>
      <c r="C29" s="17" t="s">
        <v>1571</v>
      </c>
      <c r="D29" s="25">
        <f>cuotas_emitidas!D24-SUMIFS(ingresos!$D:$D,ingresos!$F:$F,saldos!$A29,ingresos!$G:$G,saldos!D$6)</f>
        <v>0</v>
      </c>
      <c r="E29" s="25">
        <f>cuotas_emitidas!E24-SUMIFS(ingresos!$D:$D,ingresos!$F:$F,saldos!$A29,ingresos!$G:$G,saldos!E$6)</f>
        <v>0</v>
      </c>
      <c r="F29" s="25">
        <f>cuotas_emitidas!F24-SUMIFS(ingresos!$D:$D,ingresos!$F:$F,saldos!$A29,ingresos!$G:$G,saldos!F$6)</f>
        <v>0</v>
      </c>
      <c r="G29" s="25">
        <f>cuotas_emitidas!G24-SUMIFS(ingresos!$D:$D,ingresos!$F:$F,saldos!$A29,ingresos!$G:$G,saldos!G$6)</f>
        <v>0</v>
      </c>
      <c r="H29" s="25">
        <f>cuotas_emitidas!H24-SUMIFS(ingresos!$D:$D,ingresos!$F:$F,saldos!$A29,ingresos!$G:$G,saldos!H$6)</f>
        <v>0</v>
      </c>
      <c r="I29" s="25">
        <f>cuotas_emitidas!I24-SUMIFS(ingresos!$D:$D,ingresos!$F:$F,saldos!$A29,ingresos!$G:$G,saldos!I$6)</f>
        <v>0</v>
      </c>
      <c r="J29" s="25">
        <f>cuotas_emitidas!J24-SUMIFS(ingresos!$D:$D,ingresos!$F:$F,saldos!$A29,ingresos!$G:$G,saldos!J$6)</f>
        <v>0</v>
      </c>
      <c r="K29" s="25">
        <f>cuotas_emitidas!K24-SUMIFS(ingresos!$D:$D,ingresos!$F:$F,saldos!$A29,ingresos!$G:$G,saldos!K$6)</f>
        <v>0</v>
      </c>
      <c r="L29" s="25">
        <f>cuotas_emitidas!L24-SUMIFS(ingresos!$D:$D,ingresos!$F:$F,saldos!$A29,ingresos!$G:$G,saldos!L$6)</f>
        <v>0</v>
      </c>
      <c r="M29" s="25">
        <f>cuotas_emitidas!M24-SUMIFS(ingresos!$D:$D,ingresos!$F:$F,saldos!$A29,ingresos!$G:$G,saldos!M$6)</f>
        <v>0</v>
      </c>
      <c r="N29" s="25">
        <f>cuotas_emitidas!N24-SUMIFS(ingresos!$D:$D,ingresos!$F:$F,saldos!$A29,ingresos!$G:$G,saldos!N$6)</f>
        <v>341.92</v>
      </c>
      <c r="O29" s="25">
        <f>cuotas_emitidas!O24-SUMIFS(ingresos!$D:$D,ingresos!$F:$F,saldos!$A29,ingresos!$G:$G,saldos!O$6)</f>
        <v>0</v>
      </c>
      <c r="P29" s="25">
        <f>cuotas_emitidas!P24-SUMIFS(ingresos!$D:$D,ingresos!$F:$F,saldos!$A29,ingresos!$G:$G,saldos!P$6)</f>
        <v>331.64</v>
      </c>
      <c r="Q29" s="25">
        <f>cuotas_emitidas!Q24-SUMIFS(ingresos!$D:$D,ingresos!$F:$F,saldos!$A29,ingresos!$G:$G,saldos!Q$6)</f>
        <v>332.52</v>
      </c>
      <c r="R29" s="26">
        <f t="shared" si="0"/>
        <v>1006.0799999999999</v>
      </c>
      <c r="T29" s="26">
        <f t="shared" si="1"/>
        <v>332.52</v>
      </c>
      <c r="U29" s="26">
        <f t="shared" si="2"/>
        <v>673.56</v>
      </c>
    </row>
    <row r="30" spans="1:21" x14ac:dyDescent="0.25">
      <c r="A30" s="17" t="s">
        <v>1572</v>
      </c>
      <c r="B30" s="17" t="s">
        <v>1268</v>
      </c>
      <c r="C30" s="17" t="s">
        <v>1573</v>
      </c>
      <c r="D30" s="25">
        <f>cuotas_emitidas!D25-SUMIFS(ingresos!$D:$D,ingresos!$F:$F,saldos!$A30,ingresos!$G:$G,saldos!D$6)</f>
        <v>0</v>
      </c>
      <c r="E30" s="25">
        <f>cuotas_emitidas!E25-SUMIFS(ingresos!$D:$D,ingresos!$F:$F,saldos!$A30,ingresos!$G:$G,saldos!E$6)</f>
        <v>0</v>
      </c>
      <c r="F30" s="25">
        <f>cuotas_emitidas!F25-SUMIFS(ingresos!$D:$D,ingresos!$F:$F,saldos!$A30,ingresos!$G:$G,saldos!F$6)</f>
        <v>0</v>
      </c>
      <c r="G30" s="25">
        <f>cuotas_emitidas!G25-SUMIFS(ingresos!$D:$D,ingresos!$F:$F,saldos!$A30,ingresos!$G:$G,saldos!G$6)</f>
        <v>0</v>
      </c>
      <c r="H30" s="25">
        <f>cuotas_emitidas!H25-SUMIFS(ingresos!$D:$D,ingresos!$F:$F,saldos!$A30,ingresos!$G:$G,saldos!H$6)</f>
        <v>0</v>
      </c>
      <c r="I30" s="25">
        <f>cuotas_emitidas!I25-SUMIFS(ingresos!$D:$D,ingresos!$F:$F,saldos!$A30,ingresos!$G:$G,saldos!I$6)</f>
        <v>0</v>
      </c>
      <c r="J30" s="25">
        <f>cuotas_emitidas!J25-SUMIFS(ingresos!$D:$D,ingresos!$F:$F,saldos!$A30,ingresos!$G:$G,saldos!J$6)</f>
        <v>0</v>
      </c>
      <c r="K30" s="25">
        <f>cuotas_emitidas!K25-SUMIFS(ingresos!$D:$D,ingresos!$F:$F,saldos!$A30,ingresos!$G:$G,saldos!K$6)</f>
        <v>0</v>
      </c>
      <c r="L30" s="25">
        <f>cuotas_emitidas!L25-SUMIFS(ingresos!$D:$D,ingresos!$F:$F,saldos!$A30,ingresos!$G:$G,saldos!L$6)</f>
        <v>0</v>
      </c>
      <c r="M30" s="25">
        <f>cuotas_emitidas!M25-SUMIFS(ingresos!$D:$D,ingresos!$F:$F,saldos!$A30,ingresos!$G:$G,saldos!M$6)</f>
        <v>0</v>
      </c>
      <c r="N30" s="25">
        <f>cuotas_emitidas!N25-SUMIFS(ingresos!$D:$D,ingresos!$F:$F,saldos!$A30,ingresos!$G:$G,saldos!N$6)</f>
        <v>0</v>
      </c>
      <c r="O30" s="25">
        <f>cuotas_emitidas!O25-SUMIFS(ingresos!$D:$D,ingresos!$F:$F,saldos!$A30,ingresos!$G:$G,saldos!O$6)</f>
        <v>327.84</v>
      </c>
      <c r="P30" s="25">
        <f>cuotas_emitidas!P25-SUMIFS(ingresos!$D:$D,ingresos!$F:$F,saldos!$A30,ingresos!$G:$G,saldos!P$6)</f>
        <v>323.02999999999997</v>
      </c>
      <c r="Q30" s="25">
        <f>cuotas_emitidas!Q25-SUMIFS(ingresos!$D:$D,ingresos!$F:$F,saldos!$A30,ingresos!$G:$G,saldos!Q$6)</f>
        <v>335.5</v>
      </c>
      <c r="R30" s="26">
        <f t="shared" si="0"/>
        <v>986.36999999999989</v>
      </c>
      <c r="T30" s="26">
        <f t="shared" si="1"/>
        <v>335.5</v>
      </c>
      <c r="U30" s="26">
        <f t="shared" si="2"/>
        <v>650.86999999999989</v>
      </c>
    </row>
    <row r="31" spans="1:21" x14ac:dyDescent="0.25">
      <c r="A31" s="17" t="s">
        <v>1574</v>
      </c>
      <c r="B31" s="17" t="s">
        <v>1575</v>
      </c>
      <c r="C31" s="17" t="s">
        <v>1576</v>
      </c>
      <c r="D31" s="25">
        <f>cuotas_emitidas!D26-SUMIFS(ingresos!$D:$D,ingresos!$F:$F,saldos!$A31,ingresos!$G:$G,saldos!D$6)</f>
        <v>0</v>
      </c>
      <c r="E31" s="25">
        <f>cuotas_emitidas!E26-SUMIFS(ingresos!$D:$D,ingresos!$F:$F,saldos!$A31,ingresos!$G:$G,saldos!E$6)</f>
        <v>0</v>
      </c>
      <c r="F31" s="25">
        <f>cuotas_emitidas!F26-SUMIFS(ingresos!$D:$D,ingresos!$F:$F,saldos!$A31,ingresos!$G:$G,saldos!F$6)</f>
        <v>0</v>
      </c>
      <c r="G31" s="25">
        <f>cuotas_emitidas!G26-SUMIFS(ingresos!$D:$D,ingresos!$F:$F,saldos!$A31,ingresos!$G:$G,saldos!G$6)</f>
        <v>0</v>
      </c>
      <c r="H31" s="25">
        <f>cuotas_emitidas!H26-SUMIFS(ingresos!$D:$D,ingresos!$F:$F,saldos!$A31,ingresos!$G:$G,saldos!H$6)</f>
        <v>0</v>
      </c>
      <c r="I31" s="25">
        <f>cuotas_emitidas!I26-SUMIFS(ingresos!$D:$D,ingresos!$F:$F,saldos!$A31,ingresos!$G:$G,saldos!I$6)</f>
        <v>0</v>
      </c>
      <c r="J31" s="25">
        <f>cuotas_emitidas!J26-SUMIFS(ingresos!$D:$D,ingresos!$F:$F,saldos!$A31,ingresos!$G:$G,saldos!J$6)</f>
        <v>0</v>
      </c>
      <c r="K31" s="25">
        <f>cuotas_emitidas!K26-SUMIFS(ingresos!$D:$D,ingresos!$F:$F,saldos!$A31,ingresos!$G:$G,saldos!K$6)</f>
        <v>0</v>
      </c>
      <c r="L31" s="25">
        <f>cuotas_emitidas!L26-SUMIFS(ingresos!$D:$D,ingresos!$F:$F,saldos!$A31,ingresos!$G:$G,saldos!L$6)</f>
        <v>0</v>
      </c>
      <c r="M31" s="25">
        <f>cuotas_emitidas!M26-SUMIFS(ingresos!$D:$D,ingresos!$F:$F,saldos!$A31,ingresos!$G:$G,saldos!M$6)</f>
        <v>0</v>
      </c>
      <c r="N31" s="25">
        <f>cuotas_emitidas!N26-SUMIFS(ingresos!$D:$D,ingresos!$F:$F,saldos!$A31,ingresos!$G:$G,saldos!N$6)</f>
        <v>0</v>
      </c>
      <c r="O31" s="25">
        <f>cuotas_emitidas!O26-SUMIFS(ingresos!$D:$D,ingresos!$F:$F,saldos!$A31,ingresos!$G:$G,saldos!O$6)</f>
        <v>0</v>
      </c>
      <c r="P31" s="25">
        <f>cuotas_emitidas!P26-SUMIFS(ingresos!$D:$D,ingresos!$F:$F,saldos!$A31,ingresos!$G:$G,saldos!P$6)</f>
        <v>0</v>
      </c>
      <c r="Q31" s="25">
        <f>cuotas_emitidas!Q26-SUMIFS(ingresos!$D:$D,ingresos!$F:$F,saldos!$A31,ingresos!$G:$G,saldos!Q$6)</f>
        <v>964.7299999999999</v>
      </c>
      <c r="R31" s="26">
        <f t="shared" si="0"/>
        <v>964.7299999999999</v>
      </c>
      <c r="T31" s="26">
        <f t="shared" si="1"/>
        <v>964.7299999999999</v>
      </c>
      <c r="U31" s="26">
        <f t="shared" si="2"/>
        <v>0</v>
      </c>
    </row>
    <row r="32" spans="1:21" x14ac:dyDescent="0.25">
      <c r="A32" s="17" t="s">
        <v>1577</v>
      </c>
      <c r="B32" s="17" t="s">
        <v>1440</v>
      </c>
      <c r="C32" s="17" t="s">
        <v>1578</v>
      </c>
      <c r="D32" s="25">
        <f>cuotas_emitidas!D27-SUMIFS(ingresos!$D:$D,ingresos!$F:$F,saldos!$A32,ingresos!$G:$G,saldos!D$6)</f>
        <v>0</v>
      </c>
      <c r="E32" s="25">
        <f>cuotas_emitidas!E27-SUMIFS(ingresos!$D:$D,ingresos!$F:$F,saldos!$A32,ingresos!$G:$G,saldos!E$6)</f>
        <v>0</v>
      </c>
      <c r="F32" s="25">
        <f>cuotas_emitidas!F27-SUMIFS(ingresos!$D:$D,ingresos!$F:$F,saldos!$A32,ingresos!$G:$G,saldos!F$6)</f>
        <v>0</v>
      </c>
      <c r="G32" s="25">
        <f>cuotas_emitidas!G27-SUMIFS(ingresos!$D:$D,ingresos!$F:$F,saldos!$A32,ingresos!$G:$G,saldos!G$6)</f>
        <v>0</v>
      </c>
      <c r="H32" s="25">
        <f>cuotas_emitidas!H27-SUMIFS(ingresos!$D:$D,ingresos!$F:$F,saldos!$A32,ingresos!$G:$G,saldos!H$6)</f>
        <v>0</v>
      </c>
      <c r="I32" s="25">
        <f>cuotas_emitidas!I27-SUMIFS(ingresos!$D:$D,ingresos!$F:$F,saldos!$A32,ingresos!$G:$G,saldos!I$6)</f>
        <v>0</v>
      </c>
      <c r="J32" s="25">
        <f>cuotas_emitidas!J27-SUMIFS(ingresos!$D:$D,ingresos!$F:$F,saldos!$A32,ingresos!$G:$G,saldos!J$6)</f>
        <v>0</v>
      </c>
      <c r="K32" s="25">
        <f>cuotas_emitidas!K27-SUMIFS(ingresos!$D:$D,ingresos!$F:$F,saldos!$A32,ingresos!$G:$G,saldos!K$6)</f>
        <v>0</v>
      </c>
      <c r="L32" s="25">
        <f>cuotas_emitidas!L27-SUMIFS(ingresos!$D:$D,ingresos!$F:$F,saldos!$A32,ingresos!$G:$G,saldos!L$6)</f>
        <v>0</v>
      </c>
      <c r="M32" s="25">
        <f>cuotas_emitidas!M27-SUMIFS(ingresos!$D:$D,ingresos!$F:$F,saldos!$A32,ingresos!$G:$G,saldos!M$6)</f>
        <v>0</v>
      </c>
      <c r="N32" s="25">
        <f>cuotas_emitidas!N27-SUMIFS(ingresos!$D:$D,ingresos!$F:$F,saldos!$A32,ingresos!$G:$G,saldos!N$6)</f>
        <v>0</v>
      </c>
      <c r="O32" s="25">
        <f>cuotas_emitidas!O27-SUMIFS(ingresos!$D:$D,ingresos!$F:$F,saldos!$A32,ingresos!$G:$G,saldos!O$6)</f>
        <v>0</v>
      </c>
      <c r="P32" s="25">
        <f>cuotas_emitidas!P27-SUMIFS(ingresos!$D:$D,ingresos!$F:$F,saldos!$A32,ingresos!$G:$G,saldos!P$6)</f>
        <v>251.45</v>
      </c>
      <c r="Q32" s="25">
        <f>cuotas_emitidas!Q27-SUMIFS(ingresos!$D:$D,ingresos!$F:$F,saldos!$A32,ingresos!$G:$G,saldos!Q$6)</f>
        <v>251.45</v>
      </c>
      <c r="R32" s="26">
        <f t="shared" si="0"/>
        <v>502.9</v>
      </c>
      <c r="T32" s="26">
        <f t="shared" si="1"/>
        <v>251.45</v>
      </c>
      <c r="U32" s="26">
        <f t="shared" si="2"/>
        <v>251.45</v>
      </c>
    </row>
    <row r="33" spans="1:21" x14ac:dyDescent="0.25">
      <c r="A33" s="17" t="s">
        <v>1579</v>
      </c>
      <c r="B33" s="17" t="s">
        <v>1580</v>
      </c>
      <c r="C33" s="17" t="s">
        <v>1581</v>
      </c>
      <c r="D33" s="25">
        <f>cuotas_emitidas!D28-SUMIFS(ingresos!$D:$D,ingresos!$F:$F,saldos!$A33,ingresos!$G:$G,saldos!D$6)</f>
        <v>0</v>
      </c>
      <c r="E33" s="25">
        <f>cuotas_emitidas!E28-SUMIFS(ingresos!$D:$D,ingresos!$F:$F,saldos!$A33,ingresos!$G:$G,saldos!E$6)</f>
        <v>0</v>
      </c>
      <c r="F33" s="25">
        <f>cuotas_emitidas!F28-SUMIFS(ingresos!$D:$D,ingresos!$F:$F,saldos!$A33,ingresos!$G:$G,saldos!F$6)</f>
        <v>0</v>
      </c>
      <c r="G33" s="25">
        <f>cuotas_emitidas!G28-SUMIFS(ingresos!$D:$D,ingresos!$F:$F,saldos!$A33,ingresos!$G:$G,saldos!G$6)</f>
        <v>0</v>
      </c>
      <c r="H33" s="25">
        <f>cuotas_emitidas!H28-SUMIFS(ingresos!$D:$D,ingresos!$F:$F,saldos!$A33,ingresos!$G:$G,saldos!H$6)</f>
        <v>0</v>
      </c>
      <c r="I33" s="25">
        <f>cuotas_emitidas!I28-SUMIFS(ingresos!$D:$D,ingresos!$F:$F,saldos!$A33,ingresos!$G:$G,saldos!I$6)</f>
        <v>0</v>
      </c>
      <c r="J33" s="25">
        <f>cuotas_emitidas!J28-SUMIFS(ingresos!$D:$D,ingresos!$F:$F,saldos!$A33,ingresos!$G:$G,saldos!J$6)</f>
        <v>0</v>
      </c>
      <c r="K33" s="25">
        <f>cuotas_emitidas!K28-SUMIFS(ingresos!$D:$D,ingresos!$F:$F,saldos!$A33,ingresos!$G:$G,saldos!K$6)</f>
        <v>0</v>
      </c>
      <c r="L33" s="25">
        <f>cuotas_emitidas!L28-SUMIFS(ingresos!$D:$D,ingresos!$F:$F,saldos!$A33,ingresos!$G:$G,saldos!L$6)</f>
        <v>0</v>
      </c>
      <c r="M33" s="25">
        <f>cuotas_emitidas!M28-SUMIFS(ingresos!$D:$D,ingresos!$F:$F,saldos!$A33,ingresos!$G:$G,saldos!M$6)</f>
        <v>0</v>
      </c>
      <c r="N33" s="25">
        <f>cuotas_emitidas!N28-SUMIFS(ingresos!$D:$D,ingresos!$F:$F,saldos!$A33,ingresos!$G:$G,saldos!N$6)</f>
        <v>0</v>
      </c>
      <c r="O33" s="25">
        <f>cuotas_emitidas!O28-SUMIFS(ingresos!$D:$D,ingresos!$F:$F,saldos!$A33,ingresos!$G:$G,saldos!O$6)</f>
        <v>0</v>
      </c>
      <c r="P33" s="25">
        <f>cuotas_emitidas!P28-SUMIFS(ingresos!$D:$D,ingresos!$F:$F,saldos!$A33,ingresos!$G:$G,saldos!P$6)</f>
        <v>0</v>
      </c>
      <c r="Q33" s="25">
        <f>cuotas_emitidas!Q28-SUMIFS(ingresos!$D:$D,ingresos!$F:$F,saldos!$A33,ingresos!$G:$G,saldos!Q$6)</f>
        <v>0</v>
      </c>
      <c r="R33" s="26">
        <f t="shared" si="0"/>
        <v>0</v>
      </c>
      <c r="T33" s="26">
        <f t="shared" si="1"/>
        <v>0</v>
      </c>
      <c r="U33" s="26">
        <f t="shared" si="2"/>
        <v>0</v>
      </c>
    </row>
    <row r="34" spans="1:21" x14ac:dyDescent="0.25">
      <c r="A34" s="17" t="s">
        <v>1582</v>
      </c>
      <c r="B34" s="17" t="s">
        <v>1583</v>
      </c>
      <c r="C34" s="17" t="s">
        <v>1584</v>
      </c>
      <c r="D34" s="25">
        <f>cuotas_emitidas!D29-SUMIFS(ingresos!$D:$D,ingresos!$F:$F,saldos!$A34,ingresos!$G:$G,saldos!D$6)</f>
        <v>0</v>
      </c>
      <c r="E34" s="25">
        <f>cuotas_emitidas!E29-SUMIFS(ingresos!$D:$D,ingresos!$F:$F,saldos!$A34,ingresos!$G:$G,saldos!E$6)</f>
        <v>0</v>
      </c>
      <c r="F34" s="25">
        <f>cuotas_emitidas!F29-SUMIFS(ingresos!$D:$D,ingresos!$F:$F,saldos!$A34,ingresos!$G:$G,saldos!F$6)</f>
        <v>0</v>
      </c>
      <c r="G34" s="25">
        <f>cuotas_emitidas!G29-SUMIFS(ingresos!$D:$D,ingresos!$F:$F,saldos!$A34,ingresos!$G:$G,saldos!G$6)</f>
        <v>0</v>
      </c>
      <c r="H34" s="25">
        <f>cuotas_emitidas!H29-SUMIFS(ingresos!$D:$D,ingresos!$F:$F,saldos!$A34,ingresos!$G:$G,saldos!H$6)</f>
        <v>0</v>
      </c>
      <c r="I34" s="25">
        <f>cuotas_emitidas!I29-SUMIFS(ingresos!$D:$D,ingresos!$F:$F,saldos!$A34,ingresos!$G:$G,saldos!I$6)</f>
        <v>0</v>
      </c>
      <c r="J34" s="25">
        <f>cuotas_emitidas!J29-SUMIFS(ingresos!$D:$D,ingresos!$F:$F,saldos!$A34,ingresos!$G:$G,saldos!J$6)</f>
        <v>0</v>
      </c>
      <c r="K34" s="25">
        <f>cuotas_emitidas!K29-SUMIFS(ingresos!$D:$D,ingresos!$F:$F,saldos!$A34,ingresos!$G:$G,saldos!K$6)</f>
        <v>0</v>
      </c>
      <c r="L34" s="25">
        <f>cuotas_emitidas!L29-SUMIFS(ingresos!$D:$D,ingresos!$F:$F,saldos!$A34,ingresos!$G:$G,saldos!L$6)</f>
        <v>0</v>
      </c>
      <c r="M34" s="25">
        <f>cuotas_emitidas!M29-SUMIFS(ingresos!$D:$D,ingresos!$F:$F,saldos!$A34,ingresos!$G:$G,saldos!M$6)</f>
        <v>77.760000000000005</v>
      </c>
      <c r="N34" s="25">
        <f>cuotas_emitidas!N29-SUMIFS(ingresos!$D:$D,ingresos!$F:$F,saldos!$A34,ingresos!$G:$G,saldos!N$6)</f>
        <v>80.52</v>
      </c>
      <c r="O34" s="25">
        <f>cuotas_emitidas!O29-SUMIFS(ingresos!$D:$D,ingresos!$F:$F,saldos!$A34,ingresos!$G:$G,saldos!O$6)</f>
        <v>80.52</v>
      </c>
      <c r="P34" s="25">
        <f>cuotas_emitidas!P29-SUMIFS(ingresos!$D:$D,ingresos!$F:$F,saldos!$A34,ingresos!$G:$G,saldos!P$6)</f>
        <v>80.52</v>
      </c>
      <c r="Q34" s="25">
        <f>cuotas_emitidas!Q29-SUMIFS(ingresos!$D:$D,ingresos!$F:$F,saldos!$A34,ingresos!$G:$G,saldos!Q$6)</f>
        <v>80.52</v>
      </c>
      <c r="R34" s="26">
        <f t="shared" si="0"/>
        <v>399.84</v>
      </c>
      <c r="T34" s="26">
        <f t="shared" si="1"/>
        <v>80.52</v>
      </c>
      <c r="U34" s="26">
        <f t="shared" si="2"/>
        <v>319.32</v>
      </c>
    </row>
    <row r="35" spans="1:21" x14ac:dyDescent="0.25">
      <c r="A35" s="17" t="s">
        <v>1585</v>
      </c>
      <c r="B35" s="17" t="s">
        <v>1586</v>
      </c>
      <c r="C35" s="17" t="s">
        <v>1587</v>
      </c>
      <c r="D35" s="25">
        <f>cuotas_emitidas!D30-SUMIFS(ingresos!$D:$D,ingresos!$F:$F,saldos!$A35,ingresos!$G:$G,saldos!D$6)</f>
        <v>0</v>
      </c>
      <c r="E35" s="25">
        <f>cuotas_emitidas!E30-SUMIFS(ingresos!$D:$D,ingresos!$F:$F,saldos!$A35,ingresos!$G:$G,saldos!E$6)</f>
        <v>0</v>
      </c>
      <c r="F35" s="25">
        <f>cuotas_emitidas!F30-SUMIFS(ingresos!$D:$D,ingresos!$F:$F,saldos!$A35,ingresos!$G:$G,saldos!F$6)</f>
        <v>0</v>
      </c>
      <c r="G35" s="25">
        <f>cuotas_emitidas!G30-SUMIFS(ingresos!$D:$D,ingresos!$F:$F,saldos!$A35,ingresos!$G:$G,saldos!G$6)</f>
        <v>0</v>
      </c>
      <c r="H35" s="25">
        <f>cuotas_emitidas!H30-SUMIFS(ingresos!$D:$D,ingresos!$F:$F,saldos!$A35,ingresos!$G:$G,saldos!H$6)</f>
        <v>0</v>
      </c>
      <c r="I35" s="25">
        <f>cuotas_emitidas!I30-SUMIFS(ingresos!$D:$D,ingresos!$F:$F,saldos!$A35,ingresos!$G:$G,saldos!I$6)</f>
        <v>0</v>
      </c>
      <c r="J35" s="25">
        <f>cuotas_emitidas!J30-SUMIFS(ingresos!$D:$D,ingresos!$F:$F,saldos!$A35,ingresos!$G:$G,saldos!J$6)</f>
        <v>0</v>
      </c>
      <c r="K35" s="25">
        <f>cuotas_emitidas!K30-SUMIFS(ingresos!$D:$D,ingresos!$F:$F,saldos!$A35,ingresos!$G:$G,saldos!K$6)</f>
        <v>0</v>
      </c>
      <c r="L35" s="25">
        <f>cuotas_emitidas!L30-SUMIFS(ingresos!$D:$D,ingresos!$F:$F,saldos!$A35,ingresos!$G:$G,saldos!L$6)</f>
        <v>0</v>
      </c>
      <c r="M35" s="25">
        <f>cuotas_emitidas!M30-SUMIFS(ingresos!$D:$D,ingresos!$F:$F,saldos!$A35,ingresos!$G:$G,saldos!M$6)</f>
        <v>0</v>
      </c>
      <c r="N35" s="25">
        <f>cuotas_emitidas!N30-SUMIFS(ingresos!$D:$D,ingresos!$F:$F,saldos!$A35,ingresos!$G:$G,saldos!N$6)</f>
        <v>0</v>
      </c>
      <c r="O35" s="25">
        <f>cuotas_emitidas!O30-SUMIFS(ingresos!$D:$D,ingresos!$F:$F,saldos!$A35,ingresos!$G:$G,saldos!O$6)</f>
        <v>0</v>
      </c>
      <c r="P35" s="25">
        <f>cuotas_emitidas!P30-SUMIFS(ingresos!$D:$D,ingresos!$F:$F,saldos!$A35,ingresos!$G:$G,saldos!P$6)</f>
        <v>0</v>
      </c>
      <c r="Q35" s="25">
        <f>cuotas_emitidas!Q30-SUMIFS(ingresos!$D:$D,ingresos!$F:$F,saldos!$A35,ingresos!$G:$G,saldos!Q$6)</f>
        <v>404.62</v>
      </c>
      <c r="R35" s="26">
        <f t="shared" si="0"/>
        <v>404.62</v>
      </c>
      <c r="T35" s="26">
        <f t="shared" si="1"/>
        <v>404.62</v>
      </c>
      <c r="U35" s="26">
        <f t="shared" si="2"/>
        <v>0</v>
      </c>
    </row>
    <row r="36" spans="1:21" x14ac:dyDescent="0.25">
      <c r="A36" s="17" t="s">
        <v>1588</v>
      </c>
      <c r="B36" s="17" t="s">
        <v>1327</v>
      </c>
      <c r="C36" s="17" t="s">
        <v>1589</v>
      </c>
      <c r="D36" s="25">
        <f>cuotas_emitidas!D31-SUMIFS(ingresos!$D:$D,ingresos!$F:$F,saldos!$A36,ingresos!$G:$G,saldos!D$6)</f>
        <v>0</v>
      </c>
      <c r="E36" s="25">
        <f>cuotas_emitidas!E31-SUMIFS(ingresos!$D:$D,ingresos!$F:$F,saldos!$A36,ingresos!$G:$G,saldos!E$6)</f>
        <v>0</v>
      </c>
      <c r="F36" s="25">
        <f>cuotas_emitidas!F31-SUMIFS(ingresos!$D:$D,ingresos!$F:$F,saldos!$A36,ingresos!$G:$G,saldos!F$6)</f>
        <v>0</v>
      </c>
      <c r="G36" s="25">
        <f>cuotas_emitidas!G31-SUMIFS(ingresos!$D:$D,ingresos!$F:$F,saldos!$A36,ingresos!$G:$G,saldos!G$6)</f>
        <v>0</v>
      </c>
      <c r="H36" s="25">
        <f>cuotas_emitidas!H31-SUMIFS(ingresos!$D:$D,ingresos!$F:$F,saldos!$A36,ingresos!$G:$G,saldos!H$6)</f>
        <v>0</v>
      </c>
      <c r="I36" s="25">
        <f>cuotas_emitidas!I31-SUMIFS(ingresos!$D:$D,ingresos!$F:$F,saldos!$A36,ingresos!$G:$G,saldos!I$6)</f>
        <v>0</v>
      </c>
      <c r="J36" s="25">
        <f>cuotas_emitidas!J31-SUMIFS(ingresos!$D:$D,ingresos!$F:$F,saldos!$A36,ingresos!$G:$G,saldos!J$6)</f>
        <v>0</v>
      </c>
      <c r="K36" s="25">
        <f>cuotas_emitidas!K31-SUMIFS(ingresos!$D:$D,ingresos!$F:$F,saldos!$A36,ingresos!$G:$G,saldos!K$6)</f>
        <v>0</v>
      </c>
      <c r="L36" s="25">
        <f>cuotas_emitidas!L31-SUMIFS(ingresos!$D:$D,ingresos!$F:$F,saldos!$A36,ingresos!$G:$G,saldos!L$6)</f>
        <v>392.97</v>
      </c>
      <c r="M36" s="25">
        <f>cuotas_emitidas!M31-SUMIFS(ingresos!$D:$D,ingresos!$F:$F,saldos!$A36,ingresos!$G:$G,saldos!M$6)</f>
        <v>0</v>
      </c>
      <c r="N36" s="25">
        <f>cuotas_emitidas!N31-SUMIFS(ingresos!$D:$D,ingresos!$F:$F,saldos!$A36,ingresos!$G:$G,saldos!N$6)</f>
        <v>0</v>
      </c>
      <c r="O36" s="25">
        <f>cuotas_emitidas!O31-SUMIFS(ingresos!$D:$D,ingresos!$F:$F,saldos!$A36,ingresos!$G:$G,saldos!O$6)</f>
        <v>0</v>
      </c>
      <c r="P36" s="25">
        <f>cuotas_emitidas!P31-SUMIFS(ingresos!$D:$D,ingresos!$F:$F,saldos!$A36,ingresos!$G:$G,saldos!P$6)</f>
        <v>383.1</v>
      </c>
      <c r="Q36" s="25">
        <f>cuotas_emitidas!Q31-SUMIFS(ingresos!$D:$D,ingresos!$F:$F,saldos!$A36,ingresos!$G:$G,saldos!Q$6)</f>
        <v>392.7</v>
      </c>
      <c r="R36" s="26">
        <f t="shared" si="0"/>
        <v>1168.77</v>
      </c>
      <c r="T36" s="26">
        <f t="shared" si="1"/>
        <v>392.7</v>
      </c>
      <c r="U36" s="26">
        <f t="shared" si="2"/>
        <v>776.06999999999994</v>
      </c>
    </row>
    <row r="37" spans="1:21" x14ac:dyDescent="0.25">
      <c r="A37" s="17" t="s">
        <v>1590</v>
      </c>
      <c r="B37" s="17" t="s">
        <v>1462</v>
      </c>
      <c r="C37" s="17" t="s">
        <v>1591</v>
      </c>
      <c r="D37" s="25">
        <f>cuotas_emitidas!D32-SUMIFS(ingresos!$D:$D,ingresos!$F:$F,saldos!$A37,ingresos!$G:$G,saldos!D$6)</f>
        <v>0</v>
      </c>
      <c r="E37" s="25">
        <f>cuotas_emitidas!E32-SUMIFS(ingresos!$D:$D,ingresos!$F:$F,saldos!$A37,ingresos!$G:$G,saldos!E$6)</f>
        <v>0</v>
      </c>
      <c r="F37" s="25">
        <f>cuotas_emitidas!F32-SUMIFS(ingresos!$D:$D,ingresos!$F:$F,saldos!$A37,ingresos!$G:$G,saldos!F$6)</f>
        <v>0</v>
      </c>
      <c r="G37" s="25">
        <f>cuotas_emitidas!G32-SUMIFS(ingresos!$D:$D,ingresos!$F:$F,saldos!$A37,ingresos!$G:$G,saldos!G$6)</f>
        <v>0</v>
      </c>
      <c r="H37" s="25">
        <f>cuotas_emitidas!H32-SUMIFS(ingresos!$D:$D,ingresos!$F:$F,saldos!$A37,ingresos!$G:$G,saldos!H$6)</f>
        <v>0</v>
      </c>
      <c r="I37" s="25">
        <f>cuotas_emitidas!I32-SUMIFS(ingresos!$D:$D,ingresos!$F:$F,saldos!$A37,ingresos!$G:$G,saldos!I$6)</f>
        <v>0</v>
      </c>
      <c r="J37" s="25">
        <f>cuotas_emitidas!J32-SUMIFS(ingresos!$D:$D,ingresos!$F:$F,saldos!$A37,ingresos!$G:$G,saldos!J$6)</f>
        <v>0</v>
      </c>
      <c r="K37" s="25">
        <f>cuotas_emitidas!K32-SUMIFS(ingresos!$D:$D,ingresos!$F:$F,saldos!$A37,ingresos!$G:$G,saldos!K$6)</f>
        <v>0</v>
      </c>
      <c r="L37" s="25">
        <f>cuotas_emitidas!L32-SUMIFS(ingresos!$D:$D,ingresos!$F:$F,saldos!$A37,ingresos!$G:$G,saldos!L$6)</f>
        <v>0</v>
      </c>
      <c r="M37" s="25">
        <f>cuotas_emitidas!M32-SUMIFS(ingresos!$D:$D,ingresos!$F:$F,saldos!$A37,ingresos!$G:$G,saldos!M$6)</f>
        <v>0</v>
      </c>
      <c r="N37" s="25">
        <f>cuotas_emitidas!N32-SUMIFS(ingresos!$D:$D,ingresos!$F:$F,saldos!$A37,ingresos!$G:$G,saldos!N$6)</f>
        <v>0</v>
      </c>
      <c r="O37" s="25">
        <f>cuotas_emitidas!O32-SUMIFS(ingresos!$D:$D,ingresos!$F:$F,saldos!$A37,ingresos!$G:$G,saldos!O$6)</f>
        <v>410.58</v>
      </c>
      <c r="P37" s="25">
        <f>cuotas_emitidas!P32-SUMIFS(ingresos!$D:$D,ingresos!$F:$F,saldos!$A37,ingresos!$G:$G,saldos!P$6)</f>
        <v>388.84</v>
      </c>
      <c r="Q37" s="25">
        <f>cuotas_emitidas!Q32-SUMIFS(ingresos!$D:$D,ingresos!$F:$F,saldos!$A37,ingresos!$G:$G,saldos!Q$6)</f>
        <v>389.71999999999997</v>
      </c>
      <c r="R37" s="26">
        <f t="shared" si="0"/>
        <v>1189.1399999999999</v>
      </c>
      <c r="T37" s="26">
        <f t="shared" si="1"/>
        <v>389.71999999999997</v>
      </c>
      <c r="U37" s="26">
        <f t="shared" si="2"/>
        <v>799.41999999999985</v>
      </c>
    </row>
    <row r="38" spans="1:21" x14ac:dyDescent="0.25">
      <c r="A38" s="17" t="s">
        <v>1503</v>
      </c>
      <c r="B38" s="17" t="s">
        <v>1287</v>
      </c>
      <c r="C38" s="17" t="s">
        <v>1592</v>
      </c>
      <c r="D38" s="25">
        <f>cuotas_emitidas!D33-SUMIFS(ingresos!$D:$D,ingresos!$F:$F,saldos!$A38,ingresos!$G:$G,saldos!D$6)</f>
        <v>0</v>
      </c>
      <c r="E38" s="25">
        <f>cuotas_emitidas!E33-SUMIFS(ingresos!$D:$D,ingresos!$F:$F,saldos!$A38,ingresos!$G:$G,saldos!E$6)</f>
        <v>0</v>
      </c>
      <c r="F38" s="25">
        <f>cuotas_emitidas!F33-SUMIFS(ingresos!$D:$D,ingresos!$F:$F,saldos!$A38,ingresos!$G:$G,saldos!F$6)</f>
        <v>0</v>
      </c>
      <c r="G38" s="25">
        <f>cuotas_emitidas!G33-SUMIFS(ingresos!$D:$D,ingresos!$F:$F,saldos!$A38,ingresos!$G:$G,saldos!G$6)</f>
        <v>0</v>
      </c>
      <c r="H38" s="25">
        <f>cuotas_emitidas!H33-SUMIFS(ingresos!$D:$D,ingresos!$F:$F,saldos!$A38,ingresos!$G:$G,saldos!H$6)</f>
        <v>0</v>
      </c>
      <c r="I38" s="25">
        <f>cuotas_emitidas!I33-SUMIFS(ingresos!$D:$D,ingresos!$F:$F,saldos!$A38,ingresos!$G:$G,saldos!I$6)</f>
        <v>0</v>
      </c>
      <c r="J38" s="25">
        <f>cuotas_emitidas!J33-SUMIFS(ingresos!$D:$D,ingresos!$F:$F,saldos!$A38,ingresos!$G:$G,saldos!J$6)</f>
        <v>0</v>
      </c>
      <c r="K38" s="25">
        <f>cuotas_emitidas!K33-SUMIFS(ingresos!$D:$D,ingresos!$F:$F,saldos!$A38,ingresos!$G:$G,saldos!K$6)</f>
        <v>0</v>
      </c>
      <c r="L38" s="25">
        <f>cuotas_emitidas!L33-SUMIFS(ingresos!$D:$D,ingresos!$F:$F,saldos!$A38,ingresos!$G:$G,saldos!L$6)</f>
        <v>0</v>
      </c>
      <c r="M38" s="25">
        <f>cuotas_emitidas!M33-SUMIFS(ingresos!$D:$D,ingresos!$F:$F,saldos!$A38,ingresos!$G:$G,saldos!M$6)</f>
        <v>0</v>
      </c>
      <c r="N38" s="25">
        <f>cuotas_emitidas!N33-SUMIFS(ingresos!$D:$D,ingresos!$F:$F,saldos!$A38,ingresos!$G:$G,saldos!N$6)</f>
        <v>0</v>
      </c>
      <c r="O38" s="25">
        <f>cuotas_emitidas!O33-SUMIFS(ingresos!$D:$D,ingresos!$F:$F,saldos!$A38,ingresos!$G:$G,saldos!O$6)</f>
        <v>0</v>
      </c>
      <c r="P38" s="25">
        <f>cuotas_emitidas!P33-SUMIFS(ingresos!$D:$D,ingresos!$F:$F,saldos!$A38,ingresos!$G:$G,saldos!P$6)</f>
        <v>0</v>
      </c>
      <c r="Q38" s="25">
        <f>cuotas_emitidas!Q33-SUMIFS(ingresos!$D:$D,ingresos!$F:$F,saldos!$A38,ingresos!$G:$G,saldos!Q$6)</f>
        <v>398.65999999999997</v>
      </c>
      <c r="R38" s="26">
        <f t="shared" si="0"/>
        <v>398.65999999999997</v>
      </c>
      <c r="T38" s="26">
        <f t="shared" si="1"/>
        <v>398.65999999999997</v>
      </c>
      <c r="U38" s="26">
        <f t="shared" si="2"/>
        <v>0</v>
      </c>
    </row>
    <row r="39" spans="1:21" x14ac:dyDescent="0.25">
      <c r="A39" s="17" t="s">
        <v>1593</v>
      </c>
      <c r="B39" s="17" t="s">
        <v>1594</v>
      </c>
      <c r="C39" s="17" t="s">
        <v>1595</v>
      </c>
      <c r="D39" s="25">
        <f>cuotas_emitidas!D34-SUMIFS(ingresos!$D:$D,ingresos!$F:$F,saldos!$A39,ingresos!$G:$G,saldos!D$6)</f>
        <v>0</v>
      </c>
      <c r="E39" s="25">
        <f>cuotas_emitidas!E34-SUMIFS(ingresos!$D:$D,ingresos!$F:$F,saldos!$A39,ingresos!$G:$G,saldos!E$6)</f>
        <v>0</v>
      </c>
      <c r="F39" s="25">
        <f>cuotas_emitidas!F34-SUMIFS(ingresos!$D:$D,ingresos!$F:$F,saldos!$A39,ingresos!$G:$G,saldos!F$6)</f>
        <v>0</v>
      </c>
      <c r="G39" s="25">
        <f>cuotas_emitidas!G34-SUMIFS(ingresos!$D:$D,ingresos!$F:$F,saldos!$A39,ingresos!$G:$G,saldos!G$6)</f>
        <v>0</v>
      </c>
      <c r="H39" s="25">
        <f>cuotas_emitidas!H34-SUMIFS(ingresos!$D:$D,ingresos!$F:$F,saldos!$A39,ingresos!$G:$G,saldos!H$6)</f>
        <v>0</v>
      </c>
      <c r="I39" s="25">
        <f>cuotas_emitidas!I34-SUMIFS(ingresos!$D:$D,ingresos!$F:$F,saldos!$A39,ingresos!$G:$G,saldos!I$6)</f>
        <v>0</v>
      </c>
      <c r="J39" s="25">
        <f>cuotas_emitidas!J34-SUMIFS(ingresos!$D:$D,ingresos!$F:$F,saldos!$A39,ingresos!$G:$G,saldos!J$6)</f>
        <v>0</v>
      </c>
      <c r="K39" s="25">
        <f>cuotas_emitidas!K34-SUMIFS(ingresos!$D:$D,ingresos!$F:$F,saldos!$A39,ingresos!$G:$G,saldos!K$6)</f>
        <v>0</v>
      </c>
      <c r="L39" s="25">
        <f>cuotas_emitidas!L34-SUMIFS(ingresos!$D:$D,ingresos!$F:$F,saldos!$A39,ingresos!$G:$G,saldos!L$6)</f>
        <v>0</v>
      </c>
      <c r="M39" s="25">
        <f>cuotas_emitidas!M34-SUMIFS(ingresos!$D:$D,ingresos!$F:$F,saldos!$A39,ingresos!$G:$G,saldos!M$6)</f>
        <v>0</v>
      </c>
      <c r="N39" s="25">
        <f>cuotas_emitidas!N34-SUMIFS(ingresos!$D:$D,ingresos!$F:$F,saldos!$A39,ingresos!$G:$G,saldos!N$6)</f>
        <v>0</v>
      </c>
      <c r="O39" s="25">
        <f>cuotas_emitidas!O34-SUMIFS(ingresos!$D:$D,ingresos!$F:$F,saldos!$A39,ingresos!$G:$G,saldos!O$6)</f>
        <v>0</v>
      </c>
      <c r="P39" s="25">
        <f>cuotas_emitidas!P34-SUMIFS(ingresos!$D:$D,ingresos!$F:$F,saldos!$A39,ingresos!$G:$G,saldos!P$6)</f>
        <v>0</v>
      </c>
      <c r="Q39" s="25">
        <f>cuotas_emitidas!Q34-SUMIFS(ingresos!$D:$D,ingresos!$F:$F,saldos!$A39,ingresos!$G:$G,saldos!Q$6)</f>
        <v>306.22000000000003</v>
      </c>
      <c r="R39" s="26">
        <f t="shared" si="0"/>
        <v>306.22000000000003</v>
      </c>
      <c r="T39" s="26">
        <f t="shared" si="1"/>
        <v>306.22000000000003</v>
      </c>
      <c r="U39" s="26">
        <f t="shared" si="2"/>
        <v>0</v>
      </c>
    </row>
    <row r="40" spans="1:21" x14ac:dyDescent="0.25">
      <c r="A40" s="17" t="s">
        <v>1596</v>
      </c>
      <c r="B40" s="17" t="s">
        <v>1597</v>
      </c>
      <c r="C40" s="17" t="s">
        <v>1598</v>
      </c>
      <c r="D40" s="25">
        <f>cuotas_emitidas!D35-SUMIFS(ingresos!$D:$D,ingresos!$F:$F,saldos!$A40,ingresos!$G:$G,saldos!D$6)</f>
        <v>0</v>
      </c>
      <c r="E40" s="25">
        <f>cuotas_emitidas!E35-SUMIFS(ingresos!$D:$D,ingresos!$F:$F,saldos!$A40,ingresos!$G:$G,saldos!E$6)</f>
        <v>0</v>
      </c>
      <c r="F40" s="25">
        <f>cuotas_emitidas!F35-SUMIFS(ingresos!$D:$D,ingresos!$F:$F,saldos!$A40,ingresos!$G:$G,saldos!F$6)</f>
        <v>0</v>
      </c>
      <c r="G40" s="25">
        <f>cuotas_emitidas!G35-SUMIFS(ingresos!$D:$D,ingresos!$F:$F,saldos!$A40,ingresos!$G:$G,saldos!G$6)</f>
        <v>0</v>
      </c>
      <c r="H40" s="25">
        <f>cuotas_emitidas!H35-SUMIFS(ingresos!$D:$D,ingresos!$F:$F,saldos!$A40,ingresos!$G:$G,saldos!H$6)</f>
        <v>0</v>
      </c>
      <c r="I40" s="25">
        <f>cuotas_emitidas!I35-SUMIFS(ingresos!$D:$D,ingresos!$F:$F,saldos!$A40,ingresos!$G:$G,saldos!I$6)</f>
        <v>0</v>
      </c>
      <c r="J40" s="25">
        <f>cuotas_emitidas!J35-SUMIFS(ingresos!$D:$D,ingresos!$F:$F,saldos!$A40,ingresos!$G:$G,saldos!J$6)</f>
        <v>0</v>
      </c>
      <c r="K40" s="25">
        <f>cuotas_emitidas!K35-SUMIFS(ingresos!$D:$D,ingresos!$F:$F,saldos!$A40,ingresos!$G:$G,saldos!K$6)</f>
        <v>0</v>
      </c>
      <c r="L40" s="25">
        <f>cuotas_emitidas!L35-SUMIFS(ingresos!$D:$D,ingresos!$F:$F,saldos!$A40,ingresos!$G:$G,saldos!L$6)</f>
        <v>0</v>
      </c>
      <c r="M40" s="25">
        <f>cuotas_emitidas!M35-SUMIFS(ingresos!$D:$D,ingresos!$F:$F,saldos!$A40,ingresos!$G:$G,saldos!M$6)</f>
        <v>0</v>
      </c>
      <c r="N40" s="25">
        <f>cuotas_emitidas!N35-SUMIFS(ingresos!$D:$D,ingresos!$F:$F,saldos!$A40,ingresos!$G:$G,saldos!N$6)</f>
        <v>0</v>
      </c>
      <c r="O40" s="25">
        <f>cuotas_emitidas!O35-SUMIFS(ingresos!$D:$D,ingresos!$F:$F,saldos!$A40,ingresos!$G:$G,saldos!O$6)</f>
        <v>330.06</v>
      </c>
      <c r="P40" s="25">
        <f>cuotas_emitidas!P35-SUMIFS(ingresos!$D:$D,ingresos!$F:$F,saldos!$A40,ingresos!$G:$G,saldos!P$6)</f>
        <v>0</v>
      </c>
      <c r="Q40" s="25">
        <f>cuotas_emitidas!Q35-SUMIFS(ingresos!$D:$D,ingresos!$F:$F,saldos!$A40,ingresos!$G:$G,saldos!Q$6)</f>
        <v>321.12</v>
      </c>
      <c r="R40" s="26">
        <f t="shared" si="0"/>
        <v>651.18000000000006</v>
      </c>
      <c r="T40" s="26">
        <f t="shared" si="1"/>
        <v>321.12</v>
      </c>
      <c r="U40" s="26">
        <f t="shared" si="2"/>
        <v>330.06000000000006</v>
      </c>
    </row>
    <row r="41" spans="1:21" x14ac:dyDescent="0.25">
      <c r="A41" s="17" t="s">
        <v>1599</v>
      </c>
      <c r="B41" s="17" t="s">
        <v>1600</v>
      </c>
      <c r="C41" s="17" t="s">
        <v>1601</v>
      </c>
      <c r="D41" s="25">
        <f>cuotas_emitidas!D36-SUMIFS(ingresos!$D:$D,ingresos!$F:$F,saldos!$A41,ingresos!$G:$G,saldos!D$6)</f>
        <v>0</v>
      </c>
      <c r="E41" s="25">
        <f>cuotas_emitidas!E36-SUMIFS(ingresos!$D:$D,ingresos!$F:$F,saldos!$A41,ingresos!$G:$G,saldos!E$6)</f>
        <v>0</v>
      </c>
      <c r="F41" s="25">
        <f>cuotas_emitidas!F36-SUMIFS(ingresos!$D:$D,ingresos!$F:$F,saldos!$A41,ingresos!$G:$G,saldos!F$6)</f>
        <v>0</v>
      </c>
      <c r="G41" s="25">
        <f>cuotas_emitidas!G36-SUMIFS(ingresos!$D:$D,ingresos!$F:$F,saldos!$A41,ingresos!$G:$G,saldos!G$6)</f>
        <v>0</v>
      </c>
      <c r="H41" s="25">
        <f>cuotas_emitidas!H36-SUMIFS(ingresos!$D:$D,ingresos!$F:$F,saldos!$A41,ingresos!$G:$G,saldos!H$6)</f>
        <v>0</v>
      </c>
      <c r="I41" s="25">
        <f>cuotas_emitidas!I36-SUMIFS(ingresos!$D:$D,ingresos!$F:$F,saldos!$A41,ingresos!$G:$G,saldos!I$6)</f>
        <v>0</v>
      </c>
      <c r="J41" s="25">
        <f>cuotas_emitidas!J36-SUMIFS(ingresos!$D:$D,ingresos!$F:$F,saldos!$A41,ingresos!$G:$G,saldos!J$6)</f>
        <v>0</v>
      </c>
      <c r="K41" s="25">
        <f>cuotas_emitidas!K36-SUMIFS(ingresos!$D:$D,ingresos!$F:$F,saldos!$A41,ingresos!$G:$G,saldos!K$6)</f>
        <v>0</v>
      </c>
      <c r="L41" s="25">
        <f>cuotas_emitidas!L36-SUMIFS(ingresos!$D:$D,ingresos!$F:$F,saldos!$A41,ingresos!$G:$G,saldos!L$6)</f>
        <v>0</v>
      </c>
      <c r="M41" s="25">
        <f>cuotas_emitidas!M36-SUMIFS(ingresos!$D:$D,ingresos!$F:$F,saldos!$A41,ingresos!$G:$G,saldos!M$6)</f>
        <v>0</v>
      </c>
      <c r="N41" s="25">
        <f>cuotas_emitidas!N36-SUMIFS(ingresos!$D:$D,ingresos!$F:$F,saldos!$A41,ingresos!$G:$G,saldos!N$6)</f>
        <v>0</v>
      </c>
      <c r="O41" s="25">
        <f>cuotas_emitidas!O36-SUMIFS(ingresos!$D:$D,ingresos!$F:$F,saldos!$A41,ingresos!$G:$G,saldos!O$6)</f>
        <v>0</v>
      </c>
      <c r="P41" s="25">
        <f>cuotas_emitidas!P36-SUMIFS(ingresos!$D:$D,ingresos!$F:$F,saldos!$A41,ingresos!$G:$G,saldos!P$6)</f>
        <v>0</v>
      </c>
      <c r="Q41" s="25">
        <f>cuotas_emitidas!Q36-SUMIFS(ingresos!$D:$D,ingresos!$F:$F,saldos!$A41,ingresos!$G:$G,saldos!Q$6)</f>
        <v>190.56</v>
      </c>
      <c r="R41" s="26">
        <f t="shared" si="0"/>
        <v>190.56</v>
      </c>
      <c r="T41" s="26">
        <f t="shared" si="1"/>
        <v>190.56</v>
      </c>
      <c r="U41" s="26">
        <f t="shared" si="2"/>
        <v>0</v>
      </c>
    </row>
    <row r="42" spans="1:21" x14ac:dyDescent="0.25">
      <c r="A42" s="17" t="s">
        <v>1602</v>
      </c>
      <c r="B42" s="17" t="s">
        <v>1603</v>
      </c>
      <c r="C42" s="17" t="s">
        <v>1604</v>
      </c>
      <c r="D42" s="25">
        <f>cuotas_emitidas!D37-SUMIFS(ingresos!$D:$D,ingresos!$F:$F,saldos!$A42,ingresos!$G:$G,saldos!D$6)</f>
        <v>0</v>
      </c>
      <c r="E42" s="25">
        <f>cuotas_emitidas!E37-SUMIFS(ingresos!$D:$D,ingresos!$F:$F,saldos!$A42,ingresos!$G:$G,saldos!E$6)</f>
        <v>0</v>
      </c>
      <c r="F42" s="25">
        <f>cuotas_emitidas!F37-SUMIFS(ingresos!$D:$D,ingresos!$F:$F,saldos!$A42,ingresos!$G:$G,saldos!F$6)</f>
        <v>0</v>
      </c>
      <c r="G42" s="25">
        <f>cuotas_emitidas!G37-SUMIFS(ingresos!$D:$D,ingresos!$F:$F,saldos!$A42,ingresos!$G:$G,saldos!G$6)</f>
        <v>0</v>
      </c>
      <c r="H42" s="25">
        <f>cuotas_emitidas!H37-SUMIFS(ingresos!$D:$D,ingresos!$F:$F,saldos!$A42,ingresos!$G:$G,saldos!H$6)</f>
        <v>0</v>
      </c>
      <c r="I42" s="25">
        <f>cuotas_emitidas!I37-SUMIFS(ingresos!$D:$D,ingresos!$F:$F,saldos!$A42,ingresos!$G:$G,saldos!I$6)</f>
        <v>0</v>
      </c>
      <c r="J42" s="25">
        <f>cuotas_emitidas!J37-SUMIFS(ingresos!$D:$D,ingresos!$F:$F,saldos!$A42,ingresos!$G:$G,saldos!J$6)</f>
        <v>0</v>
      </c>
      <c r="K42" s="25">
        <f>cuotas_emitidas!K37-SUMIFS(ingresos!$D:$D,ingresos!$F:$F,saldos!$A42,ingresos!$G:$G,saldos!K$6)</f>
        <v>0</v>
      </c>
      <c r="L42" s="25">
        <f>cuotas_emitidas!L37-SUMIFS(ingresos!$D:$D,ingresos!$F:$F,saldos!$A42,ingresos!$G:$G,saldos!L$6)</f>
        <v>182.54</v>
      </c>
      <c r="M42" s="25">
        <f>cuotas_emitidas!M37-SUMIFS(ingresos!$D:$D,ingresos!$F:$F,saldos!$A42,ingresos!$G:$G,saldos!M$6)</f>
        <v>0</v>
      </c>
      <c r="N42" s="25">
        <f>cuotas_emitidas!N37-SUMIFS(ingresos!$D:$D,ingresos!$F:$F,saldos!$A42,ingresos!$G:$G,saldos!N$6)</f>
        <v>0</v>
      </c>
      <c r="O42" s="25">
        <f>cuotas_emitidas!O37-SUMIFS(ingresos!$D:$D,ingresos!$F:$F,saldos!$A42,ingresos!$G:$G,saldos!O$6)</f>
        <v>0</v>
      </c>
      <c r="P42" s="25">
        <f>cuotas_emitidas!P37-SUMIFS(ingresos!$D:$D,ingresos!$F:$F,saldos!$A42,ingresos!$G:$G,saldos!P$6)</f>
        <v>0</v>
      </c>
      <c r="Q42" s="25">
        <f>cuotas_emitidas!Q37-SUMIFS(ingresos!$D:$D,ingresos!$F:$F,saldos!$A42,ingresos!$G:$G,saldos!Q$6)</f>
        <v>0</v>
      </c>
      <c r="R42" s="26">
        <f t="shared" si="0"/>
        <v>182.54</v>
      </c>
      <c r="T42" s="26">
        <f t="shared" si="1"/>
        <v>0</v>
      </c>
      <c r="U42" s="26">
        <f t="shared" si="2"/>
        <v>182.54</v>
      </c>
    </row>
    <row r="43" spans="1:21" x14ac:dyDescent="0.25">
      <c r="A43" s="17" t="s">
        <v>1605</v>
      </c>
      <c r="B43" s="17" t="s">
        <v>1606</v>
      </c>
      <c r="C43" s="17" t="s">
        <v>1607</v>
      </c>
      <c r="D43" s="25">
        <f>cuotas_emitidas!D38-SUMIFS(ingresos!$D:$D,ingresos!$F:$F,saldos!$A43,ingresos!$G:$G,saldos!D$6)</f>
        <v>0</v>
      </c>
      <c r="E43" s="25">
        <f>cuotas_emitidas!E38-SUMIFS(ingresos!$D:$D,ingresos!$F:$F,saldos!$A43,ingresos!$G:$G,saldos!E$6)</f>
        <v>0</v>
      </c>
      <c r="F43" s="25">
        <f>cuotas_emitidas!F38-SUMIFS(ingresos!$D:$D,ingresos!$F:$F,saldos!$A43,ingresos!$G:$G,saldos!F$6)</f>
        <v>0</v>
      </c>
      <c r="G43" s="25">
        <f>cuotas_emitidas!G38-SUMIFS(ingresos!$D:$D,ingresos!$F:$F,saldos!$A43,ingresos!$G:$G,saldos!G$6)</f>
        <v>0</v>
      </c>
      <c r="H43" s="25">
        <f>cuotas_emitidas!H38-SUMIFS(ingresos!$D:$D,ingresos!$F:$F,saldos!$A43,ingresos!$G:$G,saldos!H$6)</f>
        <v>0</v>
      </c>
      <c r="I43" s="25">
        <f>cuotas_emitidas!I38-SUMIFS(ingresos!$D:$D,ingresos!$F:$F,saldos!$A43,ingresos!$G:$G,saldos!I$6)</f>
        <v>0</v>
      </c>
      <c r="J43" s="25">
        <f>cuotas_emitidas!J38-SUMIFS(ingresos!$D:$D,ingresos!$F:$F,saldos!$A43,ingresos!$G:$G,saldos!J$6)</f>
        <v>0</v>
      </c>
      <c r="K43" s="25">
        <f>cuotas_emitidas!K38-SUMIFS(ingresos!$D:$D,ingresos!$F:$F,saldos!$A43,ingresos!$G:$G,saldos!K$6)</f>
        <v>0</v>
      </c>
      <c r="L43" s="25">
        <f>cuotas_emitidas!L38-SUMIFS(ingresos!$D:$D,ingresos!$F:$F,saldos!$A43,ingresos!$G:$G,saldos!L$6)</f>
        <v>0</v>
      </c>
      <c r="M43" s="25">
        <f>cuotas_emitidas!M38-SUMIFS(ingresos!$D:$D,ingresos!$F:$F,saldos!$A43,ingresos!$G:$G,saldos!M$6)</f>
        <v>0</v>
      </c>
      <c r="N43" s="25">
        <f>cuotas_emitidas!N38-SUMIFS(ingresos!$D:$D,ingresos!$F:$F,saldos!$A43,ingresos!$G:$G,saldos!N$6)</f>
        <v>0</v>
      </c>
      <c r="O43" s="25">
        <f>cuotas_emitidas!O38-SUMIFS(ingresos!$D:$D,ingresos!$F:$F,saldos!$A43,ingresos!$G:$G,saldos!O$6)</f>
        <v>0</v>
      </c>
      <c r="P43" s="25">
        <f>cuotas_emitidas!P38-SUMIFS(ingresos!$D:$D,ingresos!$F:$F,saldos!$A43,ingresos!$G:$G,saldos!P$6)</f>
        <v>0</v>
      </c>
      <c r="Q43" s="25">
        <f>cuotas_emitidas!Q38-SUMIFS(ingresos!$D:$D,ingresos!$F:$F,saldos!$A43,ingresos!$G:$G,saldos!Q$6)</f>
        <v>303.3</v>
      </c>
      <c r="R43" s="26">
        <f t="shared" si="0"/>
        <v>303.3</v>
      </c>
      <c r="T43" s="26">
        <f t="shared" si="1"/>
        <v>303.3</v>
      </c>
      <c r="U43" s="26">
        <f t="shared" si="2"/>
        <v>0</v>
      </c>
    </row>
    <row r="44" spans="1:21" x14ac:dyDescent="0.25">
      <c r="A44" s="17" t="s">
        <v>1608</v>
      </c>
      <c r="B44" s="17" t="s">
        <v>1609</v>
      </c>
      <c r="C44" s="17" t="s">
        <v>1610</v>
      </c>
      <c r="D44" s="25">
        <f>cuotas_emitidas!D39-SUMIFS(ingresos!$D:$D,ingresos!$F:$F,saldos!$A44,ingresos!$G:$G,saldos!D$6)</f>
        <v>0</v>
      </c>
      <c r="E44" s="25">
        <f>cuotas_emitidas!E39-SUMIFS(ingresos!$D:$D,ingresos!$F:$F,saldos!$A44,ingresos!$G:$G,saldos!E$6)</f>
        <v>0</v>
      </c>
      <c r="F44" s="25">
        <f>cuotas_emitidas!F39-SUMIFS(ingresos!$D:$D,ingresos!$F:$F,saldos!$A44,ingresos!$G:$G,saldos!F$6)</f>
        <v>0</v>
      </c>
      <c r="G44" s="25">
        <f>cuotas_emitidas!G39-SUMIFS(ingresos!$D:$D,ingresos!$F:$F,saldos!$A44,ingresos!$G:$G,saldos!G$6)</f>
        <v>0</v>
      </c>
      <c r="H44" s="25">
        <f>cuotas_emitidas!H39-SUMIFS(ingresos!$D:$D,ingresos!$F:$F,saldos!$A44,ingresos!$G:$G,saldos!H$6)</f>
        <v>0</v>
      </c>
      <c r="I44" s="25">
        <f>cuotas_emitidas!I39-SUMIFS(ingresos!$D:$D,ingresos!$F:$F,saldos!$A44,ingresos!$G:$G,saldos!I$6)</f>
        <v>0</v>
      </c>
      <c r="J44" s="25">
        <f>cuotas_emitidas!J39-SUMIFS(ingresos!$D:$D,ingresos!$F:$F,saldos!$A44,ingresos!$G:$G,saldos!J$6)</f>
        <v>0</v>
      </c>
      <c r="K44" s="25">
        <f>cuotas_emitidas!K39-SUMIFS(ingresos!$D:$D,ingresos!$F:$F,saldos!$A44,ingresos!$G:$G,saldos!K$6)</f>
        <v>0</v>
      </c>
      <c r="L44" s="25">
        <f>cuotas_emitidas!L39-SUMIFS(ingresos!$D:$D,ingresos!$F:$F,saldos!$A44,ingresos!$G:$G,saldos!L$6)</f>
        <v>0</v>
      </c>
      <c r="M44" s="25">
        <f>cuotas_emitidas!M39-SUMIFS(ingresos!$D:$D,ingresos!$F:$F,saldos!$A44,ingresos!$G:$G,saldos!M$6)</f>
        <v>0</v>
      </c>
      <c r="N44" s="25">
        <f>cuotas_emitidas!N39-SUMIFS(ingresos!$D:$D,ingresos!$F:$F,saldos!$A44,ingresos!$G:$G,saldos!N$6)</f>
        <v>0</v>
      </c>
      <c r="O44" s="25">
        <f>cuotas_emitidas!O39-SUMIFS(ingresos!$D:$D,ingresos!$F:$F,saldos!$A44,ingresos!$G:$G,saldos!O$6)</f>
        <v>0</v>
      </c>
      <c r="P44" s="25">
        <f>cuotas_emitidas!P39-SUMIFS(ingresos!$D:$D,ingresos!$F:$F,saldos!$A44,ingresos!$G:$G,saldos!P$6)</f>
        <v>0</v>
      </c>
      <c r="Q44" s="25">
        <f>cuotas_emitidas!Q39-SUMIFS(ingresos!$D:$D,ingresos!$F:$F,saldos!$A44,ingresos!$G:$G,saldos!Q$6)</f>
        <v>300.26</v>
      </c>
      <c r="R44" s="26">
        <f t="shared" si="0"/>
        <v>300.26</v>
      </c>
      <c r="T44" s="26">
        <f t="shared" si="1"/>
        <v>300.26</v>
      </c>
      <c r="U44" s="26">
        <f t="shared" si="2"/>
        <v>0</v>
      </c>
    </row>
    <row r="45" spans="1:21" x14ac:dyDescent="0.25">
      <c r="A45" s="17" t="s">
        <v>1611</v>
      </c>
      <c r="B45" s="17" t="s">
        <v>1612</v>
      </c>
      <c r="C45" s="17" t="s">
        <v>1613</v>
      </c>
      <c r="D45" s="25">
        <f>cuotas_emitidas!D40-SUMIFS(ingresos!$D:$D,ingresos!$F:$F,saldos!$A45,ingresos!$G:$G,saldos!D$6)</f>
        <v>0</v>
      </c>
      <c r="E45" s="25">
        <f>cuotas_emitidas!E40-SUMIFS(ingresos!$D:$D,ingresos!$F:$F,saldos!$A45,ingresos!$G:$G,saldos!E$6)</f>
        <v>0</v>
      </c>
      <c r="F45" s="25">
        <f>cuotas_emitidas!F40-SUMIFS(ingresos!$D:$D,ingresos!$F:$F,saldos!$A45,ingresos!$G:$G,saldos!F$6)</f>
        <v>0</v>
      </c>
      <c r="G45" s="25">
        <f>cuotas_emitidas!G40-SUMIFS(ingresos!$D:$D,ingresos!$F:$F,saldos!$A45,ingresos!$G:$G,saldos!G$6)</f>
        <v>0</v>
      </c>
      <c r="H45" s="25">
        <f>cuotas_emitidas!H40-SUMIFS(ingresos!$D:$D,ingresos!$F:$F,saldos!$A45,ingresos!$G:$G,saldos!H$6)</f>
        <v>0</v>
      </c>
      <c r="I45" s="25">
        <f>cuotas_emitidas!I40-SUMIFS(ingresos!$D:$D,ingresos!$F:$F,saldos!$A45,ingresos!$G:$G,saldos!I$6)</f>
        <v>0</v>
      </c>
      <c r="J45" s="25">
        <f>cuotas_emitidas!J40-SUMIFS(ingresos!$D:$D,ingresos!$F:$F,saldos!$A45,ingresos!$G:$G,saldos!J$6)</f>
        <v>0</v>
      </c>
      <c r="K45" s="25">
        <f>cuotas_emitidas!K40-SUMIFS(ingresos!$D:$D,ingresos!$F:$F,saldos!$A45,ingresos!$G:$G,saldos!K$6)</f>
        <v>0</v>
      </c>
      <c r="L45" s="25">
        <f>cuotas_emitidas!L40-SUMIFS(ingresos!$D:$D,ingresos!$F:$F,saldos!$A45,ingresos!$G:$G,saldos!L$6)</f>
        <v>0</v>
      </c>
      <c r="M45" s="25">
        <f>cuotas_emitidas!M40-SUMIFS(ingresos!$D:$D,ingresos!$F:$F,saldos!$A45,ingresos!$G:$G,saldos!M$6)</f>
        <v>0</v>
      </c>
      <c r="N45" s="25">
        <f>cuotas_emitidas!N40-SUMIFS(ingresos!$D:$D,ingresos!$F:$F,saldos!$A45,ingresos!$G:$G,saldos!N$6)</f>
        <v>12.539999999999992</v>
      </c>
      <c r="O45" s="25">
        <f>cuotas_emitidas!O40-SUMIFS(ingresos!$D:$D,ingresos!$F:$F,saldos!$A45,ingresos!$G:$G,saldos!O$6)</f>
        <v>0</v>
      </c>
      <c r="P45" s="25">
        <f>cuotas_emitidas!P40-SUMIFS(ingresos!$D:$D,ingresos!$F:$F,saldos!$A45,ingresos!$G:$G,saldos!P$6)</f>
        <v>-19.909999999999997</v>
      </c>
      <c r="Q45" s="25">
        <f>cuotas_emitidas!Q40-SUMIFS(ingresos!$D:$D,ingresos!$F:$F,saldos!$A45,ingresos!$G:$G,saldos!Q$6)</f>
        <v>182.5</v>
      </c>
      <c r="R45" s="26">
        <f t="shared" si="0"/>
        <v>175.13</v>
      </c>
      <c r="T45" s="26">
        <f t="shared" si="1"/>
        <v>182.5</v>
      </c>
      <c r="U45" s="26">
        <f t="shared" si="2"/>
        <v>-7.3700000000000045</v>
      </c>
    </row>
    <row r="46" spans="1:21" x14ac:dyDescent="0.25">
      <c r="A46" s="17" t="s">
        <v>1614</v>
      </c>
      <c r="B46" s="17" t="s">
        <v>1615</v>
      </c>
      <c r="C46" s="17" t="s">
        <v>1616</v>
      </c>
      <c r="D46" s="25">
        <f>cuotas_emitidas!D41-SUMIFS(ingresos!$D:$D,ingresos!$F:$F,saldos!$A46,ingresos!$G:$G,saldos!D$6)</f>
        <v>0</v>
      </c>
      <c r="E46" s="25">
        <f>cuotas_emitidas!E41-SUMIFS(ingresos!$D:$D,ingresos!$F:$F,saldos!$A46,ingresos!$G:$G,saldos!E$6)</f>
        <v>0</v>
      </c>
      <c r="F46" s="25">
        <f>cuotas_emitidas!F41-SUMIFS(ingresos!$D:$D,ingresos!$F:$F,saldos!$A46,ingresos!$G:$G,saldos!F$6)</f>
        <v>0</v>
      </c>
      <c r="G46" s="25">
        <f>cuotas_emitidas!G41-SUMIFS(ingresos!$D:$D,ingresos!$F:$F,saldos!$A46,ingresos!$G:$G,saldos!G$6)</f>
        <v>0</v>
      </c>
      <c r="H46" s="25">
        <f>cuotas_emitidas!H41-SUMIFS(ingresos!$D:$D,ingresos!$F:$F,saldos!$A46,ingresos!$G:$G,saldos!H$6)</f>
        <v>0</v>
      </c>
      <c r="I46" s="25">
        <f>cuotas_emitidas!I41-SUMIFS(ingresos!$D:$D,ingresos!$F:$F,saldos!$A46,ingresos!$G:$G,saldos!I$6)</f>
        <v>0</v>
      </c>
      <c r="J46" s="25">
        <f>cuotas_emitidas!J41-SUMIFS(ingresos!$D:$D,ingresos!$F:$F,saldos!$A46,ingresos!$G:$G,saldos!J$6)</f>
        <v>0</v>
      </c>
      <c r="K46" s="25">
        <f>cuotas_emitidas!K41-SUMIFS(ingresos!$D:$D,ingresos!$F:$F,saldos!$A46,ingresos!$G:$G,saldos!K$6)</f>
        <v>0</v>
      </c>
      <c r="L46" s="25">
        <f>cuotas_emitidas!L41-SUMIFS(ingresos!$D:$D,ingresos!$F:$F,saldos!$A46,ingresos!$G:$G,saldos!L$6)</f>
        <v>0</v>
      </c>
      <c r="M46" s="25">
        <f>cuotas_emitidas!M41-SUMIFS(ingresos!$D:$D,ingresos!$F:$F,saldos!$A46,ingresos!$G:$G,saldos!M$6)</f>
        <v>0</v>
      </c>
      <c r="N46" s="25">
        <f>cuotas_emitidas!N41-SUMIFS(ingresos!$D:$D,ingresos!$F:$F,saldos!$A46,ingresos!$G:$G,saldos!N$6)</f>
        <v>0</v>
      </c>
      <c r="O46" s="25">
        <f>cuotas_emitidas!O41-SUMIFS(ingresos!$D:$D,ingresos!$F:$F,saldos!$A46,ingresos!$G:$G,saldos!O$6)</f>
        <v>0</v>
      </c>
      <c r="P46" s="25">
        <f>cuotas_emitidas!P41-SUMIFS(ingresos!$D:$D,ingresos!$F:$F,saldos!$A46,ingresos!$G:$G,saldos!P$6)</f>
        <v>0</v>
      </c>
      <c r="Q46" s="25">
        <f>cuotas_emitidas!Q41-SUMIFS(ingresos!$D:$D,ingresos!$F:$F,saldos!$A46,ingresos!$G:$G,saldos!Q$6)</f>
        <v>0</v>
      </c>
      <c r="R46" s="26">
        <f t="shared" si="0"/>
        <v>0</v>
      </c>
      <c r="T46" s="26">
        <f t="shared" si="1"/>
        <v>0</v>
      </c>
      <c r="U46" s="26">
        <f t="shared" si="2"/>
        <v>0</v>
      </c>
    </row>
    <row r="47" spans="1:21" x14ac:dyDescent="0.25">
      <c r="A47" s="17" t="s">
        <v>1617</v>
      </c>
      <c r="B47" s="17" t="s">
        <v>1234</v>
      </c>
      <c r="C47" s="17" t="s">
        <v>1618</v>
      </c>
      <c r="D47" s="25">
        <f>cuotas_emitidas!D42-SUMIFS(ingresos!$D:$D,ingresos!$F:$F,saldos!$A47,ingresos!$G:$G,saldos!D$6)</f>
        <v>0</v>
      </c>
      <c r="E47" s="25">
        <f>cuotas_emitidas!E42-SUMIFS(ingresos!$D:$D,ingresos!$F:$F,saldos!$A47,ingresos!$G:$G,saldos!E$6)</f>
        <v>0</v>
      </c>
      <c r="F47" s="25">
        <f>cuotas_emitidas!F42-SUMIFS(ingresos!$D:$D,ingresos!$F:$F,saldos!$A47,ingresos!$G:$G,saldos!F$6)</f>
        <v>0</v>
      </c>
      <c r="G47" s="25">
        <f>cuotas_emitidas!G42-SUMIFS(ingresos!$D:$D,ingresos!$F:$F,saldos!$A47,ingresos!$G:$G,saldos!G$6)</f>
        <v>0</v>
      </c>
      <c r="H47" s="25">
        <f>cuotas_emitidas!H42-SUMIFS(ingresos!$D:$D,ingresos!$F:$F,saldos!$A47,ingresos!$G:$G,saldos!H$6)</f>
        <v>0</v>
      </c>
      <c r="I47" s="25">
        <f>cuotas_emitidas!I42-SUMIFS(ingresos!$D:$D,ingresos!$F:$F,saldos!$A47,ingresos!$G:$G,saldos!I$6)</f>
        <v>0</v>
      </c>
      <c r="J47" s="25">
        <f>cuotas_emitidas!J42-SUMIFS(ingresos!$D:$D,ingresos!$F:$F,saldos!$A47,ingresos!$G:$G,saldos!J$6)</f>
        <v>0</v>
      </c>
      <c r="K47" s="25">
        <f>cuotas_emitidas!K42-SUMIFS(ingresos!$D:$D,ingresos!$F:$F,saldos!$A47,ingresos!$G:$G,saldos!K$6)</f>
        <v>0</v>
      </c>
      <c r="L47" s="25">
        <f>cuotas_emitidas!L42-SUMIFS(ingresos!$D:$D,ingresos!$F:$F,saldos!$A47,ingresos!$G:$G,saldos!L$6)</f>
        <v>0</v>
      </c>
      <c r="M47" s="25">
        <f>cuotas_emitidas!M42-SUMIFS(ingresos!$D:$D,ingresos!$F:$F,saldos!$A47,ingresos!$G:$G,saldos!M$6)</f>
        <v>0</v>
      </c>
      <c r="N47" s="25">
        <f>cuotas_emitidas!N42-SUMIFS(ingresos!$D:$D,ingresos!$F:$F,saldos!$A47,ingresos!$G:$G,saldos!N$6)</f>
        <v>27.939999999999998</v>
      </c>
      <c r="O47" s="25">
        <f>cuotas_emitidas!O42-SUMIFS(ingresos!$D:$D,ingresos!$F:$F,saldos!$A47,ingresos!$G:$G,saldos!O$6)</f>
        <v>0</v>
      </c>
      <c r="P47" s="25">
        <f>cuotas_emitidas!P42-SUMIFS(ingresos!$D:$D,ingresos!$F:$F,saldos!$A47,ingresos!$G:$G,saldos!P$6)</f>
        <v>0</v>
      </c>
      <c r="Q47" s="25">
        <f>cuotas_emitidas!Q42-SUMIFS(ingresos!$D:$D,ingresos!$F:$F,saldos!$A47,ingresos!$G:$G,saldos!Q$6)</f>
        <v>0</v>
      </c>
      <c r="R47" s="26">
        <f t="shared" si="0"/>
        <v>27.939999999999998</v>
      </c>
      <c r="T47" s="26">
        <f t="shared" si="1"/>
        <v>0</v>
      </c>
      <c r="U47" s="26">
        <f t="shared" si="2"/>
        <v>27.939999999999998</v>
      </c>
    </row>
    <row r="48" spans="1:21" x14ac:dyDescent="0.25">
      <c r="A48" s="17" t="s">
        <v>1504</v>
      </c>
      <c r="B48" s="17" t="s">
        <v>1619</v>
      </c>
      <c r="C48" s="17" t="s">
        <v>1620</v>
      </c>
      <c r="D48" s="25">
        <f>cuotas_emitidas!D43-SUMIFS(ingresos!$D:$D,ingresos!$F:$F,saldos!$A48,ingresos!$G:$G,saldos!D$6)</f>
        <v>0</v>
      </c>
      <c r="E48" s="25">
        <f>cuotas_emitidas!E43-SUMIFS(ingresos!$D:$D,ingresos!$F:$F,saldos!$A48,ingresos!$G:$G,saldos!E$6)</f>
        <v>0</v>
      </c>
      <c r="F48" s="25">
        <f>cuotas_emitidas!F43-SUMIFS(ingresos!$D:$D,ingresos!$F:$F,saldos!$A48,ingresos!$G:$G,saldos!F$6)</f>
        <v>0</v>
      </c>
      <c r="G48" s="25">
        <f>cuotas_emitidas!G43-SUMIFS(ingresos!$D:$D,ingresos!$F:$F,saldos!$A48,ingresos!$G:$G,saldos!G$6)</f>
        <v>0</v>
      </c>
      <c r="H48" s="25">
        <f>cuotas_emitidas!H43-SUMIFS(ingresos!$D:$D,ingresos!$F:$F,saldos!$A48,ingresos!$G:$G,saldos!H$6)</f>
        <v>0</v>
      </c>
      <c r="I48" s="25">
        <f>cuotas_emitidas!I43-SUMIFS(ingresos!$D:$D,ingresos!$F:$F,saldos!$A48,ingresos!$G:$G,saldos!I$6)</f>
        <v>0</v>
      </c>
      <c r="J48" s="25">
        <f>cuotas_emitidas!J43-SUMIFS(ingresos!$D:$D,ingresos!$F:$F,saldos!$A48,ingresos!$G:$G,saldos!J$6)</f>
        <v>0</v>
      </c>
      <c r="K48" s="25">
        <f>cuotas_emitidas!K43-SUMIFS(ingresos!$D:$D,ingresos!$F:$F,saldos!$A48,ingresos!$G:$G,saldos!K$6)</f>
        <v>0</v>
      </c>
      <c r="L48" s="25">
        <f>cuotas_emitidas!L43-SUMIFS(ingresos!$D:$D,ingresos!$F:$F,saldos!$A48,ingresos!$G:$G,saldos!L$6)</f>
        <v>0</v>
      </c>
      <c r="M48" s="25">
        <f>cuotas_emitidas!M43-SUMIFS(ingresos!$D:$D,ingresos!$F:$F,saldos!$A48,ingresos!$G:$G,saldos!M$6)</f>
        <v>1.0200000000000387</v>
      </c>
      <c r="N48" s="25">
        <f>cuotas_emitidas!N43-SUMIFS(ingresos!$D:$D,ingresos!$F:$F,saldos!$A48,ingresos!$G:$G,saldos!N$6)</f>
        <v>0</v>
      </c>
      <c r="O48" s="25">
        <f>cuotas_emitidas!O43-SUMIFS(ingresos!$D:$D,ingresos!$F:$F,saldos!$A48,ingresos!$G:$G,saldos!O$6)</f>
        <v>0</v>
      </c>
      <c r="P48" s="25">
        <f>cuotas_emitidas!P43-SUMIFS(ingresos!$D:$D,ingresos!$F:$F,saldos!$A48,ingresos!$G:$G,saldos!P$6)</f>
        <v>391.71</v>
      </c>
      <c r="Q48" s="25">
        <f>cuotas_emitidas!Q43-SUMIFS(ingresos!$D:$D,ingresos!$F:$F,saldos!$A48,ingresos!$G:$G,saldos!Q$6)</f>
        <v>389.71999999999997</v>
      </c>
      <c r="R48" s="26">
        <f t="shared" si="0"/>
        <v>782.45</v>
      </c>
      <c r="T48" s="26">
        <f t="shared" si="1"/>
        <v>389.71999999999997</v>
      </c>
      <c r="U48" s="26">
        <f t="shared" si="2"/>
        <v>392.73000000000008</v>
      </c>
    </row>
    <row r="49" spans="1:21" x14ac:dyDescent="0.25">
      <c r="A49" s="17" t="s">
        <v>1621</v>
      </c>
      <c r="B49" s="17" t="s">
        <v>1622</v>
      </c>
      <c r="C49" s="17" t="s">
        <v>1623</v>
      </c>
      <c r="D49" s="25">
        <f>cuotas_emitidas!D44-SUMIFS(ingresos!$D:$D,ingresos!$F:$F,saldos!$A49,ingresos!$G:$G,saldos!D$6)</f>
        <v>0</v>
      </c>
      <c r="E49" s="25">
        <f>cuotas_emitidas!E44-SUMIFS(ingresos!$D:$D,ingresos!$F:$F,saldos!$A49,ingresos!$G:$G,saldos!E$6)</f>
        <v>0</v>
      </c>
      <c r="F49" s="25">
        <f>cuotas_emitidas!F44-SUMIFS(ingresos!$D:$D,ingresos!$F:$F,saldos!$A49,ingresos!$G:$G,saldos!F$6)</f>
        <v>0</v>
      </c>
      <c r="G49" s="25">
        <f>cuotas_emitidas!G44-SUMIFS(ingresos!$D:$D,ingresos!$F:$F,saldos!$A49,ingresos!$G:$G,saldos!G$6)</f>
        <v>0</v>
      </c>
      <c r="H49" s="25">
        <f>cuotas_emitidas!H44-SUMIFS(ingresos!$D:$D,ingresos!$F:$F,saldos!$A49,ingresos!$G:$G,saldos!H$6)</f>
        <v>0</v>
      </c>
      <c r="I49" s="25">
        <f>cuotas_emitidas!I44-SUMIFS(ingresos!$D:$D,ingresos!$F:$F,saldos!$A49,ingresos!$G:$G,saldos!I$6)</f>
        <v>0</v>
      </c>
      <c r="J49" s="25">
        <f>cuotas_emitidas!J44-SUMIFS(ingresos!$D:$D,ingresos!$F:$F,saldos!$A49,ingresos!$G:$G,saldos!J$6)</f>
        <v>0</v>
      </c>
      <c r="K49" s="25">
        <f>cuotas_emitidas!K44-SUMIFS(ingresos!$D:$D,ingresos!$F:$F,saldos!$A49,ingresos!$G:$G,saldos!K$6)</f>
        <v>0</v>
      </c>
      <c r="L49" s="25">
        <f>cuotas_emitidas!L44-SUMIFS(ingresos!$D:$D,ingresos!$F:$F,saldos!$A49,ingresos!$G:$G,saldos!L$6)</f>
        <v>0</v>
      </c>
      <c r="M49" s="25">
        <f>cuotas_emitidas!M44-SUMIFS(ingresos!$D:$D,ingresos!$F:$F,saldos!$A49,ingresos!$G:$G,saldos!M$6)</f>
        <v>0</v>
      </c>
      <c r="N49" s="25">
        <f>cuotas_emitidas!N44-SUMIFS(ingresos!$D:$D,ingresos!$F:$F,saldos!$A49,ingresos!$G:$G,saldos!N$6)</f>
        <v>0</v>
      </c>
      <c r="O49" s="25">
        <f>cuotas_emitidas!O44-SUMIFS(ingresos!$D:$D,ingresos!$F:$F,saldos!$A49,ingresos!$G:$G,saldos!O$6)</f>
        <v>0</v>
      </c>
      <c r="P49" s="25">
        <f>cuotas_emitidas!P44-SUMIFS(ingresos!$D:$D,ingresos!$F:$F,saldos!$A49,ingresos!$G:$G,saldos!P$6)</f>
        <v>0</v>
      </c>
      <c r="Q49" s="25">
        <f>cuotas_emitidas!Q44-SUMIFS(ingresos!$D:$D,ingresos!$F:$F,saldos!$A49,ingresos!$G:$G,saldos!Q$6)</f>
        <v>0</v>
      </c>
      <c r="R49" s="26">
        <f t="shared" si="0"/>
        <v>0</v>
      </c>
      <c r="T49" s="26">
        <f t="shared" si="1"/>
        <v>0</v>
      </c>
      <c r="U49" s="26">
        <f t="shared" si="2"/>
        <v>0</v>
      </c>
    </row>
    <row r="50" spans="1:21" x14ac:dyDescent="0.25">
      <c r="A50" s="17" t="s">
        <v>1624</v>
      </c>
      <c r="B50" s="17" t="s">
        <v>1466</v>
      </c>
      <c r="C50" s="17" t="s">
        <v>1625</v>
      </c>
      <c r="D50" s="25">
        <f>cuotas_emitidas!D45-SUMIFS(ingresos!$D:$D,ingresos!$F:$F,saldos!$A50,ingresos!$G:$G,saldos!D$6)</f>
        <v>0</v>
      </c>
      <c r="E50" s="25">
        <f>cuotas_emitidas!E45-SUMIFS(ingresos!$D:$D,ingresos!$F:$F,saldos!$A50,ingresos!$G:$G,saldos!E$6)</f>
        <v>0</v>
      </c>
      <c r="F50" s="25">
        <f>cuotas_emitidas!F45-SUMIFS(ingresos!$D:$D,ingresos!$F:$F,saldos!$A50,ingresos!$G:$G,saldos!F$6)</f>
        <v>0</v>
      </c>
      <c r="G50" s="25">
        <f>cuotas_emitidas!G45-SUMIFS(ingresos!$D:$D,ingresos!$F:$F,saldos!$A50,ingresos!$G:$G,saldos!G$6)</f>
        <v>0</v>
      </c>
      <c r="H50" s="25">
        <f>cuotas_emitidas!H45-SUMIFS(ingresos!$D:$D,ingresos!$F:$F,saldos!$A50,ingresos!$G:$G,saldos!H$6)</f>
        <v>0</v>
      </c>
      <c r="I50" s="25">
        <f>cuotas_emitidas!I45-SUMIFS(ingresos!$D:$D,ingresos!$F:$F,saldos!$A50,ingresos!$G:$G,saldos!I$6)</f>
        <v>0</v>
      </c>
      <c r="J50" s="25">
        <f>cuotas_emitidas!J45-SUMIFS(ingresos!$D:$D,ingresos!$F:$F,saldos!$A50,ingresos!$G:$G,saldos!J$6)</f>
        <v>0</v>
      </c>
      <c r="K50" s="25">
        <f>cuotas_emitidas!K45-SUMIFS(ingresos!$D:$D,ingresos!$F:$F,saldos!$A50,ingresos!$G:$G,saldos!K$6)</f>
        <v>0</v>
      </c>
      <c r="L50" s="25">
        <f>cuotas_emitidas!L45-SUMIFS(ingresos!$D:$D,ingresos!$F:$F,saldos!$A50,ingresos!$G:$G,saldos!L$6)</f>
        <v>462.96</v>
      </c>
      <c r="M50" s="25">
        <f>cuotas_emitidas!M45-SUMIFS(ingresos!$D:$D,ingresos!$F:$F,saldos!$A50,ingresos!$G:$G,saldos!M$6)</f>
        <v>867.1</v>
      </c>
      <c r="N50" s="25">
        <f>cuotas_emitidas!N45-SUMIFS(ingresos!$D:$D,ingresos!$F:$F,saldos!$A50,ingresos!$G:$G,saldos!N$6)</f>
        <v>0</v>
      </c>
      <c r="O50" s="25">
        <f>cuotas_emitidas!O45-SUMIFS(ingresos!$D:$D,ingresos!$F:$F,saldos!$A50,ingresos!$G:$G,saldos!O$6)</f>
        <v>0</v>
      </c>
      <c r="P50" s="25">
        <f>cuotas_emitidas!P45-SUMIFS(ingresos!$D:$D,ingresos!$F:$F,saldos!$A50,ingresos!$G:$G,saldos!P$6)</f>
        <v>898.14</v>
      </c>
      <c r="Q50" s="25">
        <f>cuotas_emitidas!Q45-SUMIFS(ingresos!$D:$D,ingresos!$F:$F,saldos!$A50,ingresos!$G:$G,saldos!Q$6)</f>
        <v>898.56</v>
      </c>
      <c r="R50" s="26">
        <f t="shared" si="0"/>
        <v>3126.7599999999998</v>
      </c>
      <c r="T50" s="26">
        <f t="shared" si="1"/>
        <v>898.56</v>
      </c>
      <c r="U50" s="26">
        <f t="shared" si="2"/>
        <v>2228.1999999999998</v>
      </c>
    </row>
    <row r="51" spans="1:21" x14ac:dyDescent="0.25">
      <c r="A51" s="17" t="s">
        <v>1626</v>
      </c>
      <c r="B51" s="17" t="s">
        <v>1627</v>
      </c>
      <c r="C51" s="17" t="s">
        <v>1628</v>
      </c>
      <c r="D51" s="25">
        <f>cuotas_emitidas!D46-SUMIFS(ingresos!$D:$D,ingresos!$F:$F,saldos!$A51,ingresos!$G:$G,saldos!D$6)</f>
        <v>0</v>
      </c>
      <c r="E51" s="25">
        <f>cuotas_emitidas!E46-SUMIFS(ingresos!$D:$D,ingresos!$F:$F,saldos!$A51,ingresos!$G:$G,saldos!E$6)</f>
        <v>0</v>
      </c>
      <c r="F51" s="25">
        <f>cuotas_emitidas!F46-SUMIFS(ingresos!$D:$D,ingresos!$F:$F,saldos!$A51,ingresos!$G:$G,saldos!F$6)</f>
        <v>0</v>
      </c>
      <c r="G51" s="25">
        <f>cuotas_emitidas!G46-SUMIFS(ingresos!$D:$D,ingresos!$F:$F,saldos!$A51,ingresos!$G:$G,saldos!G$6)</f>
        <v>0</v>
      </c>
      <c r="H51" s="25">
        <f>cuotas_emitidas!H46-SUMIFS(ingresos!$D:$D,ingresos!$F:$F,saldos!$A51,ingresos!$G:$G,saldos!H$6)</f>
        <v>0</v>
      </c>
      <c r="I51" s="25">
        <f>cuotas_emitidas!I46-SUMIFS(ingresos!$D:$D,ingresos!$F:$F,saldos!$A51,ingresos!$G:$G,saldos!I$6)</f>
        <v>0</v>
      </c>
      <c r="J51" s="25">
        <f>cuotas_emitidas!J46-SUMIFS(ingresos!$D:$D,ingresos!$F:$F,saldos!$A51,ingresos!$G:$G,saldos!J$6)</f>
        <v>0</v>
      </c>
      <c r="K51" s="25">
        <f>cuotas_emitidas!K46-SUMIFS(ingresos!$D:$D,ingresos!$F:$F,saldos!$A51,ingresos!$G:$G,saldos!K$6)</f>
        <v>0</v>
      </c>
      <c r="L51" s="25">
        <f>cuotas_emitidas!L46-SUMIFS(ingresos!$D:$D,ingresos!$F:$F,saldos!$A51,ingresos!$G:$G,saldos!L$6)</f>
        <v>0</v>
      </c>
      <c r="M51" s="25">
        <f>cuotas_emitidas!M46-SUMIFS(ingresos!$D:$D,ingresos!$F:$F,saldos!$A51,ingresos!$G:$G,saldos!M$6)</f>
        <v>0</v>
      </c>
      <c r="N51" s="25">
        <f>cuotas_emitidas!N46-SUMIFS(ingresos!$D:$D,ingresos!$F:$F,saldos!$A51,ingresos!$G:$G,saldos!N$6)</f>
        <v>0</v>
      </c>
      <c r="O51" s="25">
        <f>cuotas_emitidas!O46-SUMIFS(ingresos!$D:$D,ingresos!$F:$F,saldos!$A51,ingresos!$G:$G,saldos!O$6)</f>
        <v>0</v>
      </c>
      <c r="P51" s="25">
        <f>cuotas_emitidas!P46-SUMIFS(ingresos!$D:$D,ingresos!$F:$F,saldos!$A51,ingresos!$G:$G,saldos!P$6)</f>
        <v>0</v>
      </c>
      <c r="Q51" s="25">
        <f>cuotas_emitidas!Q46-SUMIFS(ingresos!$D:$D,ingresos!$F:$F,saldos!$A51,ingresos!$G:$G,saldos!Q$6)</f>
        <v>385.28</v>
      </c>
      <c r="R51" s="26">
        <f t="shared" si="0"/>
        <v>385.28</v>
      </c>
      <c r="T51" s="26">
        <f t="shared" si="1"/>
        <v>385.28</v>
      </c>
      <c r="U51" s="26">
        <f t="shared" si="2"/>
        <v>0</v>
      </c>
    </row>
    <row r="52" spans="1:21" x14ac:dyDescent="0.25">
      <c r="A52" s="17" t="s">
        <v>1629</v>
      </c>
      <c r="B52" s="17" t="s">
        <v>1630</v>
      </c>
      <c r="C52" s="17" t="s">
        <v>1631</v>
      </c>
      <c r="D52" s="25">
        <f>cuotas_emitidas!D47-SUMIFS(ingresos!$D:$D,ingresos!$F:$F,saldos!$A52,ingresos!$G:$G,saldos!D$6)</f>
        <v>0</v>
      </c>
      <c r="E52" s="25">
        <f>cuotas_emitidas!E47-SUMIFS(ingresos!$D:$D,ingresos!$F:$F,saldos!$A52,ingresos!$G:$G,saldos!E$6)</f>
        <v>0</v>
      </c>
      <c r="F52" s="25">
        <f>cuotas_emitidas!F47-SUMIFS(ingresos!$D:$D,ingresos!$F:$F,saldos!$A52,ingresos!$G:$G,saldos!F$6)</f>
        <v>0</v>
      </c>
      <c r="G52" s="25">
        <f>cuotas_emitidas!G47-SUMIFS(ingresos!$D:$D,ingresos!$F:$F,saldos!$A52,ingresos!$G:$G,saldos!G$6)</f>
        <v>0</v>
      </c>
      <c r="H52" s="25">
        <f>cuotas_emitidas!H47-SUMIFS(ingresos!$D:$D,ingresos!$F:$F,saldos!$A52,ingresos!$G:$G,saldos!H$6)</f>
        <v>0</v>
      </c>
      <c r="I52" s="25">
        <f>cuotas_emitidas!I47-SUMIFS(ingresos!$D:$D,ingresos!$F:$F,saldos!$A52,ingresos!$G:$G,saldos!I$6)</f>
        <v>0</v>
      </c>
      <c r="J52" s="25">
        <f>cuotas_emitidas!J47-SUMIFS(ingresos!$D:$D,ingresos!$F:$F,saldos!$A52,ingresos!$G:$G,saldos!J$6)</f>
        <v>0</v>
      </c>
      <c r="K52" s="25">
        <f>cuotas_emitidas!K47-SUMIFS(ingresos!$D:$D,ingresos!$F:$F,saldos!$A52,ingresos!$G:$G,saldos!K$6)</f>
        <v>0</v>
      </c>
      <c r="L52" s="25">
        <f>cuotas_emitidas!L47-SUMIFS(ingresos!$D:$D,ingresos!$F:$F,saldos!$A52,ingresos!$G:$G,saldos!L$6)</f>
        <v>0</v>
      </c>
      <c r="M52" s="25">
        <f>cuotas_emitidas!M47-SUMIFS(ingresos!$D:$D,ingresos!$F:$F,saldos!$A52,ingresos!$G:$G,saldos!M$6)</f>
        <v>0</v>
      </c>
      <c r="N52" s="25">
        <f>cuotas_emitidas!N47-SUMIFS(ingresos!$D:$D,ingresos!$F:$F,saldos!$A52,ingresos!$G:$G,saldos!N$6)</f>
        <v>0</v>
      </c>
      <c r="O52" s="25">
        <f>cuotas_emitidas!O47-SUMIFS(ingresos!$D:$D,ingresos!$F:$F,saldos!$A52,ingresos!$G:$G,saldos!O$6)</f>
        <v>2.8500000000000227</v>
      </c>
      <c r="P52" s="25">
        <f>cuotas_emitidas!P47-SUMIFS(ingresos!$D:$D,ingresos!$F:$F,saldos!$A52,ingresos!$G:$G,saldos!P$6)</f>
        <v>-2.8499999999999659</v>
      </c>
      <c r="Q52" s="25">
        <f>cuotas_emitidas!Q47-SUMIFS(ingresos!$D:$D,ingresos!$F:$F,saldos!$A52,ingresos!$G:$G,saldos!Q$6)</f>
        <v>0</v>
      </c>
      <c r="R52" s="26">
        <f t="shared" si="0"/>
        <v>5.6843418860808015E-14</v>
      </c>
      <c r="T52" s="26">
        <f t="shared" si="1"/>
        <v>0</v>
      </c>
      <c r="U52" s="26">
        <f t="shared" si="2"/>
        <v>5.6843418860808015E-14</v>
      </c>
    </row>
    <row r="53" spans="1:21" x14ac:dyDescent="0.25">
      <c r="A53" s="17" t="s">
        <v>1632</v>
      </c>
      <c r="B53" s="17" t="s">
        <v>1633</v>
      </c>
      <c r="C53" s="17" t="s">
        <v>1634</v>
      </c>
      <c r="D53" s="25">
        <f>cuotas_emitidas!D48-SUMIFS(ingresos!$D:$D,ingresos!$F:$F,saldos!$A53,ingresos!$G:$G,saldos!D$6)</f>
        <v>0</v>
      </c>
      <c r="E53" s="25">
        <f>cuotas_emitidas!E48-SUMIFS(ingresos!$D:$D,ingresos!$F:$F,saldos!$A53,ingresos!$G:$G,saldos!E$6)</f>
        <v>0</v>
      </c>
      <c r="F53" s="25">
        <f>cuotas_emitidas!F48-SUMIFS(ingresos!$D:$D,ingresos!$F:$F,saldos!$A53,ingresos!$G:$G,saldos!F$6)</f>
        <v>0</v>
      </c>
      <c r="G53" s="25">
        <f>cuotas_emitidas!G48-SUMIFS(ingresos!$D:$D,ingresos!$F:$F,saldos!$A53,ingresos!$G:$G,saldos!G$6)</f>
        <v>0</v>
      </c>
      <c r="H53" s="25">
        <f>cuotas_emitidas!H48-SUMIFS(ingresos!$D:$D,ingresos!$F:$F,saldos!$A53,ingresos!$G:$G,saldos!H$6)</f>
        <v>0</v>
      </c>
      <c r="I53" s="25">
        <f>cuotas_emitidas!I48-SUMIFS(ingresos!$D:$D,ingresos!$F:$F,saldos!$A53,ingresos!$G:$G,saldos!I$6)</f>
        <v>0</v>
      </c>
      <c r="J53" s="25">
        <f>cuotas_emitidas!J48-SUMIFS(ingresos!$D:$D,ingresos!$F:$F,saldos!$A53,ingresos!$G:$G,saldos!J$6)</f>
        <v>0</v>
      </c>
      <c r="K53" s="25">
        <f>cuotas_emitidas!K48-SUMIFS(ingresos!$D:$D,ingresos!$F:$F,saldos!$A53,ingresos!$G:$G,saldos!K$6)</f>
        <v>0</v>
      </c>
      <c r="L53" s="25">
        <f>cuotas_emitidas!L48-SUMIFS(ingresos!$D:$D,ingresos!$F:$F,saldos!$A53,ingresos!$G:$G,saldos!L$6)</f>
        <v>0</v>
      </c>
      <c r="M53" s="25">
        <f>cuotas_emitidas!M48-SUMIFS(ingresos!$D:$D,ingresos!$F:$F,saldos!$A53,ingresos!$G:$G,saldos!M$6)</f>
        <v>0</v>
      </c>
      <c r="N53" s="25">
        <f>cuotas_emitidas!N48-SUMIFS(ingresos!$D:$D,ingresos!$F:$F,saldos!$A53,ingresos!$G:$G,saldos!N$6)</f>
        <v>0</v>
      </c>
      <c r="O53" s="25">
        <f>cuotas_emitidas!O48-SUMIFS(ingresos!$D:$D,ingresos!$F:$F,saldos!$A53,ingresos!$G:$G,saldos!O$6)</f>
        <v>0</v>
      </c>
      <c r="P53" s="25">
        <f>cuotas_emitidas!P48-SUMIFS(ingresos!$D:$D,ingresos!$F:$F,saldos!$A53,ingresos!$G:$G,saldos!P$6)</f>
        <v>0</v>
      </c>
      <c r="Q53" s="25">
        <f>cuotas_emitidas!Q48-SUMIFS(ingresos!$D:$D,ingresos!$F:$F,saldos!$A53,ingresos!$G:$G,saldos!Q$6)</f>
        <v>263.37</v>
      </c>
      <c r="R53" s="26">
        <f t="shared" si="0"/>
        <v>263.37</v>
      </c>
      <c r="T53" s="26">
        <f t="shared" si="1"/>
        <v>263.37</v>
      </c>
      <c r="U53" s="26">
        <f t="shared" si="2"/>
        <v>0</v>
      </c>
    </row>
    <row r="54" spans="1:21" x14ac:dyDescent="0.25">
      <c r="A54" s="17" t="s">
        <v>1635</v>
      </c>
      <c r="B54" s="17" t="s">
        <v>1636</v>
      </c>
      <c r="C54" s="17" t="s">
        <v>1637</v>
      </c>
      <c r="D54" s="25">
        <f>cuotas_emitidas!D49-SUMIFS(ingresos!$D:$D,ingresos!$F:$F,saldos!$A54,ingresos!$G:$G,saldos!D$6)</f>
        <v>0</v>
      </c>
      <c r="E54" s="25">
        <f>cuotas_emitidas!E49-SUMIFS(ingresos!$D:$D,ingresos!$F:$F,saldos!$A54,ingresos!$G:$G,saldos!E$6)</f>
        <v>0</v>
      </c>
      <c r="F54" s="25">
        <f>cuotas_emitidas!F49-SUMIFS(ingresos!$D:$D,ingresos!$F:$F,saldos!$A54,ingresos!$G:$G,saldos!F$6)</f>
        <v>0</v>
      </c>
      <c r="G54" s="25">
        <f>cuotas_emitidas!G49-SUMIFS(ingresos!$D:$D,ingresos!$F:$F,saldos!$A54,ingresos!$G:$G,saldos!G$6)</f>
        <v>0</v>
      </c>
      <c r="H54" s="25">
        <f>cuotas_emitidas!H49-SUMIFS(ingresos!$D:$D,ingresos!$F:$F,saldos!$A54,ingresos!$G:$G,saldos!H$6)</f>
        <v>0</v>
      </c>
      <c r="I54" s="25">
        <f>cuotas_emitidas!I49-SUMIFS(ingresos!$D:$D,ingresos!$F:$F,saldos!$A54,ingresos!$G:$G,saldos!I$6)</f>
        <v>0</v>
      </c>
      <c r="J54" s="25">
        <f>cuotas_emitidas!J49-SUMIFS(ingresos!$D:$D,ingresos!$F:$F,saldos!$A54,ingresos!$G:$G,saldos!J$6)</f>
        <v>0</v>
      </c>
      <c r="K54" s="25">
        <f>cuotas_emitidas!K49-SUMIFS(ingresos!$D:$D,ingresos!$F:$F,saldos!$A54,ingresos!$G:$G,saldos!K$6)</f>
        <v>0</v>
      </c>
      <c r="L54" s="25">
        <f>cuotas_emitidas!L49-SUMIFS(ingresos!$D:$D,ingresos!$F:$F,saldos!$A54,ingresos!$G:$G,saldos!L$6)</f>
        <v>0</v>
      </c>
      <c r="M54" s="25">
        <f>cuotas_emitidas!M49-SUMIFS(ingresos!$D:$D,ingresos!$F:$F,saldos!$A54,ingresos!$G:$G,saldos!M$6)</f>
        <v>0</v>
      </c>
      <c r="N54" s="25">
        <f>cuotas_emitidas!N49-SUMIFS(ingresos!$D:$D,ingresos!$F:$F,saldos!$A54,ingresos!$G:$G,saldos!N$6)</f>
        <v>0</v>
      </c>
      <c r="O54" s="25">
        <f>cuotas_emitidas!O49-SUMIFS(ingresos!$D:$D,ingresos!$F:$F,saldos!$A54,ingresos!$G:$G,saldos!O$6)</f>
        <v>0</v>
      </c>
      <c r="P54" s="25">
        <f>cuotas_emitidas!P49-SUMIFS(ingresos!$D:$D,ingresos!$F:$F,saldos!$A54,ingresos!$G:$G,saldos!P$6)</f>
        <v>383.1</v>
      </c>
      <c r="Q54" s="25">
        <f>cuotas_emitidas!Q49-SUMIFS(ingresos!$D:$D,ingresos!$F:$F,saldos!$A54,ingresos!$G:$G,saldos!Q$6)</f>
        <v>371.84</v>
      </c>
      <c r="R54" s="26">
        <f t="shared" si="0"/>
        <v>754.94</v>
      </c>
      <c r="T54" s="26">
        <f t="shared" si="1"/>
        <v>371.84</v>
      </c>
      <c r="U54" s="26">
        <f t="shared" si="2"/>
        <v>383.10000000000008</v>
      </c>
    </row>
    <row r="55" spans="1:21" x14ac:dyDescent="0.25">
      <c r="A55" s="17" t="s">
        <v>1638</v>
      </c>
      <c r="B55" s="17" t="s">
        <v>1356</v>
      </c>
      <c r="C55" s="17" t="s">
        <v>1639</v>
      </c>
      <c r="D55" s="25">
        <f>cuotas_emitidas!D50-SUMIFS(ingresos!$D:$D,ingresos!$F:$F,saldos!$A55,ingresos!$G:$G,saldos!D$6)</f>
        <v>0</v>
      </c>
      <c r="E55" s="25">
        <f>cuotas_emitidas!E50-SUMIFS(ingresos!$D:$D,ingresos!$F:$F,saldos!$A55,ingresos!$G:$G,saldos!E$6)</f>
        <v>0</v>
      </c>
      <c r="F55" s="25">
        <f>cuotas_emitidas!F50-SUMIFS(ingresos!$D:$D,ingresos!$F:$F,saldos!$A55,ingresos!$G:$G,saldos!F$6)</f>
        <v>0</v>
      </c>
      <c r="G55" s="25">
        <f>cuotas_emitidas!G50-SUMIFS(ingresos!$D:$D,ingresos!$F:$F,saldos!$A55,ingresos!$G:$G,saldos!G$6)</f>
        <v>0</v>
      </c>
      <c r="H55" s="25">
        <f>cuotas_emitidas!H50-SUMIFS(ingresos!$D:$D,ingresos!$F:$F,saldos!$A55,ingresos!$G:$G,saldos!H$6)</f>
        <v>0</v>
      </c>
      <c r="I55" s="25">
        <f>cuotas_emitidas!I50-SUMIFS(ingresos!$D:$D,ingresos!$F:$F,saldos!$A55,ingresos!$G:$G,saldos!I$6)</f>
        <v>0</v>
      </c>
      <c r="J55" s="25">
        <f>cuotas_emitidas!J50-SUMIFS(ingresos!$D:$D,ingresos!$F:$F,saldos!$A55,ingresos!$G:$G,saldos!J$6)</f>
        <v>0</v>
      </c>
      <c r="K55" s="25">
        <f>cuotas_emitidas!K50-SUMIFS(ingresos!$D:$D,ingresos!$F:$F,saldos!$A55,ingresos!$G:$G,saldos!K$6)</f>
        <v>0</v>
      </c>
      <c r="L55" s="25">
        <f>cuotas_emitidas!L50-SUMIFS(ingresos!$D:$D,ingresos!$F:$F,saldos!$A55,ingresos!$G:$G,saldos!L$6)</f>
        <v>0</v>
      </c>
      <c r="M55" s="25">
        <f>cuotas_emitidas!M50-SUMIFS(ingresos!$D:$D,ingresos!$F:$F,saldos!$A55,ingresos!$G:$G,saldos!M$6)</f>
        <v>0</v>
      </c>
      <c r="N55" s="25">
        <f>cuotas_emitidas!N50-SUMIFS(ingresos!$D:$D,ingresos!$F:$F,saldos!$A55,ingresos!$G:$G,saldos!N$6)</f>
        <v>0</v>
      </c>
      <c r="O55" s="25">
        <f>cuotas_emitidas!O50-SUMIFS(ingresos!$D:$D,ingresos!$F:$F,saldos!$A55,ingresos!$G:$G,saldos!O$6)</f>
        <v>0</v>
      </c>
      <c r="P55" s="25">
        <f>cuotas_emitidas!P50-SUMIFS(ingresos!$D:$D,ingresos!$F:$F,saldos!$A55,ingresos!$G:$G,saldos!P$6)</f>
        <v>0</v>
      </c>
      <c r="Q55" s="25">
        <f>cuotas_emitidas!Q50-SUMIFS(ingresos!$D:$D,ingresos!$F:$F,saldos!$A55,ingresos!$G:$G,saldos!Q$6)</f>
        <v>0</v>
      </c>
      <c r="R55" s="26">
        <f t="shared" si="0"/>
        <v>0</v>
      </c>
      <c r="T55" s="26">
        <f t="shared" si="1"/>
        <v>0</v>
      </c>
      <c r="U55" s="26">
        <f t="shared" si="2"/>
        <v>0</v>
      </c>
    </row>
    <row r="56" spans="1:21" x14ac:dyDescent="0.25">
      <c r="A56" s="17" t="s">
        <v>1640</v>
      </c>
      <c r="B56" s="17" t="s">
        <v>1349</v>
      </c>
      <c r="C56" s="17" t="s">
        <v>1641</v>
      </c>
      <c r="D56" s="25">
        <f>cuotas_emitidas!D51-SUMIFS(ingresos!$D:$D,ingresos!$F:$F,saldos!$A56,ingresos!$G:$G,saldos!D$6)</f>
        <v>0</v>
      </c>
      <c r="E56" s="25">
        <f>cuotas_emitidas!E51-SUMIFS(ingresos!$D:$D,ingresos!$F:$F,saldos!$A56,ingresos!$G:$G,saldos!E$6)</f>
        <v>0</v>
      </c>
      <c r="F56" s="25">
        <f>cuotas_emitidas!F51-SUMIFS(ingresos!$D:$D,ingresos!$F:$F,saldos!$A56,ingresos!$G:$G,saldos!F$6)</f>
        <v>0</v>
      </c>
      <c r="G56" s="25">
        <f>cuotas_emitidas!G51-SUMIFS(ingresos!$D:$D,ingresos!$F:$F,saldos!$A56,ingresos!$G:$G,saldos!G$6)</f>
        <v>0</v>
      </c>
      <c r="H56" s="25">
        <f>cuotas_emitidas!H51-SUMIFS(ingresos!$D:$D,ingresos!$F:$F,saldos!$A56,ingresos!$G:$G,saldos!H$6)</f>
        <v>0</v>
      </c>
      <c r="I56" s="25">
        <f>cuotas_emitidas!I51-SUMIFS(ingresos!$D:$D,ingresos!$F:$F,saldos!$A56,ingresos!$G:$G,saldos!I$6)</f>
        <v>0</v>
      </c>
      <c r="J56" s="25">
        <f>cuotas_emitidas!J51-SUMIFS(ingresos!$D:$D,ingresos!$F:$F,saldos!$A56,ingresos!$G:$G,saldos!J$6)</f>
        <v>0</v>
      </c>
      <c r="K56" s="25">
        <f>cuotas_emitidas!K51-SUMIFS(ingresos!$D:$D,ingresos!$F:$F,saldos!$A56,ingresos!$G:$G,saldos!K$6)</f>
        <v>0</v>
      </c>
      <c r="L56" s="25">
        <f>cuotas_emitidas!L51-SUMIFS(ingresos!$D:$D,ingresos!$F:$F,saldos!$A56,ingresos!$G:$G,saldos!L$6)</f>
        <v>0</v>
      </c>
      <c r="M56" s="25">
        <f>cuotas_emitidas!M51-SUMIFS(ingresos!$D:$D,ingresos!$F:$F,saldos!$A56,ingresos!$G:$G,saldos!M$6)</f>
        <v>0</v>
      </c>
      <c r="N56" s="25">
        <f>cuotas_emitidas!N51-SUMIFS(ingresos!$D:$D,ingresos!$F:$F,saldos!$A56,ingresos!$G:$G,saldos!N$6)</f>
        <v>0</v>
      </c>
      <c r="O56" s="25">
        <f>cuotas_emitidas!O51-SUMIFS(ingresos!$D:$D,ingresos!$F:$F,saldos!$A56,ingresos!$G:$G,saldos!O$6)</f>
        <v>0</v>
      </c>
      <c r="P56" s="25">
        <f>cuotas_emitidas!P51-SUMIFS(ingresos!$D:$D,ingresos!$F:$F,saldos!$A56,ingresos!$G:$G,saldos!P$6)</f>
        <v>0</v>
      </c>
      <c r="Q56" s="25">
        <f>cuotas_emitidas!Q51-SUMIFS(ingresos!$D:$D,ingresos!$F:$F,saldos!$A56,ingresos!$G:$G,saldos!Q$6)</f>
        <v>0</v>
      </c>
      <c r="R56" s="26">
        <f t="shared" si="0"/>
        <v>0</v>
      </c>
      <c r="T56" s="26">
        <f t="shared" si="1"/>
        <v>0</v>
      </c>
      <c r="U56" s="26">
        <f t="shared" si="2"/>
        <v>0</v>
      </c>
    </row>
    <row r="57" spans="1:21" x14ac:dyDescent="0.25">
      <c r="A57" s="17" t="s">
        <v>1642</v>
      </c>
      <c r="B57" s="17" t="s">
        <v>1643</v>
      </c>
      <c r="C57" s="17" t="s">
        <v>1644</v>
      </c>
      <c r="D57" s="25">
        <f>cuotas_emitidas!D52-SUMIFS(ingresos!$D:$D,ingresos!$F:$F,saldos!$A57,ingresos!$G:$G,saldos!D$6)</f>
        <v>0</v>
      </c>
      <c r="E57" s="25">
        <f>cuotas_emitidas!E52-SUMIFS(ingresos!$D:$D,ingresos!$F:$F,saldos!$A57,ingresos!$G:$G,saldos!E$6)</f>
        <v>0</v>
      </c>
      <c r="F57" s="25">
        <f>cuotas_emitidas!F52-SUMIFS(ingresos!$D:$D,ingresos!$F:$F,saldos!$A57,ingresos!$G:$G,saldos!F$6)</f>
        <v>0</v>
      </c>
      <c r="G57" s="25">
        <f>cuotas_emitidas!G52-SUMIFS(ingresos!$D:$D,ingresos!$F:$F,saldos!$A57,ingresos!$G:$G,saldos!G$6)</f>
        <v>0</v>
      </c>
      <c r="H57" s="25">
        <f>cuotas_emitidas!H52-SUMIFS(ingresos!$D:$D,ingresos!$F:$F,saldos!$A57,ingresos!$G:$G,saldos!H$6)</f>
        <v>0</v>
      </c>
      <c r="I57" s="25">
        <f>cuotas_emitidas!I52-SUMIFS(ingresos!$D:$D,ingresos!$F:$F,saldos!$A57,ingresos!$G:$G,saldos!I$6)</f>
        <v>0</v>
      </c>
      <c r="J57" s="25">
        <f>cuotas_emitidas!J52-SUMIFS(ingresos!$D:$D,ingresos!$F:$F,saldos!$A57,ingresos!$G:$G,saldos!J$6)</f>
        <v>0</v>
      </c>
      <c r="K57" s="25">
        <f>cuotas_emitidas!K52-SUMIFS(ingresos!$D:$D,ingresos!$F:$F,saldos!$A57,ingresos!$G:$G,saldos!K$6)</f>
        <v>0</v>
      </c>
      <c r="L57" s="25">
        <f>cuotas_emitidas!L52-SUMIFS(ingresos!$D:$D,ingresos!$F:$F,saldos!$A57,ingresos!$G:$G,saldos!L$6)</f>
        <v>0</v>
      </c>
      <c r="M57" s="25">
        <f>cuotas_emitidas!M52-SUMIFS(ingresos!$D:$D,ingresos!$F:$F,saldos!$A57,ingresos!$G:$G,saldos!M$6)</f>
        <v>0</v>
      </c>
      <c r="N57" s="25">
        <f>cuotas_emitidas!N52-SUMIFS(ingresos!$D:$D,ingresos!$F:$F,saldos!$A57,ingresos!$G:$G,saldos!N$6)</f>
        <v>0</v>
      </c>
      <c r="O57" s="25">
        <f>cuotas_emitidas!O52-SUMIFS(ingresos!$D:$D,ingresos!$F:$F,saldos!$A57,ingresos!$G:$G,saldos!O$6)</f>
        <v>0</v>
      </c>
      <c r="P57" s="25">
        <f>cuotas_emitidas!P52-SUMIFS(ingresos!$D:$D,ingresos!$F:$F,saldos!$A57,ingresos!$G:$G,saldos!P$6)</f>
        <v>0</v>
      </c>
      <c r="Q57" s="25">
        <f>cuotas_emitidas!Q52-SUMIFS(ingresos!$D:$D,ingresos!$F:$F,saldos!$A57,ingresos!$G:$G,saldos!Q$6)</f>
        <v>0</v>
      </c>
      <c r="R57" s="26">
        <f t="shared" si="0"/>
        <v>0</v>
      </c>
      <c r="T57" s="26">
        <f t="shared" si="1"/>
        <v>0</v>
      </c>
      <c r="U57" s="26">
        <f t="shared" si="2"/>
        <v>0</v>
      </c>
    </row>
    <row r="58" spans="1:21" x14ac:dyDescent="0.25">
      <c r="A58" s="17" t="s">
        <v>1507</v>
      </c>
      <c r="B58" s="17" t="s">
        <v>1645</v>
      </c>
      <c r="C58" s="17" t="s">
        <v>1646</v>
      </c>
      <c r="D58" s="25">
        <f>cuotas_emitidas!D53-SUMIFS(ingresos!$D:$D,ingresos!$F:$F,saldos!$A58,ingresos!$G:$G,saldos!D$6)</f>
        <v>0</v>
      </c>
      <c r="E58" s="25">
        <f>cuotas_emitidas!E53-SUMIFS(ingresos!$D:$D,ingresos!$F:$F,saldos!$A58,ingresos!$G:$G,saldos!E$6)</f>
        <v>0</v>
      </c>
      <c r="F58" s="25">
        <f>cuotas_emitidas!F53-SUMIFS(ingresos!$D:$D,ingresos!$F:$F,saldos!$A58,ingresos!$G:$G,saldos!F$6)</f>
        <v>0</v>
      </c>
      <c r="G58" s="25">
        <f>cuotas_emitidas!G53-SUMIFS(ingresos!$D:$D,ingresos!$F:$F,saldos!$A58,ingresos!$G:$G,saldos!G$6)</f>
        <v>0</v>
      </c>
      <c r="H58" s="25">
        <f>cuotas_emitidas!H53-SUMIFS(ingresos!$D:$D,ingresos!$F:$F,saldos!$A58,ingresos!$G:$G,saldos!H$6)</f>
        <v>0</v>
      </c>
      <c r="I58" s="25">
        <f>cuotas_emitidas!I53-SUMIFS(ingresos!$D:$D,ingresos!$F:$F,saldos!$A58,ingresos!$G:$G,saldos!I$6)</f>
        <v>0</v>
      </c>
      <c r="J58" s="25">
        <f>cuotas_emitidas!J53-SUMIFS(ingresos!$D:$D,ingresos!$F:$F,saldos!$A58,ingresos!$G:$G,saldos!J$6)</f>
        <v>0</v>
      </c>
      <c r="K58" s="25">
        <f>cuotas_emitidas!K53-SUMIFS(ingresos!$D:$D,ingresos!$F:$F,saldos!$A58,ingresos!$G:$G,saldos!K$6)</f>
        <v>0</v>
      </c>
      <c r="L58" s="25">
        <f>cuotas_emitidas!L53-SUMIFS(ingresos!$D:$D,ingresos!$F:$F,saldos!$A58,ingresos!$G:$G,saldos!L$6)</f>
        <v>0</v>
      </c>
      <c r="M58" s="25">
        <f>cuotas_emitidas!M53-SUMIFS(ingresos!$D:$D,ingresos!$F:$F,saldos!$A58,ingresos!$G:$G,saldos!M$6)</f>
        <v>301.72000000000003</v>
      </c>
      <c r="N58" s="25">
        <f>cuotas_emitidas!N53-SUMIFS(ingresos!$D:$D,ingresos!$F:$F,saldos!$A58,ingresos!$G:$G,saldos!N$6)</f>
        <v>310.29000000000002</v>
      </c>
      <c r="O58" s="25">
        <f>cuotas_emitidas!O53-SUMIFS(ingresos!$D:$D,ingresos!$F:$F,saldos!$A58,ingresos!$G:$G,saldos!O$6)</f>
        <v>310.89999999999998</v>
      </c>
      <c r="P58" s="25">
        <f>cuotas_emitidas!P53-SUMIFS(ingresos!$D:$D,ingresos!$F:$F,saldos!$A58,ingresos!$G:$G,saldos!P$6)</f>
        <v>299.70999999999998</v>
      </c>
      <c r="Q58" s="25">
        <f>cuotas_emitidas!Q53-SUMIFS(ingresos!$D:$D,ingresos!$F:$F,saldos!$A58,ingresos!$G:$G,saldos!Q$6)</f>
        <v>300.26</v>
      </c>
      <c r="R58" s="26">
        <f t="shared" si="0"/>
        <v>1522.8799999999999</v>
      </c>
      <c r="T58" s="26">
        <f t="shared" si="1"/>
        <v>300.26</v>
      </c>
      <c r="U58" s="26">
        <f t="shared" si="2"/>
        <v>1222.6199999999999</v>
      </c>
    </row>
    <row r="59" spans="1:21" x14ac:dyDescent="0.25">
      <c r="A59" s="17" t="s">
        <v>1647</v>
      </c>
      <c r="B59" s="17" t="s">
        <v>1648</v>
      </c>
      <c r="C59" s="17" t="s">
        <v>1649</v>
      </c>
      <c r="D59" s="25">
        <f>cuotas_emitidas!D54-SUMIFS(ingresos!$D:$D,ingresos!$F:$F,saldos!$A59,ingresos!$G:$G,saldos!D$6)</f>
        <v>0</v>
      </c>
      <c r="E59" s="25">
        <f>cuotas_emitidas!E54-SUMIFS(ingresos!$D:$D,ingresos!$F:$F,saldos!$A59,ingresos!$G:$G,saldos!E$6)</f>
        <v>0</v>
      </c>
      <c r="F59" s="25">
        <f>cuotas_emitidas!F54-SUMIFS(ingresos!$D:$D,ingresos!$F:$F,saldos!$A59,ingresos!$G:$G,saldos!F$6)</f>
        <v>0</v>
      </c>
      <c r="G59" s="25">
        <f>cuotas_emitidas!G54-SUMIFS(ingresos!$D:$D,ingresos!$F:$F,saldos!$A59,ingresos!$G:$G,saldos!G$6)</f>
        <v>0</v>
      </c>
      <c r="H59" s="25">
        <f>cuotas_emitidas!H54-SUMIFS(ingresos!$D:$D,ingresos!$F:$F,saldos!$A59,ingresos!$G:$G,saldos!H$6)</f>
        <v>0</v>
      </c>
      <c r="I59" s="25">
        <f>cuotas_emitidas!I54-SUMIFS(ingresos!$D:$D,ingresos!$F:$F,saldos!$A59,ingresos!$G:$G,saldos!I$6)</f>
        <v>0</v>
      </c>
      <c r="J59" s="25">
        <f>cuotas_emitidas!J54-SUMIFS(ingresos!$D:$D,ingresos!$F:$F,saldos!$A59,ingresos!$G:$G,saldos!J$6)</f>
        <v>0</v>
      </c>
      <c r="K59" s="25">
        <f>cuotas_emitidas!K54-SUMIFS(ingresos!$D:$D,ingresos!$F:$F,saldos!$A59,ingresos!$G:$G,saldos!K$6)</f>
        <v>0</v>
      </c>
      <c r="L59" s="25">
        <f>cuotas_emitidas!L54-SUMIFS(ingresos!$D:$D,ingresos!$F:$F,saldos!$A59,ingresos!$G:$G,saldos!L$6)</f>
        <v>0</v>
      </c>
      <c r="M59" s="25">
        <f>cuotas_emitidas!M54-SUMIFS(ingresos!$D:$D,ingresos!$F:$F,saldos!$A59,ingresos!$G:$G,saldos!M$6)</f>
        <v>0</v>
      </c>
      <c r="N59" s="25">
        <f>cuotas_emitidas!N54-SUMIFS(ingresos!$D:$D,ingresos!$F:$F,saldos!$A59,ingresos!$G:$G,saldos!N$6)</f>
        <v>0</v>
      </c>
      <c r="O59" s="25">
        <f>cuotas_emitidas!O54-SUMIFS(ingresos!$D:$D,ingresos!$F:$F,saldos!$A59,ingresos!$G:$G,saldos!O$6)</f>
        <v>0</v>
      </c>
      <c r="P59" s="25">
        <f>cuotas_emitidas!P54-SUMIFS(ingresos!$D:$D,ingresos!$F:$F,saldos!$A59,ingresos!$G:$G,saldos!P$6)</f>
        <v>0</v>
      </c>
      <c r="Q59" s="25">
        <f>cuotas_emitidas!Q54-SUMIFS(ingresos!$D:$D,ingresos!$F:$F,saldos!$A59,ingresos!$G:$G,saldos!Q$6)</f>
        <v>324.10000000000002</v>
      </c>
      <c r="R59" s="26">
        <f t="shared" si="0"/>
        <v>324.10000000000002</v>
      </c>
      <c r="T59" s="26">
        <f t="shared" si="1"/>
        <v>324.10000000000002</v>
      </c>
      <c r="U59" s="26">
        <f t="shared" si="2"/>
        <v>0</v>
      </c>
    </row>
    <row r="60" spans="1:21" x14ac:dyDescent="0.25">
      <c r="A60" s="17" t="s">
        <v>1650</v>
      </c>
      <c r="B60" s="17" t="s">
        <v>1651</v>
      </c>
      <c r="C60" s="17" t="s">
        <v>1652</v>
      </c>
      <c r="D60" s="25">
        <f>cuotas_emitidas!D55-SUMIFS(ingresos!$D:$D,ingresos!$F:$F,saldos!$A60,ingresos!$G:$G,saldos!D$6)</f>
        <v>0</v>
      </c>
      <c r="E60" s="25">
        <f>cuotas_emitidas!E55-SUMIFS(ingresos!$D:$D,ingresos!$F:$F,saldos!$A60,ingresos!$G:$G,saldos!E$6)</f>
        <v>0</v>
      </c>
      <c r="F60" s="25">
        <f>cuotas_emitidas!F55-SUMIFS(ingresos!$D:$D,ingresos!$F:$F,saldos!$A60,ingresos!$G:$G,saldos!F$6)</f>
        <v>0</v>
      </c>
      <c r="G60" s="25">
        <f>cuotas_emitidas!G55-SUMIFS(ingresos!$D:$D,ingresos!$F:$F,saldos!$A60,ingresos!$G:$G,saldos!G$6)</f>
        <v>0</v>
      </c>
      <c r="H60" s="25">
        <f>cuotas_emitidas!H55-SUMIFS(ingresos!$D:$D,ingresos!$F:$F,saldos!$A60,ingresos!$G:$G,saldos!H$6)</f>
        <v>0</v>
      </c>
      <c r="I60" s="25">
        <f>cuotas_emitidas!I55-SUMIFS(ingresos!$D:$D,ingresos!$F:$F,saldos!$A60,ingresos!$G:$G,saldos!I$6)</f>
        <v>0</v>
      </c>
      <c r="J60" s="25">
        <f>cuotas_emitidas!J55-SUMIFS(ingresos!$D:$D,ingresos!$F:$F,saldos!$A60,ingresos!$G:$G,saldos!J$6)</f>
        <v>0</v>
      </c>
      <c r="K60" s="25">
        <f>cuotas_emitidas!K55-SUMIFS(ingresos!$D:$D,ingresos!$F:$F,saldos!$A60,ingresos!$G:$G,saldos!K$6)</f>
        <v>0</v>
      </c>
      <c r="L60" s="25">
        <f>cuotas_emitidas!L55-SUMIFS(ingresos!$D:$D,ingresos!$F:$F,saldos!$A60,ingresos!$G:$G,saldos!L$6)</f>
        <v>0</v>
      </c>
      <c r="M60" s="25">
        <f>cuotas_emitidas!M55-SUMIFS(ingresos!$D:$D,ingresos!$F:$F,saldos!$A60,ingresos!$G:$G,saldos!M$6)</f>
        <v>29.870000000000005</v>
      </c>
      <c r="N60" s="25">
        <f>cuotas_emitidas!N55-SUMIFS(ingresos!$D:$D,ingresos!$F:$F,saldos!$A60,ingresos!$G:$G,saldos!N$6)</f>
        <v>0</v>
      </c>
      <c r="O60" s="25">
        <f>cuotas_emitidas!O55-SUMIFS(ingresos!$D:$D,ingresos!$F:$F,saldos!$A60,ingresos!$G:$G,saldos!O$6)</f>
        <v>0</v>
      </c>
      <c r="P60" s="25">
        <f>cuotas_emitidas!P55-SUMIFS(ingresos!$D:$D,ingresos!$F:$F,saldos!$A60,ingresos!$G:$G,saldos!P$6)</f>
        <v>-29.869999999999948</v>
      </c>
      <c r="Q60" s="25">
        <f>cuotas_emitidas!Q55-SUMIFS(ingresos!$D:$D,ingresos!$F:$F,saldos!$A60,ingresos!$G:$G,saldos!Q$6)</f>
        <v>395.68</v>
      </c>
      <c r="R60" s="26">
        <f t="shared" si="0"/>
        <v>395.68000000000006</v>
      </c>
      <c r="T60" s="26">
        <f t="shared" si="1"/>
        <v>395.68</v>
      </c>
      <c r="U60" s="26">
        <f t="shared" si="2"/>
        <v>0</v>
      </c>
    </row>
    <row r="61" spans="1:21" x14ac:dyDescent="0.25">
      <c r="A61" s="17" t="s">
        <v>1653</v>
      </c>
      <c r="B61" s="17" t="s">
        <v>1654</v>
      </c>
      <c r="C61" s="17" t="s">
        <v>1655</v>
      </c>
      <c r="D61" s="25">
        <f>cuotas_emitidas!D56-SUMIFS(ingresos!$D:$D,ingresos!$F:$F,saldos!$A61,ingresos!$G:$G,saldos!D$6)</f>
        <v>0</v>
      </c>
      <c r="E61" s="25">
        <f>cuotas_emitidas!E56-SUMIFS(ingresos!$D:$D,ingresos!$F:$F,saldos!$A61,ingresos!$G:$G,saldos!E$6)</f>
        <v>0</v>
      </c>
      <c r="F61" s="25">
        <f>cuotas_emitidas!F56-SUMIFS(ingresos!$D:$D,ingresos!$F:$F,saldos!$A61,ingresos!$G:$G,saldos!F$6)</f>
        <v>0</v>
      </c>
      <c r="G61" s="25">
        <f>cuotas_emitidas!G56-SUMIFS(ingresos!$D:$D,ingresos!$F:$F,saldos!$A61,ingresos!$G:$G,saldos!G$6)</f>
        <v>0</v>
      </c>
      <c r="H61" s="25">
        <f>cuotas_emitidas!H56-SUMIFS(ingresos!$D:$D,ingresos!$F:$F,saldos!$A61,ingresos!$G:$G,saldos!H$6)</f>
        <v>0</v>
      </c>
      <c r="I61" s="25">
        <f>cuotas_emitidas!I56-SUMIFS(ingresos!$D:$D,ingresos!$F:$F,saldos!$A61,ingresos!$G:$G,saldos!I$6)</f>
        <v>0</v>
      </c>
      <c r="J61" s="25">
        <f>cuotas_emitidas!J56-SUMIFS(ingresos!$D:$D,ingresos!$F:$F,saldos!$A61,ingresos!$G:$G,saldos!J$6)</f>
        <v>0</v>
      </c>
      <c r="K61" s="25">
        <f>cuotas_emitidas!K56-SUMIFS(ingresos!$D:$D,ingresos!$F:$F,saldos!$A61,ingresos!$G:$G,saldos!K$6)</f>
        <v>0</v>
      </c>
      <c r="L61" s="25">
        <f>cuotas_emitidas!L56-SUMIFS(ingresos!$D:$D,ingresos!$F:$F,saldos!$A61,ingresos!$G:$G,saldos!L$6)</f>
        <v>0</v>
      </c>
      <c r="M61" s="25">
        <f>cuotas_emitidas!M56-SUMIFS(ingresos!$D:$D,ingresos!$F:$F,saldos!$A61,ingresos!$G:$G,saldos!M$6)</f>
        <v>306.43</v>
      </c>
      <c r="N61" s="25">
        <f>cuotas_emitidas!N56-SUMIFS(ingresos!$D:$D,ingresos!$F:$F,saldos!$A61,ingresos!$G:$G,saldos!N$6)</f>
        <v>335.22</v>
      </c>
      <c r="O61" s="25">
        <f>cuotas_emitidas!O56-SUMIFS(ingresos!$D:$D,ingresos!$F:$F,saldos!$A61,ingresos!$G:$G,saldos!O$6)</f>
        <v>0</v>
      </c>
      <c r="P61" s="25">
        <f>cuotas_emitidas!P56-SUMIFS(ingresos!$D:$D,ingresos!$F:$F,saldos!$A61,ingresos!$G:$G,saldos!P$6)</f>
        <v>394.58</v>
      </c>
      <c r="Q61" s="25">
        <f>cuotas_emitidas!Q56-SUMIFS(ingresos!$D:$D,ingresos!$F:$F,saldos!$A61,ingresos!$G:$G,saldos!Q$6)</f>
        <v>407.6</v>
      </c>
      <c r="R61" s="26">
        <f t="shared" si="0"/>
        <v>1443.83</v>
      </c>
      <c r="T61" s="26">
        <f t="shared" si="1"/>
        <v>407.6</v>
      </c>
      <c r="U61" s="26">
        <f t="shared" si="2"/>
        <v>1036.23</v>
      </c>
    </row>
    <row r="62" spans="1:21" x14ac:dyDescent="0.25">
      <c r="A62" s="17" t="s">
        <v>1656</v>
      </c>
      <c r="B62" s="17" t="s">
        <v>1657</v>
      </c>
      <c r="C62" s="17" t="s">
        <v>1658</v>
      </c>
      <c r="D62" s="25">
        <f>cuotas_emitidas!D57-SUMIFS(ingresos!$D:$D,ingresos!$F:$F,saldos!$A62,ingresos!$G:$G,saldos!D$6)</f>
        <v>0</v>
      </c>
      <c r="E62" s="25">
        <f>cuotas_emitidas!E57-SUMIFS(ingresos!$D:$D,ingresos!$F:$F,saldos!$A62,ingresos!$G:$G,saldos!E$6)</f>
        <v>0</v>
      </c>
      <c r="F62" s="25">
        <f>cuotas_emitidas!F57-SUMIFS(ingresos!$D:$D,ingresos!$F:$F,saldos!$A62,ingresos!$G:$G,saldos!F$6)</f>
        <v>0</v>
      </c>
      <c r="G62" s="25">
        <f>cuotas_emitidas!G57-SUMIFS(ingresos!$D:$D,ingresos!$F:$F,saldos!$A62,ingresos!$G:$G,saldos!G$6)</f>
        <v>0</v>
      </c>
      <c r="H62" s="25">
        <f>cuotas_emitidas!H57-SUMIFS(ingresos!$D:$D,ingresos!$F:$F,saldos!$A62,ingresos!$G:$G,saldos!H$6)</f>
        <v>0</v>
      </c>
      <c r="I62" s="25">
        <f>cuotas_emitidas!I57-SUMIFS(ingresos!$D:$D,ingresos!$F:$F,saldos!$A62,ingresos!$G:$G,saldos!I$6)</f>
        <v>0</v>
      </c>
      <c r="J62" s="25">
        <f>cuotas_emitidas!J57-SUMIFS(ingresos!$D:$D,ingresos!$F:$F,saldos!$A62,ingresos!$G:$G,saldos!J$6)</f>
        <v>0</v>
      </c>
      <c r="K62" s="25">
        <f>cuotas_emitidas!K57-SUMIFS(ingresos!$D:$D,ingresos!$F:$F,saldos!$A62,ingresos!$G:$G,saldos!K$6)</f>
        <v>0</v>
      </c>
      <c r="L62" s="25">
        <f>cuotas_emitidas!L57-SUMIFS(ingresos!$D:$D,ingresos!$F:$F,saldos!$A62,ingresos!$G:$G,saldos!L$6)</f>
        <v>0</v>
      </c>
      <c r="M62" s="25">
        <f>cuotas_emitidas!M57-SUMIFS(ingresos!$D:$D,ingresos!$F:$F,saldos!$A62,ingresos!$G:$G,saldos!M$6)</f>
        <v>0</v>
      </c>
      <c r="N62" s="25">
        <f>cuotas_emitidas!N57-SUMIFS(ingresos!$D:$D,ingresos!$F:$F,saldos!$A62,ingresos!$G:$G,saldos!N$6)</f>
        <v>0</v>
      </c>
      <c r="O62" s="25">
        <f>cuotas_emitidas!O57-SUMIFS(ingresos!$D:$D,ingresos!$F:$F,saldos!$A62,ingresos!$G:$G,saldos!O$6)</f>
        <v>410.58</v>
      </c>
      <c r="P62" s="25">
        <f>cuotas_emitidas!P57-SUMIFS(ingresos!$D:$D,ingresos!$F:$F,saldos!$A62,ingresos!$G:$G,saldos!P$6)</f>
        <v>391.71</v>
      </c>
      <c r="Q62" s="25">
        <f>cuotas_emitidas!Q57-SUMIFS(ingresos!$D:$D,ingresos!$F:$F,saldos!$A62,ingresos!$G:$G,saldos!Q$6)</f>
        <v>386.74</v>
      </c>
      <c r="R62" s="26">
        <f t="shared" si="0"/>
        <v>1189.03</v>
      </c>
      <c r="T62" s="26">
        <f t="shared" si="1"/>
        <v>386.74</v>
      </c>
      <c r="U62" s="26">
        <f t="shared" si="2"/>
        <v>802.29</v>
      </c>
    </row>
    <row r="63" spans="1:21" x14ac:dyDescent="0.25">
      <c r="A63" s="17" t="s">
        <v>1659</v>
      </c>
      <c r="B63" s="17" t="s">
        <v>1319</v>
      </c>
      <c r="C63" s="17" t="s">
        <v>1660</v>
      </c>
      <c r="D63" s="25">
        <f>cuotas_emitidas!D58-SUMIFS(ingresos!$D:$D,ingresos!$F:$F,saldos!$A63,ingresos!$G:$G,saldos!D$6)</f>
        <v>0</v>
      </c>
      <c r="E63" s="25">
        <f>cuotas_emitidas!E58-SUMIFS(ingresos!$D:$D,ingresos!$F:$F,saldos!$A63,ingresos!$G:$G,saldos!E$6)</f>
        <v>0</v>
      </c>
      <c r="F63" s="25">
        <f>cuotas_emitidas!F58-SUMIFS(ingresos!$D:$D,ingresos!$F:$F,saldos!$A63,ingresos!$G:$G,saldos!F$6)</f>
        <v>0</v>
      </c>
      <c r="G63" s="25">
        <f>cuotas_emitidas!G58-SUMIFS(ingresos!$D:$D,ingresos!$F:$F,saldos!$A63,ingresos!$G:$G,saldos!G$6)</f>
        <v>0</v>
      </c>
      <c r="H63" s="25">
        <f>cuotas_emitidas!H58-SUMIFS(ingresos!$D:$D,ingresos!$F:$F,saldos!$A63,ingresos!$G:$G,saldos!H$6)</f>
        <v>0</v>
      </c>
      <c r="I63" s="25">
        <f>cuotas_emitidas!I58-SUMIFS(ingresos!$D:$D,ingresos!$F:$F,saldos!$A63,ingresos!$G:$G,saldos!I$6)</f>
        <v>0</v>
      </c>
      <c r="J63" s="25">
        <f>cuotas_emitidas!J58-SUMIFS(ingresos!$D:$D,ingresos!$F:$F,saldos!$A63,ingresos!$G:$G,saldos!J$6)</f>
        <v>0</v>
      </c>
      <c r="K63" s="25">
        <f>cuotas_emitidas!K58-SUMIFS(ingresos!$D:$D,ingresos!$F:$F,saldos!$A63,ingresos!$G:$G,saldos!K$6)</f>
        <v>0</v>
      </c>
      <c r="L63" s="25">
        <f>cuotas_emitidas!L58-SUMIFS(ingresos!$D:$D,ingresos!$F:$F,saldos!$A63,ingresos!$G:$G,saldos!L$6)</f>
        <v>0</v>
      </c>
      <c r="M63" s="25">
        <f>cuotas_emitidas!M58-SUMIFS(ingresos!$D:$D,ingresos!$F:$F,saldos!$A63,ingresos!$G:$G,saldos!M$6)</f>
        <v>0</v>
      </c>
      <c r="N63" s="25">
        <f>cuotas_emitidas!N58-SUMIFS(ingresos!$D:$D,ingresos!$F:$F,saldos!$A63,ingresos!$G:$G,saldos!N$6)</f>
        <v>124.39999999999998</v>
      </c>
      <c r="O63" s="25">
        <f>cuotas_emitidas!O58-SUMIFS(ingresos!$D:$D,ingresos!$F:$F,saldos!$A63,ingresos!$G:$G,saldos!O$6)</f>
        <v>372.27</v>
      </c>
      <c r="P63" s="25">
        <f>cuotas_emitidas!P58-SUMIFS(ingresos!$D:$D,ingresos!$F:$F,saldos!$A63,ingresos!$G:$G,saldos!P$6)</f>
        <v>374.49</v>
      </c>
      <c r="Q63" s="25">
        <f>cuotas_emitidas!Q58-SUMIFS(ingresos!$D:$D,ingresos!$F:$F,saldos!$A63,ingresos!$G:$G,saldos!Q$6)</f>
        <v>386.74</v>
      </c>
      <c r="R63" s="26">
        <f t="shared" si="0"/>
        <v>1257.9000000000001</v>
      </c>
      <c r="T63" s="26">
        <f t="shared" si="1"/>
        <v>386.74</v>
      </c>
      <c r="U63" s="26">
        <f t="shared" si="2"/>
        <v>871.16000000000008</v>
      </c>
    </row>
    <row r="64" spans="1:21" x14ac:dyDescent="0.25">
      <c r="A64" s="17" t="s">
        <v>1661</v>
      </c>
      <c r="B64" s="17" t="s">
        <v>1662</v>
      </c>
      <c r="C64" s="17" t="s">
        <v>1663</v>
      </c>
      <c r="D64" s="25">
        <f>cuotas_emitidas!D59-SUMIFS(ingresos!$D:$D,ingresos!$F:$F,saldos!$A64,ingresos!$G:$G,saldos!D$6)</f>
        <v>0</v>
      </c>
      <c r="E64" s="25">
        <f>cuotas_emitidas!E59-SUMIFS(ingresos!$D:$D,ingresos!$F:$F,saldos!$A64,ingresos!$G:$G,saldos!E$6)</f>
        <v>0</v>
      </c>
      <c r="F64" s="25">
        <f>cuotas_emitidas!F59-SUMIFS(ingresos!$D:$D,ingresos!$F:$F,saldos!$A64,ingresos!$G:$G,saldos!F$6)</f>
        <v>0</v>
      </c>
      <c r="G64" s="25">
        <f>cuotas_emitidas!G59-SUMIFS(ingresos!$D:$D,ingresos!$F:$F,saldos!$A64,ingresos!$G:$G,saldos!G$6)</f>
        <v>0</v>
      </c>
      <c r="H64" s="25">
        <f>cuotas_emitidas!H59-SUMIFS(ingresos!$D:$D,ingresos!$F:$F,saldos!$A64,ingresos!$G:$G,saldos!H$6)</f>
        <v>0</v>
      </c>
      <c r="I64" s="25">
        <f>cuotas_emitidas!I59-SUMIFS(ingresos!$D:$D,ingresos!$F:$F,saldos!$A64,ingresos!$G:$G,saldos!I$6)</f>
        <v>0</v>
      </c>
      <c r="J64" s="25">
        <f>cuotas_emitidas!J59-SUMIFS(ingresos!$D:$D,ingresos!$F:$F,saldos!$A64,ingresos!$G:$G,saldos!J$6)</f>
        <v>0</v>
      </c>
      <c r="K64" s="25">
        <f>cuotas_emitidas!K59-SUMIFS(ingresos!$D:$D,ingresos!$F:$F,saldos!$A64,ingresos!$G:$G,saldos!K$6)</f>
        <v>0</v>
      </c>
      <c r="L64" s="25">
        <f>cuotas_emitidas!L59-SUMIFS(ingresos!$D:$D,ingresos!$F:$F,saldos!$A64,ingresos!$G:$G,saldos!L$6)</f>
        <v>0</v>
      </c>
      <c r="M64" s="25">
        <f>cuotas_emitidas!M59-SUMIFS(ingresos!$D:$D,ingresos!$F:$F,saldos!$A64,ingresos!$G:$G,saldos!M$6)</f>
        <v>0</v>
      </c>
      <c r="N64" s="25">
        <f>cuotas_emitidas!N59-SUMIFS(ingresos!$D:$D,ingresos!$F:$F,saldos!$A64,ingresos!$G:$G,saldos!N$6)</f>
        <v>0</v>
      </c>
      <c r="O64" s="25">
        <f>cuotas_emitidas!O59-SUMIFS(ingresos!$D:$D,ingresos!$F:$F,saldos!$A64,ingresos!$G:$G,saldos!O$6)</f>
        <v>0</v>
      </c>
      <c r="P64" s="25">
        <f>cuotas_emitidas!P59-SUMIFS(ingresos!$D:$D,ingresos!$F:$F,saldos!$A64,ingresos!$G:$G,saldos!P$6)</f>
        <v>0</v>
      </c>
      <c r="Q64" s="25">
        <f>cuotas_emitidas!Q59-SUMIFS(ingresos!$D:$D,ingresos!$F:$F,saldos!$A64,ingresos!$G:$G,saldos!Q$6)</f>
        <v>0</v>
      </c>
      <c r="R64" s="26">
        <f t="shared" si="0"/>
        <v>0</v>
      </c>
      <c r="S64" s="29"/>
      <c r="T64" s="26">
        <f t="shared" si="1"/>
        <v>0</v>
      </c>
      <c r="U64" s="26">
        <f t="shared" si="2"/>
        <v>0</v>
      </c>
    </row>
    <row r="65" spans="1:21" x14ac:dyDescent="0.25">
      <c r="A65" s="17" t="s">
        <v>1664</v>
      </c>
      <c r="B65" s="17" t="s">
        <v>1665</v>
      </c>
      <c r="C65" s="17" t="s">
        <v>1666</v>
      </c>
      <c r="D65" s="25">
        <f>cuotas_emitidas!D60-SUMIFS(ingresos!$D:$D,ingresos!$F:$F,saldos!$A65,ingresos!$G:$G,saldos!D$6)</f>
        <v>0</v>
      </c>
      <c r="E65" s="25">
        <f>cuotas_emitidas!E60-SUMIFS(ingresos!$D:$D,ingresos!$F:$F,saldos!$A65,ingresos!$G:$G,saldos!E$6)</f>
        <v>0</v>
      </c>
      <c r="F65" s="25">
        <f>cuotas_emitidas!F60-SUMIFS(ingresos!$D:$D,ingresos!$F:$F,saldos!$A65,ingresos!$G:$G,saldos!F$6)</f>
        <v>0</v>
      </c>
      <c r="G65" s="25">
        <f>cuotas_emitidas!G60-SUMIFS(ingresos!$D:$D,ingresos!$F:$F,saldos!$A65,ingresos!$G:$G,saldos!G$6)</f>
        <v>0</v>
      </c>
      <c r="H65" s="25">
        <f>cuotas_emitidas!H60-SUMIFS(ingresos!$D:$D,ingresos!$F:$F,saldos!$A65,ingresos!$G:$G,saldos!H$6)</f>
        <v>0</v>
      </c>
      <c r="I65" s="25">
        <f>cuotas_emitidas!I60-SUMIFS(ingresos!$D:$D,ingresos!$F:$F,saldos!$A65,ingresos!$G:$G,saldos!I$6)</f>
        <v>0</v>
      </c>
      <c r="J65" s="25">
        <f>cuotas_emitidas!J60-SUMIFS(ingresos!$D:$D,ingresos!$F:$F,saldos!$A65,ingresos!$G:$G,saldos!J$6)</f>
        <v>0</v>
      </c>
      <c r="K65" s="25">
        <f>cuotas_emitidas!K60-SUMIFS(ingresos!$D:$D,ingresos!$F:$F,saldos!$A65,ingresos!$G:$G,saldos!K$6)</f>
        <v>0</v>
      </c>
      <c r="L65" s="25">
        <f>cuotas_emitidas!L60-SUMIFS(ingresos!$D:$D,ingresos!$F:$F,saldos!$A65,ingresos!$G:$G,saldos!L$6)</f>
        <v>0</v>
      </c>
      <c r="M65" s="25">
        <f>cuotas_emitidas!M60-SUMIFS(ingresos!$D:$D,ingresos!$F:$F,saldos!$A65,ingresos!$G:$G,saldos!M$6)</f>
        <v>0</v>
      </c>
      <c r="N65" s="25">
        <f>cuotas_emitidas!N60-SUMIFS(ingresos!$D:$D,ingresos!$F:$F,saldos!$A65,ingresos!$G:$G,saldos!N$6)</f>
        <v>0</v>
      </c>
      <c r="O65" s="25">
        <f>cuotas_emitidas!O60-SUMIFS(ingresos!$D:$D,ingresos!$F:$F,saldos!$A65,ingresos!$G:$G,saldos!O$6)</f>
        <v>0</v>
      </c>
      <c r="P65" s="25">
        <f>cuotas_emitidas!P60-SUMIFS(ingresos!$D:$D,ingresos!$F:$F,saldos!$A65,ingresos!$G:$G,saldos!P$6)</f>
        <v>0</v>
      </c>
      <c r="Q65" s="25">
        <f>cuotas_emitidas!Q60-SUMIFS(ingresos!$D:$D,ingresos!$F:$F,saldos!$A65,ingresos!$G:$G,saldos!Q$6)</f>
        <v>0</v>
      </c>
      <c r="R65" s="26">
        <f t="shared" si="0"/>
        <v>0</v>
      </c>
      <c r="T65" s="26">
        <f t="shared" si="1"/>
        <v>0</v>
      </c>
      <c r="U65" s="26">
        <f t="shared" si="2"/>
        <v>0</v>
      </c>
    </row>
    <row r="66" spans="1:21" x14ac:dyDescent="0.25">
      <c r="A66" s="17" t="s">
        <v>1667</v>
      </c>
      <c r="B66" s="17" t="s">
        <v>1668</v>
      </c>
      <c r="C66" s="17" t="s">
        <v>1669</v>
      </c>
      <c r="D66" s="25">
        <f>cuotas_emitidas!D61-SUMIFS(ingresos!$D:$D,ingresos!$F:$F,saldos!$A66,ingresos!$G:$G,saldos!D$6)</f>
        <v>0</v>
      </c>
      <c r="E66" s="25">
        <f>cuotas_emitidas!E61-SUMIFS(ingresos!$D:$D,ingresos!$F:$F,saldos!$A66,ingresos!$G:$G,saldos!E$6)</f>
        <v>0</v>
      </c>
      <c r="F66" s="25">
        <f>cuotas_emitidas!F61-SUMIFS(ingresos!$D:$D,ingresos!$F:$F,saldos!$A66,ingresos!$G:$G,saldos!F$6)</f>
        <v>0</v>
      </c>
      <c r="G66" s="25">
        <f>cuotas_emitidas!G61-SUMIFS(ingresos!$D:$D,ingresos!$F:$F,saldos!$A66,ingresos!$G:$G,saldos!G$6)</f>
        <v>0</v>
      </c>
      <c r="H66" s="25">
        <f>cuotas_emitidas!H61-SUMIFS(ingresos!$D:$D,ingresos!$F:$F,saldos!$A66,ingresos!$G:$G,saldos!H$6)</f>
        <v>0</v>
      </c>
      <c r="I66" s="25">
        <f>cuotas_emitidas!I61-SUMIFS(ingresos!$D:$D,ingresos!$F:$F,saldos!$A66,ingresos!$G:$G,saldos!I$6)</f>
        <v>0</v>
      </c>
      <c r="J66" s="25">
        <f>cuotas_emitidas!J61-SUMIFS(ingresos!$D:$D,ingresos!$F:$F,saldos!$A66,ingresos!$G:$G,saldos!J$6)</f>
        <v>485.1</v>
      </c>
      <c r="K66" s="25">
        <f>cuotas_emitidas!K61-SUMIFS(ingresos!$D:$D,ingresos!$F:$F,saldos!$A66,ingresos!$G:$G,saldos!K$6)</f>
        <v>485.1</v>
      </c>
      <c r="L66" s="25">
        <f>cuotas_emitidas!L61-SUMIFS(ingresos!$D:$D,ingresos!$F:$F,saldos!$A66,ingresos!$G:$G,saldos!L$6)</f>
        <v>488.97</v>
      </c>
      <c r="M66" s="25">
        <f>cuotas_emitidas!M61-SUMIFS(ingresos!$D:$D,ingresos!$F:$F,saldos!$A66,ingresos!$G:$G,saldos!M$6)</f>
        <v>468.43</v>
      </c>
      <c r="N66" s="25">
        <f>cuotas_emitidas!N61-SUMIFS(ingresos!$D:$D,ingresos!$F:$F,saldos!$A66,ingresos!$G:$G,saldos!N$6)</f>
        <v>487.95</v>
      </c>
      <c r="O66" s="25">
        <f>cuotas_emitidas!O61-SUMIFS(ingresos!$D:$D,ingresos!$F:$F,saldos!$A66,ingresos!$G:$G,saldos!O$6)</f>
        <v>471.94</v>
      </c>
      <c r="P66" s="25">
        <f>cuotas_emitidas!P61-SUMIFS(ingresos!$D:$D,ingresos!$F:$F,saldos!$A66,ingresos!$G:$G,saldos!P$6)</f>
        <v>466.49</v>
      </c>
      <c r="Q66" s="25">
        <f>cuotas_emitidas!Q61-SUMIFS(ingresos!$D:$D,ingresos!$F:$F,saldos!$A66,ingresos!$G:$G,saldos!Q$6)</f>
        <v>476.2</v>
      </c>
      <c r="R66" s="26">
        <f t="shared" si="0"/>
        <v>3830.1800000000003</v>
      </c>
      <c r="T66" s="26">
        <f t="shared" si="1"/>
        <v>476.2</v>
      </c>
      <c r="U66" s="26">
        <f t="shared" si="2"/>
        <v>3353.9800000000005</v>
      </c>
    </row>
    <row r="67" spans="1:21" x14ac:dyDescent="0.25">
      <c r="A67" s="17" t="s">
        <v>1670</v>
      </c>
      <c r="B67" s="17" t="s">
        <v>1671</v>
      </c>
      <c r="C67" s="17" t="s">
        <v>1672</v>
      </c>
      <c r="D67" s="25">
        <f>cuotas_emitidas!D62-SUMIFS(ingresos!$D:$D,ingresos!$F:$F,saldos!$A67,ingresos!$G:$G,saldos!D$6)</f>
        <v>0</v>
      </c>
      <c r="E67" s="25">
        <f>cuotas_emitidas!E62-SUMIFS(ingresos!$D:$D,ingresos!$F:$F,saldos!$A67,ingresos!$G:$G,saldos!E$6)</f>
        <v>0</v>
      </c>
      <c r="F67" s="25">
        <f>cuotas_emitidas!F62-SUMIFS(ingresos!$D:$D,ingresos!$F:$F,saldos!$A67,ingresos!$G:$G,saldos!F$6)</f>
        <v>0</v>
      </c>
      <c r="G67" s="25">
        <f>cuotas_emitidas!G62-SUMIFS(ingresos!$D:$D,ingresos!$F:$F,saldos!$A67,ingresos!$G:$G,saldos!G$6)</f>
        <v>0</v>
      </c>
      <c r="H67" s="25">
        <f>cuotas_emitidas!H62-SUMIFS(ingresos!$D:$D,ingresos!$F:$F,saldos!$A67,ingresos!$G:$G,saldos!H$6)</f>
        <v>0</v>
      </c>
      <c r="I67" s="25">
        <f>cuotas_emitidas!I62-SUMIFS(ingresos!$D:$D,ingresos!$F:$F,saldos!$A67,ingresos!$G:$G,saldos!I$6)</f>
        <v>0</v>
      </c>
      <c r="J67" s="25">
        <f>cuotas_emitidas!J62-SUMIFS(ingresos!$D:$D,ingresos!$F:$F,saldos!$A67,ingresos!$G:$G,saldos!J$6)</f>
        <v>0</v>
      </c>
      <c r="K67" s="25">
        <f>cuotas_emitidas!K62-SUMIFS(ingresos!$D:$D,ingresos!$F:$F,saldos!$A67,ingresos!$G:$G,saldos!K$6)</f>
        <v>80.52</v>
      </c>
      <c r="L67" s="25">
        <f>cuotas_emitidas!L62-SUMIFS(ingresos!$D:$D,ingresos!$F:$F,saldos!$A67,ingresos!$G:$G,saldos!L$6)</f>
        <v>80.52</v>
      </c>
      <c r="M67" s="25">
        <f>cuotas_emitidas!M62-SUMIFS(ingresos!$D:$D,ingresos!$F:$F,saldos!$A67,ingresos!$G:$G,saldos!M$6)</f>
        <v>77.760000000000005</v>
      </c>
      <c r="N67" s="25">
        <f>cuotas_emitidas!N62-SUMIFS(ingresos!$D:$D,ingresos!$F:$F,saldos!$A67,ingresos!$G:$G,saldos!N$6)</f>
        <v>80.52</v>
      </c>
      <c r="O67" s="25">
        <f>cuotas_emitidas!O62-SUMIFS(ingresos!$D:$D,ingresos!$F:$F,saldos!$A67,ingresos!$G:$G,saldos!O$6)</f>
        <v>80.52</v>
      </c>
      <c r="P67" s="25">
        <f>cuotas_emitidas!P62-SUMIFS(ingresos!$D:$D,ingresos!$F:$F,saldos!$A67,ingresos!$G:$G,saldos!P$6)</f>
        <v>80.52</v>
      </c>
      <c r="Q67" s="25">
        <f>cuotas_emitidas!Q62-SUMIFS(ingresos!$D:$D,ingresos!$F:$F,saldos!$A67,ingresos!$G:$G,saldos!Q$6)</f>
        <v>80.52</v>
      </c>
      <c r="R67" s="26">
        <f t="shared" si="0"/>
        <v>560.88</v>
      </c>
      <c r="T67" s="26">
        <f t="shared" si="1"/>
        <v>80.52</v>
      </c>
      <c r="U67" s="26">
        <f t="shared" si="2"/>
        <v>480.36</v>
      </c>
    </row>
    <row r="68" spans="1:21" x14ac:dyDescent="0.25">
      <c r="A68" s="17" t="s">
        <v>1506</v>
      </c>
      <c r="B68" s="17" t="s">
        <v>1673</v>
      </c>
      <c r="C68" s="17" t="s">
        <v>1674</v>
      </c>
      <c r="D68" s="25">
        <f>cuotas_emitidas!D63-SUMIFS(ingresos!$D:$D,ingresos!$F:$F,saldos!$A68,ingresos!$G:$G,saldos!D$6)</f>
        <v>0</v>
      </c>
      <c r="E68" s="25">
        <f>cuotas_emitidas!E63-SUMIFS(ingresos!$D:$D,ingresos!$F:$F,saldos!$A68,ingresos!$G:$G,saldos!E$6)</f>
        <v>0</v>
      </c>
      <c r="F68" s="25">
        <f>cuotas_emitidas!F63-SUMIFS(ingresos!$D:$D,ingresos!$F:$F,saldos!$A68,ingresos!$G:$G,saldos!F$6)</f>
        <v>0</v>
      </c>
      <c r="G68" s="25">
        <f>cuotas_emitidas!G63-SUMIFS(ingresos!$D:$D,ingresos!$F:$F,saldos!$A68,ingresos!$G:$G,saldos!G$6)</f>
        <v>0</v>
      </c>
      <c r="H68" s="25">
        <f>cuotas_emitidas!H63-SUMIFS(ingresos!$D:$D,ingresos!$F:$F,saldos!$A68,ingresos!$G:$G,saldos!H$6)</f>
        <v>0</v>
      </c>
      <c r="I68" s="25">
        <f>cuotas_emitidas!I63-SUMIFS(ingresos!$D:$D,ingresos!$F:$F,saldos!$A68,ingresos!$G:$G,saldos!I$6)</f>
        <v>0</v>
      </c>
      <c r="J68" s="25">
        <f>cuotas_emitidas!J63-SUMIFS(ingresos!$D:$D,ingresos!$F:$F,saldos!$A68,ingresos!$G:$G,saldos!J$6)</f>
        <v>0</v>
      </c>
      <c r="K68" s="25">
        <f>cuotas_emitidas!K63-SUMIFS(ingresos!$D:$D,ingresos!$F:$F,saldos!$A68,ingresos!$G:$G,saldos!K$6)</f>
        <v>0</v>
      </c>
      <c r="L68" s="25">
        <f>cuotas_emitidas!L63-SUMIFS(ingresos!$D:$D,ingresos!$F:$F,saldos!$A68,ingresos!$G:$G,saldos!L$6)</f>
        <v>0</v>
      </c>
      <c r="M68" s="25">
        <f>cuotas_emitidas!M63-SUMIFS(ingresos!$D:$D,ingresos!$F:$F,saldos!$A68,ingresos!$G:$G,saldos!M$6)</f>
        <v>387.51</v>
      </c>
      <c r="N68" s="25">
        <f>cuotas_emitidas!N63-SUMIFS(ingresos!$D:$D,ingresos!$F:$F,saldos!$A68,ingresos!$G:$G,saldos!N$6)</f>
        <v>0</v>
      </c>
      <c r="O68" s="25">
        <f>cuotas_emitidas!O63-SUMIFS(ingresos!$D:$D,ingresos!$F:$F,saldos!$A68,ingresos!$G:$G,saldos!O$6)</f>
        <v>396.98</v>
      </c>
      <c r="P68" s="25">
        <f>cuotas_emitidas!P63-SUMIFS(ingresos!$D:$D,ingresos!$F:$F,saldos!$A68,ingresos!$G:$G,saldos!P$6)</f>
        <v>383.7</v>
      </c>
      <c r="Q68" s="25">
        <f>cuotas_emitidas!Q63-SUMIFS(ingresos!$D:$D,ingresos!$F:$F,saldos!$A68,ingresos!$G:$G,saldos!Q$6)</f>
        <v>395.24</v>
      </c>
      <c r="R68" s="26">
        <f t="shared" si="0"/>
        <v>1563.43</v>
      </c>
      <c r="T68" s="26">
        <f t="shared" si="1"/>
        <v>395.24</v>
      </c>
      <c r="U68" s="26">
        <f t="shared" si="2"/>
        <v>1168.19</v>
      </c>
    </row>
    <row r="69" spans="1:21" x14ac:dyDescent="0.25">
      <c r="A69" s="17" t="s">
        <v>1675</v>
      </c>
      <c r="B69" s="17" t="s">
        <v>1270</v>
      </c>
      <c r="C69" s="17" t="s">
        <v>1676</v>
      </c>
      <c r="D69" s="25">
        <f>cuotas_emitidas!D64-SUMIFS(ingresos!$D:$D,ingresos!$F:$F,saldos!$A69,ingresos!$G:$G,saldos!D$6)</f>
        <v>0</v>
      </c>
      <c r="E69" s="25">
        <f>cuotas_emitidas!E64-SUMIFS(ingresos!$D:$D,ingresos!$F:$F,saldos!$A69,ingresos!$G:$G,saldos!E$6)</f>
        <v>0</v>
      </c>
      <c r="F69" s="25">
        <f>cuotas_emitidas!F64-SUMIFS(ingresos!$D:$D,ingresos!$F:$F,saldos!$A69,ingresos!$G:$G,saldos!F$6)</f>
        <v>0</v>
      </c>
      <c r="G69" s="25">
        <f>cuotas_emitidas!G64-SUMIFS(ingresos!$D:$D,ingresos!$F:$F,saldos!$A69,ingresos!$G:$G,saldos!G$6)</f>
        <v>0</v>
      </c>
      <c r="H69" s="25">
        <f>cuotas_emitidas!H64-SUMIFS(ingresos!$D:$D,ingresos!$F:$F,saldos!$A69,ingresos!$G:$G,saldos!H$6)</f>
        <v>0</v>
      </c>
      <c r="I69" s="25">
        <f>cuotas_emitidas!I64-SUMIFS(ingresos!$D:$D,ingresos!$F:$F,saldos!$A69,ingresos!$G:$G,saldos!I$6)</f>
        <v>0</v>
      </c>
      <c r="J69" s="25">
        <f>cuotas_emitidas!J64-SUMIFS(ingresos!$D:$D,ingresos!$F:$F,saldos!$A69,ingresos!$G:$G,saldos!J$6)</f>
        <v>0</v>
      </c>
      <c r="K69" s="25">
        <f>cuotas_emitidas!K64-SUMIFS(ingresos!$D:$D,ingresos!$F:$F,saldos!$A69,ingresos!$G:$G,saldos!K$6)</f>
        <v>0</v>
      </c>
      <c r="L69" s="25">
        <f>cuotas_emitidas!L64-SUMIFS(ingresos!$D:$D,ingresos!$F:$F,saldos!$A69,ingresos!$G:$G,saldos!L$6)</f>
        <v>0</v>
      </c>
      <c r="M69" s="25">
        <f>cuotas_emitidas!M64-SUMIFS(ingresos!$D:$D,ingresos!$F:$F,saldos!$A69,ingresos!$G:$G,saldos!M$6)</f>
        <v>0</v>
      </c>
      <c r="N69" s="25">
        <f>cuotas_emitidas!N64-SUMIFS(ingresos!$D:$D,ingresos!$F:$F,saldos!$A69,ingresos!$G:$G,saldos!N$6)</f>
        <v>0</v>
      </c>
      <c r="O69" s="25">
        <f>cuotas_emitidas!O64-SUMIFS(ingresos!$D:$D,ingresos!$F:$F,saldos!$A69,ingresos!$G:$G,saldos!O$6)</f>
        <v>0</v>
      </c>
      <c r="P69" s="25">
        <f>cuotas_emitidas!P64-SUMIFS(ingresos!$D:$D,ingresos!$F:$F,saldos!$A69,ingresos!$G:$G,saldos!P$6)</f>
        <v>0</v>
      </c>
      <c r="Q69" s="25">
        <f>cuotas_emitidas!Q64-SUMIFS(ingresos!$D:$D,ingresos!$F:$F,saldos!$A69,ingresos!$G:$G,saldos!Q$6)</f>
        <v>303.24</v>
      </c>
      <c r="R69" s="26">
        <f t="shared" si="0"/>
        <v>303.24</v>
      </c>
      <c r="T69" s="26">
        <f t="shared" si="1"/>
        <v>303.24</v>
      </c>
      <c r="U69" s="26">
        <f t="shared" si="2"/>
        <v>0</v>
      </c>
    </row>
    <row r="70" spans="1:21" x14ac:dyDescent="0.25">
      <c r="A70" s="17" t="s">
        <v>1677</v>
      </c>
      <c r="B70" s="17" t="s">
        <v>1678</v>
      </c>
      <c r="C70" s="17" t="s">
        <v>1679</v>
      </c>
      <c r="D70" s="25">
        <f>cuotas_emitidas!D65-SUMIFS(ingresos!$D:$D,ingresos!$F:$F,saldos!$A70,ingresos!$G:$G,saldos!D$6)</f>
        <v>0</v>
      </c>
      <c r="E70" s="25">
        <f>cuotas_emitidas!E65-SUMIFS(ingresos!$D:$D,ingresos!$F:$F,saldos!$A70,ingresos!$G:$G,saldos!E$6)</f>
        <v>0</v>
      </c>
      <c r="F70" s="25">
        <f>cuotas_emitidas!F65-SUMIFS(ingresos!$D:$D,ingresos!$F:$F,saldos!$A70,ingresos!$G:$G,saldos!F$6)</f>
        <v>0</v>
      </c>
      <c r="G70" s="25">
        <f>cuotas_emitidas!G65-SUMIFS(ingresos!$D:$D,ingresos!$F:$F,saldos!$A70,ingresos!$G:$G,saldos!G$6)</f>
        <v>0</v>
      </c>
      <c r="H70" s="25">
        <f>cuotas_emitidas!H65-SUMIFS(ingresos!$D:$D,ingresos!$F:$F,saldos!$A70,ingresos!$G:$G,saldos!H$6)</f>
        <v>0</v>
      </c>
      <c r="I70" s="25">
        <f>cuotas_emitidas!I65-SUMIFS(ingresos!$D:$D,ingresos!$F:$F,saldos!$A70,ingresos!$G:$G,saldos!I$6)</f>
        <v>0</v>
      </c>
      <c r="J70" s="25">
        <f>cuotas_emitidas!J65-SUMIFS(ingresos!$D:$D,ingresos!$F:$F,saldos!$A70,ingresos!$G:$G,saldos!J$6)</f>
        <v>0</v>
      </c>
      <c r="K70" s="25">
        <f>cuotas_emitidas!K65-SUMIFS(ingresos!$D:$D,ingresos!$F:$F,saldos!$A70,ingresos!$G:$G,saldos!K$6)</f>
        <v>0</v>
      </c>
      <c r="L70" s="25">
        <f>cuotas_emitidas!L65-SUMIFS(ingresos!$D:$D,ingresos!$F:$F,saldos!$A70,ingresos!$G:$G,saldos!L$6)</f>
        <v>0</v>
      </c>
      <c r="M70" s="25">
        <f>cuotas_emitidas!M65-SUMIFS(ingresos!$D:$D,ingresos!$F:$F,saldos!$A70,ingresos!$G:$G,saldos!M$6)</f>
        <v>0</v>
      </c>
      <c r="N70" s="25">
        <f>cuotas_emitidas!N65-SUMIFS(ingresos!$D:$D,ingresos!$F:$F,saldos!$A70,ingresos!$G:$G,saldos!N$6)</f>
        <v>0</v>
      </c>
      <c r="O70" s="25">
        <f>cuotas_emitidas!O65-SUMIFS(ingresos!$D:$D,ingresos!$F:$F,saldos!$A70,ingresos!$G:$G,saldos!O$6)</f>
        <v>0</v>
      </c>
      <c r="P70" s="25">
        <f>cuotas_emitidas!P65-SUMIFS(ingresos!$D:$D,ingresos!$F:$F,saldos!$A70,ingresos!$G:$G,saldos!P$6)</f>
        <v>0</v>
      </c>
      <c r="Q70" s="25">
        <f>cuotas_emitidas!Q65-SUMIFS(ingresos!$D:$D,ingresos!$F:$F,saldos!$A70,ingresos!$G:$G,saldos!Q$6)</f>
        <v>371.84</v>
      </c>
      <c r="R70" s="26">
        <f t="shared" si="0"/>
        <v>371.84</v>
      </c>
      <c r="T70" s="26">
        <f t="shared" si="1"/>
        <v>371.84</v>
      </c>
      <c r="U70" s="26">
        <f t="shared" si="2"/>
        <v>0</v>
      </c>
    </row>
    <row r="71" spans="1:21" x14ac:dyDescent="0.25">
      <c r="A71" s="17" t="s">
        <v>1680</v>
      </c>
      <c r="B71" s="17" t="s">
        <v>1681</v>
      </c>
      <c r="C71" s="17" t="s">
        <v>1682</v>
      </c>
      <c r="D71" s="25">
        <f>cuotas_emitidas!D66-SUMIFS(ingresos!$D:$D,ingresos!$F:$F,saldos!$A71,ingresos!$G:$G,saldos!D$6)</f>
        <v>0</v>
      </c>
      <c r="E71" s="25">
        <f>cuotas_emitidas!E66-SUMIFS(ingresos!$D:$D,ingresos!$F:$F,saldos!$A71,ingresos!$G:$G,saldos!E$6)</f>
        <v>0</v>
      </c>
      <c r="F71" s="25">
        <f>cuotas_emitidas!F66-SUMIFS(ingresos!$D:$D,ingresos!$F:$F,saldos!$A71,ingresos!$G:$G,saldos!F$6)</f>
        <v>0</v>
      </c>
      <c r="G71" s="25">
        <f>cuotas_emitidas!G66-SUMIFS(ingresos!$D:$D,ingresos!$F:$F,saldos!$A71,ingresos!$G:$G,saldos!G$6)</f>
        <v>0</v>
      </c>
      <c r="H71" s="25">
        <f>cuotas_emitidas!H66-SUMIFS(ingresos!$D:$D,ingresos!$F:$F,saldos!$A71,ingresos!$G:$G,saldos!H$6)</f>
        <v>0</v>
      </c>
      <c r="I71" s="25">
        <f>cuotas_emitidas!I66-SUMIFS(ingresos!$D:$D,ingresos!$F:$F,saldos!$A71,ingresos!$G:$G,saldos!I$6)</f>
        <v>0</v>
      </c>
      <c r="J71" s="25">
        <f>cuotas_emitidas!J66-SUMIFS(ingresos!$D:$D,ingresos!$F:$F,saldos!$A71,ingresos!$G:$G,saldos!J$6)</f>
        <v>0</v>
      </c>
      <c r="K71" s="25">
        <f>cuotas_emitidas!K66-SUMIFS(ingresos!$D:$D,ingresos!$F:$F,saldos!$A71,ingresos!$G:$G,saldos!K$6)</f>
        <v>0</v>
      </c>
      <c r="L71" s="25">
        <f>cuotas_emitidas!L66-SUMIFS(ingresos!$D:$D,ingresos!$F:$F,saldos!$A71,ingresos!$G:$G,saldos!L$6)</f>
        <v>0</v>
      </c>
      <c r="M71" s="25">
        <f>cuotas_emitidas!M66-SUMIFS(ingresos!$D:$D,ingresos!$F:$F,saldos!$A71,ingresos!$G:$G,saldos!M$6)</f>
        <v>14.940000000000055</v>
      </c>
      <c r="N71" s="25">
        <f>cuotas_emitidas!N66-SUMIFS(ingresos!$D:$D,ingresos!$F:$F,saldos!$A71,ingresos!$G:$G,saldos!N$6)</f>
        <v>0</v>
      </c>
      <c r="O71" s="25">
        <f>cuotas_emitidas!O66-SUMIFS(ingresos!$D:$D,ingresos!$F:$F,saldos!$A71,ingresos!$G:$G,saldos!O$6)</f>
        <v>0</v>
      </c>
      <c r="P71" s="25">
        <f>cuotas_emitidas!P66-SUMIFS(ingresos!$D:$D,ingresos!$F:$F,saldos!$A71,ingresos!$G:$G,saldos!P$6)</f>
        <v>0</v>
      </c>
      <c r="Q71" s="25">
        <f>cuotas_emitidas!Q66-SUMIFS(ingresos!$D:$D,ingresos!$F:$F,saldos!$A71,ingresos!$G:$G,saldos!Q$6)</f>
        <v>0</v>
      </c>
      <c r="R71" s="26">
        <f t="shared" si="0"/>
        <v>14.940000000000055</v>
      </c>
      <c r="T71" s="26">
        <f t="shared" si="1"/>
        <v>0</v>
      </c>
      <c r="U71" s="26">
        <f t="shared" si="2"/>
        <v>14.940000000000055</v>
      </c>
    </row>
    <row r="72" spans="1:21" x14ac:dyDescent="0.25">
      <c r="A72" s="17" t="s">
        <v>1683</v>
      </c>
      <c r="B72" s="17" t="s">
        <v>1446</v>
      </c>
      <c r="C72" s="17" t="s">
        <v>1684</v>
      </c>
      <c r="D72" s="25">
        <f>cuotas_emitidas!D67-SUMIFS(ingresos!$D:$D,ingresos!$F:$F,saldos!$A72,ingresos!$G:$G,saldos!D$6)</f>
        <v>0</v>
      </c>
      <c r="E72" s="25">
        <f>cuotas_emitidas!E67-SUMIFS(ingresos!$D:$D,ingresos!$F:$F,saldos!$A72,ingresos!$G:$G,saldos!E$6)</f>
        <v>0</v>
      </c>
      <c r="F72" s="25">
        <f>cuotas_emitidas!F67-SUMIFS(ingresos!$D:$D,ingresos!$F:$F,saldos!$A72,ingresos!$G:$G,saldos!F$6)</f>
        <v>0</v>
      </c>
      <c r="G72" s="25">
        <f>cuotas_emitidas!G67-SUMIFS(ingresos!$D:$D,ingresos!$F:$F,saldos!$A72,ingresos!$G:$G,saldos!G$6)</f>
        <v>0</v>
      </c>
      <c r="H72" s="25">
        <f>cuotas_emitidas!H67-SUMIFS(ingresos!$D:$D,ingresos!$F:$F,saldos!$A72,ingresos!$G:$G,saldos!H$6)</f>
        <v>0</v>
      </c>
      <c r="I72" s="25">
        <f>cuotas_emitidas!I67-SUMIFS(ingresos!$D:$D,ingresos!$F:$F,saldos!$A72,ingresos!$G:$G,saldos!I$6)</f>
        <v>0</v>
      </c>
      <c r="J72" s="25">
        <f>cuotas_emitidas!J67-SUMIFS(ingresos!$D:$D,ingresos!$F:$F,saldos!$A72,ingresos!$G:$G,saldos!J$6)</f>
        <v>0</v>
      </c>
      <c r="K72" s="25">
        <f>cuotas_emitidas!K67-SUMIFS(ingresos!$D:$D,ingresos!$F:$F,saldos!$A72,ingresos!$G:$G,saldos!K$6)</f>
        <v>0</v>
      </c>
      <c r="L72" s="25">
        <f>cuotas_emitidas!L67-SUMIFS(ingresos!$D:$D,ingresos!$F:$F,saldos!$A72,ingresos!$G:$G,saldos!L$6)</f>
        <v>0</v>
      </c>
      <c r="M72" s="25">
        <f>cuotas_emitidas!M67-SUMIFS(ingresos!$D:$D,ingresos!$F:$F,saldos!$A72,ingresos!$G:$G,saldos!M$6)</f>
        <v>0</v>
      </c>
      <c r="N72" s="25">
        <f>cuotas_emitidas!N67-SUMIFS(ingresos!$D:$D,ingresos!$F:$F,saldos!$A72,ingresos!$G:$G,saldos!N$6)</f>
        <v>0</v>
      </c>
      <c r="O72" s="25">
        <f>cuotas_emitidas!O67-SUMIFS(ingresos!$D:$D,ingresos!$F:$F,saldos!$A72,ingresos!$G:$G,saldos!O$6)</f>
        <v>0</v>
      </c>
      <c r="P72" s="25">
        <f>cuotas_emitidas!P67-SUMIFS(ingresos!$D:$D,ingresos!$F:$F,saldos!$A72,ingresos!$G:$G,saldos!P$6)</f>
        <v>0</v>
      </c>
      <c r="Q72" s="25">
        <f>cuotas_emitidas!Q67-SUMIFS(ingresos!$D:$D,ingresos!$F:$F,saldos!$A72,ingresos!$G:$G,saldos!Q$6)</f>
        <v>383.76</v>
      </c>
      <c r="R72" s="26">
        <f t="shared" ref="R72:R135" si="3">SUM(D72:Q72)</f>
        <v>383.76</v>
      </c>
      <c r="T72" s="26">
        <f t="shared" ref="T72:T135" si="4">Q72</f>
        <v>383.76</v>
      </c>
      <c r="U72" s="26">
        <f t="shared" ref="U72:U135" si="5">R72-T72</f>
        <v>0</v>
      </c>
    </row>
    <row r="73" spans="1:21" x14ac:dyDescent="0.25">
      <c r="A73" s="17" t="s">
        <v>1685</v>
      </c>
      <c r="B73" s="17" t="s">
        <v>1686</v>
      </c>
      <c r="C73" s="17" t="s">
        <v>1687</v>
      </c>
      <c r="D73" s="25">
        <f>cuotas_emitidas!D68-SUMIFS(ingresos!$D:$D,ingresos!$F:$F,saldos!$A73,ingresos!$G:$G,saldos!D$6)</f>
        <v>0</v>
      </c>
      <c r="E73" s="25">
        <f>cuotas_emitidas!E68-SUMIFS(ingresos!$D:$D,ingresos!$F:$F,saldos!$A73,ingresos!$G:$G,saldos!E$6)</f>
        <v>0</v>
      </c>
      <c r="F73" s="25">
        <f>cuotas_emitidas!F68-SUMIFS(ingresos!$D:$D,ingresos!$F:$F,saldos!$A73,ingresos!$G:$G,saldos!F$6)</f>
        <v>0</v>
      </c>
      <c r="G73" s="25">
        <f>cuotas_emitidas!G68-SUMIFS(ingresos!$D:$D,ingresos!$F:$F,saldos!$A73,ingresos!$G:$G,saldos!G$6)</f>
        <v>0</v>
      </c>
      <c r="H73" s="25">
        <f>cuotas_emitidas!H68-SUMIFS(ingresos!$D:$D,ingresos!$F:$F,saldos!$A73,ingresos!$G:$G,saldos!H$6)</f>
        <v>0</v>
      </c>
      <c r="I73" s="25">
        <f>cuotas_emitidas!I68-SUMIFS(ingresos!$D:$D,ingresos!$F:$F,saldos!$A73,ingresos!$G:$G,saldos!I$6)</f>
        <v>0</v>
      </c>
      <c r="J73" s="25">
        <f>cuotas_emitidas!J68-SUMIFS(ingresos!$D:$D,ingresos!$F:$F,saldos!$A73,ingresos!$G:$G,saldos!J$6)</f>
        <v>0</v>
      </c>
      <c r="K73" s="25">
        <f>cuotas_emitidas!K68-SUMIFS(ingresos!$D:$D,ingresos!$F:$F,saldos!$A73,ingresos!$G:$G,saldos!K$6)</f>
        <v>0</v>
      </c>
      <c r="L73" s="25">
        <f>cuotas_emitidas!L68-SUMIFS(ingresos!$D:$D,ingresos!$F:$F,saldos!$A73,ingresos!$G:$G,saldos!L$6)</f>
        <v>0</v>
      </c>
      <c r="M73" s="25">
        <f>cuotas_emitidas!M68-SUMIFS(ingresos!$D:$D,ingresos!$F:$F,saldos!$A73,ingresos!$G:$G,saldos!M$6)</f>
        <v>0</v>
      </c>
      <c r="N73" s="25">
        <f>cuotas_emitidas!N68-SUMIFS(ingresos!$D:$D,ingresos!$F:$F,saldos!$A73,ingresos!$G:$G,saldos!N$6)</f>
        <v>0</v>
      </c>
      <c r="O73" s="25">
        <f>cuotas_emitidas!O68-SUMIFS(ingresos!$D:$D,ingresos!$F:$F,saldos!$A73,ingresos!$G:$G,saldos!O$6)</f>
        <v>0</v>
      </c>
      <c r="P73" s="25">
        <f>cuotas_emitidas!P68-SUMIFS(ingresos!$D:$D,ingresos!$F:$F,saldos!$A73,ingresos!$G:$G,saldos!P$6)</f>
        <v>0</v>
      </c>
      <c r="Q73" s="25">
        <f>cuotas_emitidas!Q68-SUMIFS(ingresos!$D:$D,ingresos!$F:$F,saldos!$A73,ingresos!$G:$G,saldos!Q$6)</f>
        <v>0</v>
      </c>
      <c r="R73" s="26">
        <f t="shared" si="3"/>
        <v>0</v>
      </c>
      <c r="T73" s="26">
        <f t="shared" si="4"/>
        <v>0</v>
      </c>
      <c r="U73" s="26">
        <f t="shared" si="5"/>
        <v>0</v>
      </c>
    </row>
    <row r="74" spans="1:21" x14ac:dyDescent="0.25">
      <c r="A74" s="17" t="s">
        <v>1688</v>
      </c>
      <c r="B74" s="17" t="s">
        <v>1689</v>
      </c>
      <c r="C74" s="17" t="s">
        <v>1690</v>
      </c>
      <c r="D74" s="25">
        <f>cuotas_emitidas!D69-SUMIFS(ingresos!$D:$D,ingresos!$F:$F,saldos!$A74,ingresos!$G:$G,saldos!D$6)</f>
        <v>0</v>
      </c>
      <c r="E74" s="25">
        <f>cuotas_emitidas!E69-SUMIFS(ingresos!$D:$D,ingresos!$F:$F,saldos!$A74,ingresos!$G:$G,saldos!E$6)</f>
        <v>0</v>
      </c>
      <c r="F74" s="25">
        <f>cuotas_emitidas!F69-SUMIFS(ingresos!$D:$D,ingresos!$F:$F,saldos!$A74,ingresos!$G:$G,saldos!F$6)</f>
        <v>0</v>
      </c>
      <c r="G74" s="25">
        <f>cuotas_emitidas!G69-SUMIFS(ingresos!$D:$D,ingresos!$F:$F,saldos!$A74,ingresos!$G:$G,saldos!G$6)</f>
        <v>0</v>
      </c>
      <c r="H74" s="25">
        <f>cuotas_emitidas!H69-SUMIFS(ingresos!$D:$D,ingresos!$F:$F,saldos!$A74,ingresos!$G:$G,saldos!H$6)</f>
        <v>0</v>
      </c>
      <c r="I74" s="25">
        <f>cuotas_emitidas!I69-SUMIFS(ingresos!$D:$D,ingresos!$F:$F,saldos!$A74,ingresos!$G:$G,saldos!I$6)</f>
        <v>0</v>
      </c>
      <c r="J74" s="25">
        <f>cuotas_emitidas!J69-SUMIFS(ingresos!$D:$D,ingresos!$F:$F,saldos!$A74,ingresos!$G:$G,saldos!J$6)</f>
        <v>0</v>
      </c>
      <c r="K74" s="25">
        <f>cuotas_emitidas!K69-SUMIFS(ingresos!$D:$D,ingresos!$F:$F,saldos!$A74,ingresos!$G:$G,saldos!K$6)</f>
        <v>0</v>
      </c>
      <c r="L74" s="25">
        <f>cuotas_emitidas!L69-SUMIFS(ingresos!$D:$D,ingresos!$F:$F,saldos!$A74,ingresos!$G:$G,saldos!L$6)</f>
        <v>0</v>
      </c>
      <c r="M74" s="25">
        <f>cuotas_emitidas!M69-SUMIFS(ingresos!$D:$D,ingresos!$F:$F,saldos!$A74,ingresos!$G:$G,saldos!M$6)</f>
        <v>0</v>
      </c>
      <c r="N74" s="25">
        <f>cuotas_emitidas!N69-SUMIFS(ingresos!$D:$D,ingresos!$F:$F,saldos!$A74,ingresos!$G:$G,saldos!N$6)</f>
        <v>0</v>
      </c>
      <c r="O74" s="25">
        <f>cuotas_emitidas!O69-SUMIFS(ingresos!$D:$D,ingresos!$F:$F,saldos!$A74,ingresos!$G:$G,saldos!O$6)</f>
        <v>0</v>
      </c>
      <c r="P74" s="25">
        <f>cuotas_emitidas!P69-SUMIFS(ingresos!$D:$D,ingresos!$F:$F,saldos!$A74,ingresos!$G:$G,saldos!P$6)</f>
        <v>0</v>
      </c>
      <c r="Q74" s="25">
        <f>cuotas_emitidas!Q69-SUMIFS(ingresos!$D:$D,ingresos!$F:$F,saldos!$A74,ingresos!$G:$G,saldos!Q$6)</f>
        <v>254.43</v>
      </c>
      <c r="R74" s="26">
        <f t="shared" si="3"/>
        <v>254.43</v>
      </c>
      <c r="T74" s="26">
        <f t="shared" si="4"/>
        <v>254.43</v>
      </c>
      <c r="U74" s="26">
        <f t="shared" si="5"/>
        <v>0</v>
      </c>
    </row>
    <row r="75" spans="1:21" x14ac:dyDescent="0.25">
      <c r="A75" s="17" t="s">
        <v>1691</v>
      </c>
      <c r="B75" s="17" t="s">
        <v>1692</v>
      </c>
      <c r="C75" s="17" t="s">
        <v>1693</v>
      </c>
      <c r="D75" s="25">
        <f>cuotas_emitidas!D70-SUMIFS(ingresos!$D:$D,ingresos!$F:$F,saldos!$A75,ingresos!$G:$G,saldos!D$6)</f>
        <v>0</v>
      </c>
      <c r="E75" s="25">
        <f>cuotas_emitidas!E70-SUMIFS(ingresos!$D:$D,ingresos!$F:$F,saldos!$A75,ingresos!$G:$G,saldos!E$6)</f>
        <v>0</v>
      </c>
      <c r="F75" s="25">
        <f>cuotas_emitidas!F70-SUMIFS(ingresos!$D:$D,ingresos!$F:$F,saldos!$A75,ingresos!$G:$G,saldos!F$6)</f>
        <v>0</v>
      </c>
      <c r="G75" s="25">
        <f>cuotas_emitidas!G70-SUMIFS(ingresos!$D:$D,ingresos!$F:$F,saldos!$A75,ingresos!$G:$G,saldos!G$6)</f>
        <v>0</v>
      </c>
      <c r="H75" s="25">
        <f>cuotas_emitidas!H70-SUMIFS(ingresos!$D:$D,ingresos!$F:$F,saldos!$A75,ingresos!$G:$G,saldos!H$6)</f>
        <v>0</v>
      </c>
      <c r="I75" s="25">
        <f>cuotas_emitidas!I70-SUMIFS(ingresos!$D:$D,ingresos!$F:$F,saldos!$A75,ingresos!$G:$G,saldos!I$6)</f>
        <v>0</v>
      </c>
      <c r="J75" s="25">
        <f>cuotas_emitidas!J70-SUMIFS(ingresos!$D:$D,ingresos!$F:$F,saldos!$A75,ingresos!$G:$G,saldos!J$6)</f>
        <v>0</v>
      </c>
      <c r="K75" s="25">
        <f>cuotas_emitidas!K70-SUMIFS(ingresos!$D:$D,ingresos!$F:$F,saldos!$A75,ingresos!$G:$G,saldos!K$6)</f>
        <v>0</v>
      </c>
      <c r="L75" s="25">
        <f>cuotas_emitidas!L70-SUMIFS(ingresos!$D:$D,ingresos!$F:$F,saldos!$A75,ingresos!$G:$G,saldos!L$6)</f>
        <v>0</v>
      </c>
      <c r="M75" s="25">
        <f>cuotas_emitidas!M70-SUMIFS(ingresos!$D:$D,ingresos!$F:$F,saldos!$A75,ingresos!$G:$G,saldos!M$6)</f>
        <v>0</v>
      </c>
      <c r="N75" s="25">
        <f>cuotas_emitidas!N70-SUMIFS(ingresos!$D:$D,ingresos!$F:$F,saldos!$A75,ingresos!$G:$G,saldos!N$6)</f>
        <v>0</v>
      </c>
      <c r="O75" s="25">
        <f>cuotas_emitidas!O70-SUMIFS(ingresos!$D:$D,ingresos!$F:$F,saldos!$A75,ingresos!$G:$G,saldos!O$6)</f>
        <v>0</v>
      </c>
      <c r="P75" s="25">
        <f>cuotas_emitidas!P70-SUMIFS(ingresos!$D:$D,ingresos!$F:$F,saldos!$A75,ingresos!$G:$G,saldos!P$6)</f>
        <v>0</v>
      </c>
      <c r="Q75" s="25">
        <f>cuotas_emitidas!Q70-SUMIFS(ingresos!$D:$D,ingresos!$F:$F,saldos!$A75,ingresos!$G:$G,saldos!Q$6)</f>
        <v>0</v>
      </c>
      <c r="R75" s="26">
        <f t="shared" si="3"/>
        <v>0</v>
      </c>
      <c r="T75" s="26">
        <f t="shared" si="4"/>
        <v>0</v>
      </c>
      <c r="U75" s="26">
        <f t="shared" si="5"/>
        <v>0</v>
      </c>
    </row>
    <row r="76" spans="1:21" x14ac:dyDescent="0.25">
      <c r="A76" s="17" t="s">
        <v>1694</v>
      </c>
      <c r="B76" s="17" t="s">
        <v>1695</v>
      </c>
      <c r="C76" s="17" t="s">
        <v>1696</v>
      </c>
      <c r="D76" s="25">
        <f>cuotas_emitidas!D71-SUMIFS(ingresos!$D:$D,ingresos!$F:$F,saldos!$A76,ingresos!$G:$G,saldos!D$6)</f>
        <v>0</v>
      </c>
      <c r="E76" s="25">
        <f>cuotas_emitidas!E71-SUMIFS(ingresos!$D:$D,ingresos!$F:$F,saldos!$A76,ingresos!$G:$G,saldos!E$6)</f>
        <v>0</v>
      </c>
      <c r="F76" s="25">
        <f>cuotas_emitidas!F71-SUMIFS(ingresos!$D:$D,ingresos!$F:$F,saldos!$A76,ingresos!$G:$G,saldos!F$6)</f>
        <v>0</v>
      </c>
      <c r="G76" s="25">
        <f>cuotas_emitidas!G71-SUMIFS(ingresos!$D:$D,ingresos!$F:$F,saldos!$A76,ingresos!$G:$G,saldos!G$6)</f>
        <v>0</v>
      </c>
      <c r="H76" s="25">
        <f>cuotas_emitidas!H71-SUMIFS(ingresos!$D:$D,ingresos!$F:$F,saldos!$A76,ingresos!$G:$G,saldos!H$6)</f>
        <v>0</v>
      </c>
      <c r="I76" s="25">
        <f>cuotas_emitidas!I71-SUMIFS(ingresos!$D:$D,ingresos!$F:$F,saldos!$A76,ingresos!$G:$G,saldos!I$6)</f>
        <v>0</v>
      </c>
      <c r="J76" s="25">
        <f>cuotas_emitidas!J71-SUMIFS(ingresos!$D:$D,ingresos!$F:$F,saldos!$A76,ingresos!$G:$G,saldos!J$6)</f>
        <v>0</v>
      </c>
      <c r="K76" s="25">
        <f>cuotas_emitidas!K71-SUMIFS(ingresos!$D:$D,ingresos!$F:$F,saldos!$A76,ingresos!$G:$G,saldos!K$6)</f>
        <v>0</v>
      </c>
      <c r="L76" s="25">
        <f>cuotas_emitidas!L71-SUMIFS(ingresos!$D:$D,ingresos!$F:$F,saldos!$A76,ingresos!$G:$G,saldos!L$6)</f>
        <v>0</v>
      </c>
      <c r="M76" s="25">
        <f>cuotas_emitidas!M71-SUMIFS(ingresos!$D:$D,ingresos!$F:$F,saldos!$A76,ingresos!$G:$G,saldos!M$6)</f>
        <v>0</v>
      </c>
      <c r="N76" s="25">
        <f>cuotas_emitidas!N71-SUMIFS(ingresos!$D:$D,ingresos!$F:$F,saldos!$A76,ingresos!$G:$G,saldos!N$6)</f>
        <v>0</v>
      </c>
      <c r="O76" s="25">
        <f>cuotas_emitidas!O71-SUMIFS(ingresos!$D:$D,ingresos!$F:$F,saldos!$A76,ingresos!$G:$G,saldos!O$6)</f>
        <v>0</v>
      </c>
      <c r="P76" s="25">
        <f>cuotas_emitidas!P71-SUMIFS(ingresos!$D:$D,ingresos!$F:$F,saldos!$A76,ingresos!$G:$G,saldos!P$6)</f>
        <v>-7.0300000000000011</v>
      </c>
      <c r="Q76" s="25">
        <f>cuotas_emitidas!Q71-SUMIFS(ingresos!$D:$D,ingresos!$F:$F,saldos!$A76,ingresos!$G:$G,saldos!Q$6)</f>
        <v>179.87</v>
      </c>
      <c r="R76" s="26">
        <f t="shared" si="3"/>
        <v>172.84</v>
      </c>
      <c r="T76" s="26">
        <f t="shared" si="4"/>
        <v>179.87</v>
      </c>
      <c r="U76" s="26">
        <f t="shared" si="5"/>
        <v>-7.0300000000000011</v>
      </c>
    </row>
    <row r="77" spans="1:21" x14ac:dyDescent="0.25">
      <c r="A77" s="17" t="s">
        <v>1697</v>
      </c>
      <c r="B77" s="17" t="s">
        <v>1698</v>
      </c>
      <c r="C77" s="17" t="s">
        <v>1699</v>
      </c>
      <c r="D77" s="25">
        <f>cuotas_emitidas!D72-SUMIFS(ingresos!$D:$D,ingresos!$F:$F,saldos!$A77,ingresos!$G:$G,saldos!D$6)</f>
        <v>0</v>
      </c>
      <c r="E77" s="25">
        <f>cuotas_emitidas!E72-SUMIFS(ingresos!$D:$D,ingresos!$F:$F,saldos!$A77,ingresos!$G:$G,saldos!E$6)</f>
        <v>0</v>
      </c>
      <c r="F77" s="25">
        <f>cuotas_emitidas!F72-SUMIFS(ingresos!$D:$D,ingresos!$F:$F,saldos!$A77,ingresos!$G:$G,saldos!F$6)</f>
        <v>0</v>
      </c>
      <c r="G77" s="25">
        <f>cuotas_emitidas!G72-SUMIFS(ingresos!$D:$D,ingresos!$F:$F,saldos!$A77,ingresos!$G:$G,saldos!G$6)</f>
        <v>0</v>
      </c>
      <c r="H77" s="25">
        <f>cuotas_emitidas!H72-SUMIFS(ingresos!$D:$D,ingresos!$F:$F,saldos!$A77,ingresos!$G:$G,saldos!H$6)</f>
        <v>0</v>
      </c>
      <c r="I77" s="25">
        <f>cuotas_emitidas!I72-SUMIFS(ingresos!$D:$D,ingresos!$F:$F,saldos!$A77,ingresos!$G:$G,saldos!I$6)</f>
        <v>0</v>
      </c>
      <c r="J77" s="25">
        <f>cuotas_emitidas!J72-SUMIFS(ingresos!$D:$D,ingresos!$F:$F,saldos!$A77,ingresos!$G:$G,saldos!J$6)</f>
        <v>0</v>
      </c>
      <c r="K77" s="25">
        <f>cuotas_emitidas!K72-SUMIFS(ingresos!$D:$D,ingresos!$F:$F,saldos!$A77,ingresos!$G:$G,saldos!K$6)</f>
        <v>0</v>
      </c>
      <c r="L77" s="25">
        <f>cuotas_emitidas!L72-SUMIFS(ingresos!$D:$D,ingresos!$F:$F,saldos!$A77,ingresos!$G:$G,saldos!L$6)</f>
        <v>0</v>
      </c>
      <c r="M77" s="25">
        <f>cuotas_emitidas!M72-SUMIFS(ingresos!$D:$D,ingresos!$F:$F,saldos!$A77,ingresos!$G:$G,saldos!M$6)</f>
        <v>0</v>
      </c>
      <c r="N77" s="25">
        <f>cuotas_emitidas!N72-SUMIFS(ingresos!$D:$D,ingresos!$F:$F,saldos!$A77,ingresos!$G:$G,saldos!N$6)</f>
        <v>-4.1499999999999773</v>
      </c>
      <c r="O77" s="25">
        <f>cuotas_emitidas!O72-SUMIFS(ingresos!$D:$D,ingresos!$F:$F,saldos!$A77,ingresos!$G:$G,saldos!O$6)</f>
        <v>-6.3900000000000148</v>
      </c>
      <c r="P77" s="25">
        <f>cuotas_emitidas!P72-SUMIFS(ingresos!$D:$D,ingresos!$F:$F,saldos!$A77,ingresos!$G:$G,saldos!P$6)</f>
        <v>2.0799999999999841</v>
      </c>
      <c r="Q77" s="25">
        <f>cuotas_emitidas!Q72-SUMIFS(ingresos!$D:$D,ingresos!$F:$F,saldos!$A77,ingresos!$G:$G,saldos!Q$6)</f>
        <v>0</v>
      </c>
      <c r="R77" s="26">
        <f t="shared" si="3"/>
        <v>-8.460000000000008</v>
      </c>
      <c r="T77" s="26">
        <f t="shared" si="4"/>
        <v>0</v>
      </c>
      <c r="U77" s="26">
        <f t="shared" si="5"/>
        <v>-8.460000000000008</v>
      </c>
    </row>
    <row r="78" spans="1:21" x14ac:dyDescent="0.25">
      <c r="A78" s="17" t="s">
        <v>1700</v>
      </c>
      <c r="B78" s="17" t="s">
        <v>1701</v>
      </c>
      <c r="C78" s="17" t="s">
        <v>1702</v>
      </c>
      <c r="D78" s="25">
        <f>cuotas_emitidas!D73-SUMIFS(ingresos!$D:$D,ingresos!$F:$F,saldos!$A78,ingresos!$G:$G,saldos!D$6)</f>
        <v>0</v>
      </c>
      <c r="E78" s="25">
        <f>cuotas_emitidas!E73-SUMIFS(ingresos!$D:$D,ingresos!$F:$F,saldos!$A78,ingresos!$G:$G,saldos!E$6)</f>
        <v>0</v>
      </c>
      <c r="F78" s="25">
        <f>cuotas_emitidas!F73-SUMIFS(ingresos!$D:$D,ingresos!$F:$F,saldos!$A78,ingresos!$G:$G,saldos!F$6)</f>
        <v>0</v>
      </c>
      <c r="G78" s="25">
        <f>cuotas_emitidas!G73-SUMIFS(ingresos!$D:$D,ingresos!$F:$F,saldos!$A78,ingresos!$G:$G,saldos!G$6)</f>
        <v>0</v>
      </c>
      <c r="H78" s="25">
        <f>cuotas_emitidas!H73-SUMIFS(ingresos!$D:$D,ingresos!$F:$F,saldos!$A78,ingresos!$G:$G,saldos!H$6)</f>
        <v>0</v>
      </c>
      <c r="I78" s="25">
        <f>cuotas_emitidas!I73-SUMIFS(ingresos!$D:$D,ingresos!$F:$F,saldos!$A78,ingresos!$G:$G,saldos!I$6)</f>
        <v>0</v>
      </c>
      <c r="J78" s="25">
        <f>cuotas_emitidas!J73-SUMIFS(ingresos!$D:$D,ingresos!$F:$F,saldos!$A78,ingresos!$G:$G,saldos!J$6)</f>
        <v>0</v>
      </c>
      <c r="K78" s="25">
        <f>cuotas_emitidas!K73-SUMIFS(ingresos!$D:$D,ingresos!$F:$F,saldos!$A78,ingresos!$G:$G,saldos!K$6)</f>
        <v>0</v>
      </c>
      <c r="L78" s="25">
        <f>cuotas_emitidas!L73-SUMIFS(ingresos!$D:$D,ingresos!$F:$F,saldos!$A78,ingresos!$G:$G,saldos!L$6)</f>
        <v>0</v>
      </c>
      <c r="M78" s="25">
        <f>cuotas_emitidas!M73-SUMIFS(ingresos!$D:$D,ingresos!$F:$F,saldos!$A78,ingresos!$G:$G,saldos!M$6)</f>
        <v>0</v>
      </c>
      <c r="N78" s="25">
        <f>cuotas_emitidas!N73-SUMIFS(ingresos!$D:$D,ingresos!$F:$F,saldos!$A78,ingresos!$G:$G,saldos!N$6)</f>
        <v>0</v>
      </c>
      <c r="O78" s="25">
        <f>cuotas_emitidas!O73-SUMIFS(ingresos!$D:$D,ingresos!$F:$F,saldos!$A78,ingresos!$G:$G,saldos!O$6)</f>
        <v>0.10000000000002274</v>
      </c>
      <c r="P78" s="25">
        <f>cuotas_emitidas!P73-SUMIFS(ingresos!$D:$D,ingresos!$F:$F,saldos!$A78,ingresos!$G:$G,saldos!P$6)</f>
        <v>311.19</v>
      </c>
      <c r="Q78" s="25">
        <f>cuotas_emitidas!Q73-SUMIFS(ingresos!$D:$D,ingresos!$F:$F,saldos!$A78,ingresos!$G:$G,saldos!Q$6)</f>
        <v>321.12</v>
      </c>
      <c r="R78" s="26">
        <f t="shared" si="3"/>
        <v>632.41000000000008</v>
      </c>
      <c r="T78" s="26">
        <f t="shared" si="4"/>
        <v>321.12</v>
      </c>
      <c r="U78" s="26">
        <f t="shared" si="5"/>
        <v>311.29000000000008</v>
      </c>
    </row>
    <row r="79" spans="1:21" x14ac:dyDescent="0.25">
      <c r="A79" s="17" t="s">
        <v>1703</v>
      </c>
      <c r="B79" s="17" t="s">
        <v>1704</v>
      </c>
      <c r="C79" s="17" t="s">
        <v>1705</v>
      </c>
      <c r="D79" s="25">
        <f>cuotas_emitidas!D74-SUMIFS(ingresos!$D:$D,ingresos!$F:$F,saldos!$A79,ingresos!$G:$G,saldos!D$6)</f>
        <v>0</v>
      </c>
      <c r="E79" s="25">
        <f>cuotas_emitidas!E74-SUMIFS(ingresos!$D:$D,ingresos!$F:$F,saldos!$A79,ingresos!$G:$G,saldos!E$6)</f>
        <v>0</v>
      </c>
      <c r="F79" s="25">
        <f>cuotas_emitidas!F74-SUMIFS(ingresos!$D:$D,ingresos!$F:$F,saldos!$A79,ingresos!$G:$G,saldos!F$6)</f>
        <v>0</v>
      </c>
      <c r="G79" s="25">
        <f>cuotas_emitidas!G74-SUMIFS(ingresos!$D:$D,ingresos!$F:$F,saldos!$A79,ingresos!$G:$G,saldos!G$6)</f>
        <v>0</v>
      </c>
      <c r="H79" s="25">
        <f>cuotas_emitidas!H74-SUMIFS(ingresos!$D:$D,ingresos!$F:$F,saldos!$A79,ingresos!$G:$G,saldos!H$6)</f>
        <v>0</v>
      </c>
      <c r="I79" s="25">
        <f>cuotas_emitidas!I74-SUMIFS(ingresos!$D:$D,ingresos!$F:$F,saldos!$A79,ingresos!$G:$G,saldos!I$6)</f>
        <v>0</v>
      </c>
      <c r="J79" s="25">
        <f>cuotas_emitidas!J74-SUMIFS(ingresos!$D:$D,ingresos!$F:$F,saldos!$A79,ingresos!$G:$G,saldos!J$6)</f>
        <v>0</v>
      </c>
      <c r="K79" s="25">
        <f>cuotas_emitidas!K74-SUMIFS(ingresos!$D:$D,ingresos!$F:$F,saldos!$A79,ingresos!$G:$G,saldos!K$6)</f>
        <v>0</v>
      </c>
      <c r="L79" s="25">
        <f>cuotas_emitidas!L74-SUMIFS(ingresos!$D:$D,ingresos!$F:$F,saldos!$A79,ingresos!$G:$G,saldos!L$6)</f>
        <v>12.549999999999997</v>
      </c>
      <c r="M79" s="25">
        <f>cuotas_emitidas!M74-SUMIFS(ingresos!$D:$D,ingresos!$F:$F,saldos!$A79,ingresos!$G:$G,saldos!M$6)</f>
        <v>-12.550000000000011</v>
      </c>
      <c r="N79" s="25">
        <f>cuotas_emitidas!N74-SUMIFS(ingresos!$D:$D,ingresos!$F:$F,saldos!$A79,ingresos!$G:$G,saldos!N$6)</f>
        <v>0</v>
      </c>
      <c r="O79" s="25">
        <f>cuotas_emitidas!O74-SUMIFS(ingresos!$D:$D,ingresos!$F:$F,saldos!$A79,ingresos!$G:$G,saldos!O$6)</f>
        <v>0</v>
      </c>
      <c r="P79" s="25">
        <f>cuotas_emitidas!P74-SUMIFS(ingresos!$D:$D,ingresos!$F:$F,saldos!$A79,ingresos!$G:$G,saldos!P$6)</f>
        <v>0</v>
      </c>
      <c r="Q79" s="25">
        <f>cuotas_emitidas!Q74-SUMIFS(ingresos!$D:$D,ingresos!$F:$F,saldos!$A79,ingresos!$G:$G,saldos!Q$6)</f>
        <v>0</v>
      </c>
      <c r="R79" s="26">
        <f t="shared" si="3"/>
        <v>-1.4210854715202004E-14</v>
      </c>
      <c r="T79" s="26">
        <f t="shared" si="4"/>
        <v>0</v>
      </c>
      <c r="U79" s="26">
        <f t="shared" si="5"/>
        <v>-1.4210854715202004E-14</v>
      </c>
    </row>
    <row r="80" spans="1:21" x14ac:dyDescent="0.25">
      <c r="A80" s="17" t="s">
        <v>1706</v>
      </c>
      <c r="B80" s="17" t="s">
        <v>1707</v>
      </c>
      <c r="C80" s="17" t="s">
        <v>1708</v>
      </c>
      <c r="D80" s="25">
        <f>cuotas_emitidas!D75-SUMIFS(ingresos!$D:$D,ingresos!$F:$F,saldos!$A80,ingresos!$G:$G,saldos!D$6)</f>
        <v>0</v>
      </c>
      <c r="E80" s="25">
        <f>cuotas_emitidas!E75-SUMIFS(ingresos!$D:$D,ingresos!$F:$F,saldos!$A80,ingresos!$G:$G,saldos!E$6)</f>
        <v>0</v>
      </c>
      <c r="F80" s="25">
        <f>cuotas_emitidas!F75-SUMIFS(ingresos!$D:$D,ingresos!$F:$F,saldos!$A80,ingresos!$G:$G,saldos!F$6)</f>
        <v>0</v>
      </c>
      <c r="G80" s="25">
        <f>cuotas_emitidas!G75-SUMIFS(ingresos!$D:$D,ingresos!$F:$F,saldos!$A80,ingresos!$G:$G,saldos!G$6)</f>
        <v>0</v>
      </c>
      <c r="H80" s="25">
        <f>cuotas_emitidas!H75-SUMIFS(ingresos!$D:$D,ingresos!$F:$F,saldos!$A80,ingresos!$G:$G,saldos!H$6)</f>
        <v>0</v>
      </c>
      <c r="I80" s="25">
        <f>cuotas_emitidas!I75-SUMIFS(ingresos!$D:$D,ingresos!$F:$F,saldos!$A80,ingresos!$G:$G,saldos!I$6)</f>
        <v>0</v>
      </c>
      <c r="J80" s="25">
        <f>cuotas_emitidas!J75-SUMIFS(ingresos!$D:$D,ingresos!$F:$F,saldos!$A80,ingresos!$G:$G,saldos!J$6)</f>
        <v>0</v>
      </c>
      <c r="K80" s="25">
        <f>cuotas_emitidas!K75-SUMIFS(ingresos!$D:$D,ingresos!$F:$F,saldos!$A80,ingresos!$G:$G,saldos!K$6)</f>
        <v>0</v>
      </c>
      <c r="L80" s="25">
        <f>cuotas_emitidas!L75-SUMIFS(ingresos!$D:$D,ingresos!$F:$F,saldos!$A80,ingresos!$G:$G,saldos!L$6)</f>
        <v>0</v>
      </c>
      <c r="M80" s="25">
        <f>cuotas_emitidas!M75-SUMIFS(ingresos!$D:$D,ingresos!$F:$F,saldos!$A80,ingresos!$G:$G,saldos!M$6)</f>
        <v>165.07</v>
      </c>
      <c r="N80" s="25">
        <f>cuotas_emitidas!N75-SUMIFS(ingresos!$D:$D,ingresos!$F:$F,saldos!$A80,ingresos!$G:$G,saldos!N$6)</f>
        <v>175.08</v>
      </c>
      <c r="O80" s="25">
        <f>cuotas_emitidas!O75-SUMIFS(ingresos!$D:$D,ingresos!$F:$F,saldos!$A80,ingresos!$G:$G,saldos!O$6)</f>
        <v>170.93</v>
      </c>
      <c r="P80" s="25">
        <f>cuotas_emitidas!P75-SUMIFS(ingresos!$D:$D,ingresos!$F:$F,saldos!$A80,ingresos!$G:$G,saldos!P$6)</f>
        <v>173.8</v>
      </c>
      <c r="Q80" s="25">
        <f>cuotas_emitidas!Q75-SUMIFS(ingresos!$D:$D,ingresos!$F:$F,saldos!$A80,ingresos!$G:$G,saldos!Q$6)</f>
        <v>173.91</v>
      </c>
      <c r="R80" s="26">
        <f t="shared" si="3"/>
        <v>858.79</v>
      </c>
      <c r="T80" s="26">
        <f t="shared" si="4"/>
        <v>173.91</v>
      </c>
      <c r="U80" s="26">
        <f t="shared" si="5"/>
        <v>684.88</v>
      </c>
    </row>
    <row r="81" spans="1:21" x14ac:dyDescent="0.25">
      <c r="A81" s="17" t="s">
        <v>1709</v>
      </c>
      <c r="B81" s="17" t="s">
        <v>1263</v>
      </c>
      <c r="C81" s="17" t="s">
        <v>1710</v>
      </c>
      <c r="D81" s="25">
        <f>cuotas_emitidas!D76-SUMIFS(ingresos!$D:$D,ingresos!$F:$F,saldos!$A81,ingresos!$G:$G,saldos!D$6)</f>
        <v>0</v>
      </c>
      <c r="E81" s="25">
        <f>cuotas_emitidas!E76-SUMIFS(ingresos!$D:$D,ingresos!$F:$F,saldos!$A81,ingresos!$G:$G,saldos!E$6)</f>
        <v>0</v>
      </c>
      <c r="F81" s="25">
        <f>cuotas_emitidas!F76-SUMIFS(ingresos!$D:$D,ingresos!$F:$F,saldos!$A81,ingresos!$G:$G,saldos!F$6)</f>
        <v>0</v>
      </c>
      <c r="G81" s="25">
        <f>cuotas_emitidas!G76-SUMIFS(ingresos!$D:$D,ingresos!$F:$F,saldos!$A81,ingresos!$G:$G,saldos!G$6)</f>
        <v>0</v>
      </c>
      <c r="H81" s="25">
        <f>cuotas_emitidas!H76-SUMIFS(ingresos!$D:$D,ingresos!$F:$F,saldos!$A81,ingresos!$G:$G,saldos!H$6)</f>
        <v>0</v>
      </c>
      <c r="I81" s="25">
        <f>cuotas_emitidas!I76-SUMIFS(ingresos!$D:$D,ingresos!$F:$F,saldos!$A81,ingresos!$G:$G,saldos!I$6)</f>
        <v>0</v>
      </c>
      <c r="J81" s="25">
        <f>cuotas_emitidas!J76-SUMIFS(ingresos!$D:$D,ingresos!$F:$F,saldos!$A81,ingresos!$G:$G,saldos!J$6)</f>
        <v>0</v>
      </c>
      <c r="K81" s="25">
        <f>cuotas_emitidas!K76-SUMIFS(ingresos!$D:$D,ingresos!$F:$F,saldos!$A81,ingresos!$G:$G,saldos!K$6)</f>
        <v>0</v>
      </c>
      <c r="L81" s="25">
        <f>cuotas_emitidas!L76-SUMIFS(ingresos!$D:$D,ingresos!$F:$F,saldos!$A81,ingresos!$G:$G,saldos!L$6)</f>
        <v>0</v>
      </c>
      <c r="M81" s="25">
        <f>cuotas_emitidas!M76-SUMIFS(ingresos!$D:$D,ingresos!$F:$F,saldos!$A81,ingresos!$G:$G,saldos!M$6)</f>
        <v>0</v>
      </c>
      <c r="N81" s="25">
        <f>cuotas_emitidas!N76-SUMIFS(ingresos!$D:$D,ingresos!$F:$F,saldos!$A81,ingresos!$G:$G,saldos!N$6)</f>
        <v>0</v>
      </c>
      <c r="O81" s="25">
        <f>cuotas_emitidas!O76-SUMIFS(ingresos!$D:$D,ingresos!$F:$F,saldos!$A81,ingresos!$G:$G,saldos!O$6)</f>
        <v>0</v>
      </c>
      <c r="P81" s="25">
        <f>cuotas_emitidas!P76-SUMIFS(ingresos!$D:$D,ingresos!$F:$F,saldos!$A81,ingresos!$G:$G,saldos!P$6)</f>
        <v>0</v>
      </c>
      <c r="Q81" s="25">
        <f>cuotas_emitidas!Q76-SUMIFS(ingresos!$D:$D,ingresos!$F:$F,saldos!$A81,ingresos!$G:$G,saldos!Q$6)</f>
        <v>374.82</v>
      </c>
      <c r="R81" s="26">
        <f t="shared" si="3"/>
        <v>374.82</v>
      </c>
      <c r="T81" s="26">
        <f t="shared" si="4"/>
        <v>374.82</v>
      </c>
      <c r="U81" s="26">
        <f t="shared" si="5"/>
        <v>0</v>
      </c>
    </row>
    <row r="82" spans="1:21" x14ac:dyDescent="0.25">
      <c r="A82" s="17" t="s">
        <v>1711</v>
      </c>
      <c r="B82" s="17" t="s">
        <v>1712</v>
      </c>
      <c r="C82" s="17" t="s">
        <v>1713</v>
      </c>
      <c r="D82" s="25">
        <f>cuotas_emitidas!D77-SUMIFS(ingresos!$D:$D,ingresos!$F:$F,saldos!$A82,ingresos!$G:$G,saldos!D$6)</f>
        <v>0</v>
      </c>
      <c r="E82" s="25">
        <f>cuotas_emitidas!E77-SUMIFS(ingresos!$D:$D,ingresos!$F:$F,saldos!$A82,ingresos!$G:$G,saldos!E$6)</f>
        <v>0</v>
      </c>
      <c r="F82" s="25">
        <f>cuotas_emitidas!F77-SUMIFS(ingresos!$D:$D,ingresos!$F:$F,saldos!$A82,ingresos!$G:$G,saldos!F$6)</f>
        <v>0</v>
      </c>
      <c r="G82" s="25">
        <f>cuotas_emitidas!G77-SUMIFS(ingresos!$D:$D,ingresos!$F:$F,saldos!$A82,ingresos!$G:$G,saldos!G$6)</f>
        <v>0</v>
      </c>
      <c r="H82" s="25">
        <f>cuotas_emitidas!H77-SUMIFS(ingresos!$D:$D,ingresos!$F:$F,saldos!$A82,ingresos!$G:$G,saldos!H$6)</f>
        <v>0</v>
      </c>
      <c r="I82" s="25">
        <f>cuotas_emitidas!I77-SUMIFS(ingresos!$D:$D,ingresos!$F:$F,saldos!$A82,ingresos!$G:$G,saldos!I$6)</f>
        <v>0</v>
      </c>
      <c r="J82" s="25">
        <f>cuotas_emitidas!J77-SUMIFS(ingresos!$D:$D,ingresos!$F:$F,saldos!$A82,ingresos!$G:$G,saldos!J$6)</f>
        <v>0</v>
      </c>
      <c r="K82" s="25">
        <f>cuotas_emitidas!K77-SUMIFS(ingresos!$D:$D,ingresos!$F:$F,saldos!$A82,ingresos!$G:$G,saldos!K$6)</f>
        <v>0</v>
      </c>
      <c r="L82" s="25">
        <f>cuotas_emitidas!L77-SUMIFS(ingresos!$D:$D,ingresos!$F:$F,saldos!$A82,ingresos!$G:$G,saldos!L$6)</f>
        <v>9.8700000000000045</v>
      </c>
      <c r="M82" s="25">
        <f>cuotas_emitidas!M77-SUMIFS(ingresos!$D:$D,ingresos!$F:$F,saldos!$A82,ingresos!$G:$G,saldos!M$6)</f>
        <v>0</v>
      </c>
      <c r="N82" s="25">
        <f>cuotas_emitidas!N77-SUMIFS(ingresos!$D:$D,ingresos!$F:$F,saldos!$A82,ingresos!$G:$G,saldos!N$6)</f>
        <v>24.330000000000041</v>
      </c>
      <c r="O82" s="25">
        <f>cuotas_emitidas!O77-SUMIFS(ingresos!$D:$D,ingresos!$F:$F,saldos!$A82,ingresos!$G:$G,saldos!O$6)</f>
        <v>0</v>
      </c>
      <c r="P82" s="25">
        <f>cuotas_emitidas!P77-SUMIFS(ingresos!$D:$D,ingresos!$F:$F,saldos!$A82,ingresos!$G:$G,saldos!P$6)</f>
        <v>-24.330000000000041</v>
      </c>
      <c r="Q82" s="25">
        <f>cuotas_emitidas!Q77-SUMIFS(ingresos!$D:$D,ingresos!$F:$F,saldos!$A82,ingresos!$G:$G,saldos!Q$6)</f>
        <v>516.88</v>
      </c>
      <c r="R82" s="26">
        <f t="shared" si="3"/>
        <v>526.75</v>
      </c>
      <c r="T82" s="26">
        <f t="shared" si="4"/>
        <v>516.88</v>
      </c>
      <c r="U82" s="26">
        <f t="shared" si="5"/>
        <v>9.8700000000000045</v>
      </c>
    </row>
    <row r="83" spans="1:21" x14ac:dyDescent="0.25">
      <c r="A83" s="17" t="s">
        <v>1714</v>
      </c>
      <c r="B83" s="17" t="s">
        <v>1715</v>
      </c>
      <c r="C83" s="17" t="s">
        <v>1716</v>
      </c>
      <c r="D83" s="25">
        <f>cuotas_emitidas!D78-SUMIFS(ingresos!$D:$D,ingresos!$F:$F,saldos!$A83,ingresos!$G:$G,saldos!D$6)</f>
        <v>0</v>
      </c>
      <c r="E83" s="25">
        <f>cuotas_emitidas!E78-SUMIFS(ingresos!$D:$D,ingresos!$F:$F,saldos!$A83,ingresos!$G:$G,saldos!E$6)</f>
        <v>0</v>
      </c>
      <c r="F83" s="25">
        <f>cuotas_emitidas!F78-SUMIFS(ingresos!$D:$D,ingresos!$F:$F,saldos!$A83,ingresos!$G:$G,saldos!F$6)</f>
        <v>0</v>
      </c>
      <c r="G83" s="25">
        <f>cuotas_emitidas!G78-SUMIFS(ingresos!$D:$D,ingresos!$F:$F,saldos!$A83,ingresos!$G:$G,saldos!G$6)</f>
        <v>0</v>
      </c>
      <c r="H83" s="25">
        <f>cuotas_emitidas!H78-SUMIFS(ingresos!$D:$D,ingresos!$F:$F,saldos!$A83,ingresos!$G:$G,saldos!H$6)</f>
        <v>0</v>
      </c>
      <c r="I83" s="25">
        <f>cuotas_emitidas!I78-SUMIFS(ingresos!$D:$D,ingresos!$F:$F,saldos!$A83,ingresos!$G:$G,saldos!I$6)</f>
        <v>0</v>
      </c>
      <c r="J83" s="25">
        <f>cuotas_emitidas!J78-SUMIFS(ingresos!$D:$D,ingresos!$F:$F,saldos!$A83,ingresos!$G:$G,saldos!J$6)</f>
        <v>0</v>
      </c>
      <c r="K83" s="25">
        <f>cuotas_emitidas!K78-SUMIFS(ingresos!$D:$D,ingresos!$F:$F,saldos!$A83,ingresos!$G:$G,saldos!K$6)</f>
        <v>0</v>
      </c>
      <c r="L83" s="25">
        <f>cuotas_emitidas!L78-SUMIFS(ingresos!$D:$D,ingresos!$F:$F,saldos!$A83,ingresos!$G:$G,saldos!L$6)</f>
        <v>0</v>
      </c>
      <c r="M83" s="25">
        <f>cuotas_emitidas!M78-SUMIFS(ingresos!$D:$D,ingresos!$F:$F,saldos!$A83,ingresos!$G:$G,saldos!M$6)</f>
        <v>0</v>
      </c>
      <c r="N83" s="25">
        <f>cuotas_emitidas!N78-SUMIFS(ingresos!$D:$D,ingresos!$F:$F,saldos!$A83,ingresos!$G:$G,saldos!N$6)</f>
        <v>0</v>
      </c>
      <c r="O83" s="25">
        <f>cuotas_emitidas!O78-SUMIFS(ingresos!$D:$D,ingresos!$F:$F,saldos!$A83,ingresos!$G:$G,saldos!O$6)</f>
        <v>0</v>
      </c>
      <c r="P83" s="25">
        <f>cuotas_emitidas!P78-SUMIFS(ingresos!$D:$D,ingresos!$F:$F,saldos!$A83,ingresos!$G:$G,saldos!P$6)</f>
        <v>0</v>
      </c>
      <c r="Q83" s="25">
        <f>cuotas_emitidas!Q78-SUMIFS(ingresos!$D:$D,ingresos!$F:$F,saldos!$A83,ingresos!$G:$G,saldos!Q$6)</f>
        <v>485.45</v>
      </c>
      <c r="R83" s="26">
        <f t="shared" si="3"/>
        <v>485.45</v>
      </c>
      <c r="T83" s="26">
        <f t="shared" si="4"/>
        <v>485.45</v>
      </c>
      <c r="U83" s="26">
        <f t="shared" si="5"/>
        <v>0</v>
      </c>
    </row>
    <row r="84" spans="1:21" x14ac:dyDescent="0.25">
      <c r="A84" s="17" t="s">
        <v>1717</v>
      </c>
      <c r="B84" s="17" t="s">
        <v>1718</v>
      </c>
      <c r="C84" s="17" t="s">
        <v>1719</v>
      </c>
      <c r="D84" s="25">
        <f>cuotas_emitidas!D79-SUMIFS(ingresos!$D:$D,ingresos!$F:$F,saldos!$A84,ingresos!$G:$G,saldos!D$6)</f>
        <v>0</v>
      </c>
      <c r="E84" s="25">
        <f>cuotas_emitidas!E79-SUMIFS(ingresos!$D:$D,ingresos!$F:$F,saldos!$A84,ingresos!$G:$G,saldos!E$6)</f>
        <v>0</v>
      </c>
      <c r="F84" s="25">
        <f>cuotas_emitidas!F79-SUMIFS(ingresos!$D:$D,ingresos!$F:$F,saldos!$A84,ingresos!$G:$G,saldos!F$6)</f>
        <v>0</v>
      </c>
      <c r="G84" s="25">
        <f>cuotas_emitidas!G79-SUMIFS(ingresos!$D:$D,ingresos!$F:$F,saldos!$A84,ingresos!$G:$G,saldos!G$6)</f>
        <v>0</v>
      </c>
      <c r="H84" s="25">
        <f>cuotas_emitidas!H79-SUMIFS(ingresos!$D:$D,ingresos!$F:$F,saldos!$A84,ingresos!$G:$G,saldos!H$6)</f>
        <v>0</v>
      </c>
      <c r="I84" s="25">
        <f>cuotas_emitidas!I79-SUMIFS(ingresos!$D:$D,ingresos!$F:$F,saldos!$A84,ingresos!$G:$G,saldos!I$6)</f>
        <v>0</v>
      </c>
      <c r="J84" s="25">
        <f>cuotas_emitidas!J79-SUMIFS(ingresos!$D:$D,ingresos!$F:$F,saldos!$A84,ingresos!$G:$G,saldos!J$6)</f>
        <v>0</v>
      </c>
      <c r="K84" s="25">
        <f>cuotas_emitidas!K79-SUMIFS(ingresos!$D:$D,ingresos!$F:$F,saldos!$A84,ingresos!$G:$G,saldos!K$6)</f>
        <v>0</v>
      </c>
      <c r="L84" s="25">
        <f>cuotas_emitidas!L79-SUMIFS(ingresos!$D:$D,ingresos!$F:$F,saldos!$A84,ingresos!$G:$G,saldos!L$6)</f>
        <v>0</v>
      </c>
      <c r="M84" s="25">
        <f>cuotas_emitidas!M79-SUMIFS(ingresos!$D:$D,ingresos!$F:$F,saldos!$A84,ingresos!$G:$G,saldos!M$6)</f>
        <v>0</v>
      </c>
      <c r="N84" s="25">
        <f>cuotas_emitidas!N79-SUMIFS(ingresos!$D:$D,ingresos!$F:$F,saldos!$A84,ingresos!$G:$G,saldos!N$6)</f>
        <v>0</v>
      </c>
      <c r="O84" s="25">
        <f>cuotas_emitidas!O79-SUMIFS(ingresos!$D:$D,ingresos!$F:$F,saldos!$A84,ingresos!$G:$G,saldos!O$6)</f>
        <v>0</v>
      </c>
      <c r="P84" s="25">
        <f>cuotas_emitidas!P79-SUMIFS(ingresos!$D:$D,ingresos!$F:$F,saldos!$A84,ingresos!$G:$G,saldos!P$6)</f>
        <v>0</v>
      </c>
      <c r="Q84" s="25">
        <f>cuotas_emitidas!Q79-SUMIFS(ingresos!$D:$D,ingresos!$F:$F,saldos!$A84,ingresos!$G:$G,saldos!Q$6)</f>
        <v>418.90999999999997</v>
      </c>
      <c r="R84" s="26">
        <f t="shared" si="3"/>
        <v>418.90999999999997</v>
      </c>
      <c r="T84" s="26">
        <f t="shared" si="4"/>
        <v>418.90999999999997</v>
      </c>
      <c r="U84" s="26">
        <f t="shared" si="5"/>
        <v>0</v>
      </c>
    </row>
    <row r="85" spans="1:21" x14ac:dyDescent="0.25">
      <c r="A85" s="17" t="s">
        <v>1720</v>
      </c>
      <c r="B85" s="17" t="s">
        <v>1721</v>
      </c>
      <c r="C85" s="17" t="s">
        <v>1722</v>
      </c>
      <c r="D85" s="25">
        <f>cuotas_emitidas!D80-SUMIFS(ingresos!$D:$D,ingresos!$F:$F,saldos!$A85,ingresos!$G:$G,saldos!D$6)</f>
        <v>0</v>
      </c>
      <c r="E85" s="25">
        <f>cuotas_emitidas!E80-SUMIFS(ingresos!$D:$D,ingresos!$F:$F,saldos!$A85,ingresos!$G:$G,saldos!E$6)</f>
        <v>0</v>
      </c>
      <c r="F85" s="25">
        <f>cuotas_emitidas!F80-SUMIFS(ingresos!$D:$D,ingresos!$F:$F,saldos!$A85,ingresos!$G:$G,saldos!F$6)</f>
        <v>0</v>
      </c>
      <c r="G85" s="25">
        <f>cuotas_emitidas!G80-SUMIFS(ingresos!$D:$D,ingresos!$F:$F,saldos!$A85,ingresos!$G:$G,saldos!G$6)</f>
        <v>0</v>
      </c>
      <c r="H85" s="25">
        <f>cuotas_emitidas!H80-SUMIFS(ingresos!$D:$D,ingresos!$F:$F,saldos!$A85,ingresos!$G:$G,saldos!H$6)</f>
        <v>0</v>
      </c>
      <c r="I85" s="25">
        <f>cuotas_emitidas!I80-SUMIFS(ingresos!$D:$D,ingresos!$F:$F,saldos!$A85,ingresos!$G:$G,saldos!I$6)</f>
        <v>0</v>
      </c>
      <c r="J85" s="25">
        <f>cuotas_emitidas!J80-SUMIFS(ingresos!$D:$D,ingresos!$F:$F,saldos!$A85,ingresos!$G:$G,saldos!J$6)</f>
        <v>0</v>
      </c>
      <c r="K85" s="25">
        <f>cuotas_emitidas!K80-SUMIFS(ingresos!$D:$D,ingresos!$F:$F,saldos!$A85,ingresos!$G:$G,saldos!K$6)</f>
        <v>0</v>
      </c>
      <c r="L85" s="25">
        <f>cuotas_emitidas!L80-SUMIFS(ingresos!$D:$D,ingresos!$F:$F,saldos!$A85,ingresos!$G:$G,saldos!L$6)</f>
        <v>0</v>
      </c>
      <c r="M85" s="25">
        <f>cuotas_emitidas!M80-SUMIFS(ingresos!$D:$D,ingresos!$F:$F,saldos!$A85,ingresos!$G:$G,saldos!M$6)</f>
        <v>0</v>
      </c>
      <c r="N85" s="25">
        <f>cuotas_emitidas!N80-SUMIFS(ingresos!$D:$D,ingresos!$F:$F,saldos!$A85,ingresos!$G:$G,saldos!N$6)</f>
        <v>0</v>
      </c>
      <c r="O85" s="25">
        <f>cuotas_emitidas!O80-SUMIFS(ingresos!$D:$D,ingresos!$F:$F,saldos!$A85,ingresos!$G:$G,saldos!O$6)</f>
        <v>0</v>
      </c>
      <c r="P85" s="25">
        <f>cuotas_emitidas!P80-SUMIFS(ingresos!$D:$D,ingresos!$F:$F,saldos!$A85,ingresos!$G:$G,saldos!P$6)</f>
        <v>0</v>
      </c>
      <c r="Q85" s="25">
        <f>cuotas_emitidas!Q80-SUMIFS(ingresos!$D:$D,ingresos!$F:$F,saldos!$A85,ingresos!$G:$G,saldos!Q$6)</f>
        <v>404.62</v>
      </c>
      <c r="R85" s="26">
        <f t="shared" si="3"/>
        <v>404.62</v>
      </c>
      <c r="T85" s="26">
        <f t="shared" si="4"/>
        <v>404.62</v>
      </c>
      <c r="U85" s="26">
        <f t="shared" si="5"/>
        <v>0</v>
      </c>
    </row>
    <row r="86" spans="1:21" x14ac:dyDescent="0.25">
      <c r="A86" s="17" t="s">
        <v>1723</v>
      </c>
      <c r="B86" s="17" t="s">
        <v>1724</v>
      </c>
      <c r="C86" s="17" t="s">
        <v>1725</v>
      </c>
      <c r="D86" s="25">
        <f>cuotas_emitidas!D81-SUMIFS(ingresos!$D:$D,ingresos!$F:$F,saldos!$A86,ingresos!$G:$G,saldos!D$6)</f>
        <v>0</v>
      </c>
      <c r="E86" s="25">
        <f>cuotas_emitidas!E81-SUMIFS(ingresos!$D:$D,ingresos!$F:$F,saldos!$A86,ingresos!$G:$G,saldos!E$6)</f>
        <v>0</v>
      </c>
      <c r="F86" s="25">
        <f>cuotas_emitidas!F81-SUMIFS(ingresos!$D:$D,ingresos!$F:$F,saldos!$A86,ingresos!$G:$G,saldos!F$6)</f>
        <v>0</v>
      </c>
      <c r="G86" s="25">
        <f>cuotas_emitidas!G81-SUMIFS(ingresos!$D:$D,ingresos!$F:$F,saldos!$A86,ingresos!$G:$G,saldos!G$6)</f>
        <v>0</v>
      </c>
      <c r="H86" s="25">
        <f>cuotas_emitidas!H81-SUMIFS(ingresos!$D:$D,ingresos!$F:$F,saldos!$A86,ingresos!$G:$G,saldos!H$6)</f>
        <v>0</v>
      </c>
      <c r="I86" s="25">
        <f>cuotas_emitidas!I81-SUMIFS(ingresos!$D:$D,ingresos!$F:$F,saldos!$A86,ingresos!$G:$G,saldos!I$6)</f>
        <v>0</v>
      </c>
      <c r="J86" s="25">
        <f>cuotas_emitidas!J81-SUMIFS(ingresos!$D:$D,ingresos!$F:$F,saldos!$A86,ingresos!$G:$G,saldos!J$6)</f>
        <v>0</v>
      </c>
      <c r="K86" s="25">
        <f>cuotas_emitidas!K81-SUMIFS(ingresos!$D:$D,ingresos!$F:$F,saldos!$A86,ingresos!$G:$G,saldos!K$6)</f>
        <v>0</v>
      </c>
      <c r="L86" s="25">
        <f>cuotas_emitidas!L81-SUMIFS(ingresos!$D:$D,ingresos!$F:$F,saldos!$A86,ingresos!$G:$G,saldos!L$6)</f>
        <v>0</v>
      </c>
      <c r="M86" s="25">
        <f>cuotas_emitidas!M81-SUMIFS(ingresos!$D:$D,ingresos!$F:$F,saldos!$A86,ingresos!$G:$G,saldos!M$6)</f>
        <v>0</v>
      </c>
      <c r="N86" s="25">
        <f>cuotas_emitidas!N81-SUMIFS(ingresos!$D:$D,ingresos!$F:$F,saldos!$A86,ingresos!$G:$G,saldos!N$6)</f>
        <v>0</v>
      </c>
      <c r="O86" s="25">
        <f>cuotas_emitidas!O81-SUMIFS(ingresos!$D:$D,ingresos!$F:$F,saldos!$A86,ingresos!$G:$G,saldos!O$6)</f>
        <v>0</v>
      </c>
      <c r="P86" s="25">
        <f>cuotas_emitidas!P81-SUMIFS(ingresos!$D:$D,ingresos!$F:$F,saldos!$A86,ingresos!$G:$G,saldos!P$6)</f>
        <v>0</v>
      </c>
      <c r="Q86" s="25">
        <f>cuotas_emitidas!Q81-SUMIFS(ingresos!$D:$D,ingresos!$F:$F,saldos!$A86,ingresos!$G:$G,saldos!Q$6)</f>
        <v>277.75</v>
      </c>
      <c r="R86" s="26">
        <f t="shared" si="3"/>
        <v>277.75</v>
      </c>
      <c r="T86" s="26">
        <f t="shared" si="4"/>
        <v>277.75</v>
      </c>
      <c r="U86" s="26">
        <f t="shared" si="5"/>
        <v>0</v>
      </c>
    </row>
    <row r="87" spans="1:21" x14ac:dyDescent="0.25">
      <c r="A87" s="17" t="s">
        <v>1726</v>
      </c>
      <c r="B87" s="17" t="s">
        <v>1223</v>
      </c>
      <c r="C87" s="17" t="s">
        <v>1727</v>
      </c>
      <c r="D87" s="25">
        <f>cuotas_emitidas!D82-SUMIFS(ingresos!$D:$D,ingresos!$F:$F,saldos!$A87,ingresos!$G:$G,saldos!D$6)</f>
        <v>0</v>
      </c>
      <c r="E87" s="25">
        <f>cuotas_emitidas!E82-SUMIFS(ingresos!$D:$D,ingresos!$F:$F,saldos!$A87,ingresos!$G:$G,saldos!E$6)</f>
        <v>0</v>
      </c>
      <c r="F87" s="25">
        <f>cuotas_emitidas!F82-SUMIFS(ingresos!$D:$D,ingresos!$F:$F,saldos!$A87,ingresos!$G:$G,saldos!F$6)</f>
        <v>0</v>
      </c>
      <c r="G87" s="25">
        <f>cuotas_emitidas!G82-SUMIFS(ingresos!$D:$D,ingresos!$F:$F,saldos!$A87,ingresos!$G:$G,saldos!G$6)</f>
        <v>0</v>
      </c>
      <c r="H87" s="25">
        <f>cuotas_emitidas!H82-SUMIFS(ingresos!$D:$D,ingresos!$F:$F,saldos!$A87,ingresos!$G:$G,saldos!H$6)</f>
        <v>0</v>
      </c>
      <c r="I87" s="25">
        <f>cuotas_emitidas!I82-SUMIFS(ingresos!$D:$D,ingresos!$F:$F,saldos!$A87,ingresos!$G:$G,saldos!I$6)</f>
        <v>0</v>
      </c>
      <c r="J87" s="25">
        <f>cuotas_emitidas!J82-SUMIFS(ingresos!$D:$D,ingresos!$F:$F,saldos!$A87,ingresos!$G:$G,saldos!J$6)</f>
        <v>0</v>
      </c>
      <c r="K87" s="25">
        <f>cuotas_emitidas!K82-SUMIFS(ingresos!$D:$D,ingresos!$F:$F,saldos!$A87,ingresos!$G:$G,saldos!K$6)</f>
        <v>0</v>
      </c>
      <c r="L87" s="25">
        <f>cuotas_emitidas!L82-SUMIFS(ingresos!$D:$D,ingresos!$F:$F,saldos!$A87,ingresos!$G:$G,saldos!L$6)</f>
        <v>0</v>
      </c>
      <c r="M87" s="25">
        <f>cuotas_emitidas!M82-SUMIFS(ingresos!$D:$D,ingresos!$F:$F,saldos!$A87,ingresos!$G:$G,saldos!M$6)</f>
        <v>0</v>
      </c>
      <c r="N87" s="25">
        <f>cuotas_emitidas!N82-SUMIFS(ingresos!$D:$D,ingresos!$F:$F,saldos!$A87,ingresos!$G:$G,saldos!N$6)</f>
        <v>0</v>
      </c>
      <c r="O87" s="25">
        <f>cuotas_emitidas!O82-SUMIFS(ingresos!$D:$D,ingresos!$F:$F,saldos!$A87,ingresos!$G:$G,saldos!O$6)</f>
        <v>15.620000000000005</v>
      </c>
      <c r="P87" s="25">
        <f>cuotas_emitidas!P82-SUMIFS(ingresos!$D:$D,ingresos!$F:$F,saldos!$A87,ingresos!$G:$G,saldos!P$6)</f>
        <v>-15.620000000000005</v>
      </c>
      <c r="Q87" s="25">
        <f>cuotas_emitidas!Q82-SUMIFS(ingresos!$D:$D,ingresos!$F:$F,saldos!$A87,ingresos!$G:$G,saldos!Q$6)</f>
        <v>380.25</v>
      </c>
      <c r="R87" s="26">
        <f t="shared" si="3"/>
        <v>380.25</v>
      </c>
      <c r="T87" s="26">
        <f t="shared" si="4"/>
        <v>380.25</v>
      </c>
      <c r="U87" s="26">
        <f t="shared" si="5"/>
        <v>0</v>
      </c>
    </row>
    <row r="88" spans="1:21" x14ac:dyDescent="0.25">
      <c r="A88" s="17" t="s">
        <v>1728</v>
      </c>
      <c r="B88" s="17" t="s">
        <v>1729</v>
      </c>
      <c r="C88" s="17" t="s">
        <v>1730</v>
      </c>
      <c r="D88" s="25">
        <f>cuotas_emitidas!D83-SUMIFS(ingresos!$D:$D,ingresos!$F:$F,saldos!$A88,ingresos!$G:$G,saldos!D$6)</f>
        <v>0</v>
      </c>
      <c r="E88" s="25">
        <f>cuotas_emitidas!E83-SUMIFS(ingresos!$D:$D,ingresos!$F:$F,saldos!$A88,ingresos!$G:$G,saldos!E$6)</f>
        <v>0</v>
      </c>
      <c r="F88" s="25">
        <f>cuotas_emitidas!F83-SUMIFS(ingresos!$D:$D,ingresos!$F:$F,saldos!$A88,ingresos!$G:$G,saldos!F$6)</f>
        <v>0</v>
      </c>
      <c r="G88" s="25">
        <f>cuotas_emitidas!G83-SUMIFS(ingresos!$D:$D,ingresos!$F:$F,saldos!$A88,ingresos!$G:$G,saldos!G$6)</f>
        <v>0</v>
      </c>
      <c r="H88" s="25">
        <f>cuotas_emitidas!H83-SUMIFS(ingresos!$D:$D,ingresos!$F:$F,saldos!$A88,ingresos!$G:$G,saldos!H$6)</f>
        <v>0</v>
      </c>
      <c r="I88" s="25">
        <f>cuotas_emitidas!I83-SUMIFS(ingresos!$D:$D,ingresos!$F:$F,saldos!$A88,ingresos!$G:$G,saldos!I$6)</f>
        <v>0</v>
      </c>
      <c r="J88" s="25">
        <f>cuotas_emitidas!J83-SUMIFS(ingresos!$D:$D,ingresos!$F:$F,saldos!$A88,ingresos!$G:$G,saldos!J$6)</f>
        <v>0</v>
      </c>
      <c r="K88" s="25">
        <f>cuotas_emitidas!K83-SUMIFS(ingresos!$D:$D,ingresos!$F:$F,saldos!$A88,ingresos!$G:$G,saldos!K$6)</f>
        <v>0</v>
      </c>
      <c r="L88" s="25">
        <f>cuotas_emitidas!L83-SUMIFS(ingresos!$D:$D,ingresos!$F:$F,saldos!$A88,ingresos!$G:$G,saldos!L$6)</f>
        <v>0</v>
      </c>
      <c r="M88" s="25">
        <f>cuotas_emitidas!M83-SUMIFS(ingresos!$D:$D,ingresos!$F:$F,saldos!$A88,ingresos!$G:$G,saldos!M$6)</f>
        <v>0</v>
      </c>
      <c r="N88" s="25">
        <f>cuotas_emitidas!N83-SUMIFS(ingresos!$D:$D,ingresos!$F:$F,saldos!$A88,ingresos!$G:$G,saldos!N$6)</f>
        <v>0.40000000000000568</v>
      </c>
      <c r="O88" s="25">
        <f>cuotas_emitidas!O83-SUMIFS(ingresos!$D:$D,ingresos!$F:$F,saldos!$A88,ingresos!$G:$G,saldos!O$6)</f>
        <v>0</v>
      </c>
      <c r="P88" s="25">
        <f>cuotas_emitidas!P83-SUMIFS(ingresos!$D:$D,ingresos!$F:$F,saldos!$A88,ingresos!$G:$G,saldos!P$6)</f>
        <v>-0.40000000000000568</v>
      </c>
      <c r="Q88" s="25">
        <f>cuotas_emitidas!Q83-SUMIFS(ingresos!$D:$D,ingresos!$F:$F,saldos!$A88,ingresos!$G:$G,saldos!Q$6)</f>
        <v>176.66</v>
      </c>
      <c r="R88" s="26">
        <f t="shared" si="3"/>
        <v>176.66</v>
      </c>
      <c r="T88" s="26">
        <f t="shared" si="4"/>
        <v>176.66</v>
      </c>
      <c r="U88" s="26">
        <f t="shared" si="5"/>
        <v>0</v>
      </c>
    </row>
    <row r="89" spans="1:21" x14ac:dyDescent="0.25">
      <c r="A89" s="17" t="s">
        <v>1731</v>
      </c>
      <c r="B89" s="17" t="s">
        <v>1217</v>
      </c>
      <c r="C89" s="17" t="s">
        <v>1732</v>
      </c>
      <c r="D89" s="25">
        <f>cuotas_emitidas!D84-SUMIFS(ingresos!$D:$D,ingresos!$F:$F,saldos!$A89,ingresos!$G:$G,saldos!D$6)</f>
        <v>0</v>
      </c>
      <c r="E89" s="25">
        <f>cuotas_emitidas!E84-SUMIFS(ingresos!$D:$D,ingresos!$F:$F,saldos!$A89,ingresos!$G:$G,saldos!E$6)</f>
        <v>0</v>
      </c>
      <c r="F89" s="25">
        <f>cuotas_emitidas!F84-SUMIFS(ingresos!$D:$D,ingresos!$F:$F,saldos!$A89,ingresos!$G:$G,saldos!F$6)</f>
        <v>0</v>
      </c>
      <c r="G89" s="25">
        <f>cuotas_emitidas!G84-SUMIFS(ingresos!$D:$D,ingresos!$F:$F,saldos!$A89,ingresos!$G:$G,saldos!G$6)</f>
        <v>0</v>
      </c>
      <c r="H89" s="25">
        <f>cuotas_emitidas!H84-SUMIFS(ingresos!$D:$D,ingresos!$F:$F,saldos!$A89,ingresos!$G:$G,saldos!H$6)</f>
        <v>0</v>
      </c>
      <c r="I89" s="25">
        <f>cuotas_emitidas!I84-SUMIFS(ingresos!$D:$D,ingresos!$F:$F,saldos!$A89,ingresos!$G:$G,saldos!I$6)</f>
        <v>0</v>
      </c>
      <c r="J89" s="25">
        <f>cuotas_emitidas!J84-SUMIFS(ingresos!$D:$D,ingresos!$F:$F,saldos!$A89,ingresos!$G:$G,saldos!J$6)</f>
        <v>0</v>
      </c>
      <c r="K89" s="25">
        <f>cuotas_emitidas!K84-SUMIFS(ingresos!$D:$D,ingresos!$F:$F,saldos!$A89,ingresos!$G:$G,saldos!K$6)</f>
        <v>0</v>
      </c>
      <c r="L89" s="25">
        <f>cuotas_emitidas!L84-SUMIFS(ingresos!$D:$D,ingresos!$F:$F,saldos!$A89,ingresos!$G:$G,saldos!L$6)</f>
        <v>0</v>
      </c>
      <c r="M89" s="25">
        <f>cuotas_emitidas!M84-SUMIFS(ingresos!$D:$D,ingresos!$F:$F,saldos!$A89,ingresos!$G:$G,saldos!M$6)</f>
        <v>0</v>
      </c>
      <c r="N89" s="25">
        <f>cuotas_emitidas!N84-SUMIFS(ingresos!$D:$D,ingresos!$F:$F,saldos!$A89,ingresos!$G:$G,saldos!N$6)</f>
        <v>0</v>
      </c>
      <c r="O89" s="25">
        <f>cuotas_emitidas!O84-SUMIFS(ingresos!$D:$D,ingresos!$F:$F,saldos!$A89,ingresos!$G:$G,saldos!O$6)</f>
        <v>0</v>
      </c>
      <c r="P89" s="25">
        <f>cuotas_emitidas!P84-SUMIFS(ingresos!$D:$D,ingresos!$F:$F,saldos!$A89,ingresos!$G:$G,saldos!P$6)</f>
        <v>0</v>
      </c>
      <c r="Q89" s="25">
        <f>cuotas_emitidas!Q84-SUMIFS(ingresos!$D:$D,ingresos!$F:$F,saldos!$A89,ingresos!$G:$G,saldos!Q$6)</f>
        <v>0</v>
      </c>
      <c r="R89" s="26">
        <f t="shared" si="3"/>
        <v>0</v>
      </c>
      <c r="T89" s="26">
        <f t="shared" si="4"/>
        <v>0</v>
      </c>
      <c r="U89" s="26">
        <f t="shared" si="5"/>
        <v>0</v>
      </c>
    </row>
    <row r="90" spans="1:21" x14ac:dyDescent="0.25">
      <c r="A90" s="17" t="s">
        <v>1733</v>
      </c>
      <c r="B90" s="17" t="s">
        <v>1734</v>
      </c>
      <c r="C90" s="17" t="s">
        <v>1735</v>
      </c>
      <c r="D90" s="25">
        <f>cuotas_emitidas!D85-SUMIFS(ingresos!$D:$D,ingresos!$F:$F,saldos!$A90,ingresos!$G:$G,saldos!D$6)</f>
        <v>0</v>
      </c>
      <c r="E90" s="25">
        <f>cuotas_emitidas!E85-SUMIFS(ingresos!$D:$D,ingresos!$F:$F,saldos!$A90,ingresos!$G:$G,saldos!E$6)</f>
        <v>0</v>
      </c>
      <c r="F90" s="25">
        <f>cuotas_emitidas!F85-SUMIFS(ingresos!$D:$D,ingresos!$F:$F,saldos!$A90,ingresos!$G:$G,saldos!F$6)</f>
        <v>0</v>
      </c>
      <c r="G90" s="25">
        <f>cuotas_emitidas!G85-SUMIFS(ingresos!$D:$D,ingresos!$F:$F,saldos!$A90,ingresos!$G:$G,saldos!G$6)</f>
        <v>0</v>
      </c>
      <c r="H90" s="25">
        <f>cuotas_emitidas!H85-SUMIFS(ingresos!$D:$D,ingresos!$F:$F,saldos!$A90,ingresos!$G:$G,saldos!H$6)</f>
        <v>0</v>
      </c>
      <c r="I90" s="25">
        <f>cuotas_emitidas!I85-SUMIFS(ingresos!$D:$D,ingresos!$F:$F,saldos!$A90,ingresos!$G:$G,saldos!I$6)</f>
        <v>0</v>
      </c>
      <c r="J90" s="25">
        <f>cuotas_emitidas!J85-SUMIFS(ingresos!$D:$D,ingresos!$F:$F,saldos!$A90,ingresos!$G:$G,saldos!J$6)</f>
        <v>0</v>
      </c>
      <c r="K90" s="25">
        <f>cuotas_emitidas!K85-SUMIFS(ingresos!$D:$D,ingresos!$F:$F,saldos!$A90,ingresos!$G:$G,saldos!K$6)</f>
        <v>0</v>
      </c>
      <c r="L90" s="25">
        <f>cuotas_emitidas!L85-SUMIFS(ingresos!$D:$D,ingresos!$F:$F,saldos!$A90,ingresos!$G:$G,saldos!L$6)</f>
        <v>80.52</v>
      </c>
      <c r="M90" s="25">
        <f>cuotas_emitidas!M85-SUMIFS(ingresos!$D:$D,ingresos!$F:$F,saldos!$A90,ingresos!$G:$G,saldos!M$6)</f>
        <v>377.68</v>
      </c>
      <c r="N90" s="25">
        <f>cuotas_emitidas!N85-SUMIFS(ingresos!$D:$D,ingresos!$F:$F,saldos!$A90,ingresos!$G:$G,saldos!N$6)</f>
        <v>410.72</v>
      </c>
      <c r="O90" s="25">
        <f>cuotas_emitidas!O85-SUMIFS(ingresos!$D:$D,ingresos!$F:$F,saldos!$A90,ingresos!$G:$G,saldos!O$6)</f>
        <v>415.06</v>
      </c>
      <c r="P90" s="25">
        <f>cuotas_emitidas!P85-SUMIFS(ingresos!$D:$D,ingresos!$F:$F,saldos!$A90,ingresos!$G:$G,saldos!P$6)</f>
        <v>392.97</v>
      </c>
      <c r="Q90" s="25">
        <f>cuotas_emitidas!Q85-SUMIFS(ingresos!$D:$D,ingresos!$F:$F,saldos!$A90,ingresos!$G:$G,saldos!Q$6)</f>
        <v>402.01</v>
      </c>
      <c r="R90" s="26">
        <f t="shared" si="3"/>
        <v>2078.96</v>
      </c>
      <c r="T90" s="26">
        <f t="shared" si="4"/>
        <v>402.01</v>
      </c>
      <c r="U90" s="26">
        <f t="shared" si="5"/>
        <v>1676.95</v>
      </c>
    </row>
    <row r="91" spans="1:21" x14ac:dyDescent="0.25">
      <c r="A91" s="17" t="s">
        <v>1736</v>
      </c>
      <c r="B91" s="17" t="s">
        <v>1737</v>
      </c>
      <c r="C91" s="17" t="s">
        <v>1738</v>
      </c>
      <c r="D91" s="25">
        <f>cuotas_emitidas!D86-SUMIFS(ingresos!$D:$D,ingresos!$F:$F,saldos!$A91,ingresos!$G:$G,saldos!D$6)</f>
        <v>0</v>
      </c>
      <c r="E91" s="25">
        <f>cuotas_emitidas!E86-SUMIFS(ingresos!$D:$D,ingresos!$F:$F,saldos!$A91,ingresos!$G:$G,saldos!E$6)</f>
        <v>0</v>
      </c>
      <c r="F91" s="25">
        <f>cuotas_emitidas!F86-SUMIFS(ingresos!$D:$D,ingresos!$F:$F,saldos!$A91,ingresos!$G:$G,saldos!F$6)</f>
        <v>0</v>
      </c>
      <c r="G91" s="25">
        <f>cuotas_emitidas!G86-SUMIFS(ingresos!$D:$D,ingresos!$F:$F,saldos!$A91,ingresos!$G:$G,saldos!G$6)</f>
        <v>0</v>
      </c>
      <c r="H91" s="25">
        <f>cuotas_emitidas!H86-SUMIFS(ingresos!$D:$D,ingresos!$F:$F,saldos!$A91,ingresos!$G:$G,saldos!H$6)</f>
        <v>0</v>
      </c>
      <c r="I91" s="25">
        <f>cuotas_emitidas!I86-SUMIFS(ingresos!$D:$D,ingresos!$F:$F,saldos!$A91,ingresos!$G:$G,saldos!I$6)</f>
        <v>0</v>
      </c>
      <c r="J91" s="25">
        <f>cuotas_emitidas!J86-SUMIFS(ingresos!$D:$D,ingresos!$F:$F,saldos!$A91,ingresos!$G:$G,saldos!J$6)</f>
        <v>0</v>
      </c>
      <c r="K91" s="25">
        <f>cuotas_emitidas!K86-SUMIFS(ingresos!$D:$D,ingresos!$F:$F,saldos!$A91,ingresos!$G:$G,saldos!K$6)</f>
        <v>0</v>
      </c>
      <c r="L91" s="25">
        <f>cuotas_emitidas!L86-SUMIFS(ingresos!$D:$D,ingresos!$F:$F,saldos!$A91,ingresos!$G:$G,saldos!L$6)</f>
        <v>0</v>
      </c>
      <c r="M91" s="25">
        <f>cuotas_emitidas!M86-SUMIFS(ingresos!$D:$D,ingresos!$F:$F,saldos!$A91,ingresos!$G:$G,saldos!M$6)</f>
        <v>0</v>
      </c>
      <c r="N91" s="25">
        <f>cuotas_emitidas!N86-SUMIFS(ingresos!$D:$D,ingresos!$F:$F,saldos!$A91,ingresos!$G:$G,saldos!N$6)</f>
        <v>0</v>
      </c>
      <c r="O91" s="25">
        <f>cuotas_emitidas!O86-SUMIFS(ingresos!$D:$D,ingresos!$F:$F,saldos!$A91,ingresos!$G:$G,saldos!O$6)</f>
        <v>0</v>
      </c>
      <c r="P91" s="25">
        <f>cuotas_emitidas!P86-SUMIFS(ingresos!$D:$D,ingresos!$F:$F,saldos!$A91,ingresos!$G:$G,saldos!P$6)</f>
        <v>0</v>
      </c>
      <c r="Q91" s="25">
        <f>cuotas_emitidas!Q86-SUMIFS(ingresos!$D:$D,ingresos!$F:$F,saldos!$A91,ingresos!$G:$G,saldos!Q$6)</f>
        <v>368.86</v>
      </c>
      <c r="R91" s="26">
        <f t="shared" si="3"/>
        <v>368.86</v>
      </c>
      <c r="T91" s="26">
        <f t="shared" si="4"/>
        <v>368.86</v>
      </c>
      <c r="U91" s="26">
        <f t="shared" si="5"/>
        <v>0</v>
      </c>
    </row>
    <row r="92" spans="1:21" x14ac:dyDescent="0.25">
      <c r="A92" s="17" t="s">
        <v>1739</v>
      </c>
      <c r="B92" s="17" t="s">
        <v>1740</v>
      </c>
      <c r="C92" s="17" t="s">
        <v>1741</v>
      </c>
      <c r="D92" s="25">
        <f>cuotas_emitidas!D87-SUMIFS(ingresos!$D:$D,ingresos!$F:$F,saldos!$A92,ingresos!$G:$G,saldos!D$6)</f>
        <v>0</v>
      </c>
      <c r="E92" s="25">
        <f>cuotas_emitidas!E87-SUMIFS(ingresos!$D:$D,ingresos!$F:$F,saldos!$A92,ingresos!$G:$G,saldos!E$6)</f>
        <v>0</v>
      </c>
      <c r="F92" s="25">
        <f>cuotas_emitidas!F87-SUMIFS(ingresos!$D:$D,ingresos!$F:$F,saldos!$A92,ingresos!$G:$G,saldos!F$6)</f>
        <v>0</v>
      </c>
      <c r="G92" s="25">
        <f>cuotas_emitidas!G87-SUMIFS(ingresos!$D:$D,ingresos!$F:$F,saldos!$A92,ingresos!$G:$G,saldos!G$6)</f>
        <v>0</v>
      </c>
      <c r="H92" s="25">
        <f>cuotas_emitidas!H87-SUMIFS(ingresos!$D:$D,ingresos!$F:$F,saldos!$A92,ingresos!$G:$G,saldos!H$6)</f>
        <v>0</v>
      </c>
      <c r="I92" s="25">
        <f>cuotas_emitidas!I87-SUMIFS(ingresos!$D:$D,ingresos!$F:$F,saldos!$A92,ingresos!$G:$G,saldos!I$6)</f>
        <v>0</v>
      </c>
      <c r="J92" s="25">
        <f>cuotas_emitidas!J87-SUMIFS(ingresos!$D:$D,ingresos!$F:$F,saldos!$A92,ingresos!$G:$G,saldos!J$6)</f>
        <v>487.31</v>
      </c>
      <c r="K92" s="25">
        <f>cuotas_emitidas!K87-SUMIFS(ingresos!$D:$D,ingresos!$F:$F,saldos!$A92,ingresos!$G:$G,saldos!K$6)</f>
        <v>466.41</v>
      </c>
      <c r="L92" s="25">
        <f>cuotas_emitidas!L87-SUMIFS(ingresos!$D:$D,ingresos!$F:$F,saldos!$A92,ingresos!$G:$G,saldos!L$6)</f>
        <v>0</v>
      </c>
      <c r="M92" s="25">
        <f>cuotas_emitidas!M87-SUMIFS(ingresos!$D:$D,ingresos!$F:$F,saldos!$A92,ingresos!$G:$G,saldos!M$6)</f>
        <v>0</v>
      </c>
      <c r="N92" s="25">
        <f>cuotas_emitidas!N87-SUMIFS(ingresos!$D:$D,ingresos!$F:$F,saldos!$A92,ingresos!$G:$G,saldos!N$6)</f>
        <v>0</v>
      </c>
      <c r="O92" s="25">
        <f>cuotas_emitidas!O87-SUMIFS(ingresos!$D:$D,ingresos!$F:$F,saldos!$A92,ingresos!$G:$G,saldos!O$6)</f>
        <v>0</v>
      </c>
      <c r="P92" s="25">
        <f>cuotas_emitidas!P87-SUMIFS(ingresos!$D:$D,ingresos!$F:$F,saldos!$A92,ingresos!$G:$G,saldos!P$6)</f>
        <v>393.7</v>
      </c>
      <c r="Q92" s="25">
        <f>cuotas_emitidas!Q87-SUMIFS(ingresos!$D:$D,ingresos!$F:$F,saldos!$A92,ingresos!$G:$G,saldos!Q$6)</f>
        <v>418.99</v>
      </c>
      <c r="R92" s="26">
        <f t="shared" si="3"/>
        <v>1766.41</v>
      </c>
      <c r="T92" s="26">
        <f t="shared" si="4"/>
        <v>418.99</v>
      </c>
      <c r="U92" s="26">
        <f t="shared" si="5"/>
        <v>1347.42</v>
      </c>
    </row>
    <row r="93" spans="1:21" x14ac:dyDescent="0.25">
      <c r="A93" s="17" t="s">
        <v>1742</v>
      </c>
      <c r="B93" s="17" t="s">
        <v>1278</v>
      </c>
      <c r="C93" s="17" t="s">
        <v>1743</v>
      </c>
      <c r="D93" s="25">
        <f>cuotas_emitidas!D88-SUMIFS(ingresos!$D:$D,ingresos!$F:$F,saldos!$A93,ingresos!$G:$G,saldos!D$6)</f>
        <v>0</v>
      </c>
      <c r="E93" s="25">
        <f>cuotas_emitidas!E88-SUMIFS(ingresos!$D:$D,ingresos!$F:$F,saldos!$A93,ingresos!$G:$G,saldos!E$6)</f>
        <v>0</v>
      </c>
      <c r="F93" s="25">
        <f>cuotas_emitidas!F88-SUMIFS(ingresos!$D:$D,ingresos!$F:$F,saldos!$A93,ingresos!$G:$G,saldos!F$6)</f>
        <v>0</v>
      </c>
      <c r="G93" s="25">
        <f>cuotas_emitidas!G88-SUMIFS(ingresos!$D:$D,ingresos!$F:$F,saldos!$A93,ingresos!$G:$G,saldos!G$6)</f>
        <v>0</v>
      </c>
      <c r="H93" s="25">
        <f>cuotas_emitidas!H88-SUMIFS(ingresos!$D:$D,ingresos!$F:$F,saldos!$A93,ingresos!$G:$G,saldos!H$6)</f>
        <v>0</v>
      </c>
      <c r="I93" s="25">
        <f>cuotas_emitidas!I88-SUMIFS(ingresos!$D:$D,ingresos!$F:$F,saldos!$A93,ingresos!$G:$G,saldos!I$6)</f>
        <v>0</v>
      </c>
      <c r="J93" s="25">
        <f>cuotas_emitidas!J88-SUMIFS(ingresos!$D:$D,ingresos!$F:$F,saldos!$A93,ingresos!$G:$G,saldos!J$6)</f>
        <v>0</v>
      </c>
      <c r="K93" s="25">
        <f>cuotas_emitidas!K88-SUMIFS(ingresos!$D:$D,ingresos!$F:$F,saldos!$A93,ingresos!$G:$G,saldos!K$6)</f>
        <v>0</v>
      </c>
      <c r="L93" s="25">
        <f>cuotas_emitidas!L88-SUMIFS(ingresos!$D:$D,ingresos!$F:$F,saldos!$A93,ingresos!$G:$G,saldos!L$6)</f>
        <v>0</v>
      </c>
      <c r="M93" s="25">
        <f>cuotas_emitidas!M88-SUMIFS(ingresos!$D:$D,ingresos!$F:$F,saldos!$A93,ingresos!$G:$G,saldos!M$6)</f>
        <v>0</v>
      </c>
      <c r="N93" s="25">
        <f>cuotas_emitidas!N88-SUMIFS(ingresos!$D:$D,ingresos!$F:$F,saldos!$A93,ingresos!$G:$G,saldos!N$6)</f>
        <v>0</v>
      </c>
      <c r="O93" s="25">
        <f>cuotas_emitidas!O88-SUMIFS(ingresos!$D:$D,ingresos!$F:$F,saldos!$A93,ingresos!$G:$G,saldos!O$6)</f>
        <v>0</v>
      </c>
      <c r="P93" s="25">
        <f>cuotas_emitidas!P88-SUMIFS(ingresos!$D:$D,ingresos!$F:$F,saldos!$A93,ingresos!$G:$G,saldos!P$6)</f>
        <v>0</v>
      </c>
      <c r="Q93" s="25">
        <f>cuotas_emitidas!Q88-SUMIFS(ingresos!$D:$D,ingresos!$F:$F,saldos!$A93,ingresos!$G:$G,saldos!Q$6)</f>
        <v>0</v>
      </c>
      <c r="R93" s="26">
        <f t="shared" si="3"/>
        <v>0</v>
      </c>
      <c r="T93" s="26">
        <f t="shared" si="4"/>
        <v>0</v>
      </c>
      <c r="U93" s="26">
        <f t="shared" si="5"/>
        <v>0</v>
      </c>
    </row>
    <row r="94" spans="1:21" x14ac:dyDescent="0.25">
      <c r="A94" s="17" t="s">
        <v>1744</v>
      </c>
      <c r="B94" s="17" t="s">
        <v>1745</v>
      </c>
      <c r="C94" s="17" t="s">
        <v>1746</v>
      </c>
      <c r="D94" s="25">
        <f>cuotas_emitidas!D89-SUMIFS(ingresos!$D:$D,ingresos!$F:$F,saldos!$A94,ingresos!$G:$G,saldos!D$6)</f>
        <v>0</v>
      </c>
      <c r="E94" s="25">
        <f>cuotas_emitidas!E89-SUMIFS(ingresos!$D:$D,ingresos!$F:$F,saldos!$A94,ingresos!$G:$G,saldos!E$6)</f>
        <v>0</v>
      </c>
      <c r="F94" s="25">
        <f>cuotas_emitidas!F89-SUMIFS(ingresos!$D:$D,ingresos!$F:$F,saldos!$A94,ingresos!$G:$G,saldos!F$6)</f>
        <v>0</v>
      </c>
      <c r="G94" s="25">
        <f>cuotas_emitidas!G89-SUMIFS(ingresos!$D:$D,ingresos!$F:$F,saldos!$A94,ingresos!$G:$G,saldos!G$6)</f>
        <v>0</v>
      </c>
      <c r="H94" s="25">
        <f>cuotas_emitidas!H89-SUMIFS(ingresos!$D:$D,ingresos!$F:$F,saldos!$A94,ingresos!$G:$G,saldos!H$6)</f>
        <v>0</v>
      </c>
      <c r="I94" s="25">
        <f>cuotas_emitidas!I89-SUMIFS(ingresos!$D:$D,ingresos!$F:$F,saldos!$A94,ingresos!$G:$G,saldos!I$6)</f>
        <v>0</v>
      </c>
      <c r="J94" s="25">
        <f>cuotas_emitidas!J89-SUMIFS(ingresos!$D:$D,ingresos!$F:$F,saldos!$A94,ingresos!$G:$G,saldos!J$6)</f>
        <v>0</v>
      </c>
      <c r="K94" s="25">
        <f>cuotas_emitidas!K89-SUMIFS(ingresos!$D:$D,ingresos!$F:$F,saldos!$A94,ingresos!$G:$G,saldos!K$6)</f>
        <v>0</v>
      </c>
      <c r="L94" s="25">
        <f>cuotas_emitidas!L89-SUMIFS(ingresos!$D:$D,ingresos!$F:$F,saldos!$A94,ingresos!$G:$G,saldos!L$6)</f>
        <v>0</v>
      </c>
      <c r="M94" s="25">
        <f>cuotas_emitidas!M89-SUMIFS(ingresos!$D:$D,ingresos!$F:$F,saldos!$A94,ingresos!$G:$G,saldos!M$6)</f>
        <v>0</v>
      </c>
      <c r="N94" s="25">
        <f>cuotas_emitidas!N89-SUMIFS(ingresos!$D:$D,ingresos!$F:$F,saldos!$A94,ingresos!$G:$G,saldos!N$6)</f>
        <v>386.65</v>
      </c>
      <c r="O94" s="25">
        <f>cuotas_emitidas!O89-SUMIFS(ingresos!$D:$D,ingresos!$F:$F,saldos!$A94,ingresos!$G:$G,saldos!O$6)</f>
        <v>385.04</v>
      </c>
      <c r="P94" s="25">
        <f>cuotas_emitidas!P89-SUMIFS(ingresos!$D:$D,ingresos!$F:$F,saldos!$A94,ingresos!$G:$G,saldos!P$6)</f>
        <v>385.97</v>
      </c>
      <c r="Q94" s="25">
        <f>cuotas_emitidas!Q89-SUMIFS(ingresos!$D:$D,ingresos!$F:$F,saldos!$A94,ingresos!$G:$G,saldos!Q$6)</f>
        <v>368.86</v>
      </c>
      <c r="R94" s="26">
        <f t="shared" si="3"/>
        <v>1526.52</v>
      </c>
      <c r="T94" s="26">
        <f t="shared" si="4"/>
        <v>368.86</v>
      </c>
      <c r="U94" s="26">
        <f t="shared" si="5"/>
        <v>1157.6599999999999</v>
      </c>
    </row>
    <row r="95" spans="1:21" x14ac:dyDescent="0.25">
      <c r="A95" s="17" t="s">
        <v>1747</v>
      </c>
      <c r="B95" s="17" t="s">
        <v>1748</v>
      </c>
      <c r="C95" s="17" t="s">
        <v>1749</v>
      </c>
      <c r="D95" s="25">
        <f>cuotas_emitidas!D90-SUMIFS(ingresos!$D:$D,ingresos!$F:$F,saldos!$A95,ingresos!$G:$G,saldos!D$6)</f>
        <v>0</v>
      </c>
      <c r="E95" s="25">
        <f>cuotas_emitidas!E90-SUMIFS(ingresos!$D:$D,ingresos!$F:$F,saldos!$A95,ingresos!$G:$G,saldos!E$6)</f>
        <v>0</v>
      </c>
      <c r="F95" s="25">
        <f>cuotas_emitidas!F90-SUMIFS(ingresos!$D:$D,ingresos!$F:$F,saldos!$A95,ingresos!$G:$G,saldos!F$6)</f>
        <v>0</v>
      </c>
      <c r="G95" s="25">
        <f>cuotas_emitidas!G90-SUMIFS(ingresos!$D:$D,ingresos!$F:$F,saldos!$A95,ingresos!$G:$G,saldos!G$6)</f>
        <v>0</v>
      </c>
      <c r="H95" s="25">
        <f>cuotas_emitidas!H90-SUMIFS(ingresos!$D:$D,ingresos!$F:$F,saldos!$A95,ingresos!$G:$G,saldos!H$6)</f>
        <v>0</v>
      </c>
      <c r="I95" s="25">
        <f>cuotas_emitidas!I90-SUMIFS(ingresos!$D:$D,ingresos!$F:$F,saldos!$A95,ingresos!$G:$G,saldos!I$6)</f>
        <v>0</v>
      </c>
      <c r="J95" s="25">
        <f>cuotas_emitidas!J90-SUMIFS(ingresos!$D:$D,ingresos!$F:$F,saldos!$A95,ingresos!$G:$G,saldos!J$6)</f>
        <v>0</v>
      </c>
      <c r="K95" s="25">
        <f>cuotas_emitidas!K90-SUMIFS(ingresos!$D:$D,ingresos!$F:$F,saldos!$A95,ingresos!$G:$G,saldos!K$6)</f>
        <v>23.32</v>
      </c>
      <c r="L95" s="25">
        <f>cuotas_emitidas!L90-SUMIFS(ingresos!$D:$D,ingresos!$F:$F,saldos!$A95,ingresos!$G:$G,saldos!L$6)</f>
        <v>194.25</v>
      </c>
      <c r="M95" s="25">
        <f>cuotas_emitidas!M90-SUMIFS(ingresos!$D:$D,ingresos!$F:$F,saldos!$A95,ingresos!$G:$G,saldos!M$6)</f>
        <v>0</v>
      </c>
      <c r="N95" s="25">
        <f>cuotas_emitidas!N90-SUMIFS(ingresos!$D:$D,ingresos!$F:$F,saldos!$A95,ingresos!$G:$G,saldos!N$6)</f>
        <v>194.25</v>
      </c>
      <c r="O95" s="25">
        <f>cuotas_emitidas!O90-SUMIFS(ingresos!$D:$D,ingresos!$F:$F,saldos!$A95,ingresos!$G:$G,saldos!O$6)</f>
        <v>0</v>
      </c>
      <c r="P95" s="25">
        <f>cuotas_emitidas!P90-SUMIFS(ingresos!$D:$D,ingresos!$F:$F,saldos!$A95,ingresos!$G:$G,saldos!P$6)</f>
        <v>5.7400000000000091</v>
      </c>
      <c r="Q95" s="25">
        <f>cuotas_emitidas!Q90-SUMIFS(ingresos!$D:$D,ingresos!$F:$F,saldos!$A95,ingresos!$G:$G,saldos!Q$6)</f>
        <v>194.25</v>
      </c>
      <c r="R95" s="26">
        <f t="shared" si="3"/>
        <v>611.80999999999995</v>
      </c>
      <c r="T95" s="26">
        <f t="shared" si="4"/>
        <v>194.25</v>
      </c>
      <c r="U95" s="26">
        <f t="shared" si="5"/>
        <v>417.55999999999995</v>
      </c>
    </row>
    <row r="96" spans="1:21" x14ac:dyDescent="0.25">
      <c r="A96" s="17" t="s">
        <v>1750</v>
      </c>
      <c r="B96" s="17" t="s">
        <v>1751</v>
      </c>
      <c r="C96" s="17" t="s">
        <v>1752</v>
      </c>
      <c r="D96" s="25">
        <f>cuotas_emitidas!D91-SUMIFS(ingresos!$D:$D,ingresos!$F:$F,saldos!$A96,ingresos!$G:$G,saldos!D$6)</f>
        <v>0</v>
      </c>
      <c r="E96" s="25">
        <f>cuotas_emitidas!E91-SUMIFS(ingresos!$D:$D,ingresos!$F:$F,saldos!$A96,ingresos!$G:$G,saldos!E$6)</f>
        <v>0</v>
      </c>
      <c r="F96" s="25">
        <f>cuotas_emitidas!F91-SUMIFS(ingresos!$D:$D,ingresos!$F:$F,saldos!$A96,ingresos!$G:$G,saldos!F$6)</f>
        <v>0</v>
      </c>
      <c r="G96" s="25">
        <f>cuotas_emitidas!G91-SUMIFS(ingresos!$D:$D,ingresos!$F:$F,saldos!$A96,ingresos!$G:$G,saldos!G$6)</f>
        <v>0</v>
      </c>
      <c r="H96" s="25">
        <f>cuotas_emitidas!H91-SUMIFS(ingresos!$D:$D,ingresos!$F:$F,saldos!$A96,ingresos!$G:$G,saldos!H$6)</f>
        <v>0</v>
      </c>
      <c r="I96" s="25">
        <f>cuotas_emitidas!I91-SUMIFS(ingresos!$D:$D,ingresos!$F:$F,saldos!$A96,ingresos!$G:$G,saldos!I$6)</f>
        <v>0</v>
      </c>
      <c r="J96" s="25">
        <f>cuotas_emitidas!J91-SUMIFS(ingresos!$D:$D,ingresos!$F:$F,saldos!$A96,ingresos!$G:$G,saldos!J$6)</f>
        <v>0</v>
      </c>
      <c r="K96" s="25">
        <f>cuotas_emitidas!K91-SUMIFS(ingresos!$D:$D,ingresos!$F:$F,saldos!$A96,ingresos!$G:$G,saldos!K$6)</f>
        <v>0</v>
      </c>
      <c r="L96" s="25">
        <f>cuotas_emitidas!L91-SUMIFS(ingresos!$D:$D,ingresos!$F:$F,saldos!$A96,ingresos!$G:$G,saldos!L$6)</f>
        <v>0</v>
      </c>
      <c r="M96" s="25">
        <f>cuotas_emitidas!M91-SUMIFS(ingresos!$D:$D,ingresos!$F:$F,saldos!$A96,ingresos!$G:$G,saldos!M$6)</f>
        <v>0</v>
      </c>
      <c r="N96" s="25">
        <f>cuotas_emitidas!N91-SUMIFS(ingresos!$D:$D,ingresos!$F:$F,saldos!$A96,ingresos!$G:$G,saldos!N$6)</f>
        <v>0</v>
      </c>
      <c r="O96" s="25">
        <f>cuotas_emitidas!O91-SUMIFS(ingresos!$D:$D,ingresos!$F:$F,saldos!$A96,ingresos!$G:$G,saldos!O$6)</f>
        <v>0</v>
      </c>
      <c r="P96" s="25">
        <f>cuotas_emitidas!P91-SUMIFS(ingresos!$D:$D,ingresos!$F:$F,saldos!$A96,ingresos!$G:$G,saldos!P$6)</f>
        <v>0</v>
      </c>
      <c r="Q96" s="25">
        <f>cuotas_emitidas!Q91-SUMIFS(ingresos!$D:$D,ingresos!$F:$F,saldos!$A96,ingresos!$G:$G,saldos!Q$6)</f>
        <v>410.58</v>
      </c>
      <c r="R96" s="26">
        <f t="shared" si="3"/>
        <v>410.58</v>
      </c>
      <c r="T96" s="26">
        <f t="shared" si="4"/>
        <v>410.58</v>
      </c>
      <c r="U96" s="26">
        <f t="shared" si="5"/>
        <v>0</v>
      </c>
    </row>
    <row r="97" spans="1:21" x14ac:dyDescent="0.25">
      <c r="A97" s="17" t="s">
        <v>1753</v>
      </c>
      <c r="B97" s="17" t="s">
        <v>1754</v>
      </c>
      <c r="C97" s="17" t="s">
        <v>1755</v>
      </c>
      <c r="D97" s="25">
        <f>cuotas_emitidas!D92-SUMIFS(ingresos!$D:$D,ingresos!$F:$F,saldos!$A97,ingresos!$G:$G,saldos!D$6)</f>
        <v>0</v>
      </c>
      <c r="E97" s="25">
        <f>cuotas_emitidas!E92-SUMIFS(ingresos!$D:$D,ingresos!$F:$F,saldos!$A97,ingresos!$G:$G,saldos!E$6)</f>
        <v>0</v>
      </c>
      <c r="F97" s="25">
        <f>cuotas_emitidas!F92-SUMIFS(ingresos!$D:$D,ingresos!$F:$F,saldos!$A97,ingresos!$G:$G,saldos!F$6)</f>
        <v>0</v>
      </c>
      <c r="G97" s="25">
        <f>cuotas_emitidas!G92-SUMIFS(ingresos!$D:$D,ingresos!$F:$F,saldos!$A97,ingresos!$G:$G,saldos!G$6)</f>
        <v>0</v>
      </c>
      <c r="H97" s="25">
        <f>cuotas_emitidas!H92-SUMIFS(ingresos!$D:$D,ingresos!$F:$F,saldos!$A97,ingresos!$G:$G,saldos!H$6)</f>
        <v>0</v>
      </c>
      <c r="I97" s="25">
        <f>cuotas_emitidas!I92-SUMIFS(ingresos!$D:$D,ingresos!$F:$F,saldos!$A97,ingresos!$G:$G,saldos!I$6)</f>
        <v>0</v>
      </c>
      <c r="J97" s="25">
        <f>cuotas_emitidas!J92-SUMIFS(ingresos!$D:$D,ingresos!$F:$F,saldos!$A97,ingresos!$G:$G,saldos!J$6)</f>
        <v>0</v>
      </c>
      <c r="K97" s="25">
        <f>cuotas_emitidas!K92-SUMIFS(ingresos!$D:$D,ingresos!$F:$F,saldos!$A97,ingresos!$G:$G,saldos!K$6)</f>
        <v>0</v>
      </c>
      <c r="L97" s="25">
        <f>cuotas_emitidas!L92-SUMIFS(ingresos!$D:$D,ingresos!$F:$F,saldos!$A97,ingresos!$G:$G,saldos!L$6)</f>
        <v>0</v>
      </c>
      <c r="M97" s="25">
        <f>cuotas_emitidas!M92-SUMIFS(ingresos!$D:$D,ingresos!$F:$F,saldos!$A97,ingresos!$G:$G,saldos!M$6)</f>
        <v>0</v>
      </c>
      <c r="N97" s="25">
        <f>cuotas_emitidas!N92-SUMIFS(ingresos!$D:$D,ingresos!$F:$F,saldos!$A97,ingresos!$G:$G,saldos!N$6)</f>
        <v>0</v>
      </c>
      <c r="O97" s="25">
        <f>cuotas_emitidas!O92-SUMIFS(ingresos!$D:$D,ingresos!$F:$F,saldos!$A97,ingresos!$G:$G,saldos!O$6)</f>
        <v>0</v>
      </c>
      <c r="P97" s="25">
        <f>cuotas_emitidas!P92-SUMIFS(ingresos!$D:$D,ingresos!$F:$F,saldos!$A97,ingresos!$G:$G,saldos!P$6)</f>
        <v>2.8700000000000045</v>
      </c>
      <c r="Q97" s="25">
        <f>cuotas_emitidas!Q92-SUMIFS(ingresos!$D:$D,ingresos!$F:$F,saldos!$A97,ingresos!$G:$G,saldos!Q$6)</f>
        <v>0</v>
      </c>
      <c r="R97" s="26">
        <f t="shared" si="3"/>
        <v>2.8700000000000045</v>
      </c>
      <c r="T97" s="26">
        <f t="shared" si="4"/>
        <v>0</v>
      </c>
      <c r="U97" s="26">
        <f t="shared" si="5"/>
        <v>2.8700000000000045</v>
      </c>
    </row>
    <row r="98" spans="1:21" x14ac:dyDescent="0.25">
      <c r="A98" s="17" t="s">
        <v>1756</v>
      </c>
      <c r="B98" s="17" t="s">
        <v>1439</v>
      </c>
      <c r="C98" s="17" t="s">
        <v>1757</v>
      </c>
      <c r="D98" s="25">
        <f>cuotas_emitidas!D93-SUMIFS(ingresos!$D:$D,ingresos!$F:$F,saldos!$A98,ingresos!$G:$G,saldos!D$6)</f>
        <v>0</v>
      </c>
      <c r="E98" s="25">
        <f>cuotas_emitidas!E93-SUMIFS(ingresos!$D:$D,ingresos!$F:$F,saldos!$A98,ingresos!$G:$G,saldos!E$6)</f>
        <v>0</v>
      </c>
      <c r="F98" s="25">
        <f>cuotas_emitidas!F93-SUMIFS(ingresos!$D:$D,ingresos!$F:$F,saldos!$A98,ingresos!$G:$G,saldos!F$6)</f>
        <v>0</v>
      </c>
      <c r="G98" s="25">
        <f>cuotas_emitidas!G93-SUMIFS(ingresos!$D:$D,ingresos!$F:$F,saldos!$A98,ingresos!$G:$G,saldos!G$6)</f>
        <v>0</v>
      </c>
      <c r="H98" s="25">
        <f>cuotas_emitidas!H93-SUMIFS(ingresos!$D:$D,ingresos!$F:$F,saldos!$A98,ingresos!$G:$G,saldos!H$6)</f>
        <v>0</v>
      </c>
      <c r="I98" s="25">
        <f>cuotas_emitidas!I93-SUMIFS(ingresos!$D:$D,ingresos!$F:$F,saldos!$A98,ingresos!$G:$G,saldos!I$6)</f>
        <v>0</v>
      </c>
      <c r="J98" s="25">
        <f>cuotas_emitidas!J93-SUMIFS(ingresos!$D:$D,ingresos!$F:$F,saldos!$A98,ingresos!$G:$G,saldos!J$6)</f>
        <v>0</v>
      </c>
      <c r="K98" s="25">
        <f>cuotas_emitidas!K93-SUMIFS(ingresos!$D:$D,ingresos!$F:$F,saldos!$A98,ingresos!$G:$G,saldos!K$6)</f>
        <v>0</v>
      </c>
      <c r="L98" s="25">
        <f>cuotas_emitidas!L93-SUMIFS(ingresos!$D:$D,ingresos!$F:$F,saldos!$A98,ingresos!$G:$G,saldos!L$6)</f>
        <v>0</v>
      </c>
      <c r="M98" s="25">
        <f>cuotas_emitidas!M93-SUMIFS(ingresos!$D:$D,ingresos!$F:$F,saldos!$A98,ingresos!$G:$G,saldos!M$6)</f>
        <v>0</v>
      </c>
      <c r="N98" s="25">
        <f>cuotas_emitidas!N93-SUMIFS(ingresos!$D:$D,ingresos!$F:$F,saldos!$A98,ingresos!$G:$G,saldos!N$6)</f>
        <v>0</v>
      </c>
      <c r="O98" s="25">
        <f>cuotas_emitidas!O93-SUMIFS(ingresos!$D:$D,ingresos!$F:$F,saldos!$A98,ingresos!$G:$G,saldos!O$6)</f>
        <v>0</v>
      </c>
      <c r="P98" s="25">
        <f>cuotas_emitidas!P93-SUMIFS(ingresos!$D:$D,ingresos!$F:$F,saldos!$A98,ingresos!$G:$G,saldos!P$6)</f>
        <v>0</v>
      </c>
      <c r="Q98" s="25">
        <f>cuotas_emitidas!Q93-SUMIFS(ingresos!$D:$D,ingresos!$F:$F,saldos!$A98,ingresos!$G:$G,saldos!Q$6)</f>
        <v>257.41000000000003</v>
      </c>
      <c r="R98" s="26">
        <f t="shared" si="3"/>
        <v>257.41000000000003</v>
      </c>
      <c r="T98" s="26">
        <f t="shared" si="4"/>
        <v>257.41000000000003</v>
      </c>
      <c r="U98" s="26">
        <f t="shared" si="5"/>
        <v>0</v>
      </c>
    </row>
    <row r="99" spans="1:21" x14ac:dyDescent="0.25">
      <c r="A99" s="17" t="s">
        <v>1758</v>
      </c>
      <c r="B99" s="17" t="s">
        <v>1759</v>
      </c>
      <c r="C99" s="17" t="s">
        <v>1760</v>
      </c>
      <c r="D99" s="25">
        <f>cuotas_emitidas!D94-SUMIFS(ingresos!$D:$D,ingresos!$F:$F,saldos!$A99,ingresos!$G:$G,saldos!D$6)</f>
        <v>0</v>
      </c>
      <c r="E99" s="25">
        <f>cuotas_emitidas!E94-SUMIFS(ingresos!$D:$D,ingresos!$F:$F,saldos!$A99,ingresos!$G:$G,saldos!E$6)</f>
        <v>0</v>
      </c>
      <c r="F99" s="25">
        <f>cuotas_emitidas!F94-SUMIFS(ingresos!$D:$D,ingresos!$F:$F,saldos!$A99,ingresos!$G:$G,saldos!F$6)</f>
        <v>0</v>
      </c>
      <c r="G99" s="25">
        <f>cuotas_emitidas!G94-SUMIFS(ingresos!$D:$D,ingresos!$F:$F,saldos!$A99,ingresos!$G:$G,saldos!G$6)</f>
        <v>0</v>
      </c>
      <c r="H99" s="25">
        <f>cuotas_emitidas!H94-SUMIFS(ingresos!$D:$D,ingresos!$F:$F,saldos!$A99,ingresos!$G:$G,saldos!H$6)</f>
        <v>0</v>
      </c>
      <c r="I99" s="25">
        <f>cuotas_emitidas!I94-SUMIFS(ingresos!$D:$D,ingresos!$F:$F,saldos!$A99,ingresos!$G:$G,saldos!I$6)</f>
        <v>0</v>
      </c>
      <c r="J99" s="25">
        <f>cuotas_emitidas!J94-SUMIFS(ingresos!$D:$D,ingresos!$F:$F,saldos!$A99,ingresos!$G:$G,saldos!J$6)</f>
        <v>0</v>
      </c>
      <c r="K99" s="25">
        <f>cuotas_emitidas!K94-SUMIFS(ingresos!$D:$D,ingresos!$F:$F,saldos!$A99,ingresos!$G:$G,saldos!K$6)</f>
        <v>0</v>
      </c>
      <c r="L99" s="25">
        <f>cuotas_emitidas!L94-SUMIFS(ingresos!$D:$D,ingresos!$F:$F,saldos!$A99,ingresos!$G:$G,saldos!L$6)</f>
        <v>0</v>
      </c>
      <c r="M99" s="25">
        <f>cuotas_emitidas!M94-SUMIFS(ingresos!$D:$D,ingresos!$F:$F,saldos!$A99,ingresos!$G:$G,saldos!M$6)</f>
        <v>0</v>
      </c>
      <c r="N99" s="25">
        <f>cuotas_emitidas!N94-SUMIFS(ingresos!$D:$D,ingresos!$F:$F,saldos!$A99,ingresos!$G:$G,saldos!N$6)</f>
        <v>0</v>
      </c>
      <c r="O99" s="25">
        <f>cuotas_emitidas!O94-SUMIFS(ingresos!$D:$D,ingresos!$F:$F,saldos!$A99,ingresos!$G:$G,saldos!O$6)</f>
        <v>0</v>
      </c>
      <c r="P99" s="25">
        <f>cuotas_emitidas!P94-SUMIFS(ingresos!$D:$D,ingresos!$F:$F,saldos!$A99,ingresos!$G:$G,saldos!P$6)</f>
        <v>0</v>
      </c>
      <c r="Q99" s="25">
        <f>cuotas_emitidas!Q94-SUMIFS(ingresos!$D:$D,ingresos!$F:$F,saldos!$A99,ingresos!$G:$G,saldos!Q$6)</f>
        <v>0</v>
      </c>
      <c r="R99" s="26">
        <f t="shared" si="3"/>
        <v>0</v>
      </c>
      <c r="T99" s="26">
        <f t="shared" si="4"/>
        <v>0</v>
      </c>
      <c r="U99" s="26">
        <f t="shared" si="5"/>
        <v>0</v>
      </c>
    </row>
    <row r="100" spans="1:21" x14ac:dyDescent="0.25">
      <c r="A100" s="17" t="s">
        <v>1761</v>
      </c>
      <c r="B100" s="17" t="s">
        <v>1762</v>
      </c>
      <c r="C100" s="17" t="s">
        <v>1763</v>
      </c>
      <c r="D100" s="25">
        <f>cuotas_emitidas!D95-SUMIFS(ingresos!$D:$D,ingresos!$F:$F,saldos!$A100,ingresos!$G:$G,saldos!D$6)</f>
        <v>0</v>
      </c>
      <c r="E100" s="25">
        <f>cuotas_emitidas!E95-SUMIFS(ingresos!$D:$D,ingresos!$F:$F,saldos!$A100,ingresos!$G:$G,saldos!E$6)</f>
        <v>0</v>
      </c>
      <c r="F100" s="25">
        <f>cuotas_emitidas!F95-SUMIFS(ingresos!$D:$D,ingresos!$F:$F,saldos!$A100,ingresos!$G:$G,saldos!F$6)</f>
        <v>0</v>
      </c>
      <c r="G100" s="25">
        <f>cuotas_emitidas!G95-SUMIFS(ingresos!$D:$D,ingresos!$F:$F,saldos!$A100,ingresos!$G:$G,saldos!G$6)</f>
        <v>0</v>
      </c>
      <c r="H100" s="25">
        <f>cuotas_emitidas!H95-SUMIFS(ingresos!$D:$D,ingresos!$F:$F,saldos!$A100,ingresos!$G:$G,saldos!H$6)</f>
        <v>0</v>
      </c>
      <c r="I100" s="25">
        <f>cuotas_emitidas!I95-SUMIFS(ingresos!$D:$D,ingresos!$F:$F,saldos!$A100,ingresos!$G:$G,saldos!I$6)</f>
        <v>0</v>
      </c>
      <c r="J100" s="25">
        <f>cuotas_emitidas!J95-SUMIFS(ingresos!$D:$D,ingresos!$F:$F,saldos!$A100,ingresos!$G:$G,saldos!J$6)</f>
        <v>0</v>
      </c>
      <c r="K100" s="25">
        <f>cuotas_emitidas!K95-SUMIFS(ingresos!$D:$D,ingresos!$F:$F,saldos!$A100,ingresos!$G:$G,saldos!K$6)</f>
        <v>0</v>
      </c>
      <c r="L100" s="25">
        <f>cuotas_emitidas!L95-SUMIFS(ingresos!$D:$D,ingresos!$F:$F,saldos!$A100,ingresos!$G:$G,saldos!L$6)</f>
        <v>0</v>
      </c>
      <c r="M100" s="25">
        <f>cuotas_emitidas!M95-SUMIFS(ingresos!$D:$D,ingresos!$F:$F,saldos!$A100,ingresos!$G:$G,saldos!M$6)</f>
        <v>0</v>
      </c>
      <c r="N100" s="25">
        <f>cuotas_emitidas!N95-SUMIFS(ingresos!$D:$D,ingresos!$F:$F,saldos!$A100,ingresos!$G:$G,saldos!N$6)</f>
        <v>0</v>
      </c>
      <c r="O100" s="25">
        <f>cuotas_emitidas!O95-SUMIFS(ingresos!$D:$D,ingresos!$F:$F,saldos!$A100,ingresos!$G:$G,saldos!O$6)</f>
        <v>251.45</v>
      </c>
      <c r="P100" s="25">
        <f>cuotas_emitidas!P95-SUMIFS(ingresos!$D:$D,ingresos!$F:$F,saldos!$A100,ingresos!$G:$G,saldos!P$6)</f>
        <v>0</v>
      </c>
      <c r="Q100" s="25">
        <f>cuotas_emitidas!Q95-SUMIFS(ingresos!$D:$D,ingresos!$F:$F,saldos!$A100,ingresos!$G:$G,saldos!Q$6)</f>
        <v>251.45</v>
      </c>
      <c r="R100" s="26">
        <f t="shared" si="3"/>
        <v>502.9</v>
      </c>
      <c r="T100" s="26">
        <f t="shared" si="4"/>
        <v>251.45</v>
      </c>
      <c r="U100" s="26">
        <f t="shared" si="5"/>
        <v>251.45</v>
      </c>
    </row>
    <row r="101" spans="1:21" x14ac:dyDescent="0.25">
      <c r="A101" s="17" t="s">
        <v>1764</v>
      </c>
      <c r="B101" s="17" t="s">
        <v>1765</v>
      </c>
      <c r="C101" s="17" t="s">
        <v>1766</v>
      </c>
      <c r="D101" s="25">
        <f>cuotas_emitidas!D96-SUMIFS(ingresos!$D:$D,ingresos!$F:$F,saldos!$A101,ingresos!$G:$G,saldos!D$6)</f>
        <v>0</v>
      </c>
      <c r="E101" s="25">
        <f>cuotas_emitidas!E96-SUMIFS(ingresos!$D:$D,ingresos!$F:$F,saldos!$A101,ingresos!$G:$G,saldos!E$6)</f>
        <v>0</v>
      </c>
      <c r="F101" s="25">
        <f>cuotas_emitidas!F96-SUMIFS(ingresos!$D:$D,ingresos!$F:$F,saldos!$A101,ingresos!$G:$G,saldos!F$6)</f>
        <v>0</v>
      </c>
      <c r="G101" s="25">
        <f>cuotas_emitidas!G96-SUMIFS(ingresos!$D:$D,ingresos!$F:$F,saldos!$A101,ingresos!$G:$G,saldos!G$6)</f>
        <v>0</v>
      </c>
      <c r="H101" s="25">
        <f>cuotas_emitidas!H96-SUMIFS(ingresos!$D:$D,ingresos!$F:$F,saldos!$A101,ingresos!$G:$G,saldos!H$6)</f>
        <v>0</v>
      </c>
      <c r="I101" s="25">
        <f>cuotas_emitidas!I96-SUMIFS(ingresos!$D:$D,ingresos!$F:$F,saldos!$A101,ingresos!$G:$G,saldos!I$6)</f>
        <v>0</v>
      </c>
      <c r="J101" s="25">
        <f>cuotas_emitidas!J96-SUMIFS(ingresos!$D:$D,ingresos!$F:$F,saldos!$A101,ingresos!$G:$G,saldos!J$6)</f>
        <v>0</v>
      </c>
      <c r="K101" s="25">
        <f>cuotas_emitidas!K96-SUMIFS(ingresos!$D:$D,ingresos!$F:$F,saldos!$A101,ingresos!$G:$G,saldos!K$6)</f>
        <v>0</v>
      </c>
      <c r="L101" s="25">
        <f>cuotas_emitidas!L96-SUMIFS(ingresos!$D:$D,ingresos!$F:$F,saldos!$A101,ingresos!$G:$G,saldos!L$6)</f>
        <v>0</v>
      </c>
      <c r="M101" s="25">
        <f>cuotas_emitidas!M96-SUMIFS(ingresos!$D:$D,ingresos!$F:$F,saldos!$A101,ingresos!$G:$G,saldos!M$6)</f>
        <v>0</v>
      </c>
      <c r="N101" s="25">
        <f>cuotas_emitidas!N96-SUMIFS(ingresos!$D:$D,ingresos!$F:$F,saldos!$A101,ingresos!$G:$G,saldos!N$6)</f>
        <v>0</v>
      </c>
      <c r="O101" s="25">
        <f>cuotas_emitidas!O96-SUMIFS(ingresos!$D:$D,ingresos!$F:$F,saldos!$A101,ingresos!$G:$G,saldos!O$6)</f>
        <v>0</v>
      </c>
      <c r="P101" s="25">
        <f>cuotas_emitidas!P96-SUMIFS(ingresos!$D:$D,ingresos!$F:$F,saldos!$A101,ingresos!$G:$G,saldos!P$6)</f>
        <v>0</v>
      </c>
      <c r="Q101" s="25">
        <f>cuotas_emitidas!Q96-SUMIFS(ingresos!$D:$D,ingresos!$F:$F,saldos!$A101,ingresos!$G:$G,saldos!Q$6)</f>
        <v>0</v>
      </c>
      <c r="R101" s="26">
        <f t="shared" si="3"/>
        <v>0</v>
      </c>
      <c r="T101" s="26">
        <f t="shared" si="4"/>
        <v>0</v>
      </c>
      <c r="U101" s="26">
        <f t="shared" si="5"/>
        <v>0</v>
      </c>
    </row>
    <row r="102" spans="1:21" x14ac:dyDescent="0.25">
      <c r="A102" s="17" t="s">
        <v>1767</v>
      </c>
      <c r="B102" s="17" t="s">
        <v>1768</v>
      </c>
      <c r="C102" s="17" t="s">
        <v>1769</v>
      </c>
      <c r="D102" s="25">
        <f>cuotas_emitidas!D97-SUMIFS(ingresos!$D:$D,ingresos!$F:$F,saldos!$A102,ingresos!$G:$G,saldos!D$6)</f>
        <v>0</v>
      </c>
      <c r="E102" s="25">
        <f>cuotas_emitidas!E97-SUMIFS(ingresos!$D:$D,ingresos!$F:$F,saldos!$A102,ingresos!$G:$G,saldos!E$6)</f>
        <v>0</v>
      </c>
      <c r="F102" s="25">
        <f>cuotas_emitidas!F97-SUMIFS(ingresos!$D:$D,ingresos!$F:$F,saldos!$A102,ingresos!$G:$G,saldos!F$6)</f>
        <v>0</v>
      </c>
      <c r="G102" s="25">
        <f>cuotas_emitidas!G97-SUMIFS(ingresos!$D:$D,ingresos!$F:$F,saldos!$A102,ingresos!$G:$G,saldos!G$6)</f>
        <v>0</v>
      </c>
      <c r="H102" s="25">
        <f>cuotas_emitidas!H97-SUMIFS(ingresos!$D:$D,ingresos!$F:$F,saldos!$A102,ingresos!$G:$G,saldos!H$6)</f>
        <v>0</v>
      </c>
      <c r="I102" s="25">
        <f>cuotas_emitidas!I97-SUMIFS(ingresos!$D:$D,ingresos!$F:$F,saldos!$A102,ingresos!$G:$G,saldos!I$6)</f>
        <v>0</v>
      </c>
      <c r="J102" s="25">
        <f>cuotas_emitidas!J97-SUMIFS(ingresos!$D:$D,ingresos!$F:$F,saldos!$A102,ingresos!$G:$G,saldos!J$6)</f>
        <v>0</v>
      </c>
      <c r="K102" s="25">
        <f>cuotas_emitidas!K97-SUMIFS(ingresos!$D:$D,ingresos!$F:$F,saldos!$A102,ingresos!$G:$G,saldos!K$6)</f>
        <v>0</v>
      </c>
      <c r="L102" s="25">
        <f>cuotas_emitidas!L97-SUMIFS(ingresos!$D:$D,ingresos!$F:$F,saldos!$A102,ingresos!$G:$G,saldos!L$6)</f>
        <v>0</v>
      </c>
      <c r="M102" s="25">
        <f>cuotas_emitidas!M97-SUMIFS(ingresos!$D:$D,ingresos!$F:$F,saldos!$A102,ingresos!$G:$G,saldos!M$6)</f>
        <v>0</v>
      </c>
      <c r="N102" s="25">
        <f>cuotas_emitidas!N97-SUMIFS(ingresos!$D:$D,ingresos!$F:$F,saldos!$A102,ingresos!$G:$G,saldos!N$6)</f>
        <v>0</v>
      </c>
      <c r="O102" s="25">
        <f>cuotas_emitidas!O97-SUMIFS(ingresos!$D:$D,ingresos!$F:$F,saldos!$A102,ingresos!$G:$G,saldos!O$6)</f>
        <v>0</v>
      </c>
      <c r="P102" s="25">
        <f>cuotas_emitidas!P97-SUMIFS(ingresos!$D:$D,ingresos!$F:$F,saldos!$A102,ingresos!$G:$G,saldos!P$6)</f>
        <v>0</v>
      </c>
      <c r="Q102" s="25">
        <f>cuotas_emitidas!Q97-SUMIFS(ingresos!$D:$D,ingresos!$F:$F,saldos!$A102,ingresos!$G:$G,saldos!Q$6)</f>
        <v>0</v>
      </c>
      <c r="R102" s="26">
        <f t="shared" si="3"/>
        <v>0</v>
      </c>
      <c r="T102" s="26">
        <f t="shared" si="4"/>
        <v>0</v>
      </c>
      <c r="U102" s="26">
        <f t="shared" si="5"/>
        <v>0</v>
      </c>
    </row>
    <row r="103" spans="1:21" x14ac:dyDescent="0.25">
      <c r="A103" s="17" t="s">
        <v>1770</v>
      </c>
      <c r="B103" s="17" t="s">
        <v>1771</v>
      </c>
      <c r="C103" s="17" t="s">
        <v>1772</v>
      </c>
      <c r="D103" s="25">
        <f>cuotas_emitidas!D98-SUMIFS(ingresos!$D:$D,ingresos!$F:$F,saldos!$A103,ingresos!$G:$G,saldos!D$6)</f>
        <v>0</v>
      </c>
      <c r="E103" s="25">
        <f>cuotas_emitidas!E98-SUMIFS(ingresos!$D:$D,ingresos!$F:$F,saldos!$A103,ingresos!$G:$G,saldos!E$6)</f>
        <v>0</v>
      </c>
      <c r="F103" s="25">
        <f>cuotas_emitidas!F98-SUMIFS(ingresos!$D:$D,ingresos!$F:$F,saldos!$A103,ingresos!$G:$G,saldos!F$6)</f>
        <v>0</v>
      </c>
      <c r="G103" s="25">
        <f>cuotas_emitidas!G98-SUMIFS(ingresos!$D:$D,ingresos!$F:$F,saldos!$A103,ingresos!$G:$G,saldos!G$6)</f>
        <v>0</v>
      </c>
      <c r="H103" s="25">
        <f>cuotas_emitidas!H98-SUMIFS(ingresos!$D:$D,ingresos!$F:$F,saldos!$A103,ingresos!$G:$G,saldos!H$6)</f>
        <v>0</v>
      </c>
      <c r="I103" s="25">
        <f>cuotas_emitidas!I98-SUMIFS(ingresos!$D:$D,ingresos!$F:$F,saldos!$A103,ingresos!$G:$G,saldos!I$6)</f>
        <v>0</v>
      </c>
      <c r="J103" s="25">
        <f>cuotas_emitidas!J98-SUMIFS(ingresos!$D:$D,ingresos!$F:$F,saldos!$A103,ingresos!$G:$G,saldos!J$6)</f>
        <v>0</v>
      </c>
      <c r="K103" s="25">
        <f>cuotas_emitidas!K98-SUMIFS(ingresos!$D:$D,ingresos!$F:$F,saldos!$A103,ingresos!$G:$G,saldos!K$6)</f>
        <v>0</v>
      </c>
      <c r="L103" s="25">
        <f>cuotas_emitidas!L98-SUMIFS(ingresos!$D:$D,ingresos!$F:$F,saldos!$A103,ingresos!$G:$G,saldos!L$6)</f>
        <v>0</v>
      </c>
      <c r="M103" s="25">
        <f>cuotas_emitidas!M98-SUMIFS(ingresos!$D:$D,ingresos!$F:$F,saldos!$A103,ingresos!$G:$G,saldos!M$6)</f>
        <v>0</v>
      </c>
      <c r="N103" s="25">
        <f>cuotas_emitidas!N98-SUMIFS(ingresos!$D:$D,ingresos!$F:$F,saldos!$A103,ingresos!$G:$G,saldos!N$6)</f>
        <v>0</v>
      </c>
      <c r="O103" s="25">
        <f>cuotas_emitidas!O98-SUMIFS(ingresos!$D:$D,ingresos!$F:$F,saldos!$A103,ingresos!$G:$G,saldos!O$6)</f>
        <v>0</v>
      </c>
      <c r="P103" s="25">
        <f>cuotas_emitidas!P98-SUMIFS(ingresos!$D:$D,ingresos!$F:$F,saldos!$A103,ingresos!$G:$G,saldos!P$6)</f>
        <v>0</v>
      </c>
      <c r="Q103" s="25">
        <f>cuotas_emitidas!Q98-SUMIFS(ingresos!$D:$D,ingresos!$F:$F,saldos!$A103,ingresos!$G:$G,saldos!Q$6)</f>
        <v>368.33</v>
      </c>
      <c r="R103" s="26">
        <f t="shared" si="3"/>
        <v>368.33</v>
      </c>
      <c r="T103" s="26">
        <f t="shared" si="4"/>
        <v>368.33</v>
      </c>
      <c r="U103" s="26">
        <f t="shared" si="5"/>
        <v>0</v>
      </c>
    </row>
    <row r="104" spans="1:21" x14ac:dyDescent="0.25">
      <c r="A104" s="17" t="s">
        <v>1773</v>
      </c>
      <c r="B104" s="17" t="s">
        <v>1358</v>
      </c>
      <c r="C104" s="17" t="s">
        <v>1774</v>
      </c>
      <c r="D104" s="25">
        <f>cuotas_emitidas!D99-SUMIFS(ingresos!$D:$D,ingresos!$F:$F,saldos!$A104,ingresos!$G:$G,saldos!D$6)</f>
        <v>0</v>
      </c>
      <c r="E104" s="25">
        <f>cuotas_emitidas!E99-SUMIFS(ingresos!$D:$D,ingresos!$F:$F,saldos!$A104,ingresos!$G:$G,saldos!E$6)</f>
        <v>0</v>
      </c>
      <c r="F104" s="25">
        <f>cuotas_emitidas!F99-SUMIFS(ingresos!$D:$D,ingresos!$F:$F,saldos!$A104,ingresos!$G:$G,saldos!F$6)</f>
        <v>0</v>
      </c>
      <c r="G104" s="25">
        <f>cuotas_emitidas!G99-SUMIFS(ingresos!$D:$D,ingresos!$F:$F,saldos!$A104,ingresos!$G:$G,saldos!G$6)</f>
        <v>0</v>
      </c>
      <c r="H104" s="25">
        <f>cuotas_emitidas!H99-SUMIFS(ingresos!$D:$D,ingresos!$F:$F,saldos!$A104,ingresos!$G:$G,saldos!H$6)</f>
        <v>0</v>
      </c>
      <c r="I104" s="25">
        <f>cuotas_emitidas!I99-SUMIFS(ingresos!$D:$D,ingresos!$F:$F,saldos!$A104,ingresos!$G:$G,saldos!I$6)</f>
        <v>0</v>
      </c>
      <c r="J104" s="25">
        <f>cuotas_emitidas!J99-SUMIFS(ingresos!$D:$D,ingresos!$F:$F,saldos!$A104,ingresos!$G:$G,saldos!J$6)</f>
        <v>0</v>
      </c>
      <c r="K104" s="25">
        <f>cuotas_emitidas!K99-SUMIFS(ingresos!$D:$D,ingresos!$F:$F,saldos!$A104,ingresos!$G:$G,saldos!K$6)</f>
        <v>0</v>
      </c>
      <c r="L104" s="25">
        <f>cuotas_emitidas!L99-SUMIFS(ingresos!$D:$D,ingresos!$F:$F,saldos!$A104,ingresos!$G:$G,saldos!L$6)</f>
        <v>0</v>
      </c>
      <c r="M104" s="25">
        <f>cuotas_emitidas!M99-SUMIFS(ingresos!$D:$D,ingresos!$F:$F,saldos!$A104,ingresos!$G:$G,saldos!M$6)</f>
        <v>0</v>
      </c>
      <c r="N104" s="25">
        <f>cuotas_emitidas!N99-SUMIFS(ingresos!$D:$D,ingresos!$F:$F,saldos!$A104,ingresos!$G:$G,saldos!N$6)</f>
        <v>0</v>
      </c>
      <c r="O104" s="25">
        <f>cuotas_emitidas!O99-SUMIFS(ingresos!$D:$D,ingresos!$F:$F,saldos!$A104,ingresos!$G:$G,saldos!O$6)</f>
        <v>0</v>
      </c>
      <c r="P104" s="25">
        <f>cuotas_emitidas!P99-SUMIFS(ingresos!$D:$D,ingresos!$F:$F,saldos!$A104,ingresos!$G:$G,saldos!P$6)</f>
        <v>0</v>
      </c>
      <c r="Q104" s="25">
        <f>cuotas_emitidas!Q99-SUMIFS(ingresos!$D:$D,ingresos!$F:$F,saldos!$A104,ingresos!$G:$G,saldos!Q$6)</f>
        <v>0</v>
      </c>
      <c r="R104" s="26">
        <f t="shared" si="3"/>
        <v>0</v>
      </c>
      <c r="T104" s="26">
        <f t="shared" si="4"/>
        <v>0</v>
      </c>
      <c r="U104" s="26">
        <f t="shared" si="5"/>
        <v>0</v>
      </c>
    </row>
    <row r="105" spans="1:21" x14ac:dyDescent="0.25">
      <c r="A105" s="17" t="s">
        <v>1775</v>
      </c>
      <c r="B105" s="17" t="s">
        <v>1776</v>
      </c>
      <c r="C105" s="17" t="s">
        <v>1777</v>
      </c>
      <c r="D105" s="25">
        <f>cuotas_emitidas!D100-SUMIFS(ingresos!$D:$D,ingresos!$F:$F,saldos!$A105,ingresos!$G:$G,saldos!D$6)</f>
        <v>0</v>
      </c>
      <c r="E105" s="25">
        <f>cuotas_emitidas!E100-SUMIFS(ingresos!$D:$D,ingresos!$F:$F,saldos!$A105,ingresos!$G:$G,saldos!E$6)</f>
        <v>0</v>
      </c>
      <c r="F105" s="25">
        <f>cuotas_emitidas!F100-SUMIFS(ingresos!$D:$D,ingresos!$F:$F,saldos!$A105,ingresos!$G:$G,saldos!F$6)</f>
        <v>0</v>
      </c>
      <c r="G105" s="25">
        <f>cuotas_emitidas!G100-SUMIFS(ingresos!$D:$D,ingresos!$F:$F,saldos!$A105,ingresos!$G:$G,saldos!G$6)</f>
        <v>0</v>
      </c>
      <c r="H105" s="25">
        <f>cuotas_emitidas!H100-SUMIFS(ingresos!$D:$D,ingresos!$F:$F,saldos!$A105,ingresos!$G:$G,saldos!H$6)</f>
        <v>0</v>
      </c>
      <c r="I105" s="25">
        <f>cuotas_emitidas!I100-SUMIFS(ingresos!$D:$D,ingresos!$F:$F,saldos!$A105,ingresos!$G:$G,saldos!I$6)</f>
        <v>0</v>
      </c>
      <c r="J105" s="25">
        <f>cuotas_emitidas!J100-SUMIFS(ingresos!$D:$D,ingresos!$F:$F,saldos!$A105,ingresos!$G:$G,saldos!J$6)</f>
        <v>0</v>
      </c>
      <c r="K105" s="25">
        <f>cuotas_emitidas!K100-SUMIFS(ingresos!$D:$D,ingresos!$F:$F,saldos!$A105,ingresos!$G:$G,saldos!K$6)</f>
        <v>0</v>
      </c>
      <c r="L105" s="25">
        <f>cuotas_emitidas!L100-SUMIFS(ingresos!$D:$D,ingresos!$F:$F,saldos!$A105,ingresos!$G:$G,saldos!L$6)</f>
        <v>0</v>
      </c>
      <c r="M105" s="25">
        <f>cuotas_emitidas!M100-SUMIFS(ingresos!$D:$D,ingresos!$F:$F,saldos!$A105,ingresos!$G:$G,saldos!M$6)</f>
        <v>297.99</v>
      </c>
      <c r="N105" s="25">
        <f>cuotas_emitidas!N100-SUMIFS(ingresos!$D:$D,ingresos!$F:$F,saldos!$A105,ingresos!$G:$G,saldos!N$6)</f>
        <v>306.13</v>
      </c>
      <c r="O105" s="25">
        <f>cuotas_emitidas!O100-SUMIFS(ingresos!$D:$D,ingresos!$F:$F,saldos!$A105,ingresos!$G:$G,saldos!O$6)</f>
        <v>0</v>
      </c>
      <c r="P105" s="25">
        <f>cuotas_emitidas!P100-SUMIFS(ingresos!$D:$D,ingresos!$F:$F,saldos!$A105,ingresos!$G:$G,saldos!P$6)</f>
        <v>302.58</v>
      </c>
      <c r="Q105" s="25">
        <f>cuotas_emitidas!Q100-SUMIFS(ingresos!$D:$D,ingresos!$F:$F,saldos!$A105,ingresos!$G:$G,saldos!Q$6)</f>
        <v>300.26</v>
      </c>
      <c r="R105" s="26">
        <f t="shared" si="3"/>
        <v>1206.96</v>
      </c>
      <c r="T105" s="26">
        <f t="shared" si="4"/>
        <v>300.26</v>
      </c>
      <c r="U105" s="26">
        <f t="shared" si="5"/>
        <v>906.7</v>
      </c>
    </row>
    <row r="106" spans="1:21" x14ac:dyDescent="0.25">
      <c r="A106" s="17" t="s">
        <v>1778</v>
      </c>
      <c r="B106" s="17" t="s">
        <v>1779</v>
      </c>
      <c r="C106" s="17" t="s">
        <v>1780</v>
      </c>
      <c r="D106" s="25">
        <f>cuotas_emitidas!D101-SUMIFS(ingresos!$D:$D,ingresos!$F:$F,saldos!$A106,ingresos!$G:$G,saldos!D$6)</f>
        <v>0</v>
      </c>
      <c r="E106" s="25">
        <f>cuotas_emitidas!E101-SUMIFS(ingresos!$D:$D,ingresos!$F:$F,saldos!$A106,ingresos!$G:$G,saldos!E$6)</f>
        <v>0</v>
      </c>
      <c r="F106" s="25">
        <f>cuotas_emitidas!F101-SUMIFS(ingresos!$D:$D,ingresos!$F:$F,saldos!$A106,ingresos!$G:$G,saldos!F$6)</f>
        <v>0</v>
      </c>
      <c r="G106" s="25">
        <f>cuotas_emitidas!G101-SUMIFS(ingresos!$D:$D,ingresos!$F:$F,saldos!$A106,ingresos!$G:$G,saldos!G$6)</f>
        <v>0</v>
      </c>
      <c r="H106" s="25">
        <f>cuotas_emitidas!H101-SUMIFS(ingresos!$D:$D,ingresos!$F:$F,saldos!$A106,ingresos!$G:$G,saldos!H$6)</f>
        <v>0</v>
      </c>
      <c r="I106" s="25">
        <f>cuotas_emitidas!I101-SUMIFS(ingresos!$D:$D,ingresos!$F:$F,saldos!$A106,ingresos!$G:$G,saldos!I$6)</f>
        <v>0</v>
      </c>
      <c r="J106" s="25">
        <f>cuotas_emitidas!J101-SUMIFS(ingresos!$D:$D,ingresos!$F:$F,saldos!$A106,ingresos!$G:$G,saldos!J$6)</f>
        <v>0</v>
      </c>
      <c r="K106" s="25">
        <f>cuotas_emitidas!K101-SUMIFS(ingresos!$D:$D,ingresos!$F:$F,saldos!$A106,ingresos!$G:$G,saldos!K$6)</f>
        <v>0</v>
      </c>
      <c r="L106" s="25">
        <f>cuotas_emitidas!L101-SUMIFS(ingresos!$D:$D,ingresos!$F:$F,saldos!$A106,ingresos!$G:$G,saldos!L$6)</f>
        <v>0</v>
      </c>
      <c r="M106" s="25">
        <f>cuotas_emitidas!M101-SUMIFS(ingresos!$D:$D,ingresos!$F:$F,saldos!$A106,ingresos!$G:$G,saldos!M$6)</f>
        <v>0</v>
      </c>
      <c r="N106" s="25">
        <f>cuotas_emitidas!N101-SUMIFS(ingresos!$D:$D,ingresos!$F:$F,saldos!$A106,ingresos!$G:$G,saldos!N$6)</f>
        <v>0</v>
      </c>
      <c r="O106" s="25">
        <f>cuotas_emitidas!O101-SUMIFS(ingresos!$D:$D,ingresos!$F:$F,saldos!$A106,ingresos!$G:$G,saldos!O$6)</f>
        <v>0</v>
      </c>
      <c r="P106" s="25">
        <f>cuotas_emitidas!P101-SUMIFS(ingresos!$D:$D,ingresos!$F:$F,saldos!$A106,ingresos!$G:$G,saldos!P$6)</f>
        <v>377.36</v>
      </c>
      <c r="Q106" s="25">
        <f>cuotas_emitidas!Q101-SUMIFS(ingresos!$D:$D,ingresos!$F:$F,saldos!$A106,ingresos!$G:$G,saldos!Q$6)</f>
        <v>380.78</v>
      </c>
      <c r="R106" s="26">
        <f t="shared" si="3"/>
        <v>758.14</v>
      </c>
      <c r="T106" s="26">
        <f t="shared" si="4"/>
        <v>380.78</v>
      </c>
      <c r="U106" s="26">
        <f t="shared" si="5"/>
        <v>377.36</v>
      </c>
    </row>
    <row r="107" spans="1:21" x14ac:dyDescent="0.25">
      <c r="A107" s="17" t="s">
        <v>1781</v>
      </c>
      <c r="B107" s="17" t="s">
        <v>1782</v>
      </c>
      <c r="C107" s="17" t="s">
        <v>1783</v>
      </c>
      <c r="D107" s="25">
        <f>cuotas_emitidas!D102-SUMIFS(ingresos!$D:$D,ingresos!$F:$F,saldos!$A107,ingresos!$G:$G,saldos!D$6)</f>
        <v>0</v>
      </c>
      <c r="E107" s="25">
        <f>cuotas_emitidas!E102-SUMIFS(ingresos!$D:$D,ingresos!$F:$F,saldos!$A107,ingresos!$G:$G,saldos!E$6)</f>
        <v>0</v>
      </c>
      <c r="F107" s="25">
        <f>cuotas_emitidas!F102-SUMIFS(ingresos!$D:$D,ingresos!$F:$F,saldos!$A107,ingresos!$G:$G,saldos!F$6)</f>
        <v>0</v>
      </c>
      <c r="G107" s="25">
        <f>cuotas_emitidas!G102-SUMIFS(ingresos!$D:$D,ingresos!$F:$F,saldos!$A107,ingresos!$G:$G,saldos!G$6)</f>
        <v>0</v>
      </c>
      <c r="H107" s="25">
        <f>cuotas_emitidas!H102-SUMIFS(ingresos!$D:$D,ingresos!$F:$F,saldos!$A107,ingresos!$G:$G,saldos!H$6)</f>
        <v>0</v>
      </c>
      <c r="I107" s="25">
        <f>cuotas_emitidas!I102-SUMIFS(ingresos!$D:$D,ingresos!$F:$F,saldos!$A107,ingresos!$G:$G,saldos!I$6)</f>
        <v>0</v>
      </c>
      <c r="J107" s="25">
        <f>cuotas_emitidas!J102-SUMIFS(ingresos!$D:$D,ingresos!$F:$F,saldos!$A107,ingresos!$G:$G,saldos!J$6)</f>
        <v>0</v>
      </c>
      <c r="K107" s="25">
        <f>cuotas_emitidas!K102-SUMIFS(ingresos!$D:$D,ingresos!$F:$F,saldos!$A107,ingresos!$G:$G,saldos!K$6)</f>
        <v>0</v>
      </c>
      <c r="L107" s="25">
        <f>cuotas_emitidas!L102-SUMIFS(ingresos!$D:$D,ingresos!$F:$F,saldos!$A107,ingresos!$G:$G,saldos!L$6)</f>
        <v>0</v>
      </c>
      <c r="M107" s="25">
        <f>cuotas_emitidas!M102-SUMIFS(ingresos!$D:$D,ingresos!$F:$F,saldos!$A107,ingresos!$G:$G,saldos!M$6)</f>
        <v>0</v>
      </c>
      <c r="N107" s="25">
        <f>cuotas_emitidas!N102-SUMIFS(ingresos!$D:$D,ingresos!$F:$F,saldos!$A107,ingresos!$G:$G,saldos!N$6)</f>
        <v>0</v>
      </c>
      <c r="O107" s="25">
        <f>cuotas_emitidas!O102-SUMIFS(ingresos!$D:$D,ingresos!$F:$F,saldos!$A107,ingresos!$G:$G,saldos!O$6)</f>
        <v>0</v>
      </c>
      <c r="P107" s="25">
        <f>cuotas_emitidas!P102-SUMIFS(ingresos!$D:$D,ingresos!$F:$F,saldos!$A107,ingresos!$G:$G,saldos!P$6)</f>
        <v>0</v>
      </c>
      <c r="Q107" s="25">
        <f>cuotas_emitidas!Q102-SUMIFS(ingresos!$D:$D,ingresos!$F:$F,saldos!$A107,ingresos!$G:$G,saldos!Q$6)</f>
        <v>-6.0000000000059117E-2</v>
      </c>
      <c r="R107" s="26">
        <f t="shared" si="3"/>
        <v>-6.0000000000059117E-2</v>
      </c>
      <c r="T107" s="26">
        <f t="shared" si="4"/>
        <v>-6.0000000000059117E-2</v>
      </c>
      <c r="U107" s="26">
        <f t="shared" si="5"/>
        <v>0</v>
      </c>
    </row>
    <row r="108" spans="1:21" x14ac:dyDescent="0.25">
      <c r="A108" s="17" t="s">
        <v>1784</v>
      </c>
      <c r="B108" s="17" t="s">
        <v>1274</v>
      </c>
      <c r="C108" s="17" t="s">
        <v>1785</v>
      </c>
      <c r="D108" s="25">
        <f>cuotas_emitidas!D103-SUMIFS(ingresos!$D:$D,ingresos!$F:$F,saldos!$A108,ingresos!$G:$G,saldos!D$6)</f>
        <v>0</v>
      </c>
      <c r="E108" s="25">
        <f>cuotas_emitidas!E103-SUMIFS(ingresos!$D:$D,ingresos!$F:$F,saldos!$A108,ingresos!$G:$G,saldos!E$6)</f>
        <v>0</v>
      </c>
      <c r="F108" s="25">
        <f>cuotas_emitidas!F103-SUMIFS(ingresos!$D:$D,ingresos!$F:$F,saldos!$A108,ingresos!$G:$G,saldos!F$6)</f>
        <v>0</v>
      </c>
      <c r="G108" s="25">
        <f>cuotas_emitidas!G103-SUMIFS(ingresos!$D:$D,ingresos!$F:$F,saldos!$A108,ingresos!$G:$G,saldos!G$6)</f>
        <v>0</v>
      </c>
      <c r="H108" s="25">
        <f>cuotas_emitidas!H103-SUMIFS(ingresos!$D:$D,ingresos!$F:$F,saldos!$A108,ingresos!$G:$G,saldos!H$6)</f>
        <v>0</v>
      </c>
      <c r="I108" s="25">
        <f>cuotas_emitidas!I103-SUMIFS(ingresos!$D:$D,ingresos!$F:$F,saldos!$A108,ingresos!$G:$G,saldos!I$6)</f>
        <v>0</v>
      </c>
      <c r="J108" s="25">
        <f>cuotas_emitidas!J103-SUMIFS(ingresos!$D:$D,ingresos!$F:$F,saldos!$A108,ingresos!$G:$G,saldos!J$6)</f>
        <v>0</v>
      </c>
      <c r="K108" s="25">
        <f>cuotas_emitidas!K103-SUMIFS(ingresos!$D:$D,ingresos!$F:$F,saldos!$A108,ingresos!$G:$G,saldos!K$6)</f>
        <v>0</v>
      </c>
      <c r="L108" s="25">
        <f>cuotas_emitidas!L103-SUMIFS(ingresos!$D:$D,ingresos!$F:$F,saldos!$A108,ingresos!$G:$G,saldos!L$6)</f>
        <v>0</v>
      </c>
      <c r="M108" s="25">
        <f>cuotas_emitidas!M103-SUMIFS(ingresos!$D:$D,ingresos!$F:$F,saldos!$A108,ingresos!$G:$G,saldos!M$6)</f>
        <v>0</v>
      </c>
      <c r="N108" s="25">
        <f>cuotas_emitidas!N103-SUMIFS(ingresos!$D:$D,ingresos!$F:$F,saldos!$A108,ingresos!$G:$G,saldos!N$6)</f>
        <v>0</v>
      </c>
      <c r="O108" s="25">
        <f>cuotas_emitidas!O103-SUMIFS(ingresos!$D:$D,ingresos!$F:$F,saldos!$A108,ingresos!$G:$G,saldos!O$6)</f>
        <v>0</v>
      </c>
      <c r="P108" s="25">
        <f>cuotas_emitidas!P103-SUMIFS(ingresos!$D:$D,ingresos!$F:$F,saldos!$A108,ingresos!$G:$G,saldos!P$6)</f>
        <v>0</v>
      </c>
      <c r="Q108" s="25">
        <f>cuotas_emitidas!Q103-SUMIFS(ingresos!$D:$D,ingresos!$F:$F,saldos!$A108,ingresos!$G:$G,saldos!Q$6)</f>
        <v>0</v>
      </c>
      <c r="R108" s="26">
        <f t="shared" si="3"/>
        <v>0</v>
      </c>
      <c r="T108" s="26">
        <f t="shared" si="4"/>
        <v>0</v>
      </c>
      <c r="U108" s="26">
        <f t="shared" si="5"/>
        <v>0</v>
      </c>
    </row>
    <row r="109" spans="1:21" x14ac:dyDescent="0.25">
      <c r="A109" s="17" t="s">
        <v>1786</v>
      </c>
      <c r="B109" s="17" t="s">
        <v>1787</v>
      </c>
      <c r="C109" s="17" t="s">
        <v>1788</v>
      </c>
      <c r="D109" s="25">
        <f>cuotas_emitidas!D104-SUMIFS(ingresos!$D:$D,ingresos!$F:$F,saldos!$A109,ingresos!$G:$G,saldos!D$6)</f>
        <v>0</v>
      </c>
      <c r="E109" s="25">
        <f>cuotas_emitidas!E104-SUMIFS(ingresos!$D:$D,ingresos!$F:$F,saldos!$A109,ingresos!$G:$G,saldos!E$6)</f>
        <v>0</v>
      </c>
      <c r="F109" s="25">
        <f>cuotas_emitidas!F104-SUMIFS(ingresos!$D:$D,ingresos!$F:$F,saldos!$A109,ingresos!$G:$G,saldos!F$6)</f>
        <v>0</v>
      </c>
      <c r="G109" s="25">
        <f>cuotas_emitidas!G104-SUMIFS(ingresos!$D:$D,ingresos!$F:$F,saldos!$A109,ingresos!$G:$G,saldos!G$6)</f>
        <v>0</v>
      </c>
      <c r="H109" s="25">
        <f>cuotas_emitidas!H104-SUMIFS(ingresos!$D:$D,ingresos!$F:$F,saldos!$A109,ingresos!$G:$G,saldos!H$6)</f>
        <v>0</v>
      </c>
      <c r="I109" s="25">
        <f>cuotas_emitidas!I104-SUMIFS(ingresos!$D:$D,ingresos!$F:$F,saldos!$A109,ingresos!$G:$G,saldos!I$6)</f>
        <v>0</v>
      </c>
      <c r="J109" s="25">
        <f>cuotas_emitidas!J104-SUMIFS(ingresos!$D:$D,ingresos!$F:$F,saldos!$A109,ingresos!$G:$G,saldos!J$6)</f>
        <v>0</v>
      </c>
      <c r="K109" s="25">
        <f>cuotas_emitidas!K104-SUMIFS(ingresos!$D:$D,ingresos!$F:$F,saldos!$A109,ingresos!$G:$G,saldos!K$6)</f>
        <v>0</v>
      </c>
      <c r="L109" s="25">
        <f>cuotas_emitidas!L104-SUMIFS(ingresos!$D:$D,ingresos!$F:$F,saldos!$A109,ingresos!$G:$G,saldos!L$6)</f>
        <v>0</v>
      </c>
      <c r="M109" s="25">
        <f>cuotas_emitidas!M104-SUMIFS(ingresos!$D:$D,ingresos!$F:$F,saldos!$A109,ingresos!$G:$G,saldos!M$6)</f>
        <v>0</v>
      </c>
      <c r="N109" s="25">
        <f>cuotas_emitidas!N104-SUMIFS(ingresos!$D:$D,ingresos!$F:$F,saldos!$A109,ingresos!$G:$G,saldos!N$6)</f>
        <v>-2.3100000000000023</v>
      </c>
      <c r="O109" s="25">
        <f>cuotas_emitidas!O104-SUMIFS(ingresos!$D:$D,ingresos!$F:$F,saldos!$A109,ingresos!$G:$G,saldos!O$6)</f>
        <v>0</v>
      </c>
      <c r="P109" s="25">
        <f>cuotas_emitidas!P104-SUMIFS(ingresos!$D:$D,ingresos!$F:$F,saldos!$A109,ingresos!$G:$G,saldos!P$6)</f>
        <v>-2.3100000000000023</v>
      </c>
      <c r="Q109" s="25">
        <f>cuotas_emitidas!Q104-SUMIFS(ingresos!$D:$D,ingresos!$F:$F,saldos!$A109,ingresos!$G:$G,saldos!Q$6)</f>
        <v>-4.6200000000000045</v>
      </c>
      <c r="R109" s="26">
        <f t="shared" si="3"/>
        <v>-9.2400000000000091</v>
      </c>
      <c r="T109" s="26">
        <f t="shared" si="4"/>
        <v>-4.6200000000000045</v>
      </c>
      <c r="U109" s="26">
        <f t="shared" si="5"/>
        <v>-4.6200000000000045</v>
      </c>
    </row>
    <row r="110" spans="1:21" x14ac:dyDescent="0.25">
      <c r="A110" s="17" t="s">
        <v>1789</v>
      </c>
      <c r="B110" s="17" t="s">
        <v>1790</v>
      </c>
      <c r="C110" s="17" t="s">
        <v>1791</v>
      </c>
      <c r="D110" s="25">
        <f>cuotas_emitidas!D105-SUMIFS(ingresos!$D:$D,ingresos!$F:$F,saldos!$A110,ingresos!$G:$G,saldos!D$6)</f>
        <v>0</v>
      </c>
      <c r="E110" s="25">
        <f>cuotas_emitidas!E105-SUMIFS(ingresos!$D:$D,ingresos!$F:$F,saldos!$A110,ingresos!$G:$G,saldos!E$6)</f>
        <v>0</v>
      </c>
      <c r="F110" s="25">
        <f>cuotas_emitidas!F105-SUMIFS(ingresos!$D:$D,ingresos!$F:$F,saldos!$A110,ingresos!$G:$G,saldos!F$6)</f>
        <v>0</v>
      </c>
      <c r="G110" s="25">
        <f>cuotas_emitidas!G105-SUMIFS(ingresos!$D:$D,ingresos!$F:$F,saldos!$A110,ingresos!$G:$G,saldos!G$6)</f>
        <v>0</v>
      </c>
      <c r="H110" s="25">
        <f>cuotas_emitidas!H105-SUMIFS(ingresos!$D:$D,ingresos!$F:$F,saldos!$A110,ingresos!$G:$G,saldos!H$6)</f>
        <v>0</v>
      </c>
      <c r="I110" s="25">
        <f>cuotas_emitidas!I105-SUMIFS(ingresos!$D:$D,ingresos!$F:$F,saldos!$A110,ingresos!$G:$G,saldos!I$6)</f>
        <v>0</v>
      </c>
      <c r="J110" s="25">
        <f>cuotas_emitidas!J105-SUMIFS(ingresos!$D:$D,ingresos!$F:$F,saldos!$A110,ingresos!$G:$G,saldos!J$6)</f>
        <v>0</v>
      </c>
      <c r="K110" s="25">
        <f>cuotas_emitidas!K105-SUMIFS(ingresos!$D:$D,ingresos!$F:$F,saldos!$A110,ingresos!$G:$G,saldos!K$6)</f>
        <v>0</v>
      </c>
      <c r="L110" s="25">
        <f>cuotas_emitidas!L105-SUMIFS(ingresos!$D:$D,ingresos!$F:$F,saldos!$A110,ingresos!$G:$G,saldos!L$6)</f>
        <v>0</v>
      </c>
      <c r="M110" s="25">
        <f>cuotas_emitidas!M105-SUMIFS(ingresos!$D:$D,ingresos!$F:$F,saldos!$A110,ingresos!$G:$G,saldos!M$6)</f>
        <v>0</v>
      </c>
      <c r="N110" s="25">
        <f>cuotas_emitidas!N105-SUMIFS(ingresos!$D:$D,ingresos!$F:$F,saldos!$A110,ingresos!$G:$G,saldos!N$6)</f>
        <v>0</v>
      </c>
      <c r="O110" s="25">
        <f>cuotas_emitidas!O105-SUMIFS(ingresos!$D:$D,ingresos!$F:$F,saldos!$A110,ingresos!$G:$G,saldos!O$6)</f>
        <v>0</v>
      </c>
      <c r="P110" s="25">
        <f>cuotas_emitidas!P105-SUMIFS(ingresos!$D:$D,ingresos!$F:$F,saldos!$A110,ingresos!$G:$G,saldos!P$6)</f>
        <v>0</v>
      </c>
      <c r="Q110" s="25">
        <f>cuotas_emitidas!Q105-SUMIFS(ingresos!$D:$D,ingresos!$F:$F,saldos!$A110,ingresos!$G:$G,saldos!Q$6)</f>
        <v>390.85</v>
      </c>
      <c r="R110" s="26">
        <f t="shared" si="3"/>
        <v>390.85</v>
      </c>
      <c r="T110" s="26">
        <f t="shared" si="4"/>
        <v>390.85</v>
      </c>
      <c r="U110" s="26">
        <f t="shared" si="5"/>
        <v>0</v>
      </c>
    </row>
    <row r="111" spans="1:21" x14ac:dyDescent="0.25">
      <c r="A111" s="17" t="s">
        <v>1792</v>
      </c>
      <c r="B111" s="17" t="s">
        <v>1793</v>
      </c>
      <c r="C111" s="17" t="s">
        <v>1794</v>
      </c>
      <c r="D111" s="25">
        <f>cuotas_emitidas!D106-SUMIFS(ingresos!$D:$D,ingresos!$F:$F,saldos!$A111,ingresos!$G:$G,saldos!D$6)</f>
        <v>0</v>
      </c>
      <c r="E111" s="25">
        <f>cuotas_emitidas!E106-SUMIFS(ingresos!$D:$D,ingresos!$F:$F,saldos!$A111,ingresos!$G:$G,saldos!E$6)</f>
        <v>0</v>
      </c>
      <c r="F111" s="25">
        <f>cuotas_emitidas!F106-SUMIFS(ingresos!$D:$D,ingresos!$F:$F,saldos!$A111,ingresos!$G:$G,saldos!F$6)</f>
        <v>0</v>
      </c>
      <c r="G111" s="25">
        <f>cuotas_emitidas!G106-SUMIFS(ingresos!$D:$D,ingresos!$F:$F,saldos!$A111,ingresos!$G:$G,saldos!G$6)</f>
        <v>0</v>
      </c>
      <c r="H111" s="25">
        <f>cuotas_emitidas!H106-SUMIFS(ingresos!$D:$D,ingresos!$F:$F,saldos!$A111,ingresos!$G:$G,saldos!H$6)</f>
        <v>0</v>
      </c>
      <c r="I111" s="25">
        <f>cuotas_emitidas!I106-SUMIFS(ingresos!$D:$D,ingresos!$F:$F,saldos!$A111,ingresos!$G:$G,saldos!I$6)</f>
        <v>0</v>
      </c>
      <c r="J111" s="25">
        <f>cuotas_emitidas!J106-SUMIFS(ingresos!$D:$D,ingresos!$F:$F,saldos!$A111,ingresos!$G:$G,saldos!J$6)</f>
        <v>0</v>
      </c>
      <c r="K111" s="25">
        <f>cuotas_emitidas!K106-SUMIFS(ingresos!$D:$D,ingresos!$F:$F,saldos!$A111,ingresos!$G:$G,saldos!K$6)</f>
        <v>0</v>
      </c>
      <c r="L111" s="25">
        <f>cuotas_emitidas!L106-SUMIFS(ingresos!$D:$D,ingresos!$F:$F,saldos!$A111,ingresos!$G:$G,saldos!L$6)</f>
        <v>0</v>
      </c>
      <c r="M111" s="25">
        <f>cuotas_emitidas!M106-SUMIFS(ingresos!$D:$D,ingresos!$F:$F,saldos!$A111,ingresos!$G:$G,saldos!M$6)</f>
        <v>0</v>
      </c>
      <c r="N111" s="25">
        <f>cuotas_emitidas!N106-SUMIFS(ingresos!$D:$D,ingresos!$F:$F,saldos!$A111,ingresos!$G:$G,saldos!N$6)</f>
        <v>0</v>
      </c>
      <c r="O111" s="25">
        <f>cuotas_emitidas!O106-SUMIFS(ingresos!$D:$D,ingresos!$F:$F,saldos!$A111,ingresos!$G:$G,saldos!O$6)</f>
        <v>0</v>
      </c>
      <c r="P111" s="25">
        <f>cuotas_emitidas!P106-SUMIFS(ingresos!$D:$D,ingresos!$F:$F,saldos!$A111,ingresos!$G:$G,saldos!P$6)</f>
        <v>0</v>
      </c>
      <c r="Q111" s="25">
        <f>cuotas_emitidas!Q106-SUMIFS(ingresos!$D:$D,ingresos!$F:$F,saldos!$A111,ingresos!$G:$G,saldos!Q$6)</f>
        <v>179.87</v>
      </c>
      <c r="R111" s="26">
        <f t="shared" si="3"/>
        <v>179.87</v>
      </c>
      <c r="T111" s="26">
        <f t="shared" si="4"/>
        <v>179.87</v>
      </c>
      <c r="U111" s="26">
        <f t="shared" si="5"/>
        <v>0</v>
      </c>
    </row>
    <row r="112" spans="1:21" x14ac:dyDescent="0.25">
      <c r="A112" s="17" t="s">
        <v>1795</v>
      </c>
      <c r="B112" s="17" t="s">
        <v>1796</v>
      </c>
      <c r="C112" s="17" t="s">
        <v>1797</v>
      </c>
      <c r="D112" s="25">
        <f>cuotas_emitidas!D107-SUMIFS(ingresos!$D:$D,ingresos!$F:$F,saldos!$A112,ingresos!$G:$G,saldos!D$6)</f>
        <v>0</v>
      </c>
      <c r="E112" s="25">
        <f>cuotas_emitidas!E107-SUMIFS(ingresos!$D:$D,ingresos!$F:$F,saldos!$A112,ingresos!$G:$G,saldos!E$6)</f>
        <v>0</v>
      </c>
      <c r="F112" s="25">
        <f>cuotas_emitidas!F107-SUMIFS(ingresos!$D:$D,ingresos!$F:$F,saldos!$A112,ingresos!$G:$G,saldos!F$6)</f>
        <v>0</v>
      </c>
      <c r="G112" s="25">
        <f>cuotas_emitidas!G107-SUMIFS(ingresos!$D:$D,ingresos!$F:$F,saldos!$A112,ingresos!$G:$G,saldos!G$6)</f>
        <v>0</v>
      </c>
      <c r="H112" s="25">
        <f>cuotas_emitidas!H107-SUMIFS(ingresos!$D:$D,ingresos!$F:$F,saldos!$A112,ingresos!$G:$G,saldos!H$6)</f>
        <v>0</v>
      </c>
      <c r="I112" s="25">
        <f>cuotas_emitidas!I107-SUMIFS(ingresos!$D:$D,ingresos!$F:$F,saldos!$A112,ingresos!$G:$G,saldos!I$6)</f>
        <v>0</v>
      </c>
      <c r="J112" s="25">
        <f>cuotas_emitidas!J107-SUMIFS(ingresos!$D:$D,ingresos!$F:$F,saldos!$A112,ingresos!$G:$G,saldos!J$6)</f>
        <v>0</v>
      </c>
      <c r="K112" s="25">
        <f>cuotas_emitidas!K107-SUMIFS(ingresos!$D:$D,ingresos!$F:$F,saldos!$A112,ingresos!$G:$G,saldos!K$6)</f>
        <v>0</v>
      </c>
      <c r="L112" s="25">
        <f>cuotas_emitidas!L107-SUMIFS(ingresos!$D:$D,ingresos!$F:$F,saldos!$A112,ingresos!$G:$G,saldos!L$6)</f>
        <v>0</v>
      </c>
      <c r="M112" s="25">
        <f>cuotas_emitidas!M107-SUMIFS(ingresos!$D:$D,ingresos!$F:$F,saldos!$A112,ingresos!$G:$G,saldos!M$6)</f>
        <v>0</v>
      </c>
      <c r="N112" s="25">
        <f>cuotas_emitidas!N107-SUMIFS(ingresos!$D:$D,ingresos!$F:$F,saldos!$A112,ingresos!$G:$G,saldos!N$6)</f>
        <v>0</v>
      </c>
      <c r="O112" s="25">
        <f>cuotas_emitidas!O107-SUMIFS(ingresos!$D:$D,ingresos!$F:$F,saldos!$A112,ingresos!$G:$G,saldos!O$6)</f>
        <v>0</v>
      </c>
      <c r="P112" s="25">
        <f>cuotas_emitidas!P107-SUMIFS(ingresos!$D:$D,ingresos!$F:$F,saldos!$A112,ingresos!$G:$G,saldos!P$6)</f>
        <v>0</v>
      </c>
      <c r="Q112" s="25">
        <f>cuotas_emitidas!Q107-SUMIFS(ingresos!$D:$D,ingresos!$F:$F,saldos!$A112,ingresos!$G:$G,saldos!Q$6)</f>
        <v>340.90999999999997</v>
      </c>
      <c r="R112" s="26">
        <f t="shared" si="3"/>
        <v>340.90999999999997</v>
      </c>
      <c r="T112" s="26">
        <f t="shared" si="4"/>
        <v>340.90999999999997</v>
      </c>
      <c r="U112" s="26">
        <f t="shared" si="5"/>
        <v>0</v>
      </c>
    </row>
    <row r="113" spans="1:21" x14ac:dyDescent="0.25">
      <c r="A113" s="17" t="s">
        <v>1798</v>
      </c>
      <c r="B113" s="17" t="s">
        <v>1799</v>
      </c>
      <c r="C113" s="17" t="s">
        <v>1800</v>
      </c>
      <c r="D113" s="25">
        <f>cuotas_emitidas!D108-SUMIFS(ingresos!$D:$D,ingresos!$F:$F,saldos!$A113,ingresos!$G:$G,saldos!D$6)</f>
        <v>0</v>
      </c>
      <c r="E113" s="25">
        <f>cuotas_emitidas!E108-SUMIFS(ingresos!$D:$D,ingresos!$F:$F,saldos!$A113,ingresos!$G:$G,saldos!E$6)</f>
        <v>0</v>
      </c>
      <c r="F113" s="25">
        <f>cuotas_emitidas!F108-SUMIFS(ingresos!$D:$D,ingresos!$F:$F,saldos!$A113,ingresos!$G:$G,saldos!F$6)</f>
        <v>0</v>
      </c>
      <c r="G113" s="25">
        <f>cuotas_emitidas!G108-SUMIFS(ingresos!$D:$D,ingresos!$F:$F,saldos!$A113,ingresos!$G:$G,saldos!G$6)</f>
        <v>0</v>
      </c>
      <c r="H113" s="25">
        <f>cuotas_emitidas!H108-SUMIFS(ingresos!$D:$D,ingresos!$F:$F,saldos!$A113,ingresos!$G:$G,saldos!H$6)</f>
        <v>0</v>
      </c>
      <c r="I113" s="25">
        <f>cuotas_emitidas!I108-SUMIFS(ingresos!$D:$D,ingresos!$F:$F,saldos!$A113,ingresos!$G:$G,saldos!I$6)</f>
        <v>0</v>
      </c>
      <c r="J113" s="25">
        <f>cuotas_emitidas!J108-SUMIFS(ingresos!$D:$D,ingresos!$F:$F,saldos!$A113,ingresos!$G:$G,saldos!J$6)</f>
        <v>0</v>
      </c>
      <c r="K113" s="25">
        <f>cuotas_emitidas!K108-SUMIFS(ingresos!$D:$D,ingresos!$F:$F,saldos!$A113,ingresos!$G:$G,saldos!K$6)</f>
        <v>0</v>
      </c>
      <c r="L113" s="25">
        <f>cuotas_emitidas!L108-SUMIFS(ingresos!$D:$D,ingresos!$F:$F,saldos!$A113,ingresos!$G:$G,saldos!L$6)</f>
        <v>0</v>
      </c>
      <c r="M113" s="25">
        <f>cuotas_emitidas!M108-SUMIFS(ingresos!$D:$D,ingresos!$F:$F,saldos!$A113,ingresos!$G:$G,saldos!M$6)</f>
        <v>0</v>
      </c>
      <c r="N113" s="25">
        <f>cuotas_emitidas!N108-SUMIFS(ingresos!$D:$D,ingresos!$F:$F,saldos!$A113,ingresos!$G:$G,saldos!N$6)</f>
        <v>0</v>
      </c>
      <c r="O113" s="25">
        <f>cuotas_emitidas!O108-SUMIFS(ingresos!$D:$D,ingresos!$F:$F,saldos!$A113,ingresos!$G:$G,saldos!O$6)</f>
        <v>0</v>
      </c>
      <c r="P113" s="25">
        <f>cuotas_emitidas!P108-SUMIFS(ingresos!$D:$D,ingresos!$F:$F,saldos!$A113,ingresos!$G:$G,saldos!P$6)</f>
        <v>0</v>
      </c>
      <c r="Q113" s="25">
        <f>cuotas_emitidas!Q108-SUMIFS(ingresos!$D:$D,ingresos!$F:$F,saldos!$A113,ingresos!$G:$G,saldos!Q$6)</f>
        <v>0</v>
      </c>
      <c r="R113" s="26">
        <f t="shared" si="3"/>
        <v>0</v>
      </c>
      <c r="T113" s="26">
        <f t="shared" si="4"/>
        <v>0</v>
      </c>
      <c r="U113" s="26">
        <f t="shared" si="5"/>
        <v>0</v>
      </c>
    </row>
    <row r="114" spans="1:21" x14ac:dyDescent="0.25">
      <c r="A114" s="17" t="s">
        <v>1801</v>
      </c>
      <c r="B114" s="17" t="s">
        <v>1802</v>
      </c>
      <c r="C114" s="17" t="s">
        <v>1803</v>
      </c>
      <c r="D114" s="25">
        <f>cuotas_emitidas!D109-SUMIFS(ingresos!$D:$D,ingresos!$F:$F,saldos!$A114,ingresos!$G:$G,saldos!D$6)</f>
        <v>0</v>
      </c>
      <c r="E114" s="25">
        <f>cuotas_emitidas!E109-SUMIFS(ingresos!$D:$D,ingresos!$F:$F,saldos!$A114,ingresos!$G:$G,saldos!E$6)</f>
        <v>0</v>
      </c>
      <c r="F114" s="25">
        <f>cuotas_emitidas!F109-SUMIFS(ingresos!$D:$D,ingresos!$F:$F,saldos!$A114,ingresos!$G:$G,saldos!F$6)</f>
        <v>0</v>
      </c>
      <c r="G114" s="25">
        <f>cuotas_emitidas!G109-SUMIFS(ingresos!$D:$D,ingresos!$F:$F,saldos!$A114,ingresos!$G:$G,saldos!G$6)</f>
        <v>0</v>
      </c>
      <c r="H114" s="25">
        <f>cuotas_emitidas!H109-SUMIFS(ingresos!$D:$D,ingresos!$F:$F,saldos!$A114,ingresos!$G:$G,saldos!H$6)</f>
        <v>0</v>
      </c>
      <c r="I114" s="25">
        <f>cuotas_emitidas!I109-SUMIFS(ingresos!$D:$D,ingresos!$F:$F,saldos!$A114,ingresos!$G:$G,saldos!I$6)</f>
        <v>0</v>
      </c>
      <c r="J114" s="25">
        <f>cuotas_emitidas!J109-SUMIFS(ingresos!$D:$D,ingresos!$F:$F,saldos!$A114,ingresos!$G:$G,saldos!J$6)</f>
        <v>0</v>
      </c>
      <c r="K114" s="25">
        <f>cuotas_emitidas!K109-SUMIFS(ingresos!$D:$D,ingresos!$F:$F,saldos!$A114,ingresos!$G:$G,saldos!K$6)</f>
        <v>0</v>
      </c>
      <c r="L114" s="25">
        <f>cuotas_emitidas!L109-SUMIFS(ingresos!$D:$D,ingresos!$F:$F,saldos!$A114,ingresos!$G:$G,saldos!L$6)</f>
        <v>0</v>
      </c>
      <c r="M114" s="25">
        <f>cuotas_emitidas!M109-SUMIFS(ingresos!$D:$D,ingresos!$F:$F,saldos!$A114,ingresos!$G:$G,saldos!M$6)</f>
        <v>0</v>
      </c>
      <c r="N114" s="25">
        <f>cuotas_emitidas!N109-SUMIFS(ingresos!$D:$D,ingresos!$F:$F,saldos!$A114,ingresos!$G:$G,saldos!N$6)</f>
        <v>0</v>
      </c>
      <c r="O114" s="25">
        <f>cuotas_emitidas!O109-SUMIFS(ingresos!$D:$D,ingresos!$F:$F,saldos!$A114,ingresos!$G:$G,saldos!O$6)</f>
        <v>0</v>
      </c>
      <c r="P114" s="25">
        <f>cuotas_emitidas!P109-SUMIFS(ingresos!$D:$D,ingresos!$F:$F,saldos!$A114,ingresos!$G:$G,saldos!P$6)</f>
        <v>0</v>
      </c>
      <c r="Q114" s="25">
        <f>cuotas_emitidas!Q109-SUMIFS(ingresos!$D:$D,ingresos!$F:$F,saldos!$A114,ingresos!$G:$G,saldos!Q$6)</f>
        <v>0</v>
      </c>
      <c r="R114" s="26">
        <f t="shared" si="3"/>
        <v>0</v>
      </c>
      <c r="T114" s="26">
        <f t="shared" si="4"/>
        <v>0</v>
      </c>
      <c r="U114" s="26">
        <f t="shared" si="5"/>
        <v>0</v>
      </c>
    </row>
    <row r="115" spans="1:21" x14ac:dyDescent="0.25">
      <c r="A115" s="17" t="s">
        <v>1804</v>
      </c>
      <c r="B115" s="17" t="s">
        <v>1215</v>
      </c>
      <c r="C115" s="17" t="s">
        <v>1805</v>
      </c>
      <c r="D115" s="25">
        <f>cuotas_emitidas!D110-SUMIFS(ingresos!$D:$D,ingresos!$F:$F,saldos!$A115,ingresos!$G:$G,saldos!D$6)</f>
        <v>0</v>
      </c>
      <c r="E115" s="25">
        <f>cuotas_emitidas!E110-SUMIFS(ingresos!$D:$D,ingresos!$F:$F,saldos!$A115,ingresos!$G:$G,saldos!E$6)</f>
        <v>0</v>
      </c>
      <c r="F115" s="25">
        <f>cuotas_emitidas!F110-SUMIFS(ingresos!$D:$D,ingresos!$F:$F,saldos!$A115,ingresos!$G:$G,saldos!F$6)</f>
        <v>0</v>
      </c>
      <c r="G115" s="25">
        <f>cuotas_emitidas!G110-SUMIFS(ingresos!$D:$D,ingresos!$F:$F,saldos!$A115,ingresos!$G:$G,saldos!G$6)</f>
        <v>0</v>
      </c>
      <c r="H115" s="25">
        <f>cuotas_emitidas!H110-SUMIFS(ingresos!$D:$D,ingresos!$F:$F,saldos!$A115,ingresos!$G:$G,saldos!H$6)</f>
        <v>0</v>
      </c>
      <c r="I115" s="25">
        <f>cuotas_emitidas!I110-SUMIFS(ingresos!$D:$D,ingresos!$F:$F,saldos!$A115,ingresos!$G:$G,saldos!I$6)</f>
        <v>0</v>
      </c>
      <c r="J115" s="25">
        <f>cuotas_emitidas!J110-SUMIFS(ingresos!$D:$D,ingresos!$F:$F,saldos!$A115,ingresos!$G:$G,saldos!J$6)</f>
        <v>0</v>
      </c>
      <c r="K115" s="25">
        <f>cuotas_emitidas!K110-SUMIFS(ingresos!$D:$D,ingresos!$F:$F,saldos!$A115,ingresos!$G:$G,saldos!K$6)</f>
        <v>0</v>
      </c>
      <c r="L115" s="25">
        <f>cuotas_emitidas!L110-SUMIFS(ingresos!$D:$D,ingresos!$F:$F,saldos!$A115,ingresos!$G:$G,saldos!L$6)</f>
        <v>0</v>
      </c>
      <c r="M115" s="25">
        <f>cuotas_emitidas!M110-SUMIFS(ingresos!$D:$D,ingresos!$F:$F,saldos!$A115,ingresos!$G:$G,saldos!M$6)</f>
        <v>0</v>
      </c>
      <c r="N115" s="25">
        <f>cuotas_emitidas!N110-SUMIFS(ingresos!$D:$D,ingresos!$F:$F,saldos!$A115,ingresos!$G:$G,saldos!N$6)</f>
        <v>0</v>
      </c>
      <c r="O115" s="25">
        <f>cuotas_emitidas!O110-SUMIFS(ingresos!$D:$D,ingresos!$F:$F,saldos!$A115,ingresos!$G:$G,saldos!O$6)</f>
        <v>0</v>
      </c>
      <c r="P115" s="25">
        <f>cuotas_emitidas!P110-SUMIFS(ingresos!$D:$D,ingresos!$F:$F,saldos!$A115,ingresos!$G:$G,saldos!P$6)</f>
        <v>0</v>
      </c>
      <c r="Q115" s="25">
        <f>cuotas_emitidas!Q110-SUMIFS(ingresos!$D:$D,ingresos!$F:$F,saldos!$A115,ingresos!$G:$G,saldos!Q$6)</f>
        <v>291.32</v>
      </c>
      <c r="R115" s="26">
        <f t="shared" si="3"/>
        <v>291.32</v>
      </c>
      <c r="T115" s="26">
        <f t="shared" si="4"/>
        <v>291.32</v>
      </c>
      <c r="U115" s="26">
        <f t="shared" si="5"/>
        <v>0</v>
      </c>
    </row>
    <row r="116" spans="1:21" x14ac:dyDescent="0.25">
      <c r="A116" s="17" t="s">
        <v>1806</v>
      </c>
      <c r="B116" s="17" t="s">
        <v>1807</v>
      </c>
      <c r="C116" s="17" t="s">
        <v>1808</v>
      </c>
      <c r="D116" s="25">
        <f>cuotas_emitidas!D111-SUMIFS(ingresos!$D:$D,ingresos!$F:$F,saldos!$A116,ingresos!$G:$G,saldos!D$6)</f>
        <v>0</v>
      </c>
      <c r="E116" s="25">
        <f>cuotas_emitidas!E111-SUMIFS(ingresos!$D:$D,ingresos!$F:$F,saldos!$A116,ingresos!$G:$G,saldos!E$6)</f>
        <v>0</v>
      </c>
      <c r="F116" s="25">
        <f>cuotas_emitidas!F111-SUMIFS(ingresos!$D:$D,ingresos!$F:$F,saldos!$A116,ingresos!$G:$G,saldos!F$6)</f>
        <v>0</v>
      </c>
      <c r="G116" s="25">
        <f>cuotas_emitidas!G111-SUMIFS(ingresos!$D:$D,ingresos!$F:$F,saldos!$A116,ingresos!$G:$G,saldos!G$6)</f>
        <v>0</v>
      </c>
      <c r="H116" s="25">
        <f>cuotas_emitidas!H111-SUMIFS(ingresos!$D:$D,ingresos!$F:$F,saldos!$A116,ingresos!$G:$G,saldos!H$6)</f>
        <v>0</v>
      </c>
      <c r="I116" s="25">
        <f>cuotas_emitidas!I111-SUMIFS(ingresos!$D:$D,ingresos!$F:$F,saldos!$A116,ingresos!$G:$G,saldos!I$6)</f>
        <v>0</v>
      </c>
      <c r="J116" s="25">
        <f>cuotas_emitidas!J111-SUMIFS(ingresos!$D:$D,ingresos!$F:$F,saldos!$A116,ingresos!$G:$G,saldos!J$6)</f>
        <v>0</v>
      </c>
      <c r="K116" s="25">
        <f>cuotas_emitidas!K111-SUMIFS(ingresos!$D:$D,ingresos!$F:$F,saldos!$A116,ingresos!$G:$G,saldos!K$6)</f>
        <v>0</v>
      </c>
      <c r="L116" s="25">
        <f>cuotas_emitidas!L111-SUMIFS(ingresos!$D:$D,ingresos!$F:$F,saldos!$A116,ingresos!$G:$G,saldos!L$6)</f>
        <v>0</v>
      </c>
      <c r="M116" s="25">
        <f>cuotas_emitidas!M111-SUMIFS(ingresos!$D:$D,ingresos!$F:$F,saldos!$A116,ingresos!$G:$G,saldos!M$6)</f>
        <v>0</v>
      </c>
      <c r="N116" s="25">
        <f>cuotas_emitidas!N111-SUMIFS(ingresos!$D:$D,ingresos!$F:$F,saldos!$A116,ingresos!$G:$G,saldos!N$6)</f>
        <v>0</v>
      </c>
      <c r="O116" s="25">
        <f>cuotas_emitidas!O111-SUMIFS(ingresos!$D:$D,ingresos!$F:$F,saldos!$A116,ingresos!$G:$G,saldos!O$6)</f>
        <v>0</v>
      </c>
      <c r="P116" s="25">
        <f>cuotas_emitidas!P111-SUMIFS(ingresos!$D:$D,ingresos!$F:$F,saldos!$A116,ingresos!$G:$G,saldos!P$6)</f>
        <v>0</v>
      </c>
      <c r="Q116" s="25">
        <f>cuotas_emitidas!Q111-SUMIFS(ingresos!$D:$D,ingresos!$F:$F,saldos!$A116,ingresos!$G:$G,saldos!Q$6)</f>
        <v>0</v>
      </c>
      <c r="R116" s="26">
        <f t="shared" si="3"/>
        <v>0</v>
      </c>
      <c r="T116" s="26">
        <f t="shared" si="4"/>
        <v>0</v>
      </c>
      <c r="U116" s="26">
        <f t="shared" si="5"/>
        <v>0</v>
      </c>
    </row>
    <row r="117" spans="1:21" x14ac:dyDescent="0.25">
      <c r="A117" s="17" t="s">
        <v>1809</v>
      </c>
      <c r="B117" s="17" t="s">
        <v>1810</v>
      </c>
      <c r="C117" s="17" t="s">
        <v>1811</v>
      </c>
      <c r="D117" s="25">
        <f>cuotas_emitidas!D112-SUMIFS(ingresos!$D:$D,ingresos!$F:$F,saldos!$A117,ingresos!$G:$G,saldos!D$6)</f>
        <v>0</v>
      </c>
      <c r="E117" s="25">
        <f>cuotas_emitidas!E112-SUMIFS(ingresos!$D:$D,ingresos!$F:$F,saldos!$A117,ingresos!$G:$G,saldos!E$6)</f>
        <v>0</v>
      </c>
      <c r="F117" s="25">
        <f>cuotas_emitidas!F112-SUMIFS(ingresos!$D:$D,ingresos!$F:$F,saldos!$A117,ingresos!$G:$G,saldos!F$6)</f>
        <v>0</v>
      </c>
      <c r="G117" s="25">
        <f>cuotas_emitidas!G112-SUMIFS(ingresos!$D:$D,ingresos!$F:$F,saldos!$A117,ingresos!$G:$G,saldos!G$6)</f>
        <v>0</v>
      </c>
      <c r="H117" s="25">
        <f>cuotas_emitidas!H112-SUMIFS(ingresos!$D:$D,ingresos!$F:$F,saldos!$A117,ingresos!$G:$G,saldos!H$6)</f>
        <v>0</v>
      </c>
      <c r="I117" s="25">
        <f>cuotas_emitidas!I112-SUMIFS(ingresos!$D:$D,ingresos!$F:$F,saldos!$A117,ingresos!$G:$G,saldos!I$6)</f>
        <v>0</v>
      </c>
      <c r="J117" s="25">
        <f>cuotas_emitidas!J112-SUMIFS(ingresos!$D:$D,ingresos!$F:$F,saldos!$A117,ingresos!$G:$G,saldos!J$6)</f>
        <v>0</v>
      </c>
      <c r="K117" s="25">
        <f>cuotas_emitidas!K112-SUMIFS(ingresos!$D:$D,ingresos!$F:$F,saldos!$A117,ingresos!$G:$G,saldos!K$6)</f>
        <v>0</v>
      </c>
      <c r="L117" s="25">
        <f>cuotas_emitidas!L112-SUMIFS(ingresos!$D:$D,ingresos!$F:$F,saldos!$A117,ingresos!$G:$G,saldos!L$6)</f>
        <v>0</v>
      </c>
      <c r="M117" s="25">
        <f>cuotas_emitidas!M112-SUMIFS(ingresos!$D:$D,ingresos!$F:$F,saldos!$A117,ingresos!$G:$G,saldos!M$6)</f>
        <v>0</v>
      </c>
      <c r="N117" s="25">
        <f>cuotas_emitidas!N112-SUMIFS(ingresos!$D:$D,ingresos!$F:$F,saldos!$A117,ingresos!$G:$G,saldos!N$6)</f>
        <v>0</v>
      </c>
      <c r="O117" s="25">
        <f>cuotas_emitidas!O112-SUMIFS(ingresos!$D:$D,ingresos!$F:$F,saldos!$A117,ingresos!$G:$G,saldos!O$6)</f>
        <v>0</v>
      </c>
      <c r="P117" s="25">
        <f>cuotas_emitidas!P112-SUMIFS(ingresos!$D:$D,ingresos!$F:$F,saldos!$A117,ingresos!$G:$G,saldos!P$6)</f>
        <v>265.8</v>
      </c>
      <c r="Q117" s="25">
        <f>cuotas_emitidas!Q112-SUMIFS(ingresos!$D:$D,ingresos!$F:$F,saldos!$A117,ingresos!$G:$G,saldos!Q$6)</f>
        <v>269.33</v>
      </c>
      <c r="R117" s="26">
        <f t="shared" si="3"/>
        <v>535.13</v>
      </c>
      <c r="T117" s="26">
        <f t="shared" si="4"/>
        <v>269.33</v>
      </c>
      <c r="U117" s="26">
        <f t="shared" si="5"/>
        <v>265.8</v>
      </c>
    </row>
    <row r="118" spans="1:21" x14ac:dyDescent="0.25">
      <c r="A118" s="17" t="s">
        <v>1812</v>
      </c>
      <c r="B118" s="17" t="s">
        <v>1813</v>
      </c>
      <c r="C118" s="17" t="s">
        <v>1814</v>
      </c>
      <c r="D118" s="25">
        <f>cuotas_emitidas!D113-SUMIFS(ingresos!$D:$D,ingresos!$F:$F,saldos!$A118,ingresos!$G:$G,saldos!D$6)</f>
        <v>0</v>
      </c>
      <c r="E118" s="25">
        <f>cuotas_emitidas!E113-SUMIFS(ingresos!$D:$D,ingresos!$F:$F,saldos!$A118,ingresos!$G:$G,saldos!E$6)</f>
        <v>0</v>
      </c>
      <c r="F118" s="25">
        <f>cuotas_emitidas!F113-SUMIFS(ingresos!$D:$D,ingresos!$F:$F,saldos!$A118,ingresos!$G:$G,saldos!F$6)</f>
        <v>0</v>
      </c>
      <c r="G118" s="25">
        <f>cuotas_emitidas!G113-SUMIFS(ingresos!$D:$D,ingresos!$F:$F,saldos!$A118,ingresos!$G:$G,saldos!G$6)</f>
        <v>0</v>
      </c>
      <c r="H118" s="25">
        <f>cuotas_emitidas!H113-SUMIFS(ingresos!$D:$D,ingresos!$F:$F,saldos!$A118,ingresos!$G:$G,saldos!H$6)</f>
        <v>0</v>
      </c>
      <c r="I118" s="25">
        <f>cuotas_emitidas!I113-SUMIFS(ingresos!$D:$D,ingresos!$F:$F,saldos!$A118,ingresos!$G:$G,saldos!I$6)</f>
        <v>0</v>
      </c>
      <c r="J118" s="25">
        <f>cuotas_emitidas!J113-SUMIFS(ingresos!$D:$D,ingresos!$F:$F,saldos!$A118,ingresos!$G:$G,saldos!J$6)</f>
        <v>0</v>
      </c>
      <c r="K118" s="25">
        <f>cuotas_emitidas!K113-SUMIFS(ingresos!$D:$D,ingresos!$F:$F,saldos!$A118,ingresos!$G:$G,saldos!K$6)</f>
        <v>0</v>
      </c>
      <c r="L118" s="25">
        <f>cuotas_emitidas!L113-SUMIFS(ingresos!$D:$D,ingresos!$F:$F,saldos!$A118,ingresos!$G:$G,saldos!L$6)</f>
        <v>0</v>
      </c>
      <c r="M118" s="25">
        <f>cuotas_emitidas!M113-SUMIFS(ingresos!$D:$D,ingresos!$F:$F,saldos!$A118,ingresos!$G:$G,saldos!M$6)</f>
        <v>0</v>
      </c>
      <c r="N118" s="25">
        <f>cuotas_emitidas!N113-SUMIFS(ingresos!$D:$D,ingresos!$F:$F,saldos!$A118,ingresos!$G:$G,saldos!N$6)</f>
        <v>0</v>
      </c>
      <c r="O118" s="25">
        <f>cuotas_emitidas!O113-SUMIFS(ingresos!$D:$D,ingresos!$F:$F,saldos!$A118,ingresos!$G:$G,saldos!O$6)</f>
        <v>0</v>
      </c>
      <c r="P118" s="25">
        <f>cuotas_emitidas!P113-SUMIFS(ingresos!$D:$D,ingresos!$F:$F,saldos!$A118,ingresos!$G:$G,saldos!P$6)</f>
        <v>0</v>
      </c>
      <c r="Q118" s="25">
        <f>cuotas_emitidas!Q113-SUMIFS(ingresos!$D:$D,ingresos!$F:$F,saldos!$A118,ingresos!$G:$G,saldos!Q$6)</f>
        <v>0</v>
      </c>
      <c r="R118" s="26">
        <f t="shared" si="3"/>
        <v>0</v>
      </c>
      <c r="T118" s="26">
        <f t="shared" si="4"/>
        <v>0</v>
      </c>
      <c r="U118" s="26">
        <f t="shared" si="5"/>
        <v>0</v>
      </c>
    </row>
    <row r="119" spans="1:21" x14ac:dyDescent="0.25">
      <c r="A119" s="17" t="s">
        <v>1815</v>
      </c>
      <c r="B119" s="17" t="s">
        <v>1816</v>
      </c>
      <c r="C119" s="17" t="s">
        <v>1817</v>
      </c>
      <c r="D119" s="25">
        <f>cuotas_emitidas!D114-SUMIFS(ingresos!$D:$D,ingresos!$F:$F,saldos!$A119,ingresos!$G:$G,saldos!D$6)</f>
        <v>0</v>
      </c>
      <c r="E119" s="25">
        <f>cuotas_emitidas!E114-SUMIFS(ingresos!$D:$D,ingresos!$F:$F,saldos!$A119,ingresos!$G:$G,saldos!E$6)</f>
        <v>0</v>
      </c>
      <c r="F119" s="25">
        <f>cuotas_emitidas!F114-SUMIFS(ingresos!$D:$D,ingresos!$F:$F,saldos!$A119,ingresos!$G:$G,saldos!F$6)</f>
        <v>0</v>
      </c>
      <c r="G119" s="25">
        <f>cuotas_emitidas!G114-SUMIFS(ingresos!$D:$D,ingresos!$F:$F,saldos!$A119,ingresos!$G:$G,saldos!G$6)</f>
        <v>0</v>
      </c>
      <c r="H119" s="25">
        <f>cuotas_emitidas!H114-SUMIFS(ingresos!$D:$D,ingresos!$F:$F,saldos!$A119,ingresos!$G:$G,saldos!H$6)</f>
        <v>0</v>
      </c>
      <c r="I119" s="25">
        <f>cuotas_emitidas!I114-SUMIFS(ingresos!$D:$D,ingresos!$F:$F,saldos!$A119,ingresos!$G:$G,saldos!I$6)</f>
        <v>0</v>
      </c>
      <c r="J119" s="25">
        <f>cuotas_emitidas!J114-SUMIFS(ingresos!$D:$D,ingresos!$F:$F,saldos!$A119,ingresos!$G:$G,saldos!J$6)</f>
        <v>0</v>
      </c>
      <c r="K119" s="25">
        <f>cuotas_emitidas!K114-SUMIFS(ingresos!$D:$D,ingresos!$F:$F,saldos!$A119,ingresos!$G:$G,saldos!K$6)</f>
        <v>0</v>
      </c>
      <c r="L119" s="25">
        <f>cuotas_emitidas!L114-SUMIFS(ingresos!$D:$D,ingresos!$F:$F,saldos!$A119,ingresos!$G:$G,saldos!L$6)</f>
        <v>0</v>
      </c>
      <c r="M119" s="25">
        <f>cuotas_emitidas!M114-SUMIFS(ingresos!$D:$D,ingresos!$F:$F,saldos!$A119,ingresos!$G:$G,saldos!M$6)</f>
        <v>0</v>
      </c>
      <c r="N119" s="25">
        <f>cuotas_emitidas!N114-SUMIFS(ingresos!$D:$D,ingresos!$F:$F,saldos!$A119,ingresos!$G:$G,saldos!N$6)</f>
        <v>0</v>
      </c>
      <c r="O119" s="25">
        <f>cuotas_emitidas!O114-SUMIFS(ingresos!$D:$D,ingresos!$F:$F,saldos!$A119,ingresos!$G:$G,saldos!O$6)</f>
        <v>0</v>
      </c>
      <c r="P119" s="25">
        <f>cuotas_emitidas!P114-SUMIFS(ingresos!$D:$D,ingresos!$F:$F,saldos!$A119,ingresos!$G:$G,saldos!P$6)</f>
        <v>-18.910000000000025</v>
      </c>
      <c r="Q119" s="25">
        <f>cuotas_emitidas!Q114-SUMIFS(ingresos!$D:$D,ingresos!$F:$F,saldos!$A119,ingresos!$G:$G,saldos!Q$6)</f>
        <v>254.43</v>
      </c>
      <c r="R119" s="26">
        <f t="shared" si="3"/>
        <v>235.51999999999998</v>
      </c>
      <c r="T119" s="26">
        <f t="shared" si="4"/>
        <v>254.43</v>
      </c>
      <c r="U119" s="26">
        <f t="shared" si="5"/>
        <v>-18.910000000000025</v>
      </c>
    </row>
    <row r="120" spans="1:21" x14ac:dyDescent="0.25">
      <c r="A120" s="17" t="s">
        <v>1818</v>
      </c>
      <c r="B120" s="17" t="s">
        <v>1395</v>
      </c>
      <c r="C120" s="17" t="s">
        <v>1819</v>
      </c>
      <c r="D120" s="25">
        <f>cuotas_emitidas!D115-SUMIFS(ingresos!$D:$D,ingresos!$F:$F,saldos!$A120,ingresos!$G:$G,saldos!D$6)</f>
        <v>0</v>
      </c>
      <c r="E120" s="25">
        <f>cuotas_emitidas!E115-SUMIFS(ingresos!$D:$D,ingresos!$F:$F,saldos!$A120,ingresos!$G:$G,saldos!E$6)</f>
        <v>0</v>
      </c>
      <c r="F120" s="25">
        <f>cuotas_emitidas!F115-SUMIFS(ingresos!$D:$D,ingresos!$F:$F,saldos!$A120,ingresos!$G:$G,saldos!F$6)</f>
        <v>0</v>
      </c>
      <c r="G120" s="25">
        <f>cuotas_emitidas!G115-SUMIFS(ingresos!$D:$D,ingresos!$F:$F,saldos!$A120,ingresos!$G:$G,saldos!G$6)</f>
        <v>0</v>
      </c>
      <c r="H120" s="25">
        <f>cuotas_emitidas!H115-SUMIFS(ingresos!$D:$D,ingresos!$F:$F,saldos!$A120,ingresos!$G:$G,saldos!H$6)</f>
        <v>0</v>
      </c>
      <c r="I120" s="25">
        <f>cuotas_emitidas!I115-SUMIFS(ingresos!$D:$D,ingresos!$F:$F,saldos!$A120,ingresos!$G:$G,saldos!I$6)</f>
        <v>0</v>
      </c>
      <c r="J120" s="25">
        <f>cuotas_emitidas!J115-SUMIFS(ingresos!$D:$D,ingresos!$F:$F,saldos!$A120,ingresos!$G:$G,saldos!J$6)</f>
        <v>0</v>
      </c>
      <c r="K120" s="25">
        <f>cuotas_emitidas!K115-SUMIFS(ingresos!$D:$D,ingresos!$F:$F,saldos!$A120,ingresos!$G:$G,saldos!K$6)</f>
        <v>0</v>
      </c>
      <c r="L120" s="25">
        <f>cuotas_emitidas!L115-SUMIFS(ingresos!$D:$D,ingresos!$F:$F,saldos!$A120,ingresos!$G:$G,saldos!L$6)</f>
        <v>0</v>
      </c>
      <c r="M120" s="25">
        <f>cuotas_emitidas!M115-SUMIFS(ingresos!$D:$D,ingresos!$F:$F,saldos!$A120,ingresos!$G:$G,saldos!M$6)</f>
        <v>0</v>
      </c>
      <c r="N120" s="25">
        <f>cuotas_emitidas!N115-SUMIFS(ingresos!$D:$D,ingresos!$F:$F,saldos!$A120,ingresos!$G:$G,saldos!N$6)</f>
        <v>0</v>
      </c>
      <c r="O120" s="25">
        <f>cuotas_emitidas!O115-SUMIFS(ingresos!$D:$D,ingresos!$F:$F,saldos!$A120,ingresos!$G:$G,saldos!O$6)</f>
        <v>455.67</v>
      </c>
      <c r="P120" s="25">
        <f>cuotas_emitidas!P115-SUMIFS(ingresos!$D:$D,ingresos!$F:$F,saldos!$A120,ingresos!$G:$G,saldos!P$6)</f>
        <v>449.64</v>
      </c>
      <c r="Q120" s="25">
        <f>cuotas_emitidas!Q115-SUMIFS(ingresos!$D:$D,ingresos!$F:$F,saldos!$A120,ingresos!$G:$G,saldos!Q$6)</f>
        <v>451.03</v>
      </c>
      <c r="R120" s="26">
        <f t="shared" si="3"/>
        <v>1356.34</v>
      </c>
      <c r="T120" s="26">
        <f t="shared" si="4"/>
        <v>451.03</v>
      </c>
      <c r="U120" s="26">
        <f t="shared" si="5"/>
        <v>905.31</v>
      </c>
    </row>
    <row r="121" spans="1:21" x14ac:dyDescent="0.25">
      <c r="A121" s="17" t="s">
        <v>1820</v>
      </c>
      <c r="B121" s="17" t="s">
        <v>1821</v>
      </c>
      <c r="C121" s="17" t="s">
        <v>1822</v>
      </c>
      <c r="D121" s="25">
        <f>cuotas_emitidas!D116-SUMIFS(ingresos!$D:$D,ingresos!$F:$F,saldos!$A121,ingresos!$G:$G,saldos!D$6)</f>
        <v>0</v>
      </c>
      <c r="E121" s="25">
        <f>cuotas_emitidas!E116-SUMIFS(ingresos!$D:$D,ingresos!$F:$F,saldos!$A121,ingresos!$G:$G,saldos!E$6)</f>
        <v>0</v>
      </c>
      <c r="F121" s="25">
        <f>cuotas_emitidas!F116-SUMIFS(ingresos!$D:$D,ingresos!$F:$F,saldos!$A121,ingresos!$G:$G,saldos!F$6)</f>
        <v>0</v>
      </c>
      <c r="G121" s="25">
        <f>cuotas_emitidas!G116-SUMIFS(ingresos!$D:$D,ingresos!$F:$F,saldos!$A121,ingresos!$G:$G,saldos!G$6)</f>
        <v>0</v>
      </c>
      <c r="H121" s="25">
        <f>cuotas_emitidas!H116-SUMIFS(ingresos!$D:$D,ingresos!$F:$F,saldos!$A121,ingresos!$G:$G,saldos!H$6)</f>
        <v>0</v>
      </c>
      <c r="I121" s="25">
        <f>cuotas_emitidas!I116-SUMIFS(ingresos!$D:$D,ingresos!$F:$F,saldos!$A121,ingresos!$G:$G,saldos!I$6)</f>
        <v>0</v>
      </c>
      <c r="J121" s="25">
        <f>cuotas_emitidas!J116-SUMIFS(ingresos!$D:$D,ingresos!$F:$F,saldos!$A121,ingresos!$G:$G,saldos!J$6)</f>
        <v>0</v>
      </c>
      <c r="K121" s="25">
        <f>cuotas_emitidas!K116-SUMIFS(ingresos!$D:$D,ingresos!$F:$F,saldos!$A121,ingresos!$G:$G,saldos!K$6)</f>
        <v>0</v>
      </c>
      <c r="L121" s="25">
        <f>cuotas_emitidas!L116-SUMIFS(ingresos!$D:$D,ingresos!$F:$F,saldos!$A121,ingresos!$G:$G,saldos!L$6)</f>
        <v>327.93</v>
      </c>
      <c r="M121" s="25">
        <f>cuotas_emitidas!M116-SUMIFS(ingresos!$D:$D,ingresos!$F:$F,saldos!$A121,ingresos!$G:$G,saldos!M$6)</f>
        <v>327.86</v>
      </c>
      <c r="N121" s="25">
        <f>cuotas_emitidas!N116-SUMIFS(ingresos!$D:$D,ingresos!$F:$F,saldos!$A121,ingresos!$G:$G,saldos!N$6)</f>
        <v>339.37</v>
      </c>
      <c r="O121" s="25">
        <f>cuotas_emitidas!O116-SUMIFS(ingresos!$D:$D,ingresos!$F:$F,saldos!$A121,ingresos!$G:$G,saldos!O$6)</f>
        <v>342.83</v>
      </c>
      <c r="P121" s="25">
        <f>cuotas_emitidas!P116-SUMIFS(ingresos!$D:$D,ingresos!$F:$F,saldos!$A121,ingresos!$G:$G,saldos!P$6)</f>
        <v>311.19</v>
      </c>
      <c r="Q121" s="25">
        <f>cuotas_emitidas!Q116-SUMIFS(ingresos!$D:$D,ingresos!$F:$F,saldos!$A121,ingresos!$G:$G,saldos!Q$6)</f>
        <v>321.12</v>
      </c>
      <c r="R121" s="26">
        <f t="shared" si="3"/>
        <v>1970.3000000000002</v>
      </c>
      <c r="T121" s="26">
        <f t="shared" si="4"/>
        <v>321.12</v>
      </c>
      <c r="U121" s="26">
        <f t="shared" si="5"/>
        <v>1649.1800000000003</v>
      </c>
    </row>
    <row r="122" spans="1:21" x14ac:dyDescent="0.25">
      <c r="A122" s="17" t="s">
        <v>1823</v>
      </c>
      <c r="B122" s="17" t="s">
        <v>1824</v>
      </c>
      <c r="C122" s="17" t="s">
        <v>1825</v>
      </c>
      <c r="D122" s="25">
        <f>cuotas_emitidas!D117-SUMIFS(ingresos!$D:$D,ingresos!$F:$F,saldos!$A122,ingresos!$G:$G,saldos!D$6)</f>
        <v>0</v>
      </c>
      <c r="E122" s="25">
        <f>cuotas_emitidas!E117-SUMIFS(ingresos!$D:$D,ingresos!$F:$F,saldos!$A122,ingresos!$G:$G,saldos!E$6)</f>
        <v>0</v>
      </c>
      <c r="F122" s="25">
        <f>cuotas_emitidas!F117-SUMIFS(ingresos!$D:$D,ingresos!$F:$F,saldos!$A122,ingresos!$G:$G,saldos!F$6)</f>
        <v>0</v>
      </c>
      <c r="G122" s="25">
        <f>cuotas_emitidas!G117-SUMIFS(ingresos!$D:$D,ingresos!$F:$F,saldos!$A122,ingresos!$G:$G,saldos!G$6)</f>
        <v>0</v>
      </c>
      <c r="H122" s="25">
        <f>cuotas_emitidas!H117-SUMIFS(ingresos!$D:$D,ingresos!$F:$F,saldos!$A122,ingresos!$G:$G,saldos!H$6)</f>
        <v>0</v>
      </c>
      <c r="I122" s="25">
        <f>cuotas_emitidas!I117-SUMIFS(ingresos!$D:$D,ingresos!$F:$F,saldos!$A122,ingresos!$G:$G,saldos!I$6)</f>
        <v>0</v>
      </c>
      <c r="J122" s="25">
        <f>cuotas_emitidas!J117-SUMIFS(ingresos!$D:$D,ingresos!$F:$F,saldos!$A122,ingresos!$G:$G,saldos!J$6)</f>
        <v>0</v>
      </c>
      <c r="K122" s="25">
        <f>cuotas_emitidas!K117-SUMIFS(ingresos!$D:$D,ingresos!$F:$F,saldos!$A122,ingresos!$G:$G,saldos!K$6)</f>
        <v>0</v>
      </c>
      <c r="L122" s="25">
        <f>cuotas_emitidas!L117-SUMIFS(ingresos!$D:$D,ingresos!$F:$F,saldos!$A122,ingresos!$G:$G,saldos!L$6)</f>
        <v>0</v>
      </c>
      <c r="M122" s="25">
        <f>cuotas_emitidas!M117-SUMIFS(ingresos!$D:$D,ingresos!$F:$F,saldos!$A122,ingresos!$G:$G,saldos!M$6)</f>
        <v>0</v>
      </c>
      <c r="N122" s="25">
        <f>cuotas_emitidas!N117-SUMIFS(ingresos!$D:$D,ingresos!$F:$F,saldos!$A122,ingresos!$G:$G,saldos!N$6)</f>
        <v>0</v>
      </c>
      <c r="O122" s="25">
        <f>cuotas_emitidas!O117-SUMIFS(ingresos!$D:$D,ingresos!$F:$F,saldos!$A122,ingresos!$G:$G,saldos!O$6)</f>
        <v>0</v>
      </c>
      <c r="P122" s="25">
        <f>cuotas_emitidas!P117-SUMIFS(ingresos!$D:$D,ingresos!$F:$F,saldos!$A122,ingresos!$G:$G,saldos!P$6)</f>
        <v>0</v>
      </c>
      <c r="Q122" s="25">
        <f>cuotas_emitidas!Q117-SUMIFS(ingresos!$D:$D,ingresos!$F:$F,saldos!$A122,ingresos!$G:$G,saldos!Q$6)</f>
        <v>395.68</v>
      </c>
      <c r="R122" s="26">
        <f t="shared" si="3"/>
        <v>395.68</v>
      </c>
      <c r="T122" s="26">
        <f t="shared" si="4"/>
        <v>395.68</v>
      </c>
      <c r="U122" s="26">
        <f t="shared" si="5"/>
        <v>0</v>
      </c>
    </row>
    <row r="123" spans="1:21" x14ac:dyDescent="0.25">
      <c r="A123" s="17" t="s">
        <v>1826</v>
      </c>
      <c r="B123" s="17" t="s">
        <v>1332</v>
      </c>
      <c r="C123" s="17" t="s">
        <v>1827</v>
      </c>
      <c r="D123" s="25">
        <f>cuotas_emitidas!D118-SUMIFS(ingresos!$D:$D,ingresos!$F:$F,saldos!$A123,ingresos!$G:$G,saldos!D$6)</f>
        <v>0</v>
      </c>
      <c r="E123" s="25">
        <f>cuotas_emitidas!E118-SUMIFS(ingresos!$D:$D,ingresos!$F:$F,saldos!$A123,ingresos!$G:$G,saldos!E$6)</f>
        <v>0</v>
      </c>
      <c r="F123" s="25">
        <f>cuotas_emitidas!F118-SUMIFS(ingresos!$D:$D,ingresos!$F:$F,saldos!$A123,ingresos!$G:$G,saldos!F$6)</f>
        <v>0</v>
      </c>
      <c r="G123" s="25">
        <f>cuotas_emitidas!G118-SUMIFS(ingresos!$D:$D,ingresos!$F:$F,saldos!$A123,ingresos!$G:$G,saldos!G$6)</f>
        <v>0</v>
      </c>
      <c r="H123" s="25">
        <f>cuotas_emitidas!H118-SUMIFS(ingresos!$D:$D,ingresos!$F:$F,saldos!$A123,ingresos!$G:$G,saldos!H$6)</f>
        <v>0</v>
      </c>
      <c r="I123" s="25">
        <f>cuotas_emitidas!I118-SUMIFS(ingresos!$D:$D,ingresos!$F:$F,saldos!$A123,ingresos!$G:$G,saldos!I$6)</f>
        <v>0</v>
      </c>
      <c r="J123" s="25">
        <f>cuotas_emitidas!J118-SUMIFS(ingresos!$D:$D,ingresos!$F:$F,saldos!$A123,ingresos!$G:$G,saldos!J$6)</f>
        <v>0</v>
      </c>
      <c r="K123" s="25">
        <f>cuotas_emitidas!K118-SUMIFS(ingresos!$D:$D,ingresos!$F:$F,saldos!$A123,ingresos!$G:$G,saldos!K$6)</f>
        <v>0</v>
      </c>
      <c r="L123" s="25">
        <f>cuotas_emitidas!L118-SUMIFS(ingresos!$D:$D,ingresos!$F:$F,saldos!$A123,ingresos!$G:$G,saldos!L$6)</f>
        <v>0</v>
      </c>
      <c r="M123" s="25">
        <f>cuotas_emitidas!M118-SUMIFS(ingresos!$D:$D,ingresos!$F:$F,saldos!$A123,ingresos!$G:$G,saldos!M$6)</f>
        <v>0</v>
      </c>
      <c r="N123" s="25">
        <f>cuotas_emitidas!N118-SUMIFS(ingresos!$D:$D,ingresos!$F:$F,saldos!$A123,ingresos!$G:$G,saldos!N$6)</f>
        <v>0</v>
      </c>
      <c r="O123" s="25">
        <f>cuotas_emitidas!O118-SUMIFS(ingresos!$D:$D,ingresos!$F:$F,saldos!$A123,ingresos!$G:$G,saldos!O$6)</f>
        <v>0</v>
      </c>
      <c r="P123" s="25">
        <f>cuotas_emitidas!P118-SUMIFS(ingresos!$D:$D,ingresos!$F:$F,saldos!$A123,ingresos!$G:$G,saldos!P$6)</f>
        <v>0</v>
      </c>
      <c r="Q123" s="25">
        <f>cuotas_emitidas!Q118-SUMIFS(ingresos!$D:$D,ingresos!$F:$F,saldos!$A123,ingresos!$G:$G,saldos!Q$6)</f>
        <v>0</v>
      </c>
      <c r="R123" s="26">
        <f t="shared" si="3"/>
        <v>0</v>
      </c>
      <c r="T123" s="26">
        <f t="shared" si="4"/>
        <v>0</v>
      </c>
      <c r="U123" s="26">
        <f t="shared" si="5"/>
        <v>0</v>
      </c>
    </row>
    <row r="124" spans="1:21" x14ac:dyDescent="0.25">
      <c r="A124" s="17" t="s">
        <v>1828</v>
      </c>
      <c r="B124" s="17" t="s">
        <v>1385</v>
      </c>
      <c r="C124" s="17" t="s">
        <v>1829</v>
      </c>
      <c r="D124" s="25">
        <f>cuotas_emitidas!D119-SUMIFS(ingresos!$D:$D,ingresos!$F:$F,saldos!$A124,ingresos!$G:$G,saldos!D$6)</f>
        <v>0</v>
      </c>
      <c r="E124" s="25">
        <f>cuotas_emitidas!E119-SUMIFS(ingresos!$D:$D,ingresos!$F:$F,saldos!$A124,ingresos!$G:$G,saldos!E$6)</f>
        <v>0</v>
      </c>
      <c r="F124" s="25">
        <f>cuotas_emitidas!F119-SUMIFS(ingresos!$D:$D,ingresos!$F:$F,saldos!$A124,ingresos!$G:$G,saldos!F$6)</f>
        <v>0</v>
      </c>
      <c r="G124" s="25">
        <f>cuotas_emitidas!G119-SUMIFS(ingresos!$D:$D,ingresos!$F:$F,saldos!$A124,ingresos!$G:$G,saldos!G$6)</f>
        <v>0</v>
      </c>
      <c r="H124" s="25">
        <f>cuotas_emitidas!H119-SUMIFS(ingresos!$D:$D,ingresos!$F:$F,saldos!$A124,ingresos!$G:$G,saldos!H$6)</f>
        <v>0</v>
      </c>
      <c r="I124" s="25">
        <f>cuotas_emitidas!I119-SUMIFS(ingresos!$D:$D,ingresos!$F:$F,saldos!$A124,ingresos!$G:$G,saldos!I$6)</f>
        <v>0</v>
      </c>
      <c r="J124" s="25">
        <f>cuotas_emitidas!J119-SUMIFS(ingresos!$D:$D,ingresos!$F:$F,saldos!$A124,ingresos!$G:$G,saldos!J$6)</f>
        <v>0</v>
      </c>
      <c r="K124" s="25">
        <f>cuotas_emitidas!K119-SUMIFS(ingresos!$D:$D,ingresos!$F:$F,saldos!$A124,ingresos!$G:$G,saldos!K$6)</f>
        <v>0</v>
      </c>
      <c r="L124" s="25">
        <f>cuotas_emitidas!L119-SUMIFS(ingresos!$D:$D,ingresos!$F:$F,saldos!$A124,ingresos!$G:$G,saldos!L$6)</f>
        <v>0</v>
      </c>
      <c r="M124" s="25">
        <f>cuotas_emitidas!M119-SUMIFS(ingresos!$D:$D,ingresos!$F:$F,saldos!$A124,ingresos!$G:$G,saldos!M$6)</f>
        <v>0</v>
      </c>
      <c r="N124" s="25">
        <f>cuotas_emitidas!N119-SUMIFS(ingresos!$D:$D,ingresos!$F:$F,saldos!$A124,ingresos!$G:$G,saldos!N$6)</f>
        <v>0</v>
      </c>
      <c r="O124" s="25">
        <f>cuotas_emitidas!O119-SUMIFS(ingresos!$D:$D,ingresos!$F:$F,saldos!$A124,ingresos!$G:$G,saldos!O$6)</f>
        <v>0</v>
      </c>
      <c r="P124" s="25">
        <f>cuotas_emitidas!P119-SUMIFS(ingresos!$D:$D,ingresos!$F:$F,saldos!$A124,ingresos!$G:$G,saldos!P$6)</f>
        <v>305.52999999999997</v>
      </c>
      <c r="Q124" s="25">
        <f>cuotas_emitidas!Q119-SUMIFS(ingresos!$D:$D,ingresos!$F:$F,saldos!$A124,ingresos!$G:$G,saldos!Q$6)</f>
        <v>196.84000000000003</v>
      </c>
      <c r="R124" s="26">
        <f t="shared" si="3"/>
        <v>502.37</v>
      </c>
      <c r="T124" s="26">
        <f t="shared" si="4"/>
        <v>196.84000000000003</v>
      </c>
      <c r="U124" s="26">
        <f t="shared" si="5"/>
        <v>305.52999999999997</v>
      </c>
    </row>
    <row r="125" spans="1:21" x14ac:dyDescent="0.25">
      <c r="A125" s="17" t="s">
        <v>1830</v>
      </c>
      <c r="B125" s="17" t="s">
        <v>1235</v>
      </c>
      <c r="C125" s="17" t="s">
        <v>1831</v>
      </c>
      <c r="D125" s="25">
        <f>cuotas_emitidas!D120-SUMIFS(ingresos!$D:$D,ingresos!$F:$F,saldos!$A125,ingresos!$G:$G,saldos!D$6)</f>
        <v>0</v>
      </c>
      <c r="E125" s="25">
        <f>cuotas_emitidas!E120-SUMIFS(ingresos!$D:$D,ingresos!$F:$F,saldos!$A125,ingresos!$G:$G,saldos!E$6)</f>
        <v>0</v>
      </c>
      <c r="F125" s="25">
        <f>cuotas_emitidas!F120-SUMIFS(ingresos!$D:$D,ingresos!$F:$F,saldos!$A125,ingresos!$G:$G,saldos!F$6)</f>
        <v>0</v>
      </c>
      <c r="G125" s="25">
        <f>cuotas_emitidas!G120-SUMIFS(ingresos!$D:$D,ingresos!$F:$F,saldos!$A125,ingresos!$G:$G,saldos!G$6)</f>
        <v>0</v>
      </c>
      <c r="H125" s="25">
        <f>cuotas_emitidas!H120-SUMIFS(ingresos!$D:$D,ingresos!$F:$F,saldos!$A125,ingresos!$G:$G,saldos!H$6)</f>
        <v>0</v>
      </c>
      <c r="I125" s="25">
        <f>cuotas_emitidas!I120-SUMIFS(ingresos!$D:$D,ingresos!$F:$F,saldos!$A125,ingresos!$G:$G,saldos!I$6)</f>
        <v>0</v>
      </c>
      <c r="J125" s="25">
        <f>cuotas_emitidas!J120-SUMIFS(ingresos!$D:$D,ingresos!$F:$F,saldos!$A125,ingresos!$G:$G,saldos!J$6)</f>
        <v>0</v>
      </c>
      <c r="K125" s="25">
        <f>cuotas_emitidas!K120-SUMIFS(ingresos!$D:$D,ingresos!$F:$F,saldos!$A125,ingresos!$G:$G,saldos!K$6)</f>
        <v>0</v>
      </c>
      <c r="L125" s="25">
        <f>cuotas_emitidas!L120-SUMIFS(ingresos!$D:$D,ingresos!$F:$F,saldos!$A125,ingresos!$G:$G,saldos!L$6)</f>
        <v>0</v>
      </c>
      <c r="M125" s="25">
        <f>cuotas_emitidas!M120-SUMIFS(ingresos!$D:$D,ingresos!$F:$F,saldos!$A125,ingresos!$G:$G,saldos!M$6)</f>
        <v>0</v>
      </c>
      <c r="N125" s="25">
        <f>cuotas_emitidas!N120-SUMIFS(ingresos!$D:$D,ingresos!$F:$F,saldos!$A125,ingresos!$G:$G,saldos!N$6)</f>
        <v>0</v>
      </c>
      <c r="O125" s="25">
        <f>cuotas_emitidas!O120-SUMIFS(ingresos!$D:$D,ingresos!$F:$F,saldos!$A125,ingresos!$G:$G,saldos!O$6)</f>
        <v>0</v>
      </c>
      <c r="P125" s="25">
        <f>cuotas_emitidas!P120-SUMIFS(ingresos!$D:$D,ingresos!$F:$F,saldos!$A125,ingresos!$G:$G,saldos!P$6)</f>
        <v>0</v>
      </c>
      <c r="Q125" s="25">
        <f>cuotas_emitidas!Q120-SUMIFS(ingresos!$D:$D,ingresos!$F:$F,saldos!$A125,ingresos!$G:$G,saldos!Q$6)</f>
        <v>0</v>
      </c>
      <c r="R125" s="26">
        <f t="shared" si="3"/>
        <v>0</v>
      </c>
      <c r="T125" s="26">
        <f t="shared" si="4"/>
        <v>0</v>
      </c>
      <c r="U125" s="26">
        <f t="shared" si="5"/>
        <v>0</v>
      </c>
    </row>
    <row r="126" spans="1:21" x14ac:dyDescent="0.25">
      <c r="A126" s="17" t="s">
        <v>1832</v>
      </c>
      <c r="B126" s="17" t="s">
        <v>1833</v>
      </c>
      <c r="C126" s="17" t="s">
        <v>1834</v>
      </c>
      <c r="D126" s="25">
        <f>cuotas_emitidas!D121-SUMIFS(ingresos!$D:$D,ingresos!$F:$F,saldos!$A126,ingresos!$G:$G,saldos!D$6)</f>
        <v>0</v>
      </c>
      <c r="E126" s="25">
        <f>cuotas_emitidas!E121-SUMIFS(ingresos!$D:$D,ingresos!$F:$F,saldos!$A126,ingresos!$G:$G,saldos!E$6)</f>
        <v>0</v>
      </c>
      <c r="F126" s="25">
        <f>cuotas_emitidas!F121-SUMIFS(ingresos!$D:$D,ingresos!$F:$F,saldos!$A126,ingresos!$G:$G,saldos!F$6)</f>
        <v>0</v>
      </c>
      <c r="G126" s="25">
        <f>cuotas_emitidas!G121-SUMIFS(ingresos!$D:$D,ingresos!$F:$F,saldos!$A126,ingresos!$G:$G,saldos!G$6)</f>
        <v>0</v>
      </c>
      <c r="H126" s="25">
        <f>cuotas_emitidas!H121-SUMIFS(ingresos!$D:$D,ingresos!$F:$F,saldos!$A126,ingresos!$G:$G,saldos!H$6)</f>
        <v>0</v>
      </c>
      <c r="I126" s="25">
        <f>cuotas_emitidas!I121-SUMIFS(ingresos!$D:$D,ingresos!$F:$F,saldos!$A126,ingresos!$G:$G,saldos!I$6)</f>
        <v>0</v>
      </c>
      <c r="J126" s="25">
        <f>cuotas_emitidas!J121-SUMIFS(ingresos!$D:$D,ingresos!$F:$F,saldos!$A126,ingresos!$G:$G,saldos!J$6)</f>
        <v>0</v>
      </c>
      <c r="K126" s="25">
        <f>cuotas_emitidas!K121-SUMIFS(ingresos!$D:$D,ingresos!$F:$F,saldos!$A126,ingresos!$G:$G,saldos!K$6)</f>
        <v>0</v>
      </c>
      <c r="L126" s="25">
        <f>cuotas_emitidas!L121-SUMIFS(ingresos!$D:$D,ingresos!$F:$F,saldos!$A126,ingresos!$G:$G,saldos!L$6)</f>
        <v>0</v>
      </c>
      <c r="M126" s="25">
        <f>cuotas_emitidas!M121-SUMIFS(ingresos!$D:$D,ingresos!$F:$F,saldos!$A126,ingresos!$G:$G,saldos!M$6)</f>
        <v>0</v>
      </c>
      <c r="N126" s="25">
        <f>cuotas_emitidas!N121-SUMIFS(ingresos!$D:$D,ingresos!$F:$F,saldos!$A126,ingresos!$G:$G,saldos!N$6)</f>
        <v>0</v>
      </c>
      <c r="O126" s="25">
        <f>cuotas_emitidas!O121-SUMIFS(ingresos!$D:$D,ingresos!$F:$F,saldos!$A126,ingresos!$G:$G,saldos!O$6)</f>
        <v>0</v>
      </c>
      <c r="P126" s="25">
        <f>cuotas_emitidas!P121-SUMIFS(ingresos!$D:$D,ingresos!$F:$F,saldos!$A126,ingresos!$G:$G,saldos!P$6)</f>
        <v>0</v>
      </c>
      <c r="Q126" s="25">
        <f>cuotas_emitidas!Q121-SUMIFS(ingresos!$D:$D,ingresos!$F:$F,saldos!$A126,ingresos!$G:$G,saldos!Q$6)</f>
        <v>-553.29</v>
      </c>
      <c r="R126" s="26">
        <f t="shared" si="3"/>
        <v>-553.29</v>
      </c>
      <c r="T126" s="26">
        <f t="shared" si="4"/>
        <v>-553.29</v>
      </c>
      <c r="U126" s="26">
        <f t="shared" si="5"/>
        <v>0</v>
      </c>
    </row>
    <row r="127" spans="1:21" x14ac:dyDescent="0.25">
      <c r="A127" s="17" t="s">
        <v>1835</v>
      </c>
      <c r="B127" s="17" t="s">
        <v>1836</v>
      </c>
      <c r="C127" s="17" t="s">
        <v>1837</v>
      </c>
      <c r="D127" s="25">
        <f>cuotas_emitidas!D122-SUMIFS(ingresos!$D:$D,ingresos!$F:$F,saldos!$A127,ingresos!$G:$G,saldos!D$6)</f>
        <v>0</v>
      </c>
      <c r="E127" s="25">
        <f>cuotas_emitidas!E122-SUMIFS(ingresos!$D:$D,ingresos!$F:$F,saldos!$A127,ingresos!$G:$G,saldos!E$6)</f>
        <v>0</v>
      </c>
      <c r="F127" s="25">
        <f>cuotas_emitidas!F122-SUMIFS(ingresos!$D:$D,ingresos!$F:$F,saldos!$A127,ingresos!$G:$G,saldos!F$6)</f>
        <v>0</v>
      </c>
      <c r="G127" s="25">
        <f>cuotas_emitidas!G122-SUMIFS(ingresos!$D:$D,ingresos!$F:$F,saldos!$A127,ingresos!$G:$G,saldos!G$6)</f>
        <v>0</v>
      </c>
      <c r="H127" s="25">
        <f>cuotas_emitidas!H122-SUMIFS(ingresos!$D:$D,ingresos!$F:$F,saldos!$A127,ingresos!$G:$G,saldos!H$6)</f>
        <v>0</v>
      </c>
      <c r="I127" s="25">
        <f>cuotas_emitidas!I122-SUMIFS(ingresos!$D:$D,ingresos!$F:$F,saldos!$A127,ingresos!$G:$G,saldos!I$6)</f>
        <v>0</v>
      </c>
      <c r="J127" s="25">
        <f>cuotas_emitidas!J122-SUMIFS(ingresos!$D:$D,ingresos!$F:$F,saldos!$A127,ingresos!$G:$G,saldos!J$6)</f>
        <v>0</v>
      </c>
      <c r="K127" s="25">
        <f>cuotas_emitidas!K122-SUMIFS(ingresos!$D:$D,ingresos!$F:$F,saldos!$A127,ingresos!$G:$G,saldos!K$6)</f>
        <v>0</v>
      </c>
      <c r="L127" s="25">
        <f>cuotas_emitidas!L122-SUMIFS(ingresos!$D:$D,ingresos!$F:$F,saldos!$A127,ingresos!$G:$G,saldos!L$6)</f>
        <v>0</v>
      </c>
      <c r="M127" s="25">
        <f>cuotas_emitidas!M122-SUMIFS(ingresos!$D:$D,ingresos!$F:$F,saldos!$A127,ingresos!$G:$G,saldos!M$6)</f>
        <v>0</v>
      </c>
      <c r="N127" s="25">
        <f>cuotas_emitidas!N122-SUMIFS(ingresos!$D:$D,ingresos!$F:$F,saldos!$A127,ingresos!$G:$G,saldos!N$6)</f>
        <v>0</v>
      </c>
      <c r="O127" s="25">
        <f>cuotas_emitidas!O122-SUMIFS(ingresos!$D:$D,ingresos!$F:$F,saldos!$A127,ingresos!$G:$G,saldos!O$6)</f>
        <v>0</v>
      </c>
      <c r="P127" s="25">
        <f>cuotas_emitidas!P122-SUMIFS(ingresos!$D:$D,ingresos!$F:$F,saldos!$A127,ingresos!$G:$G,saldos!P$6)</f>
        <v>0</v>
      </c>
      <c r="Q127" s="25">
        <f>cuotas_emitidas!Q122-SUMIFS(ingresos!$D:$D,ingresos!$F:$F,saldos!$A127,ingresos!$G:$G,saldos!Q$6)</f>
        <v>395.68</v>
      </c>
      <c r="R127" s="26">
        <f t="shared" si="3"/>
        <v>395.68</v>
      </c>
      <c r="T127" s="26">
        <f t="shared" si="4"/>
        <v>395.68</v>
      </c>
      <c r="U127" s="26">
        <f t="shared" si="5"/>
        <v>0</v>
      </c>
    </row>
    <row r="128" spans="1:21" x14ac:dyDescent="0.25">
      <c r="A128" s="17" t="s">
        <v>1838</v>
      </c>
      <c r="B128" s="17" t="s">
        <v>1839</v>
      </c>
      <c r="C128" s="17" t="s">
        <v>1840</v>
      </c>
      <c r="D128" s="25">
        <f>cuotas_emitidas!D123-SUMIFS(ingresos!$D:$D,ingresos!$F:$F,saldos!$A128,ingresos!$G:$G,saldos!D$6)</f>
        <v>0</v>
      </c>
      <c r="E128" s="25">
        <f>cuotas_emitidas!E123-SUMIFS(ingresos!$D:$D,ingresos!$F:$F,saldos!$A128,ingresos!$G:$G,saldos!E$6)</f>
        <v>0</v>
      </c>
      <c r="F128" s="25">
        <f>cuotas_emitidas!F123-SUMIFS(ingresos!$D:$D,ingresos!$F:$F,saldos!$A128,ingresos!$G:$G,saldos!F$6)</f>
        <v>0</v>
      </c>
      <c r="G128" s="25">
        <f>cuotas_emitidas!G123-SUMIFS(ingresos!$D:$D,ingresos!$F:$F,saldos!$A128,ingresos!$G:$G,saldos!G$6)</f>
        <v>0</v>
      </c>
      <c r="H128" s="25">
        <f>cuotas_emitidas!H123-SUMIFS(ingresos!$D:$D,ingresos!$F:$F,saldos!$A128,ingresos!$G:$G,saldos!H$6)</f>
        <v>0</v>
      </c>
      <c r="I128" s="25">
        <f>cuotas_emitidas!I123-SUMIFS(ingresos!$D:$D,ingresos!$F:$F,saldos!$A128,ingresos!$G:$G,saldos!I$6)</f>
        <v>0</v>
      </c>
      <c r="J128" s="25">
        <f>cuotas_emitidas!J123-SUMIFS(ingresos!$D:$D,ingresos!$F:$F,saldos!$A128,ingresos!$G:$G,saldos!J$6)</f>
        <v>0</v>
      </c>
      <c r="K128" s="25">
        <f>cuotas_emitidas!K123-SUMIFS(ingresos!$D:$D,ingresos!$F:$F,saldos!$A128,ingresos!$G:$G,saldos!K$6)</f>
        <v>0</v>
      </c>
      <c r="L128" s="25">
        <f>cuotas_emitidas!L123-SUMIFS(ingresos!$D:$D,ingresos!$F:$F,saldos!$A128,ingresos!$G:$G,saldos!L$6)</f>
        <v>0</v>
      </c>
      <c r="M128" s="25">
        <f>cuotas_emitidas!M123-SUMIFS(ingresos!$D:$D,ingresos!$F:$F,saldos!$A128,ingresos!$G:$G,saldos!M$6)</f>
        <v>-5.8599999999999852</v>
      </c>
      <c r="N128" s="25">
        <f>cuotas_emitidas!N123-SUMIFS(ingresos!$D:$D,ingresos!$F:$F,saldos!$A128,ingresos!$G:$G,saldos!N$6)</f>
        <v>5.8600000000000136</v>
      </c>
      <c r="O128" s="25">
        <f>cuotas_emitidas!O123-SUMIFS(ingresos!$D:$D,ingresos!$F:$F,saldos!$A128,ingresos!$G:$G,saldos!O$6)</f>
        <v>0</v>
      </c>
      <c r="P128" s="25">
        <f>cuotas_emitidas!P123-SUMIFS(ingresos!$D:$D,ingresos!$F:$F,saldos!$A128,ingresos!$G:$G,saldos!P$6)</f>
        <v>0</v>
      </c>
      <c r="Q128" s="25">
        <f>cuotas_emitidas!Q123-SUMIFS(ingresos!$D:$D,ingresos!$F:$F,saldos!$A128,ingresos!$G:$G,saldos!Q$6)</f>
        <v>0</v>
      </c>
      <c r="R128" s="26">
        <f t="shared" si="3"/>
        <v>2.8421709430404007E-14</v>
      </c>
      <c r="T128" s="26">
        <f t="shared" si="4"/>
        <v>0</v>
      </c>
      <c r="U128" s="26">
        <f t="shared" si="5"/>
        <v>2.8421709430404007E-14</v>
      </c>
    </row>
    <row r="129" spans="1:21" x14ac:dyDescent="0.25">
      <c r="A129" s="17" t="s">
        <v>1841</v>
      </c>
      <c r="B129" s="17" t="s">
        <v>1218</v>
      </c>
      <c r="C129" s="17" t="s">
        <v>1842</v>
      </c>
      <c r="D129" s="25">
        <f>cuotas_emitidas!D124-SUMIFS(ingresos!$D:$D,ingresos!$F:$F,saldos!$A129,ingresos!$G:$G,saldos!D$6)</f>
        <v>0</v>
      </c>
      <c r="E129" s="25">
        <f>cuotas_emitidas!E124-SUMIFS(ingresos!$D:$D,ingresos!$F:$F,saldos!$A129,ingresos!$G:$G,saldos!E$6)</f>
        <v>0</v>
      </c>
      <c r="F129" s="25">
        <f>cuotas_emitidas!F124-SUMIFS(ingresos!$D:$D,ingresos!$F:$F,saldos!$A129,ingresos!$G:$G,saldos!F$6)</f>
        <v>0</v>
      </c>
      <c r="G129" s="25">
        <f>cuotas_emitidas!G124-SUMIFS(ingresos!$D:$D,ingresos!$F:$F,saldos!$A129,ingresos!$G:$G,saldos!G$6)</f>
        <v>0</v>
      </c>
      <c r="H129" s="25">
        <f>cuotas_emitidas!H124-SUMIFS(ingresos!$D:$D,ingresos!$F:$F,saldos!$A129,ingresos!$G:$G,saldos!H$6)</f>
        <v>0</v>
      </c>
      <c r="I129" s="25">
        <f>cuotas_emitidas!I124-SUMIFS(ingresos!$D:$D,ingresos!$F:$F,saldos!$A129,ingresos!$G:$G,saldos!I$6)</f>
        <v>0</v>
      </c>
      <c r="J129" s="25">
        <f>cuotas_emitidas!J124-SUMIFS(ingresos!$D:$D,ingresos!$F:$F,saldos!$A129,ingresos!$G:$G,saldos!J$6)</f>
        <v>0</v>
      </c>
      <c r="K129" s="25">
        <f>cuotas_emitidas!K124-SUMIFS(ingresos!$D:$D,ingresos!$F:$F,saldos!$A129,ingresos!$G:$G,saldos!K$6)</f>
        <v>0</v>
      </c>
      <c r="L129" s="25">
        <f>cuotas_emitidas!L124-SUMIFS(ingresos!$D:$D,ingresos!$F:$F,saldos!$A129,ingresos!$G:$G,saldos!L$6)</f>
        <v>0</v>
      </c>
      <c r="M129" s="25">
        <f>cuotas_emitidas!M124-SUMIFS(ingresos!$D:$D,ingresos!$F:$F,saldos!$A129,ingresos!$G:$G,saldos!M$6)</f>
        <v>0</v>
      </c>
      <c r="N129" s="25">
        <f>cuotas_emitidas!N124-SUMIFS(ingresos!$D:$D,ingresos!$F:$F,saldos!$A129,ingresos!$G:$G,saldos!N$6)</f>
        <v>-0.68999999999999773</v>
      </c>
      <c r="O129" s="25">
        <f>cuotas_emitidas!O124-SUMIFS(ingresos!$D:$D,ingresos!$F:$F,saldos!$A129,ingresos!$G:$G,saldos!O$6)</f>
        <v>-0.68999999999999773</v>
      </c>
      <c r="P129" s="25">
        <f>cuotas_emitidas!P124-SUMIFS(ingresos!$D:$D,ingresos!$F:$F,saldos!$A129,ingresos!$G:$G,saldos!P$6)</f>
        <v>0</v>
      </c>
      <c r="Q129" s="25">
        <f>cuotas_emitidas!Q124-SUMIFS(ingresos!$D:$D,ingresos!$F:$F,saldos!$A129,ingresos!$G:$G,saldos!Q$6)</f>
        <v>0</v>
      </c>
      <c r="R129" s="26">
        <f t="shared" si="3"/>
        <v>-1.3799999999999955</v>
      </c>
      <c r="T129" s="26">
        <f t="shared" si="4"/>
        <v>0</v>
      </c>
      <c r="U129" s="26">
        <f t="shared" si="5"/>
        <v>-1.3799999999999955</v>
      </c>
    </row>
    <row r="130" spans="1:21" x14ac:dyDescent="0.25">
      <c r="A130" s="17" t="s">
        <v>1843</v>
      </c>
      <c r="B130" s="17" t="s">
        <v>1242</v>
      </c>
      <c r="C130" s="17" t="s">
        <v>1844</v>
      </c>
      <c r="D130" s="25">
        <f>cuotas_emitidas!D125-SUMIFS(ingresos!$D:$D,ingresos!$F:$F,saldos!$A130,ingresos!$G:$G,saldos!D$6)</f>
        <v>0</v>
      </c>
      <c r="E130" s="25">
        <f>cuotas_emitidas!E125-SUMIFS(ingresos!$D:$D,ingresos!$F:$F,saldos!$A130,ingresos!$G:$G,saldos!E$6)</f>
        <v>0</v>
      </c>
      <c r="F130" s="25">
        <f>cuotas_emitidas!F125-SUMIFS(ingresos!$D:$D,ingresos!$F:$F,saldos!$A130,ingresos!$G:$G,saldos!F$6)</f>
        <v>0</v>
      </c>
      <c r="G130" s="25">
        <f>cuotas_emitidas!G125-SUMIFS(ingresos!$D:$D,ingresos!$F:$F,saldos!$A130,ingresos!$G:$G,saldos!G$6)</f>
        <v>0</v>
      </c>
      <c r="H130" s="25">
        <f>cuotas_emitidas!H125-SUMIFS(ingresos!$D:$D,ingresos!$F:$F,saldos!$A130,ingresos!$G:$G,saldos!H$6)</f>
        <v>0</v>
      </c>
      <c r="I130" s="25">
        <f>cuotas_emitidas!I125-SUMIFS(ingresos!$D:$D,ingresos!$F:$F,saldos!$A130,ingresos!$G:$G,saldos!I$6)</f>
        <v>0</v>
      </c>
      <c r="J130" s="25">
        <f>cuotas_emitidas!J125-SUMIFS(ingresos!$D:$D,ingresos!$F:$F,saldos!$A130,ingresos!$G:$G,saldos!J$6)</f>
        <v>0</v>
      </c>
      <c r="K130" s="25">
        <f>cuotas_emitidas!K125-SUMIFS(ingresos!$D:$D,ingresos!$F:$F,saldos!$A130,ingresos!$G:$G,saldos!K$6)</f>
        <v>0</v>
      </c>
      <c r="L130" s="25">
        <f>cuotas_emitidas!L125-SUMIFS(ingresos!$D:$D,ingresos!$F:$F,saldos!$A130,ingresos!$G:$G,saldos!L$6)</f>
        <v>108.64999999999999</v>
      </c>
      <c r="M130" s="25">
        <f>cuotas_emitidas!M125-SUMIFS(ingresos!$D:$D,ingresos!$F:$F,saldos!$A130,ingresos!$G:$G,saldos!M$6)</f>
        <v>0</v>
      </c>
      <c r="N130" s="25">
        <f>cuotas_emitidas!N125-SUMIFS(ingresos!$D:$D,ingresos!$F:$F,saldos!$A130,ingresos!$G:$G,saldos!N$6)</f>
        <v>2.7600000000000477</v>
      </c>
      <c r="O130" s="25">
        <f>cuotas_emitidas!O125-SUMIFS(ingresos!$D:$D,ingresos!$F:$F,saldos!$A130,ingresos!$G:$G,saldos!O$6)</f>
        <v>2.7599999999999909</v>
      </c>
      <c r="P130" s="25">
        <f>cuotas_emitidas!P125-SUMIFS(ingresos!$D:$D,ingresos!$F:$F,saldos!$A130,ingresos!$G:$G,saldos!P$6)</f>
        <v>2.7599999999999909</v>
      </c>
      <c r="Q130" s="25">
        <f>cuotas_emitidas!Q125-SUMIFS(ingresos!$D:$D,ingresos!$F:$F,saldos!$A130,ingresos!$G:$G,saldos!Q$6)</f>
        <v>188.59000000000003</v>
      </c>
      <c r="R130" s="26">
        <f t="shared" si="3"/>
        <v>305.52000000000004</v>
      </c>
      <c r="T130" s="26">
        <f t="shared" si="4"/>
        <v>188.59000000000003</v>
      </c>
      <c r="U130" s="26">
        <f t="shared" si="5"/>
        <v>116.93</v>
      </c>
    </row>
    <row r="131" spans="1:21" x14ac:dyDescent="0.25">
      <c r="A131" s="17" t="s">
        <v>1845</v>
      </c>
      <c r="B131" s="17" t="s">
        <v>1251</v>
      </c>
      <c r="C131" s="17" t="s">
        <v>1846</v>
      </c>
      <c r="D131" s="25">
        <f>cuotas_emitidas!D126-SUMIFS(ingresos!$D:$D,ingresos!$F:$F,saldos!$A131,ingresos!$G:$G,saldos!D$6)</f>
        <v>0</v>
      </c>
      <c r="E131" s="25">
        <f>cuotas_emitidas!E126-SUMIFS(ingresos!$D:$D,ingresos!$F:$F,saldos!$A131,ingresos!$G:$G,saldos!E$6)</f>
        <v>0</v>
      </c>
      <c r="F131" s="25">
        <f>cuotas_emitidas!F126-SUMIFS(ingresos!$D:$D,ingresos!$F:$F,saldos!$A131,ingresos!$G:$G,saldos!F$6)</f>
        <v>0</v>
      </c>
      <c r="G131" s="25">
        <f>cuotas_emitidas!G126-SUMIFS(ingresos!$D:$D,ingresos!$F:$F,saldos!$A131,ingresos!$G:$G,saldos!G$6)</f>
        <v>0</v>
      </c>
      <c r="H131" s="25">
        <f>cuotas_emitidas!H126-SUMIFS(ingresos!$D:$D,ingresos!$F:$F,saldos!$A131,ingresos!$G:$G,saldos!H$6)</f>
        <v>0</v>
      </c>
      <c r="I131" s="25">
        <f>cuotas_emitidas!I126-SUMIFS(ingresos!$D:$D,ingresos!$F:$F,saldos!$A131,ingresos!$G:$G,saldos!I$6)</f>
        <v>0</v>
      </c>
      <c r="J131" s="25">
        <f>cuotas_emitidas!J126-SUMIFS(ingresos!$D:$D,ingresos!$F:$F,saldos!$A131,ingresos!$G:$G,saldos!J$6)</f>
        <v>0</v>
      </c>
      <c r="K131" s="25">
        <f>cuotas_emitidas!K126-SUMIFS(ingresos!$D:$D,ingresos!$F:$F,saldos!$A131,ingresos!$G:$G,saldos!K$6)</f>
        <v>0</v>
      </c>
      <c r="L131" s="25">
        <f>cuotas_emitidas!L126-SUMIFS(ingresos!$D:$D,ingresos!$F:$F,saldos!$A131,ingresos!$G:$G,saldos!L$6)</f>
        <v>0</v>
      </c>
      <c r="M131" s="25">
        <f>cuotas_emitidas!M126-SUMIFS(ingresos!$D:$D,ingresos!$F:$F,saldos!$A131,ingresos!$G:$G,saldos!M$6)</f>
        <v>0</v>
      </c>
      <c r="N131" s="25">
        <f>cuotas_emitidas!N126-SUMIFS(ingresos!$D:$D,ingresos!$F:$F,saldos!$A131,ingresos!$G:$G,saldos!N$6)</f>
        <v>14.53000000000003</v>
      </c>
      <c r="O131" s="25">
        <f>cuotas_emitidas!O126-SUMIFS(ingresos!$D:$D,ingresos!$F:$F,saldos!$A131,ingresos!$G:$G,saldos!O$6)</f>
        <v>4.1800000000000068</v>
      </c>
      <c r="P131" s="25">
        <f>cuotas_emitidas!P126-SUMIFS(ingresos!$D:$D,ingresos!$F:$F,saldos!$A131,ingresos!$G:$G,saldos!P$6)</f>
        <v>304.51</v>
      </c>
      <c r="Q131" s="25">
        <f>cuotas_emitidas!Q126-SUMIFS(ingresos!$D:$D,ingresos!$F:$F,saldos!$A131,ingresos!$G:$G,saldos!Q$6)</f>
        <v>309.25</v>
      </c>
      <c r="R131" s="26">
        <f t="shared" si="3"/>
        <v>632.47</v>
      </c>
      <c r="T131" s="26">
        <f t="shared" si="4"/>
        <v>309.25</v>
      </c>
      <c r="U131" s="26">
        <f t="shared" si="5"/>
        <v>323.22000000000003</v>
      </c>
    </row>
    <row r="132" spans="1:21" x14ac:dyDescent="0.25">
      <c r="A132" s="17" t="s">
        <v>1847</v>
      </c>
      <c r="B132" s="17" t="s">
        <v>1322</v>
      </c>
      <c r="C132" s="17" t="s">
        <v>1848</v>
      </c>
      <c r="D132" s="25">
        <f>cuotas_emitidas!D127-SUMIFS(ingresos!$D:$D,ingresos!$F:$F,saldos!$A132,ingresos!$G:$G,saldos!D$6)</f>
        <v>0</v>
      </c>
      <c r="E132" s="25">
        <f>cuotas_emitidas!E127-SUMIFS(ingresos!$D:$D,ingresos!$F:$F,saldos!$A132,ingresos!$G:$G,saldos!E$6)</f>
        <v>0</v>
      </c>
      <c r="F132" s="25">
        <f>cuotas_emitidas!F127-SUMIFS(ingresos!$D:$D,ingresos!$F:$F,saldos!$A132,ingresos!$G:$G,saldos!F$6)</f>
        <v>0</v>
      </c>
      <c r="G132" s="25">
        <f>cuotas_emitidas!G127-SUMIFS(ingresos!$D:$D,ingresos!$F:$F,saldos!$A132,ingresos!$G:$G,saldos!G$6)</f>
        <v>0</v>
      </c>
      <c r="H132" s="25">
        <f>cuotas_emitidas!H127-SUMIFS(ingresos!$D:$D,ingresos!$F:$F,saldos!$A132,ingresos!$G:$G,saldos!H$6)</f>
        <v>0</v>
      </c>
      <c r="I132" s="25">
        <f>cuotas_emitidas!I127-SUMIFS(ingresos!$D:$D,ingresos!$F:$F,saldos!$A132,ingresos!$G:$G,saldos!I$6)</f>
        <v>0</v>
      </c>
      <c r="J132" s="25">
        <f>cuotas_emitidas!J127-SUMIFS(ingresos!$D:$D,ingresos!$F:$F,saldos!$A132,ingresos!$G:$G,saldos!J$6)</f>
        <v>0</v>
      </c>
      <c r="K132" s="25">
        <f>cuotas_emitidas!K127-SUMIFS(ingresos!$D:$D,ingresos!$F:$F,saldos!$A132,ingresos!$G:$G,saldos!K$6)</f>
        <v>0</v>
      </c>
      <c r="L132" s="25">
        <f>cuotas_emitidas!L127-SUMIFS(ingresos!$D:$D,ingresos!$F:$F,saldos!$A132,ingresos!$G:$G,saldos!L$6)</f>
        <v>0</v>
      </c>
      <c r="M132" s="25">
        <f>cuotas_emitidas!M127-SUMIFS(ingresos!$D:$D,ingresos!$F:$F,saldos!$A132,ingresos!$G:$G,saldos!M$6)</f>
        <v>0</v>
      </c>
      <c r="N132" s="25">
        <f>cuotas_emitidas!N127-SUMIFS(ingresos!$D:$D,ingresos!$F:$F,saldos!$A132,ingresos!$G:$G,saldos!N$6)</f>
        <v>0</v>
      </c>
      <c r="O132" s="25">
        <f>cuotas_emitidas!O127-SUMIFS(ingresos!$D:$D,ingresos!$F:$F,saldos!$A132,ingresos!$G:$G,saldos!O$6)</f>
        <v>0</v>
      </c>
      <c r="P132" s="25">
        <f>cuotas_emitidas!P127-SUMIFS(ingresos!$D:$D,ingresos!$F:$F,saldos!$A132,ingresos!$G:$G,saldos!P$6)</f>
        <v>0</v>
      </c>
      <c r="Q132" s="25">
        <f>cuotas_emitidas!Q127-SUMIFS(ingresos!$D:$D,ingresos!$F:$F,saldos!$A132,ingresos!$G:$G,saldos!Q$6)</f>
        <v>0</v>
      </c>
      <c r="R132" s="26">
        <f t="shared" si="3"/>
        <v>0</v>
      </c>
      <c r="T132" s="26">
        <f t="shared" si="4"/>
        <v>0</v>
      </c>
      <c r="U132" s="26">
        <f t="shared" si="5"/>
        <v>0</v>
      </c>
    </row>
    <row r="133" spans="1:21" x14ac:dyDescent="0.25">
      <c r="A133" s="17" t="s">
        <v>1849</v>
      </c>
      <c r="B133" s="17" t="s">
        <v>1850</v>
      </c>
      <c r="C133" s="17" t="s">
        <v>1851</v>
      </c>
      <c r="D133" s="25">
        <f>cuotas_emitidas!D128-SUMIFS(ingresos!$D:$D,ingresos!$F:$F,saldos!$A133,ingresos!$G:$G,saldos!D$6)</f>
        <v>0</v>
      </c>
      <c r="E133" s="25">
        <f>cuotas_emitidas!E128-SUMIFS(ingresos!$D:$D,ingresos!$F:$F,saldos!$A133,ingresos!$G:$G,saldos!E$6)</f>
        <v>0</v>
      </c>
      <c r="F133" s="25">
        <f>cuotas_emitidas!F128-SUMIFS(ingresos!$D:$D,ingresos!$F:$F,saldos!$A133,ingresos!$G:$G,saldos!F$6)</f>
        <v>0</v>
      </c>
      <c r="G133" s="25">
        <f>cuotas_emitidas!G128-SUMIFS(ingresos!$D:$D,ingresos!$F:$F,saldos!$A133,ingresos!$G:$G,saldos!G$6)</f>
        <v>0</v>
      </c>
      <c r="H133" s="25">
        <f>cuotas_emitidas!H128-SUMIFS(ingresos!$D:$D,ingresos!$F:$F,saldos!$A133,ingresos!$G:$G,saldos!H$6)</f>
        <v>0</v>
      </c>
      <c r="I133" s="25">
        <f>cuotas_emitidas!I128-SUMIFS(ingresos!$D:$D,ingresos!$F:$F,saldos!$A133,ingresos!$G:$G,saldos!I$6)</f>
        <v>0</v>
      </c>
      <c r="J133" s="25">
        <f>cuotas_emitidas!J128-SUMIFS(ingresos!$D:$D,ingresos!$F:$F,saldos!$A133,ingresos!$G:$G,saldos!J$6)</f>
        <v>0</v>
      </c>
      <c r="K133" s="25">
        <f>cuotas_emitidas!K128-SUMIFS(ingresos!$D:$D,ingresos!$F:$F,saldos!$A133,ingresos!$G:$G,saldos!K$6)</f>
        <v>0</v>
      </c>
      <c r="L133" s="25">
        <f>cuotas_emitidas!L128-SUMIFS(ingresos!$D:$D,ingresos!$F:$F,saldos!$A133,ingresos!$G:$G,saldos!L$6)</f>
        <v>0</v>
      </c>
      <c r="M133" s="25">
        <f>cuotas_emitidas!M128-SUMIFS(ingresos!$D:$D,ingresos!$F:$F,saldos!$A133,ingresos!$G:$G,saldos!M$6)</f>
        <v>0</v>
      </c>
      <c r="N133" s="25">
        <f>cuotas_emitidas!N128-SUMIFS(ingresos!$D:$D,ingresos!$F:$F,saldos!$A133,ingresos!$G:$G,saldos!N$6)</f>
        <v>0</v>
      </c>
      <c r="O133" s="25">
        <f>cuotas_emitidas!O128-SUMIFS(ingresos!$D:$D,ingresos!$F:$F,saldos!$A133,ingresos!$G:$G,saldos!O$6)</f>
        <v>0</v>
      </c>
      <c r="P133" s="25">
        <f>cuotas_emitidas!P128-SUMIFS(ingresos!$D:$D,ingresos!$F:$F,saldos!$A133,ingresos!$G:$G,saldos!P$6)</f>
        <v>0</v>
      </c>
      <c r="Q133" s="25">
        <f>cuotas_emitidas!Q128-SUMIFS(ingresos!$D:$D,ingresos!$F:$F,saldos!$A133,ingresos!$G:$G,saldos!Q$6)</f>
        <v>0</v>
      </c>
      <c r="R133" s="26">
        <f t="shared" si="3"/>
        <v>0</v>
      </c>
      <c r="T133" s="26">
        <f t="shared" si="4"/>
        <v>0</v>
      </c>
      <c r="U133" s="26">
        <f t="shared" si="5"/>
        <v>0</v>
      </c>
    </row>
    <row r="134" spans="1:21" x14ac:dyDescent="0.25">
      <c r="A134" s="17" t="s">
        <v>1852</v>
      </c>
      <c r="B134" s="17" t="s">
        <v>1853</v>
      </c>
      <c r="C134" s="17" t="s">
        <v>1854</v>
      </c>
      <c r="D134" s="25">
        <f>cuotas_emitidas!D129-SUMIFS(ingresos!$D:$D,ingresos!$F:$F,saldos!$A134,ingresos!$G:$G,saldos!D$6)</f>
        <v>0</v>
      </c>
      <c r="E134" s="25">
        <f>cuotas_emitidas!E129-SUMIFS(ingresos!$D:$D,ingresos!$F:$F,saldos!$A134,ingresos!$G:$G,saldos!E$6)</f>
        <v>0</v>
      </c>
      <c r="F134" s="25">
        <f>cuotas_emitidas!F129-SUMIFS(ingresos!$D:$D,ingresos!$F:$F,saldos!$A134,ingresos!$G:$G,saldos!F$6)</f>
        <v>0</v>
      </c>
      <c r="G134" s="25">
        <f>cuotas_emitidas!G129-SUMIFS(ingresos!$D:$D,ingresos!$F:$F,saldos!$A134,ingresos!$G:$G,saldos!G$6)</f>
        <v>0</v>
      </c>
      <c r="H134" s="25">
        <f>cuotas_emitidas!H129-SUMIFS(ingresos!$D:$D,ingresos!$F:$F,saldos!$A134,ingresos!$G:$G,saldos!H$6)</f>
        <v>0</v>
      </c>
      <c r="I134" s="25">
        <f>cuotas_emitidas!I129-SUMIFS(ingresos!$D:$D,ingresos!$F:$F,saldos!$A134,ingresos!$G:$G,saldos!I$6)</f>
        <v>0</v>
      </c>
      <c r="J134" s="25">
        <f>cuotas_emitidas!J129-SUMIFS(ingresos!$D:$D,ingresos!$F:$F,saldos!$A134,ingresos!$G:$G,saldos!J$6)</f>
        <v>0</v>
      </c>
      <c r="K134" s="25">
        <f>cuotas_emitidas!K129-SUMIFS(ingresos!$D:$D,ingresos!$F:$F,saldos!$A134,ingresos!$G:$G,saldos!K$6)</f>
        <v>0</v>
      </c>
      <c r="L134" s="25">
        <f>cuotas_emitidas!L129-SUMIFS(ingresos!$D:$D,ingresos!$F:$F,saldos!$A134,ingresos!$G:$G,saldos!L$6)</f>
        <v>0</v>
      </c>
      <c r="M134" s="25">
        <f>cuotas_emitidas!M129-SUMIFS(ingresos!$D:$D,ingresos!$F:$F,saldos!$A134,ingresos!$G:$G,saldos!M$6)</f>
        <v>0</v>
      </c>
      <c r="N134" s="25">
        <f>cuotas_emitidas!N129-SUMIFS(ingresos!$D:$D,ingresos!$F:$F,saldos!$A134,ingresos!$G:$G,saldos!N$6)</f>
        <v>0</v>
      </c>
      <c r="O134" s="25">
        <f>cuotas_emitidas!O129-SUMIFS(ingresos!$D:$D,ingresos!$F:$F,saldos!$A134,ingresos!$G:$G,saldos!O$6)</f>
        <v>0</v>
      </c>
      <c r="P134" s="25">
        <f>cuotas_emitidas!P129-SUMIFS(ingresos!$D:$D,ingresos!$F:$F,saldos!$A134,ingresos!$G:$G,saldos!P$6)</f>
        <v>0</v>
      </c>
      <c r="Q134" s="25">
        <f>cuotas_emitidas!Q129-SUMIFS(ingresos!$D:$D,ingresos!$F:$F,saldos!$A134,ingresos!$G:$G,saldos!Q$6)</f>
        <v>372.09</v>
      </c>
      <c r="R134" s="26">
        <f t="shared" si="3"/>
        <v>372.09</v>
      </c>
      <c r="T134" s="26">
        <f t="shared" si="4"/>
        <v>372.09</v>
      </c>
      <c r="U134" s="26">
        <f t="shared" si="5"/>
        <v>0</v>
      </c>
    </row>
    <row r="135" spans="1:21" x14ac:dyDescent="0.25">
      <c r="A135" s="17" t="s">
        <v>1855</v>
      </c>
      <c r="B135" s="17" t="s">
        <v>1856</v>
      </c>
      <c r="C135" s="17" t="s">
        <v>1857</v>
      </c>
      <c r="D135" s="25">
        <f>cuotas_emitidas!D130-SUMIFS(ingresos!$D:$D,ingresos!$F:$F,saldos!$A135,ingresos!$G:$G,saldos!D$6)</f>
        <v>0</v>
      </c>
      <c r="E135" s="25">
        <f>cuotas_emitidas!E130-SUMIFS(ingresos!$D:$D,ingresos!$F:$F,saldos!$A135,ingresos!$G:$G,saldos!E$6)</f>
        <v>0</v>
      </c>
      <c r="F135" s="25">
        <f>cuotas_emitidas!F130-SUMIFS(ingresos!$D:$D,ingresos!$F:$F,saldos!$A135,ingresos!$G:$G,saldos!F$6)</f>
        <v>0</v>
      </c>
      <c r="G135" s="25">
        <f>cuotas_emitidas!G130-SUMIFS(ingresos!$D:$D,ingresos!$F:$F,saldos!$A135,ingresos!$G:$G,saldos!G$6)</f>
        <v>0</v>
      </c>
      <c r="H135" s="25">
        <f>cuotas_emitidas!H130-SUMIFS(ingresos!$D:$D,ingresos!$F:$F,saldos!$A135,ingresos!$G:$G,saldos!H$6)</f>
        <v>0</v>
      </c>
      <c r="I135" s="25">
        <f>cuotas_emitidas!I130-SUMIFS(ingresos!$D:$D,ingresos!$F:$F,saldos!$A135,ingresos!$G:$G,saldos!I$6)</f>
        <v>0</v>
      </c>
      <c r="J135" s="25">
        <f>cuotas_emitidas!J130-SUMIFS(ingresos!$D:$D,ingresos!$F:$F,saldos!$A135,ingresos!$G:$G,saldos!J$6)</f>
        <v>0</v>
      </c>
      <c r="K135" s="25">
        <f>cuotas_emitidas!K130-SUMIFS(ingresos!$D:$D,ingresos!$F:$F,saldos!$A135,ingresos!$G:$G,saldos!K$6)</f>
        <v>0</v>
      </c>
      <c r="L135" s="25">
        <f>cuotas_emitidas!L130-SUMIFS(ingresos!$D:$D,ingresos!$F:$F,saldos!$A135,ingresos!$G:$G,saldos!L$6)</f>
        <v>0</v>
      </c>
      <c r="M135" s="25">
        <f>cuotas_emitidas!M130-SUMIFS(ingresos!$D:$D,ingresos!$F:$F,saldos!$A135,ingresos!$G:$G,saldos!M$6)</f>
        <v>0</v>
      </c>
      <c r="N135" s="25">
        <f>cuotas_emitidas!N130-SUMIFS(ingresos!$D:$D,ingresos!$F:$F,saldos!$A135,ingresos!$G:$G,saldos!N$6)</f>
        <v>0</v>
      </c>
      <c r="O135" s="25">
        <f>cuotas_emitidas!O130-SUMIFS(ingresos!$D:$D,ingresos!$F:$F,saldos!$A135,ingresos!$G:$G,saldos!O$6)</f>
        <v>0</v>
      </c>
      <c r="P135" s="25">
        <f>cuotas_emitidas!P130-SUMIFS(ingresos!$D:$D,ingresos!$F:$F,saldos!$A135,ingresos!$G:$G,saldos!P$6)</f>
        <v>0</v>
      </c>
      <c r="Q135" s="25">
        <f>cuotas_emitidas!Q130-SUMIFS(ingresos!$D:$D,ingresos!$F:$F,saldos!$A135,ingresos!$G:$G,saldos!Q$6)</f>
        <v>0</v>
      </c>
      <c r="R135" s="26">
        <f t="shared" si="3"/>
        <v>0</v>
      </c>
      <c r="T135" s="26">
        <f t="shared" si="4"/>
        <v>0</v>
      </c>
      <c r="U135" s="26">
        <f t="shared" si="5"/>
        <v>0</v>
      </c>
    </row>
    <row r="136" spans="1:21" x14ac:dyDescent="0.25">
      <c r="A136" s="17" t="s">
        <v>1858</v>
      </c>
      <c r="B136" s="17" t="s">
        <v>1859</v>
      </c>
      <c r="C136" s="17" t="s">
        <v>1860</v>
      </c>
      <c r="D136" s="25">
        <f>cuotas_emitidas!D131-SUMIFS(ingresos!$D:$D,ingresos!$F:$F,saldos!$A136,ingresos!$G:$G,saldos!D$6)</f>
        <v>0</v>
      </c>
      <c r="E136" s="25">
        <f>cuotas_emitidas!E131-SUMIFS(ingresos!$D:$D,ingresos!$F:$F,saldos!$A136,ingresos!$G:$G,saldos!E$6)</f>
        <v>0</v>
      </c>
      <c r="F136" s="25">
        <f>cuotas_emitidas!F131-SUMIFS(ingresos!$D:$D,ingresos!$F:$F,saldos!$A136,ingresos!$G:$G,saldos!F$6)</f>
        <v>0</v>
      </c>
      <c r="G136" s="25">
        <f>cuotas_emitidas!G131-SUMIFS(ingresos!$D:$D,ingresos!$F:$F,saldos!$A136,ingresos!$G:$G,saldos!G$6)</f>
        <v>0</v>
      </c>
      <c r="H136" s="25">
        <f>cuotas_emitidas!H131-SUMIFS(ingresos!$D:$D,ingresos!$F:$F,saldos!$A136,ingresos!$G:$G,saldos!H$6)</f>
        <v>0</v>
      </c>
      <c r="I136" s="25">
        <f>cuotas_emitidas!I131-SUMIFS(ingresos!$D:$D,ingresos!$F:$F,saldos!$A136,ingresos!$G:$G,saldos!I$6)</f>
        <v>0</v>
      </c>
      <c r="J136" s="25">
        <f>cuotas_emitidas!J131-SUMIFS(ingresos!$D:$D,ingresos!$F:$F,saldos!$A136,ingresos!$G:$G,saldos!J$6)</f>
        <v>0</v>
      </c>
      <c r="K136" s="25">
        <f>cuotas_emitidas!K131-SUMIFS(ingresos!$D:$D,ingresos!$F:$F,saldos!$A136,ingresos!$G:$G,saldos!K$6)</f>
        <v>0</v>
      </c>
      <c r="L136" s="25">
        <f>cuotas_emitidas!L131-SUMIFS(ingresos!$D:$D,ingresos!$F:$F,saldos!$A136,ingresos!$G:$G,saldos!L$6)</f>
        <v>0</v>
      </c>
      <c r="M136" s="25">
        <f>cuotas_emitidas!M131-SUMIFS(ingresos!$D:$D,ingresos!$F:$F,saldos!$A136,ingresos!$G:$G,saldos!M$6)</f>
        <v>0</v>
      </c>
      <c r="N136" s="25">
        <f>cuotas_emitidas!N131-SUMIFS(ingresos!$D:$D,ingresos!$F:$F,saldos!$A136,ingresos!$G:$G,saldos!N$6)</f>
        <v>0</v>
      </c>
      <c r="O136" s="25">
        <f>cuotas_emitidas!O131-SUMIFS(ingresos!$D:$D,ingresos!$F:$F,saldos!$A136,ingresos!$G:$G,saldos!O$6)</f>
        <v>0</v>
      </c>
      <c r="P136" s="25">
        <f>cuotas_emitidas!P131-SUMIFS(ingresos!$D:$D,ingresos!$F:$F,saldos!$A136,ingresos!$G:$G,saldos!P$6)</f>
        <v>0</v>
      </c>
      <c r="Q136" s="25">
        <f>cuotas_emitidas!Q131-SUMIFS(ingresos!$D:$D,ingresos!$F:$F,saldos!$A136,ingresos!$G:$G,saldos!Q$6)</f>
        <v>0</v>
      </c>
      <c r="R136" s="26">
        <f t="shared" ref="R136:R199" si="6">SUM(D136:Q136)</f>
        <v>0</v>
      </c>
      <c r="T136" s="26">
        <f t="shared" ref="T136:T199" si="7">Q136</f>
        <v>0</v>
      </c>
      <c r="U136" s="26">
        <f t="shared" ref="U136:U199" si="8">R136-T136</f>
        <v>0</v>
      </c>
    </row>
    <row r="137" spans="1:21" x14ac:dyDescent="0.25">
      <c r="A137" s="17" t="s">
        <v>1861</v>
      </c>
      <c r="B137" s="17" t="s">
        <v>1862</v>
      </c>
      <c r="C137" s="17" t="s">
        <v>1863</v>
      </c>
      <c r="D137" s="25">
        <f>cuotas_emitidas!D132-SUMIFS(ingresos!$D:$D,ingresos!$F:$F,saldos!$A137,ingresos!$G:$G,saldos!D$6)</f>
        <v>0</v>
      </c>
      <c r="E137" s="25">
        <f>cuotas_emitidas!E132-SUMIFS(ingresos!$D:$D,ingresos!$F:$F,saldos!$A137,ingresos!$G:$G,saldos!E$6)</f>
        <v>0</v>
      </c>
      <c r="F137" s="25">
        <f>cuotas_emitidas!F132-SUMIFS(ingresos!$D:$D,ingresos!$F:$F,saldos!$A137,ingresos!$G:$G,saldos!F$6)</f>
        <v>0</v>
      </c>
      <c r="G137" s="25">
        <f>cuotas_emitidas!G132-SUMIFS(ingresos!$D:$D,ingresos!$F:$F,saldos!$A137,ingresos!$G:$G,saldos!G$6)</f>
        <v>0</v>
      </c>
      <c r="H137" s="25">
        <f>cuotas_emitidas!H132-SUMIFS(ingresos!$D:$D,ingresos!$F:$F,saldos!$A137,ingresos!$G:$G,saldos!H$6)</f>
        <v>0</v>
      </c>
      <c r="I137" s="25">
        <f>cuotas_emitidas!I132-SUMIFS(ingresos!$D:$D,ingresos!$F:$F,saldos!$A137,ingresos!$G:$G,saldos!I$6)</f>
        <v>0</v>
      </c>
      <c r="J137" s="25">
        <f>cuotas_emitidas!J132-SUMIFS(ingresos!$D:$D,ingresos!$F:$F,saldos!$A137,ingresos!$G:$G,saldos!J$6)</f>
        <v>0</v>
      </c>
      <c r="K137" s="25">
        <f>cuotas_emitidas!K132-SUMIFS(ingresos!$D:$D,ingresos!$F:$F,saldos!$A137,ingresos!$G:$G,saldos!K$6)</f>
        <v>0</v>
      </c>
      <c r="L137" s="25">
        <f>cuotas_emitidas!L132-SUMIFS(ingresos!$D:$D,ingresos!$F:$F,saldos!$A137,ingresos!$G:$G,saldos!L$6)</f>
        <v>0</v>
      </c>
      <c r="M137" s="25">
        <f>cuotas_emitidas!M132-SUMIFS(ingresos!$D:$D,ingresos!$F:$F,saldos!$A137,ingresos!$G:$G,saldos!M$6)</f>
        <v>0</v>
      </c>
      <c r="N137" s="25">
        <f>cuotas_emitidas!N132-SUMIFS(ingresos!$D:$D,ingresos!$F:$F,saldos!$A137,ingresos!$G:$G,saldos!N$6)</f>
        <v>0</v>
      </c>
      <c r="O137" s="25">
        <f>cuotas_emitidas!O132-SUMIFS(ingresos!$D:$D,ingresos!$F:$F,saldos!$A137,ingresos!$G:$G,saldos!O$6)</f>
        <v>0</v>
      </c>
      <c r="P137" s="25">
        <f>cuotas_emitidas!P132-SUMIFS(ingresos!$D:$D,ingresos!$F:$F,saldos!$A137,ingresos!$G:$G,saldos!P$6)</f>
        <v>0</v>
      </c>
      <c r="Q137" s="25">
        <f>cuotas_emitidas!Q132-SUMIFS(ingresos!$D:$D,ingresos!$F:$F,saldos!$A137,ingresos!$G:$G,saldos!Q$6)</f>
        <v>0</v>
      </c>
      <c r="R137" s="26">
        <f t="shared" si="6"/>
        <v>0</v>
      </c>
      <c r="T137" s="26">
        <f t="shared" si="7"/>
        <v>0</v>
      </c>
      <c r="U137" s="26">
        <f t="shared" si="8"/>
        <v>0</v>
      </c>
    </row>
    <row r="138" spans="1:21" x14ac:dyDescent="0.25">
      <c r="A138" s="17" t="s">
        <v>1864</v>
      </c>
      <c r="B138" s="17" t="s">
        <v>1865</v>
      </c>
      <c r="C138" s="17" t="s">
        <v>1866</v>
      </c>
      <c r="D138" s="25">
        <f>cuotas_emitidas!D133-SUMIFS(ingresos!$D:$D,ingresos!$F:$F,saldos!$A138,ingresos!$G:$G,saldos!D$6)</f>
        <v>0</v>
      </c>
      <c r="E138" s="25">
        <f>cuotas_emitidas!E133-SUMIFS(ingresos!$D:$D,ingresos!$F:$F,saldos!$A138,ingresos!$G:$G,saldos!E$6)</f>
        <v>0</v>
      </c>
      <c r="F138" s="25">
        <f>cuotas_emitidas!F133-SUMIFS(ingresos!$D:$D,ingresos!$F:$F,saldos!$A138,ingresos!$G:$G,saldos!F$6)</f>
        <v>0</v>
      </c>
      <c r="G138" s="25">
        <f>cuotas_emitidas!G133-SUMIFS(ingresos!$D:$D,ingresos!$F:$F,saldos!$A138,ingresos!$G:$G,saldos!G$6)</f>
        <v>0</v>
      </c>
      <c r="H138" s="25">
        <f>cuotas_emitidas!H133-SUMIFS(ingresos!$D:$D,ingresos!$F:$F,saldos!$A138,ingresos!$G:$G,saldos!H$6)</f>
        <v>0</v>
      </c>
      <c r="I138" s="25">
        <f>cuotas_emitidas!I133-SUMIFS(ingresos!$D:$D,ingresos!$F:$F,saldos!$A138,ingresos!$G:$G,saldos!I$6)</f>
        <v>0</v>
      </c>
      <c r="J138" s="25">
        <f>cuotas_emitidas!J133-SUMIFS(ingresos!$D:$D,ingresos!$F:$F,saldos!$A138,ingresos!$G:$G,saldos!J$6)</f>
        <v>0</v>
      </c>
      <c r="K138" s="25">
        <f>cuotas_emitidas!K133-SUMIFS(ingresos!$D:$D,ingresos!$F:$F,saldos!$A138,ingresos!$G:$G,saldos!K$6)</f>
        <v>0</v>
      </c>
      <c r="L138" s="25">
        <f>cuotas_emitidas!L133-SUMIFS(ingresos!$D:$D,ingresos!$F:$F,saldos!$A138,ingresos!$G:$G,saldos!L$6)</f>
        <v>0</v>
      </c>
      <c r="M138" s="25">
        <f>cuotas_emitidas!M133-SUMIFS(ingresos!$D:$D,ingresos!$F:$F,saldos!$A138,ingresos!$G:$G,saldos!M$6)</f>
        <v>0</v>
      </c>
      <c r="N138" s="25">
        <f>cuotas_emitidas!N133-SUMIFS(ingresos!$D:$D,ingresos!$F:$F,saldos!$A138,ingresos!$G:$G,saldos!N$6)</f>
        <v>0</v>
      </c>
      <c r="O138" s="25">
        <f>cuotas_emitidas!O133-SUMIFS(ingresos!$D:$D,ingresos!$F:$F,saldos!$A138,ingresos!$G:$G,saldos!O$6)</f>
        <v>0</v>
      </c>
      <c r="P138" s="25">
        <f>cuotas_emitidas!P133-SUMIFS(ingresos!$D:$D,ingresos!$F:$F,saldos!$A138,ingresos!$G:$G,saldos!P$6)</f>
        <v>0</v>
      </c>
      <c r="Q138" s="25">
        <f>cuotas_emitidas!Q133-SUMIFS(ingresos!$D:$D,ingresos!$F:$F,saldos!$A138,ingresos!$G:$G,saldos!Q$6)</f>
        <v>0</v>
      </c>
      <c r="R138" s="26">
        <f t="shared" si="6"/>
        <v>0</v>
      </c>
      <c r="T138" s="26">
        <f t="shared" si="7"/>
        <v>0</v>
      </c>
      <c r="U138" s="26">
        <f t="shared" si="8"/>
        <v>0</v>
      </c>
    </row>
    <row r="139" spans="1:21" x14ac:dyDescent="0.25">
      <c r="A139" s="17" t="s">
        <v>1867</v>
      </c>
      <c r="B139" s="17" t="s">
        <v>1868</v>
      </c>
      <c r="C139" s="17" t="s">
        <v>1869</v>
      </c>
      <c r="D139" s="25">
        <f>cuotas_emitidas!D134-SUMIFS(ingresos!$D:$D,ingresos!$F:$F,saldos!$A139,ingresos!$G:$G,saldos!D$6)</f>
        <v>0</v>
      </c>
      <c r="E139" s="25">
        <f>cuotas_emitidas!E134-SUMIFS(ingresos!$D:$D,ingresos!$F:$F,saldos!$A139,ingresos!$G:$G,saldos!E$6)</f>
        <v>0</v>
      </c>
      <c r="F139" s="25">
        <f>cuotas_emitidas!F134-SUMIFS(ingresos!$D:$D,ingresos!$F:$F,saldos!$A139,ingresos!$G:$G,saldos!F$6)</f>
        <v>0</v>
      </c>
      <c r="G139" s="25">
        <f>cuotas_emitidas!G134-SUMIFS(ingresos!$D:$D,ingresos!$F:$F,saldos!$A139,ingresos!$G:$G,saldos!G$6)</f>
        <v>0</v>
      </c>
      <c r="H139" s="25">
        <f>cuotas_emitidas!H134-SUMIFS(ingresos!$D:$D,ingresos!$F:$F,saldos!$A139,ingresos!$G:$G,saldos!H$6)</f>
        <v>0</v>
      </c>
      <c r="I139" s="25">
        <f>cuotas_emitidas!I134-SUMIFS(ingresos!$D:$D,ingresos!$F:$F,saldos!$A139,ingresos!$G:$G,saldos!I$6)</f>
        <v>0</v>
      </c>
      <c r="J139" s="25">
        <f>cuotas_emitidas!J134-SUMIFS(ingresos!$D:$D,ingresos!$F:$F,saldos!$A139,ingresos!$G:$G,saldos!J$6)</f>
        <v>0</v>
      </c>
      <c r="K139" s="25">
        <f>cuotas_emitidas!K134-SUMIFS(ingresos!$D:$D,ingresos!$F:$F,saldos!$A139,ingresos!$G:$G,saldos!K$6)</f>
        <v>0</v>
      </c>
      <c r="L139" s="25">
        <f>cuotas_emitidas!L134-SUMIFS(ingresos!$D:$D,ingresos!$F:$F,saldos!$A139,ingresos!$G:$G,saldos!L$6)</f>
        <v>355.02</v>
      </c>
      <c r="M139" s="25">
        <f>cuotas_emitidas!M134-SUMIFS(ingresos!$D:$D,ingresos!$F:$F,saldos!$A139,ingresos!$G:$G,saldos!M$6)</f>
        <v>324.12</v>
      </c>
      <c r="N139" s="25">
        <f>cuotas_emitidas!N134-SUMIFS(ingresos!$D:$D,ingresos!$F:$F,saldos!$A139,ingresos!$G:$G,saldos!N$6)</f>
        <v>339.37</v>
      </c>
      <c r="O139" s="25">
        <f>cuotas_emitidas!O134-SUMIFS(ingresos!$D:$D,ingresos!$F:$F,saldos!$A139,ingresos!$G:$G,saldos!O$6)</f>
        <v>0</v>
      </c>
      <c r="P139" s="25">
        <f>cuotas_emitidas!P134-SUMIFS(ingresos!$D:$D,ingresos!$F:$F,saldos!$A139,ingresos!$G:$G,saldos!P$6)</f>
        <v>314.06</v>
      </c>
      <c r="Q139" s="25">
        <f>cuotas_emitidas!Q134-SUMIFS(ingresos!$D:$D,ingresos!$F:$F,saldos!$A139,ingresos!$G:$G,saldos!Q$6)</f>
        <v>0</v>
      </c>
      <c r="R139" s="26">
        <f t="shared" si="6"/>
        <v>1332.57</v>
      </c>
      <c r="T139" s="26">
        <f t="shared" si="7"/>
        <v>0</v>
      </c>
      <c r="U139" s="26">
        <f t="shared" si="8"/>
        <v>1332.57</v>
      </c>
    </row>
    <row r="140" spans="1:21" x14ac:dyDescent="0.25">
      <c r="A140" s="17" t="s">
        <v>1870</v>
      </c>
      <c r="B140" s="17" t="s">
        <v>1871</v>
      </c>
      <c r="C140" s="17" t="s">
        <v>1872</v>
      </c>
      <c r="D140" s="25">
        <f>cuotas_emitidas!D135-SUMIFS(ingresos!$D:$D,ingresos!$F:$F,saldos!$A140,ingresos!$G:$G,saldos!D$6)</f>
        <v>0</v>
      </c>
      <c r="E140" s="25">
        <f>cuotas_emitidas!E135-SUMIFS(ingresos!$D:$D,ingresos!$F:$F,saldos!$A140,ingresos!$G:$G,saldos!E$6)</f>
        <v>0</v>
      </c>
      <c r="F140" s="25">
        <f>cuotas_emitidas!F135-SUMIFS(ingresos!$D:$D,ingresos!$F:$F,saldos!$A140,ingresos!$G:$G,saldos!F$6)</f>
        <v>0</v>
      </c>
      <c r="G140" s="25">
        <f>cuotas_emitidas!G135-SUMIFS(ingresos!$D:$D,ingresos!$F:$F,saldos!$A140,ingresos!$G:$G,saldos!G$6)</f>
        <v>0</v>
      </c>
      <c r="H140" s="25">
        <f>cuotas_emitidas!H135-SUMIFS(ingresos!$D:$D,ingresos!$F:$F,saldos!$A140,ingresos!$G:$G,saldos!H$6)</f>
        <v>0</v>
      </c>
      <c r="I140" s="25">
        <f>cuotas_emitidas!I135-SUMIFS(ingresos!$D:$D,ingresos!$F:$F,saldos!$A140,ingresos!$G:$G,saldos!I$6)</f>
        <v>0</v>
      </c>
      <c r="J140" s="25">
        <f>cuotas_emitidas!J135-SUMIFS(ingresos!$D:$D,ingresos!$F:$F,saldos!$A140,ingresos!$G:$G,saldos!J$6)</f>
        <v>0</v>
      </c>
      <c r="K140" s="25">
        <f>cuotas_emitidas!K135-SUMIFS(ingresos!$D:$D,ingresos!$F:$F,saldos!$A140,ingresos!$G:$G,saldos!K$6)</f>
        <v>0</v>
      </c>
      <c r="L140" s="25">
        <f>cuotas_emitidas!L135-SUMIFS(ingresos!$D:$D,ingresos!$F:$F,saldos!$A140,ingresos!$G:$G,saldos!L$6)</f>
        <v>0</v>
      </c>
      <c r="M140" s="25">
        <f>cuotas_emitidas!M135-SUMIFS(ingresos!$D:$D,ingresos!$F:$F,saldos!$A140,ingresos!$G:$G,saldos!M$6)</f>
        <v>268.97000000000003</v>
      </c>
      <c r="N140" s="25">
        <f>cuotas_emitidas!N135-SUMIFS(ingresos!$D:$D,ingresos!$F:$F,saldos!$A140,ingresos!$G:$G,saldos!N$6)</f>
        <v>288.83999999999997</v>
      </c>
      <c r="O140" s="25">
        <f>cuotas_emitidas!O135-SUMIFS(ingresos!$D:$D,ingresos!$F:$F,saldos!$A140,ingresos!$G:$G,saldos!O$6)</f>
        <v>283.38</v>
      </c>
      <c r="P140" s="25">
        <f>cuotas_emitidas!P135-SUMIFS(ingresos!$D:$D,ingresos!$F:$F,saldos!$A140,ingresos!$G:$G,saldos!P$6)</f>
        <v>268.67</v>
      </c>
      <c r="Q140" s="25">
        <f>cuotas_emitidas!Q135-SUMIFS(ingresos!$D:$D,ingresos!$F:$F,saldos!$A140,ingresos!$G:$G,saldos!Q$6)</f>
        <v>278.27</v>
      </c>
      <c r="R140" s="26">
        <f t="shared" si="6"/>
        <v>1388.1299999999999</v>
      </c>
      <c r="T140" s="26">
        <f t="shared" si="7"/>
        <v>278.27</v>
      </c>
      <c r="U140" s="26">
        <f t="shared" si="8"/>
        <v>1109.8599999999999</v>
      </c>
    </row>
    <row r="141" spans="1:21" x14ac:dyDescent="0.25">
      <c r="A141" s="17" t="s">
        <v>1873</v>
      </c>
      <c r="B141" s="17" t="s">
        <v>1874</v>
      </c>
      <c r="C141" s="17" t="s">
        <v>1875</v>
      </c>
      <c r="D141" s="25">
        <f>cuotas_emitidas!D136-SUMIFS(ingresos!$D:$D,ingresos!$F:$F,saldos!$A141,ingresos!$G:$G,saldos!D$6)</f>
        <v>0</v>
      </c>
      <c r="E141" s="25">
        <f>cuotas_emitidas!E136-SUMIFS(ingresos!$D:$D,ingresos!$F:$F,saldos!$A141,ingresos!$G:$G,saldos!E$6)</f>
        <v>0</v>
      </c>
      <c r="F141" s="25">
        <f>cuotas_emitidas!F136-SUMIFS(ingresos!$D:$D,ingresos!$F:$F,saldos!$A141,ingresos!$G:$G,saldos!F$6)</f>
        <v>0</v>
      </c>
      <c r="G141" s="25">
        <f>cuotas_emitidas!G136-SUMIFS(ingresos!$D:$D,ingresos!$F:$F,saldos!$A141,ingresos!$G:$G,saldos!G$6)</f>
        <v>0</v>
      </c>
      <c r="H141" s="25">
        <f>cuotas_emitidas!H136-SUMIFS(ingresos!$D:$D,ingresos!$F:$F,saldos!$A141,ingresos!$G:$G,saldos!H$6)</f>
        <v>0</v>
      </c>
      <c r="I141" s="25">
        <f>cuotas_emitidas!I136-SUMIFS(ingresos!$D:$D,ingresos!$F:$F,saldos!$A141,ingresos!$G:$G,saldos!I$6)</f>
        <v>0</v>
      </c>
      <c r="J141" s="25">
        <f>cuotas_emitidas!J136-SUMIFS(ingresos!$D:$D,ingresos!$F:$F,saldos!$A141,ingresos!$G:$G,saldos!J$6)</f>
        <v>0</v>
      </c>
      <c r="K141" s="25">
        <f>cuotas_emitidas!K136-SUMIFS(ingresos!$D:$D,ingresos!$F:$F,saldos!$A141,ingresos!$G:$G,saldos!K$6)</f>
        <v>0</v>
      </c>
      <c r="L141" s="25">
        <f>cuotas_emitidas!L136-SUMIFS(ingresos!$D:$D,ingresos!$F:$F,saldos!$A141,ingresos!$G:$G,saldos!L$6)</f>
        <v>0</v>
      </c>
      <c r="M141" s="25">
        <f>cuotas_emitidas!M136-SUMIFS(ingresos!$D:$D,ingresos!$F:$F,saldos!$A141,ingresos!$G:$G,saldos!M$6)</f>
        <v>-9.4200000000000159</v>
      </c>
      <c r="N141" s="25">
        <f>cuotas_emitidas!N136-SUMIFS(ingresos!$D:$D,ingresos!$F:$F,saldos!$A141,ingresos!$G:$G,saldos!N$6)</f>
        <v>-9.4200000000000159</v>
      </c>
      <c r="O141" s="25">
        <f>cuotas_emitidas!O136-SUMIFS(ingresos!$D:$D,ingresos!$F:$F,saldos!$A141,ingresos!$G:$G,saldos!O$6)</f>
        <v>0</v>
      </c>
      <c r="P141" s="25">
        <f>cuotas_emitidas!P136-SUMIFS(ingresos!$D:$D,ingresos!$F:$F,saldos!$A141,ingresos!$G:$G,saldos!P$6)</f>
        <v>0</v>
      </c>
      <c r="Q141" s="25">
        <f>cuotas_emitidas!Q136-SUMIFS(ingresos!$D:$D,ingresos!$F:$F,saldos!$A141,ingresos!$G:$G,saldos!Q$6)</f>
        <v>0</v>
      </c>
      <c r="R141" s="26">
        <f t="shared" si="6"/>
        <v>-18.840000000000032</v>
      </c>
      <c r="T141" s="26">
        <f t="shared" si="7"/>
        <v>0</v>
      </c>
      <c r="U141" s="26">
        <f t="shared" si="8"/>
        <v>-18.840000000000032</v>
      </c>
    </row>
    <row r="142" spans="1:21" x14ac:dyDescent="0.25">
      <c r="A142" s="17" t="s">
        <v>1876</v>
      </c>
      <c r="B142" s="17" t="s">
        <v>1877</v>
      </c>
      <c r="C142" s="17" t="s">
        <v>1878</v>
      </c>
      <c r="D142" s="25">
        <f>cuotas_emitidas!D137-SUMIFS(ingresos!$D:$D,ingresos!$F:$F,saldos!$A142,ingresos!$G:$G,saldos!D$6)</f>
        <v>0</v>
      </c>
      <c r="E142" s="25">
        <f>cuotas_emitidas!E137-SUMIFS(ingresos!$D:$D,ingresos!$F:$F,saldos!$A142,ingresos!$G:$G,saldos!E$6)</f>
        <v>0</v>
      </c>
      <c r="F142" s="25">
        <f>cuotas_emitidas!F137-SUMIFS(ingresos!$D:$D,ingresos!$F:$F,saldos!$A142,ingresos!$G:$G,saldos!F$6)</f>
        <v>0</v>
      </c>
      <c r="G142" s="25">
        <f>cuotas_emitidas!G137-SUMIFS(ingresos!$D:$D,ingresos!$F:$F,saldos!$A142,ingresos!$G:$G,saldos!G$6)</f>
        <v>0</v>
      </c>
      <c r="H142" s="25">
        <f>cuotas_emitidas!H137-SUMIFS(ingresos!$D:$D,ingresos!$F:$F,saldos!$A142,ingresos!$G:$G,saldos!H$6)</f>
        <v>0</v>
      </c>
      <c r="I142" s="25">
        <f>cuotas_emitidas!I137-SUMIFS(ingresos!$D:$D,ingresos!$F:$F,saldos!$A142,ingresos!$G:$G,saldos!I$6)</f>
        <v>0</v>
      </c>
      <c r="J142" s="25">
        <f>cuotas_emitidas!J137-SUMIFS(ingresos!$D:$D,ingresos!$F:$F,saldos!$A142,ingresos!$G:$G,saldos!J$6)</f>
        <v>0</v>
      </c>
      <c r="K142" s="25">
        <f>cuotas_emitidas!K137-SUMIFS(ingresos!$D:$D,ingresos!$F:$F,saldos!$A142,ingresos!$G:$G,saldos!K$6)</f>
        <v>0</v>
      </c>
      <c r="L142" s="25">
        <f>cuotas_emitidas!L137-SUMIFS(ingresos!$D:$D,ingresos!$F:$F,saldos!$A142,ingresos!$G:$G,saldos!L$6)</f>
        <v>365.88</v>
      </c>
      <c r="M142" s="25">
        <f>cuotas_emitidas!M137-SUMIFS(ingresos!$D:$D,ingresos!$F:$F,saldos!$A142,ingresos!$G:$G,saldos!M$6)</f>
        <v>0</v>
      </c>
      <c r="N142" s="25">
        <f>cuotas_emitidas!N137-SUMIFS(ingresos!$D:$D,ingresos!$F:$F,saldos!$A142,ingresos!$G:$G,saldos!N$6)</f>
        <v>0</v>
      </c>
      <c r="O142" s="25">
        <f>cuotas_emitidas!O137-SUMIFS(ingresos!$D:$D,ingresos!$F:$F,saldos!$A142,ingresos!$G:$G,saldos!O$6)</f>
        <v>0</v>
      </c>
      <c r="P142" s="25">
        <f>cuotas_emitidas!P137-SUMIFS(ingresos!$D:$D,ingresos!$F:$F,saldos!$A142,ingresos!$G:$G,saldos!P$6)</f>
        <v>0</v>
      </c>
      <c r="Q142" s="25">
        <f>cuotas_emitidas!Q137-SUMIFS(ingresos!$D:$D,ingresos!$F:$F,saldos!$A142,ingresos!$G:$G,saldos!Q$6)</f>
        <v>0</v>
      </c>
      <c r="R142" s="26">
        <f t="shared" si="6"/>
        <v>365.88</v>
      </c>
      <c r="T142" s="26">
        <f t="shared" si="7"/>
        <v>0</v>
      </c>
      <c r="U142" s="26">
        <f t="shared" si="8"/>
        <v>365.88</v>
      </c>
    </row>
    <row r="143" spans="1:21" x14ac:dyDescent="0.25">
      <c r="A143" s="17" t="s">
        <v>1879</v>
      </c>
      <c r="B143" s="17" t="s">
        <v>1880</v>
      </c>
      <c r="C143" s="17" t="s">
        <v>1881</v>
      </c>
      <c r="D143" s="25">
        <f>cuotas_emitidas!D138-SUMIFS(ingresos!$D:$D,ingresos!$F:$F,saldos!$A143,ingresos!$G:$G,saldos!D$6)</f>
        <v>0</v>
      </c>
      <c r="E143" s="25">
        <f>cuotas_emitidas!E138-SUMIFS(ingresos!$D:$D,ingresos!$F:$F,saldos!$A143,ingresos!$G:$G,saldos!E$6)</f>
        <v>0</v>
      </c>
      <c r="F143" s="25">
        <f>cuotas_emitidas!F138-SUMIFS(ingresos!$D:$D,ingresos!$F:$F,saldos!$A143,ingresos!$G:$G,saldos!F$6)</f>
        <v>0</v>
      </c>
      <c r="G143" s="25">
        <f>cuotas_emitidas!G138-SUMIFS(ingresos!$D:$D,ingresos!$F:$F,saldos!$A143,ingresos!$G:$G,saldos!G$6)</f>
        <v>0</v>
      </c>
      <c r="H143" s="25">
        <f>cuotas_emitidas!H138-SUMIFS(ingresos!$D:$D,ingresos!$F:$F,saldos!$A143,ingresos!$G:$G,saldos!H$6)</f>
        <v>0</v>
      </c>
      <c r="I143" s="25">
        <f>cuotas_emitidas!I138-SUMIFS(ingresos!$D:$D,ingresos!$F:$F,saldos!$A143,ingresos!$G:$G,saldos!I$6)</f>
        <v>0</v>
      </c>
      <c r="J143" s="25">
        <f>cuotas_emitidas!J138-SUMIFS(ingresos!$D:$D,ingresos!$F:$F,saldos!$A143,ingresos!$G:$G,saldos!J$6)</f>
        <v>0</v>
      </c>
      <c r="K143" s="25">
        <f>cuotas_emitidas!K138-SUMIFS(ingresos!$D:$D,ingresos!$F:$F,saldos!$A143,ingresos!$G:$G,saldos!K$6)</f>
        <v>0</v>
      </c>
      <c r="L143" s="25">
        <f>cuotas_emitidas!L138-SUMIFS(ingresos!$D:$D,ingresos!$F:$F,saldos!$A143,ingresos!$G:$G,saldos!L$6)</f>
        <v>0</v>
      </c>
      <c r="M143" s="25">
        <f>cuotas_emitidas!M138-SUMIFS(ingresos!$D:$D,ingresos!$F:$F,saldos!$A143,ingresos!$G:$G,saldos!M$6)</f>
        <v>0</v>
      </c>
      <c r="N143" s="25">
        <f>cuotas_emitidas!N138-SUMIFS(ingresos!$D:$D,ingresos!$F:$F,saldos!$A143,ingresos!$G:$G,saldos!N$6)</f>
        <v>0</v>
      </c>
      <c r="O143" s="25">
        <f>cuotas_emitidas!O138-SUMIFS(ingresos!$D:$D,ingresos!$F:$F,saldos!$A143,ingresos!$G:$G,saldos!O$6)</f>
        <v>0</v>
      </c>
      <c r="P143" s="25">
        <f>cuotas_emitidas!P138-SUMIFS(ingresos!$D:$D,ingresos!$F:$F,saldos!$A143,ingresos!$G:$G,saldos!P$6)</f>
        <v>0</v>
      </c>
      <c r="Q143" s="25">
        <f>cuotas_emitidas!Q138-SUMIFS(ingresos!$D:$D,ingresos!$F:$F,saldos!$A143,ingresos!$G:$G,saldos!Q$6)</f>
        <v>257.41000000000003</v>
      </c>
      <c r="R143" s="26">
        <f t="shared" si="6"/>
        <v>257.41000000000003</v>
      </c>
      <c r="T143" s="26">
        <f t="shared" si="7"/>
        <v>257.41000000000003</v>
      </c>
      <c r="U143" s="26">
        <f t="shared" si="8"/>
        <v>0</v>
      </c>
    </row>
    <row r="144" spans="1:21" x14ac:dyDescent="0.25">
      <c r="A144" s="17" t="s">
        <v>1882</v>
      </c>
      <c r="B144" s="17" t="s">
        <v>1429</v>
      </c>
      <c r="C144" s="17" t="s">
        <v>1883</v>
      </c>
      <c r="D144" s="25">
        <f>cuotas_emitidas!D139-SUMIFS(ingresos!$D:$D,ingresos!$F:$F,saldos!$A144,ingresos!$G:$G,saldos!D$6)</f>
        <v>0</v>
      </c>
      <c r="E144" s="25">
        <f>cuotas_emitidas!E139-SUMIFS(ingresos!$D:$D,ingresos!$F:$F,saldos!$A144,ingresos!$G:$G,saldos!E$6)</f>
        <v>0</v>
      </c>
      <c r="F144" s="25">
        <f>cuotas_emitidas!F139-SUMIFS(ingresos!$D:$D,ingresos!$F:$F,saldos!$A144,ingresos!$G:$G,saldos!F$6)</f>
        <v>0</v>
      </c>
      <c r="G144" s="25">
        <f>cuotas_emitidas!G139-SUMIFS(ingresos!$D:$D,ingresos!$F:$F,saldos!$A144,ingresos!$G:$G,saldos!G$6)</f>
        <v>0</v>
      </c>
      <c r="H144" s="25">
        <f>cuotas_emitidas!H139-SUMIFS(ingresos!$D:$D,ingresos!$F:$F,saldos!$A144,ingresos!$G:$G,saldos!H$6)</f>
        <v>0</v>
      </c>
      <c r="I144" s="25">
        <f>cuotas_emitidas!I139-SUMIFS(ingresos!$D:$D,ingresos!$F:$F,saldos!$A144,ingresos!$G:$G,saldos!I$6)</f>
        <v>0</v>
      </c>
      <c r="J144" s="25">
        <f>cuotas_emitidas!J139-SUMIFS(ingresos!$D:$D,ingresos!$F:$F,saldos!$A144,ingresos!$G:$G,saldos!J$6)</f>
        <v>0</v>
      </c>
      <c r="K144" s="25">
        <f>cuotas_emitidas!K139-SUMIFS(ingresos!$D:$D,ingresos!$F:$F,saldos!$A144,ingresos!$G:$G,saldos!K$6)</f>
        <v>0</v>
      </c>
      <c r="L144" s="25">
        <f>cuotas_emitidas!L139-SUMIFS(ingresos!$D:$D,ingresos!$F:$F,saldos!$A144,ingresos!$G:$G,saldos!L$6)</f>
        <v>0</v>
      </c>
      <c r="M144" s="25">
        <f>cuotas_emitidas!M139-SUMIFS(ingresos!$D:$D,ingresos!$F:$F,saldos!$A144,ingresos!$G:$G,saldos!M$6)</f>
        <v>0</v>
      </c>
      <c r="N144" s="25">
        <f>cuotas_emitidas!N139-SUMIFS(ingresos!$D:$D,ingresos!$F:$F,saldos!$A144,ingresos!$G:$G,saldos!N$6)</f>
        <v>0</v>
      </c>
      <c r="O144" s="25">
        <f>cuotas_emitidas!O139-SUMIFS(ingresos!$D:$D,ingresos!$F:$F,saldos!$A144,ingresos!$G:$G,saldos!O$6)</f>
        <v>0</v>
      </c>
      <c r="P144" s="25">
        <f>cuotas_emitidas!P139-SUMIFS(ingresos!$D:$D,ingresos!$F:$F,saldos!$A144,ingresos!$G:$G,saldos!P$6)</f>
        <v>0</v>
      </c>
      <c r="Q144" s="25">
        <f>cuotas_emitidas!Q139-SUMIFS(ingresos!$D:$D,ingresos!$F:$F,saldos!$A144,ingresos!$G:$G,saldos!Q$6)</f>
        <v>0</v>
      </c>
      <c r="R144" s="26">
        <f t="shared" si="6"/>
        <v>0</v>
      </c>
      <c r="T144" s="26">
        <f t="shared" si="7"/>
        <v>0</v>
      </c>
      <c r="U144" s="26">
        <f t="shared" si="8"/>
        <v>0</v>
      </c>
    </row>
    <row r="145" spans="1:21" x14ac:dyDescent="0.25">
      <c r="A145" s="17" t="s">
        <v>1884</v>
      </c>
      <c r="B145" s="17" t="s">
        <v>1431</v>
      </c>
      <c r="C145" s="17" t="s">
        <v>1885</v>
      </c>
      <c r="D145" s="25">
        <f>cuotas_emitidas!D140-SUMIFS(ingresos!$D:$D,ingresos!$F:$F,saldos!$A145,ingresos!$G:$G,saldos!D$6)</f>
        <v>0</v>
      </c>
      <c r="E145" s="25">
        <f>cuotas_emitidas!E140-SUMIFS(ingresos!$D:$D,ingresos!$F:$F,saldos!$A145,ingresos!$G:$G,saldos!E$6)</f>
        <v>0</v>
      </c>
      <c r="F145" s="25">
        <f>cuotas_emitidas!F140-SUMIFS(ingresos!$D:$D,ingresos!$F:$F,saldos!$A145,ingresos!$G:$G,saldos!F$6)</f>
        <v>0</v>
      </c>
      <c r="G145" s="25">
        <f>cuotas_emitidas!G140-SUMIFS(ingresos!$D:$D,ingresos!$F:$F,saldos!$A145,ingresos!$G:$G,saldos!G$6)</f>
        <v>0</v>
      </c>
      <c r="H145" s="25">
        <f>cuotas_emitidas!H140-SUMIFS(ingresos!$D:$D,ingresos!$F:$F,saldos!$A145,ingresos!$G:$G,saldos!H$6)</f>
        <v>0</v>
      </c>
      <c r="I145" s="25">
        <f>cuotas_emitidas!I140-SUMIFS(ingresos!$D:$D,ingresos!$F:$F,saldos!$A145,ingresos!$G:$G,saldos!I$6)</f>
        <v>0</v>
      </c>
      <c r="J145" s="25">
        <f>cuotas_emitidas!J140-SUMIFS(ingresos!$D:$D,ingresos!$F:$F,saldos!$A145,ingresos!$G:$G,saldos!J$6)</f>
        <v>0</v>
      </c>
      <c r="K145" s="25">
        <f>cuotas_emitidas!K140-SUMIFS(ingresos!$D:$D,ingresos!$F:$F,saldos!$A145,ingresos!$G:$G,saldos!K$6)</f>
        <v>0</v>
      </c>
      <c r="L145" s="25">
        <f>cuotas_emitidas!L140-SUMIFS(ingresos!$D:$D,ingresos!$F:$F,saldos!$A145,ingresos!$G:$G,saldos!L$6)</f>
        <v>0</v>
      </c>
      <c r="M145" s="25">
        <f>cuotas_emitidas!M140-SUMIFS(ingresos!$D:$D,ingresos!$F:$F,saldos!$A145,ingresos!$G:$G,saldos!M$6)</f>
        <v>0</v>
      </c>
      <c r="N145" s="25">
        <f>cuotas_emitidas!N140-SUMIFS(ingresos!$D:$D,ingresos!$F:$F,saldos!$A145,ingresos!$G:$G,saldos!N$6)</f>
        <v>0</v>
      </c>
      <c r="O145" s="25">
        <f>cuotas_emitidas!O140-SUMIFS(ingresos!$D:$D,ingresos!$F:$F,saldos!$A145,ingresos!$G:$G,saldos!O$6)</f>
        <v>0</v>
      </c>
      <c r="P145" s="25">
        <f>cuotas_emitidas!P140-SUMIFS(ingresos!$D:$D,ingresos!$F:$F,saldos!$A145,ingresos!$G:$G,saldos!P$6)</f>
        <v>0</v>
      </c>
      <c r="Q145" s="25">
        <f>cuotas_emitidas!Q140-SUMIFS(ingresos!$D:$D,ingresos!$F:$F,saldos!$A145,ingresos!$G:$G,saldos!Q$6)</f>
        <v>0</v>
      </c>
      <c r="R145" s="26">
        <f t="shared" si="6"/>
        <v>0</v>
      </c>
      <c r="T145" s="26">
        <f t="shared" si="7"/>
        <v>0</v>
      </c>
      <c r="U145" s="26">
        <f t="shared" si="8"/>
        <v>0</v>
      </c>
    </row>
    <row r="146" spans="1:21" x14ac:dyDescent="0.25">
      <c r="A146" s="17" t="s">
        <v>1886</v>
      </c>
      <c r="B146" s="17" t="s">
        <v>1471</v>
      </c>
      <c r="C146" s="17" t="s">
        <v>1887</v>
      </c>
      <c r="D146" s="25">
        <f>cuotas_emitidas!D141-SUMIFS(ingresos!$D:$D,ingresos!$F:$F,saldos!$A146,ingresos!$G:$G,saldos!D$6)</f>
        <v>0</v>
      </c>
      <c r="E146" s="25">
        <f>cuotas_emitidas!E141-SUMIFS(ingresos!$D:$D,ingresos!$F:$F,saldos!$A146,ingresos!$G:$G,saldos!E$6)</f>
        <v>0</v>
      </c>
      <c r="F146" s="25">
        <f>cuotas_emitidas!F141-SUMIFS(ingresos!$D:$D,ingresos!$F:$F,saldos!$A146,ingresos!$G:$G,saldos!F$6)</f>
        <v>0</v>
      </c>
      <c r="G146" s="25">
        <f>cuotas_emitidas!G141-SUMIFS(ingresos!$D:$D,ingresos!$F:$F,saldos!$A146,ingresos!$G:$G,saldos!G$6)</f>
        <v>0</v>
      </c>
      <c r="H146" s="25">
        <f>cuotas_emitidas!H141-SUMIFS(ingresos!$D:$D,ingresos!$F:$F,saldos!$A146,ingresos!$G:$G,saldos!H$6)</f>
        <v>0</v>
      </c>
      <c r="I146" s="25">
        <f>cuotas_emitidas!I141-SUMIFS(ingresos!$D:$D,ingresos!$F:$F,saldos!$A146,ingresos!$G:$G,saldos!I$6)</f>
        <v>0</v>
      </c>
      <c r="J146" s="25">
        <f>cuotas_emitidas!J141-SUMIFS(ingresos!$D:$D,ingresos!$F:$F,saldos!$A146,ingresos!$G:$G,saldos!J$6)</f>
        <v>0</v>
      </c>
      <c r="K146" s="25">
        <f>cuotas_emitidas!K141-SUMIFS(ingresos!$D:$D,ingresos!$F:$F,saldos!$A146,ingresos!$G:$G,saldos!K$6)</f>
        <v>0</v>
      </c>
      <c r="L146" s="25">
        <f>cuotas_emitidas!L141-SUMIFS(ingresos!$D:$D,ingresos!$F:$F,saldos!$A146,ingresos!$G:$G,saldos!L$6)</f>
        <v>0</v>
      </c>
      <c r="M146" s="25">
        <f>cuotas_emitidas!M141-SUMIFS(ingresos!$D:$D,ingresos!$F:$F,saldos!$A146,ingresos!$G:$G,saldos!M$6)</f>
        <v>0</v>
      </c>
      <c r="N146" s="25">
        <f>cuotas_emitidas!N141-SUMIFS(ingresos!$D:$D,ingresos!$F:$F,saldos!$A146,ingresos!$G:$G,saldos!N$6)</f>
        <v>0</v>
      </c>
      <c r="O146" s="25">
        <f>cuotas_emitidas!O141-SUMIFS(ingresos!$D:$D,ingresos!$F:$F,saldos!$A146,ingresos!$G:$G,saldos!O$6)</f>
        <v>0</v>
      </c>
      <c r="P146" s="25">
        <f>cuotas_emitidas!P141-SUMIFS(ingresos!$D:$D,ingresos!$F:$F,saldos!$A146,ingresos!$G:$G,saldos!P$6)</f>
        <v>10</v>
      </c>
      <c r="Q146" s="25">
        <f>cuotas_emitidas!Q141-SUMIFS(ingresos!$D:$D,ingresos!$F:$F,saldos!$A146,ingresos!$G:$G,saldos!Q$6)</f>
        <v>170.93</v>
      </c>
      <c r="R146" s="26">
        <f t="shared" si="6"/>
        <v>180.93</v>
      </c>
      <c r="T146" s="26">
        <f t="shared" si="7"/>
        <v>170.93</v>
      </c>
      <c r="U146" s="26">
        <f t="shared" si="8"/>
        <v>10</v>
      </c>
    </row>
    <row r="147" spans="1:21" x14ac:dyDescent="0.25">
      <c r="A147" s="17" t="s">
        <v>1888</v>
      </c>
      <c r="B147" s="17" t="s">
        <v>1889</v>
      </c>
      <c r="C147" s="17" t="s">
        <v>1890</v>
      </c>
      <c r="D147" s="25">
        <f>cuotas_emitidas!D142-SUMIFS(ingresos!$D:$D,ingresos!$F:$F,saldos!$A147,ingresos!$G:$G,saldos!D$6)</f>
        <v>0</v>
      </c>
      <c r="E147" s="25">
        <f>cuotas_emitidas!E142-SUMIFS(ingresos!$D:$D,ingresos!$F:$F,saldos!$A147,ingresos!$G:$G,saldos!E$6)</f>
        <v>0</v>
      </c>
      <c r="F147" s="25">
        <f>cuotas_emitidas!F142-SUMIFS(ingresos!$D:$D,ingresos!$F:$F,saldos!$A147,ingresos!$G:$G,saldos!F$6)</f>
        <v>0</v>
      </c>
      <c r="G147" s="25">
        <f>cuotas_emitidas!G142-SUMIFS(ingresos!$D:$D,ingresos!$F:$F,saldos!$A147,ingresos!$G:$G,saldos!G$6)</f>
        <v>0</v>
      </c>
      <c r="H147" s="25">
        <f>cuotas_emitidas!H142-SUMIFS(ingresos!$D:$D,ingresos!$F:$F,saldos!$A147,ingresos!$G:$G,saldos!H$6)</f>
        <v>0</v>
      </c>
      <c r="I147" s="25">
        <f>cuotas_emitidas!I142-SUMIFS(ingresos!$D:$D,ingresos!$F:$F,saldos!$A147,ingresos!$G:$G,saldos!I$6)</f>
        <v>0</v>
      </c>
      <c r="J147" s="25">
        <f>cuotas_emitidas!J142-SUMIFS(ingresos!$D:$D,ingresos!$F:$F,saldos!$A147,ingresos!$G:$G,saldos!J$6)</f>
        <v>0</v>
      </c>
      <c r="K147" s="25">
        <f>cuotas_emitidas!K142-SUMIFS(ingresos!$D:$D,ingresos!$F:$F,saldos!$A147,ingresos!$G:$G,saldos!K$6)</f>
        <v>0</v>
      </c>
      <c r="L147" s="25">
        <f>cuotas_emitidas!L142-SUMIFS(ingresos!$D:$D,ingresos!$F:$F,saldos!$A147,ingresos!$G:$G,saldos!L$6)</f>
        <v>0</v>
      </c>
      <c r="M147" s="25">
        <f>cuotas_emitidas!M142-SUMIFS(ingresos!$D:$D,ingresos!$F:$F,saldos!$A147,ingresos!$G:$G,saldos!M$6)</f>
        <v>0</v>
      </c>
      <c r="N147" s="25">
        <f>cuotas_emitidas!N142-SUMIFS(ingresos!$D:$D,ingresos!$F:$F,saldos!$A147,ingresos!$G:$G,saldos!N$6)</f>
        <v>0</v>
      </c>
      <c r="O147" s="25">
        <f>cuotas_emitidas!O142-SUMIFS(ingresos!$D:$D,ingresos!$F:$F,saldos!$A147,ingresos!$G:$G,saldos!O$6)</f>
        <v>0</v>
      </c>
      <c r="P147" s="25">
        <f>cuotas_emitidas!P142-SUMIFS(ingresos!$D:$D,ingresos!$F:$F,saldos!$A147,ingresos!$G:$G,saldos!P$6)</f>
        <v>0</v>
      </c>
      <c r="Q147" s="25">
        <f>cuotas_emitidas!Q142-SUMIFS(ingresos!$D:$D,ingresos!$F:$F,saldos!$A147,ingresos!$G:$G,saldos!Q$6)</f>
        <v>80.52</v>
      </c>
      <c r="R147" s="26">
        <f t="shared" si="6"/>
        <v>80.52</v>
      </c>
      <c r="T147" s="26">
        <f t="shared" si="7"/>
        <v>80.52</v>
      </c>
      <c r="U147" s="26">
        <f t="shared" si="8"/>
        <v>0</v>
      </c>
    </row>
    <row r="148" spans="1:21" x14ac:dyDescent="0.25">
      <c r="A148" s="17" t="s">
        <v>1891</v>
      </c>
      <c r="B148" s="17" t="s">
        <v>1892</v>
      </c>
      <c r="C148" s="17" t="s">
        <v>1893</v>
      </c>
      <c r="D148" s="25">
        <f>cuotas_emitidas!D143-SUMIFS(ingresos!$D:$D,ingresos!$F:$F,saldos!$A148,ingresos!$G:$G,saldos!D$6)</f>
        <v>0</v>
      </c>
      <c r="E148" s="25">
        <f>cuotas_emitidas!E143-SUMIFS(ingresos!$D:$D,ingresos!$F:$F,saldos!$A148,ingresos!$G:$G,saldos!E$6)</f>
        <v>0</v>
      </c>
      <c r="F148" s="25">
        <f>cuotas_emitidas!F143-SUMIFS(ingresos!$D:$D,ingresos!$F:$F,saldos!$A148,ingresos!$G:$G,saldos!F$6)</f>
        <v>0</v>
      </c>
      <c r="G148" s="25">
        <f>cuotas_emitidas!G143-SUMIFS(ingresos!$D:$D,ingresos!$F:$F,saldos!$A148,ingresos!$G:$G,saldos!G$6)</f>
        <v>0</v>
      </c>
      <c r="H148" s="25">
        <f>cuotas_emitidas!H143-SUMIFS(ingresos!$D:$D,ingresos!$F:$F,saldos!$A148,ingresos!$G:$G,saldos!H$6)</f>
        <v>0</v>
      </c>
      <c r="I148" s="25">
        <f>cuotas_emitidas!I143-SUMIFS(ingresos!$D:$D,ingresos!$F:$F,saldos!$A148,ingresos!$G:$G,saldos!I$6)</f>
        <v>0</v>
      </c>
      <c r="J148" s="25">
        <f>cuotas_emitidas!J143-SUMIFS(ingresos!$D:$D,ingresos!$F:$F,saldos!$A148,ingresos!$G:$G,saldos!J$6)</f>
        <v>0</v>
      </c>
      <c r="K148" s="25">
        <f>cuotas_emitidas!K143-SUMIFS(ingresos!$D:$D,ingresos!$F:$F,saldos!$A148,ingresos!$G:$G,saldos!K$6)</f>
        <v>0</v>
      </c>
      <c r="L148" s="25">
        <f>cuotas_emitidas!L143-SUMIFS(ingresos!$D:$D,ingresos!$F:$F,saldos!$A148,ingresos!$G:$G,saldos!L$6)</f>
        <v>0</v>
      </c>
      <c r="M148" s="25">
        <f>cuotas_emitidas!M143-SUMIFS(ingresos!$D:$D,ingresos!$F:$F,saldos!$A148,ingresos!$G:$G,saldos!M$6)</f>
        <v>0</v>
      </c>
      <c r="N148" s="25">
        <f>cuotas_emitidas!N143-SUMIFS(ingresos!$D:$D,ingresos!$F:$F,saldos!$A148,ingresos!$G:$G,saldos!N$6)</f>
        <v>0</v>
      </c>
      <c r="O148" s="25">
        <f>cuotas_emitidas!O143-SUMIFS(ingresos!$D:$D,ingresos!$F:$F,saldos!$A148,ingresos!$G:$G,saldos!O$6)</f>
        <v>0</v>
      </c>
      <c r="P148" s="25">
        <f>cuotas_emitidas!P143-SUMIFS(ingresos!$D:$D,ingresos!$F:$F,saldos!$A148,ingresos!$G:$G,saldos!P$6)</f>
        <v>0</v>
      </c>
      <c r="Q148" s="25">
        <f>cuotas_emitidas!Q143-SUMIFS(ingresos!$D:$D,ingresos!$F:$F,saldos!$A148,ingresos!$G:$G,saldos!Q$6)</f>
        <v>185.83</v>
      </c>
      <c r="R148" s="26">
        <f t="shared" si="6"/>
        <v>185.83</v>
      </c>
      <c r="T148" s="26">
        <f t="shared" si="7"/>
        <v>185.83</v>
      </c>
      <c r="U148" s="26">
        <f t="shared" si="8"/>
        <v>0</v>
      </c>
    </row>
    <row r="149" spans="1:21" x14ac:dyDescent="0.25">
      <c r="A149" s="17" t="s">
        <v>1894</v>
      </c>
      <c r="B149" s="17" t="s">
        <v>1895</v>
      </c>
      <c r="C149" s="17" t="s">
        <v>1896</v>
      </c>
      <c r="D149" s="25">
        <f>cuotas_emitidas!D144-SUMIFS(ingresos!$D:$D,ingresos!$F:$F,saldos!$A149,ingresos!$G:$G,saldos!D$6)</f>
        <v>0</v>
      </c>
      <c r="E149" s="25">
        <f>cuotas_emitidas!E144-SUMIFS(ingresos!$D:$D,ingresos!$F:$F,saldos!$A149,ingresos!$G:$G,saldos!E$6)</f>
        <v>0</v>
      </c>
      <c r="F149" s="25">
        <f>cuotas_emitidas!F144-SUMIFS(ingresos!$D:$D,ingresos!$F:$F,saldos!$A149,ingresos!$G:$G,saldos!F$6)</f>
        <v>0</v>
      </c>
      <c r="G149" s="25">
        <f>cuotas_emitidas!G144-SUMIFS(ingresos!$D:$D,ingresos!$F:$F,saldos!$A149,ingresos!$G:$G,saldos!G$6)</f>
        <v>0</v>
      </c>
      <c r="H149" s="25">
        <f>cuotas_emitidas!H144-SUMIFS(ingresos!$D:$D,ingresos!$F:$F,saldos!$A149,ingresos!$G:$G,saldos!H$6)</f>
        <v>0</v>
      </c>
      <c r="I149" s="25">
        <f>cuotas_emitidas!I144-SUMIFS(ingresos!$D:$D,ingresos!$F:$F,saldos!$A149,ingresos!$G:$G,saldos!I$6)</f>
        <v>0</v>
      </c>
      <c r="J149" s="25">
        <f>cuotas_emitidas!J144-SUMIFS(ingresos!$D:$D,ingresos!$F:$F,saldos!$A149,ingresos!$G:$G,saldos!J$6)</f>
        <v>0</v>
      </c>
      <c r="K149" s="25">
        <f>cuotas_emitidas!K144-SUMIFS(ingresos!$D:$D,ingresos!$F:$F,saldos!$A149,ingresos!$G:$G,saldos!K$6)</f>
        <v>0</v>
      </c>
      <c r="L149" s="25">
        <f>cuotas_emitidas!L144-SUMIFS(ingresos!$D:$D,ingresos!$F:$F,saldos!$A149,ingresos!$G:$G,saldos!L$6)</f>
        <v>0</v>
      </c>
      <c r="M149" s="25">
        <f>cuotas_emitidas!M144-SUMIFS(ingresos!$D:$D,ingresos!$F:$F,saldos!$A149,ingresos!$G:$G,saldos!M$6)</f>
        <v>0</v>
      </c>
      <c r="N149" s="25">
        <f>cuotas_emitidas!N144-SUMIFS(ingresos!$D:$D,ingresos!$F:$F,saldos!$A149,ingresos!$G:$G,saldos!N$6)</f>
        <v>0</v>
      </c>
      <c r="O149" s="25">
        <f>cuotas_emitidas!O144-SUMIFS(ingresos!$D:$D,ingresos!$F:$F,saldos!$A149,ingresos!$G:$G,saldos!O$6)</f>
        <v>0</v>
      </c>
      <c r="P149" s="25">
        <f>cuotas_emitidas!P144-SUMIFS(ingresos!$D:$D,ingresos!$F:$F,saldos!$A149,ingresos!$G:$G,saldos!P$6)</f>
        <v>0</v>
      </c>
      <c r="Q149" s="25">
        <f>cuotas_emitidas!Q144-SUMIFS(ingresos!$D:$D,ingresos!$F:$F,saldos!$A149,ingresos!$G:$G,saldos!Q$6)</f>
        <v>0</v>
      </c>
      <c r="R149" s="26">
        <f t="shared" si="6"/>
        <v>0</v>
      </c>
      <c r="T149" s="26">
        <f t="shared" si="7"/>
        <v>0</v>
      </c>
      <c r="U149" s="26">
        <f t="shared" si="8"/>
        <v>0</v>
      </c>
    </row>
    <row r="150" spans="1:21" x14ac:dyDescent="0.25">
      <c r="A150" s="17" t="s">
        <v>1897</v>
      </c>
      <c r="B150" s="17" t="s">
        <v>1898</v>
      </c>
      <c r="C150" s="17" t="s">
        <v>1899</v>
      </c>
      <c r="D150" s="25">
        <f>cuotas_emitidas!D145-SUMIFS(ingresos!$D:$D,ingresos!$F:$F,saldos!$A150,ingresos!$G:$G,saldos!D$6)</f>
        <v>1099.8</v>
      </c>
      <c r="E150" s="25">
        <f>cuotas_emitidas!E145-SUMIFS(ingresos!$D:$D,ingresos!$F:$F,saldos!$A150,ingresos!$G:$G,saldos!E$6)</f>
        <v>3717.73</v>
      </c>
      <c r="F150" s="25">
        <f>cuotas_emitidas!F145-SUMIFS(ingresos!$D:$D,ingresos!$F:$F,saldos!$A150,ingresos!$G:$G,saldos!F$6)</f>
        <v>302.58</v>
      </c>
      <c r="G150" s="25">
        <f>cuotas_emitidas!G145-SUMIFS(ingresos!$D:$D,ingresos!$F:$F,saldos!$A150,ingresos!$G:$G,saldos!G$6)</f>
        <v>305.64</v>
      </c>
      <c r="H150" s="25">
        <f>cuotas_emitidas!H145-SUMIFS(ingresos!$D:$D,ingresos!$F:$F,saldos!$A150,ingresos!$G:$G,saldos!H$6)</f>
        <v>309.7</v>
      </c>
      <c r="I150" s="25">
        <f>cuotas_emitidas!I145-SUMIFS(ingresos!$D:$D,ingresos!$F:$F,saldos!$A150,ingresos!$G:$G,saldos!I$6)</f>
        <v>302.74</v>
      </c>
      <c r="J150" s="25">
        <f>cuotas_emitidas!J145-SUMIFS(ingresos!$D:$D,ingresos!$F:$F,saldos!$A150,ingresos!$G:$G,saldos!J$6)</f>
        <v>454.37</v>
      </c>
      <c r="K150" s="25">
        <f>cuotas_emitidas!K145-SUMIFS(ingresos!$D:$D,ingresos!$F:$F,saldos!$A150,ingresos!$G:$G,saldos!K$6)</f>
        <v>288.8</v>
      </c>
      <c r="L150" s="25">
        <f>cuotas_emitidas!L145-SUMIFS(ingresos!$D:$D,ingresos!$F:$F,saldos!$A150,ingresos!$G:$G,saldos!L$6)</f>
        <v>288.07</v>
      </c>
      <c r="M150" s="25">
        <f>cuotas_emitidas!M145-SUMIFS(ingresos!$D:$D,ingresos!$F:$F,saldos!$A150,ingresos!$G:$G,saldos!M$6)</f>
        <v>276.66000000000003</v>
      </c>
      <c r="N150" s="25">
        <f>cuotas_emitidas!N145-SUMIFS(ingresos!$D:$D,ingresos!$F:$F,saldos!$A150,ingresos!$G:$G,saldos!N$6)</f>
        <v>294.16000000000003</v>
      </c>
      <c r="O150" s="25">
        <f>cuotas_emitidas!O145-SUMIFS(ingresos!$D:$D,ingresos!$F:$F,saldos!$A150,ingresos!$G:$G,saldos!O$6)</f>
        <v>291.44</v>
      </c>
      <c r="P150" s="25">
        <f>cuotas_emitidas!P145-SUMIFS(ingresos!$D:$D,ingresos!$F:$F,saldos!$A150,ingresos!$G:$G,saldos!P$6)</f>
        <v>286.05</v>
      </c>
      <c r="Q150" s="25">
        <f>cuotas_emitidas!Q145-SUMIFS(ingresos!$D:$D,ingresos!$F:$F,saldos!$A150,ingresos!$G:$G,saldos!Q$6)</f>
        <v>291.28000000000003</v>
      </c>
      <c r="R150" s="26">
        <f t="shared" si="6"/>
        <v>8509.0199999999986</v>
      </c>
      <c r="T150" s="26">
        <f t="shared" si="7"/>
        <v>291.28000000000003</v>
      </c>
      <c r="U150" s="26">
        <f t="shared" si="8"/>
        <v>8217.739999999998</v>
      </c>
    </row>
    <row r="151" spans="1:21" x14ac:dyDescent="0.25">
      <c r="A151" s="17" t="s">
        <v>1900</v>
      </c>
      <c r="B151" s="17" t="s">
        <v>1901</v>
      </c>
      <c r="C151" s="17" t="s">
        <v>1902</v>
      </c>
      <c r="D151" s="25">
        <f>cuotas_emitidas!D146-SUMIFS(ingresos!$D:$D,ingresos!$F:$F,saldos!$A151,ingresos!$G:$G,saldos!D$6)</f>
        <v>0</v>
      </c>
      <c r="E151" s="25">
        <f>cuotas_emitidas!E146-SUMIFS(ingresos!$D:$D,ingresos!$F:$F,saldos!$A151,ingresos!$G:$G,saldos!E$6)</f>
        <v>0</v>
      </c>
      <c r="F151" s="25">
        <f>cuotas_emitidas!F146-SUMIFS(ingresos!$D:$D,ingresos!$F:$F,saldos!$A151,ingresos!$G:$G,saldos!F$6)</f>
        <v>0</v>
      </c>
      <c r="G151" s="25">
        <f>cuotas_emitidas!G146-SUMIFS(ingresos!$D:$D,ingresos!$F:$F,saldos!$A151,ingresos!$G:$G,saldos!G$6)</f>
        <v>0</v>
      </c>
      <c r="H151" s="25">
        <f>cuotas_emitidas!H146-SUMIFS(ingresos!$D:$D,ingresos!$F:$F,saldos!$A151,ingresos!$G:$G,saldos!H$6)</f>
        <v>0</v>
      </c>
      <c r="I151" s="25">
        <f>cuotas_emitidas!I146-SUMIFS(ingresos!$D:$D,ingresos!$F:$F,saldos!$A151,ingresos!$G:$G,saldos!I$6)</f>
        <v>0</v>
      </c>
      <c r="J151" s="25">
        <f>cuotas_emitidas!J146-SUMIFS(ingresos!$D:$D,ingresos!$F:$F,saldos!$A151,ingresos!$G:$G,saldos!J$6)</f>
        <v>0</v>
      </c>
      <c r="K151" s="25">
        <f>cuotas_emitidas!K146-SUMIFS(ingresos!$D:$D,ingresos!$F:$F,saldos!$A151,ingresos!$G:$G,saldos!K$6)</f>
        <v>0</v>
      </c>
      <c r="L151" s="25">
        <f>cuotas_emitidas!L146-SUMIFS(ingresos!$D:$D,ingresos!$F:$F,saldos!$A151,ingresos!$G:$G,saldos!L$6)</f>
        <v>0</v>
      </c>
      <c r="M151" s="25">
        <f>cuotas_emitidas!M146-SUMIFS(ingresos!$D:$D,ingresos!$F:$F,saldos!$A151,ingresos!$G:$G,saldos!M$6)</f>
        <v>0</v>
      </c>
      <c r="N151" s="25">
        <f>cuotas_emitidas!N146-SUMIFS(ingresos!$D:$D,ingresos!$F:$F,saldos!$A151,ingresos!$G:$G,saldos!N$6)</f>
        <v>0</v>
      </c>
      <c r="O151" s="25">
        <f>cuotas_emitidas!O146-SUMIFS(ingresos!$D:$D,ingresos!$F:$F,saldos!$A151,ingresos!$G:$G,saldos!O$6)</f>
        <v>0</v>
      </c>
      <c r="P151" s="25">
        <f>cuotas_emitidas!P146-SUMIFS(ingresos!$D:$D,ingresos!$F:$F,saldos!$A151,ingresos!$G:$G,saldos!P$6)</f>
        <v>0</v>
      </c>
      <c r="Q151" s="25">
        <f>cuotas_emitidas!Q146-SUMIFS(ingresos!$D:$D,ingresos!$F:$F,saldos!$A151,ingresos!$G:$G,saldos!Q$6)</f>
        <v>251.45</v>
      </c>
      <c r="R151" s="26">
        <f t="shared" si="6"/>
        <v>251.45</v>
      </c>
      <c r="T151" s="26">
        <f t="shared" si="7"/>
        <v>251.45</v>
      </c>
      <c r="U151" s="26">
        <f t="shared" si="8"/>
        <v>0</v>
      </c>
    </row>
    <row r="152" spans="1:21" x14ac:dyDescent="0.25">
      <c r="A152" s="17" t="s">
        <v>1903</v>
      </c>
      <c r="B152" s="17" t="s">
        <v>1904</v>
      </c>
      <c r="C152" s="17" t="s">
        <v>1905</v>
      </c>
      <c r="D152" s="25">
        <f>cuotas_emitidas!D147-SUMIFS(ingresos!$D:$D,ingresos!$F:$F,saldos!$A152,ingresos!$G:$G,saldos!D$6)</f>
        <v>0</v>
      </c>
      <c r="E152" s="25">
        <f>cuotas_emitidas!E147-SUMIFS(ingresos!$D:$D,ingresos!$F:$F,saldos!$A152,ingresos!$G:$G,saldos!E$6)</f>
        <v>0</v>
      </c>
      <c r="F152" s="25">
        <f>cuotas_emitidas!F147-SUMIFS(ingresos!$D:$D,ingresos!$F:$F,saldos!$A152,ingresos!$G:$G,saldos!F$6)</f>
        <v>0</v>
      </c>
      <c r="G152" s="25">
        <f>cuotas_emitidas!G147-SUMIFS(ingresos!$D:$D,ingresos!$F:$F,saldos!$A152,ingresos!$G:$G,saldos!G$6)</f>
        <v>0</v>
      </c>
      <c r="H152" s="25">
        <f>cuotas_emitidas!H147-SUMIFS(ingresos!$D:$D,ingresos!$F:$F,saldos!$A152,ingresos!$G:$G,saldos!H$6)</f>
        <v>0</v>
      </c>
      <c r="I152" s="25">
        <f>cuotas_emitidas!I147-SUMIFS(ingresos!$D:$D,ingresos!$F:$F,saldos!$A152,ingresos!$G:$G,saldos!I$6)</f>
        <v>0</v>
      </c>
      <c r="J152" s="25">
        <f>cuotas_emitidas!J147-SUMIFS(ingresos!$D:$D,ingresos!$F:$F,saldos!$A152,ingresos!$G:$G,saldos!J$6)</f>
        <v>0</v>
      </c>
      <c r="K152" s="25">
        <f>cuotas_emitidas!K147-SUMIFS(ingresos!$D:$D,ingresos!$F:$F,saldos!$A152,ingresos!$G:$G,saldos!K$6)</f>
        <v>0</v>
      </c>
      <c r="L152" s="25">
        <f>cuotas_emitidas!L147-SUMIFS(ingresos!$D:$D,ingresos!$F:$F,saldos!$A152,ingresos!$G:$G,saldos!L$6)</f>
        <v>0</v>
      </c>
      <c r="M152" s="25">
        <f>cuotas_emitidas!M147-SUMIFS(ingresos!$D:$D,ingresos!$F:$F,saldos!$A152,ingresos!$G:$G,saldos!M$6)</f>
        <v>0</v>
      </c>
      <c r="N152" s="25">
        <f>cuotas_emitidas!N147-SUMIFS(ingresos!$D:$D,ingresos!$F:$F,saldos!$A152,ingresos!$G:$G,saldos!N$6)</f>
        <v>0</v>
      </c>
      <c r="O152" s="25">
        <f>cuotas_emitidas!O147-SUMIFS(ingresos!$D:$D,ingresos!$F:$F,saldos!$A152,ingresos!$G:$G,saldos!O$6)</f>
        <v>0</v>
      </c>
      <c r="P152" s="25">
        <f>cuotas_emitidas!P147-SUMIFS(ingresos!$D:$D,ingresos!$F:$F,saldos!$A152,ingresos!$G:$G,saldos!P$6)</f>
        <v>-11.70999999999998</v>
      </c>
      <c r="Q152" s="25">
        <f>cuotas_emitidas!Q147-SUMIFS(ingresos!$D:$D,ingresos!$F:$F,saldos!$A152,ingresos!$G:$G,saldos!Q$6)</f>
        <v>0</v>
      </c>
      <c r="R152" s="26">
        <f t="shared" si="6"/>
        <v>-11.70999999999998</v>
      </c>
      <c r="T152" s="26">
        <f t="shared" si="7"/>
        <v>0</v>
      </c>
      <c r="U152" s="26">
        <f t="shared" si="8"/>
        <v>-11.70999999999998</v>
      </c>
    </row>
    <row r="153" spans="1:21" x14ac:dyDescent="0.25">
      <c r="A153" s="17" t="s">
        <v>1906</v>
      </c>
      <c r="B153" s="17" t="s">
        <v>1907</v>
      </c>
      <c r="C153" s="17" t="s">
        <v>1908</v>
      </c>
      <c r="D153" s="25">
        <f>cuotas_emitidas!D148-SUMIFS(ingresos!$D:$D,ingresos!$F:$F,saldos!$A153,ingresos!$G:$G,saldos!D$6)</f>
        <v>0</v>
      </c>
      <c r="E153" s="25">
        <f>cuotas_emitidas!E148-SUMIFS(ingresos!$D:$D,ingresos!$F:$F,saldos!$A153,ingresos!$G:$G,saldos!E$6)</f>
        <v>0</v>
      </c>
      <c r="F153" s="25">
        <f>cuotas_emitidas!F148-SUMIFS(ingresos!$D:$D,ingresos!$F:$F,saldos!$A153,ingresos!$G:$G,saldos!F$6)</f>
        <v>0</v>
      </c>
      <c r="G153" s="25">
        <f>cuotas_emitidas!G148-SUMIFS(ingresos!$D:$D,ingresos!$F:$F,saldos!$A153,ingresos!$G:$G,saldos!G$6)</f>
        <v>0</v>
      </c>
      <c r="H153" s="25">
        <f>cuotas_emitidas!H148-SUMIFS(ingresos!$D:$D,ingresos!$F:$F,saldos!$A153,ingresos!$G:$G,saldos!H$6)</f>
        <v>0</v>
      </c>
      <c r="I153" s="25">
        <f>cuotas_emitidas!I148-SUMIFS(ingresos!$D:$D,ingresos!$F:$F,saldos!$A153,ingresos!$G:$G,saldos!I$6)</f>
        <v>0</v>
      </c>
      <c r="J153" s="25">
        <f>cuotas_emitidas!J148-SUMIFS(ingresos!$D:$D,ingresos!$F:$F,saldos!$A153,ingresos!$G:$G,saldos!J$6)</f>
        <v>0</v>
      </c>
      <c r="K153" s="25">
        <f>cuotas_emitidas!K148-SUMIFS(ingresos!$D:$D,ingresos!$F:$F,saldos!$A153,ingresos!$G:$G,saldos!K$6)</f>
        <v>0</v>
      </c>
      <c r="L153" s="25">
        <f>cuotas_emitidas!L148-SUMIFS(ingresos!$D:$D,ingresos!$F:$F,saldos!$A153,ingresos!$G:$G,saldos!L$6)</f>
        <v>0</v>
      </c>
      <c r="M153" s="25">
        <f>cuotas_emitidas!M148-SUMIFS(ingresos!$D:$D,ingresos!$F:$F,saldos!$A153,ingresos!$G:$G,saldos!M$6)</f>
        <v>22.517285000000015</v>
      </c>
      <c r="N153" s="25">
        <f>cuotas_emitidas!N148-SUMIFS(ingresos!$D:$D,ingresos!$F:$F,saldos!$A153,ingresos!$G:$G,saldos!N$6)</f>
        <v>23.318891400000041</v>
      </c>
      <c r="O153" s="25">
        <f>cuotas_emitidas!O148-SUMIFS(ingresos!$D:$D,ingresos!$F:$F,saldos!$A153,ingresos!$G:$G,saldos!O$6)</f>
        <v>23.318891400000012</v>
      </c>
      <c r="P153" s="25">
        <f>cuotas_emitidas!P148-SUMIFS(ingresos!$D:$D,ingresos!$F:$F,saldos!$A153,ingresos!$G:$G,saldos!P$6)</f>
        <v>23.319999999999993</v>
      </c>
      <c r="Q153" s="25">
        <f>cuotas_emitidas!Q148-SUMIFS(ingresos!$D:$D,ingresos!$F:$F,saldos!$A153,ingresos!$G:$G,saldos!Q$6)</f>
        <v>23.319999999999993</v>
      </c>
      <c r="R153" s="26">
        <f t="shared" si="6"/>
        <v>115.79506780000006</v>
      </c>
      <c r="T153" s="26">
        <f t="shared" si="7"/>
        <v>23.319999999999993</v>
      </c>
      <c r="U153" s="26">
        <f t="shared" si="8"/>
        <v>92.475067800000062</v>
      </c>
    </row>
    <row r="154" spans="1:21" x14ac:dyDescent="0.25">
      <c r="A154" s="17" t="s">
        <v>1909</v>
      </c>
      <c r="B154" s="17" t="s">
        <v>1910</v>
      </c>
      <c r="C154" s="17" t="s">
        <v>1911</v>
      </c>
      <c r="D154" s="25">
        <f>cuotas_emitidas!D149-SUMIFS(ingresos!$D:$D,ingresos!$F:$F,saldos!$A154,ingresos!$G:$G,saldos!D$6)</f>
        <v>0</v>
      </c>
      <c r="E154" s="25">
        <f>cuotas_emitidas!E149-SUMIFS(ingresos!$D:$D,ingresos!$F:$F,saldos!$A154,ingresos!$G:$G,saldos!E$6)</f>
        <v>0</v>
      </c>
      <c r="F154" s="25">
        <f>cuotas_emitidas!F149-SUMIFS(ingresos!$D:$D,ingresos!$F:$F,saldos!$A154,ingresos!$G:$G,saldos!F$6)</f>
        <v>0</v>
      </c>
      <c r="G154" s="25">
        <f>cuotas_emitidas!G149-SUMIFS(ingresos!$D:$D,ingresos!$F:$F,saldos!$A154,ingresos!$G:$G,saldos!G$6)</f>
        <v>0</v>
      </c>
      <c r="H154" s="25">
        <f>cuotas_emitidas!H149-SUMIFS(ingresos!$D:$D,ingresos!$F:$F,saldos!$A154,ingresos!$G:$G,saldos!H$6)</f>
        <v>0</v>
      </c>
      <c r="I154" s="25">
        <f>cuotas_emitidas!I149-SUMIFS(ingresos!$D:$D,ingresos!$F:$F,saldos!$A154,ingresos!$G:$G,saldos!I$6)</f>
        <v>0</v>
      </c>
      <c r="J154" s="25">
        <f>cuotas_emitidas!J149-SUMIFS(ingresos!$D:$D,ingresos!$F:$F,saldos!$A154,ingresos!$G:$G,saldos!J$6)</f>
        <v>0</v>
      </c>
      <c r="K154" s="25">
        <f>cuotas_emitidas!K149-SUMIFS(ingresos!$D:$D,ingresos!$F:$F,saldos!$A154,ingresos!$G:$G,saldos!K$6)</f>
        <v>362.86</v>
      </c>
      <c r="L154" s="25">
        <f>cuotas_emitidas!L149-SUMIFS(ingresos!$D:$D,ingresos!$F:$F,saldos!$A154,ingresos!$G:$G,saldos!L$6)</f>
        <v>355.12</v>
      </c>
      <c r="M154" s="25">
        <f>cuotas_emitidas!M149-SUMIFS(ingresos!$D:$D,ingresos!$F:$F,saldos!$A154,ingresos!$G:$G,saldos!M$6)</f>
        <v>350.38</v>
      </c>
      <c r="N154" s="25">
        <f>cuotas_emitidas!N149-SUMIFS(ingresos!$D:$D,ingresos!$F:$F,saldos!$A154,ingresos!$G:$G,saldos!N$6)</f>
        <v>362.69</v>
      </c>
      <c r="O154" s="25">
        <f>cuotas_emitidas!O149-SUMIFS(ingresos!$D:$D,ingresos!$F:$F,saldos!$A154,ingresos!$G:$G,saldos!O$6)</f>
        <v>353.38</v>
      </c>
      <c r="P154" s="25">
        <f>cuotas_emitidas!P149-SUMIFS(ingresos!$D:$D,ingresos!$F:$F,saldos!$A154,ingresos!$G:$G,saldos!P$6)</f>
        <v>0</v>
      </c>
      <c r="Q154" s="25">
        <f>cuotas_emitidas!Q149-SUMIFS(ingresos!$D:$D,ingresos!$F:$F,saldos!$A154,ingresos!$G:$G,saldos!Q$6)</f>
        <v>344.44</v>
      </c>
      <c r="R154" s="26">
        <f t="shared" si="6"/>
        <v>2128.8700000000003</v>
      </c>
      <c r="T154" s="26">
        <f t="shared" si="7"/>
        <v>344.44</v>
      </c>
      <c r="U154" s="26">
        <f t="shared" si="8"/>
        <v>1784.4300000000003</v>
      </c>
    </row>
    <row r="155" spans="1:21" x14ac:dyDescent="0.25">
      <c r="A155" s="17" t="s">
        <v>1912</v>
      </c>
      <c r="B155" s="17" t="s">
        <v>1913</v>
      </c>
      <c r="C155" s="17" t="s">
        <v>1914</v>
      </c>
      <c r="D155" s="25">
        <f>cuotas_emitidas!D150-SUMIFS(ingresos!$D:$D,ingresos!$F:$F,saldos!$A155,ingresos!$G:$G,saldos!D$6)</f>
        <v>0</v>
      </c>
      <c r="E155" s="25">
        <f>cuotas_emitidas!E150-SUMIFS(ingresos!$D:$D,ingresos!$F:$F,saldos!$A155,ingresos!$G:$G,saldos!E$6)</f>
        <v>0</v>
      </c>
      <c r="F155" s="25">
        <f>cuotas_emitidas!F150-SUMIFS(ingresos!$D:$D,ingresos!$F:$F,saldos!$A155,ingresos!$G:$G,saldos!F$6)</f>
        <v>0</v>
      </c>
      <c r="G155" s="25">
        <f>cuotas_emitidas!G150-SUMIFS(ingresos!$D:$D,ingresos!$F:$F,saldos!$A155,ingresos!$G:$G,saldos!G$6)</f>
        <v>0</v>
      </c>
      <c r="H155" s="25">
        <f>cuotas_emitidas!H150-SUMIFS(ingresos!$D:$D,ingresos!$F:$F,saldos!$A155,ingresos!$G:$G,saldos!H$6)</f>
        <v>0</v>
      </c>
      <c r="I155" s="25">
        <f>cuotas_emitidas!I150-SUMIFS(ingresos!$D:$D,ingresos!$F:$F,saldos!$A155,ingresos!$G:$G,saldos!I$6)</f>
        <v>0</v>
      </c>
      <c r="J155" s="25">
        <f>cuotas_emitidas!J150-SUMIFS(ingresos!$D:$D,ingresos!$F:$F,saldos!$A155,ingresos!$G:$G,saldos!J$6)</f>
        <v>0</v>
      </c>
      <c r="K155" s="25">
        <f>cuotas_emitidas!K150-SUMIFS(ingresos!$D:$D,ingresos!$F:$F,saldos!$A155,ingresos!$G:$G,saldos!K$6)</f>
        <v>0</v>
      </c>
      <c r="L155" s="25">
        <f>cuotas_emitidas!L150-SUMIFS(ingresos!$D:$D,ingresos!$F:$F,saldos!$A155,ingresos!$G:$G,saldos!L$6)</f>
        <v>0</v>
      </c>
      <c r="M155" s="25">
        <f>cuotas_emitidas!M150-SUMIFS(ingresos!$D:$D,ingresos!$F:$F,saldos!$A155,ingresos!$G:$G,saldos!M$6)</f>
        <v>0</v>
      </c>
      <c r="N155" s="25">
        <f>cuotas_emitidas!N150-SUMIFS(ingresos!$D:$D,ingresos!$F:$F,saldos!$A155,ingresos!$G:$G,saldos!N$6)</f>
        <v>0</v>
      </c>
      <c r="O155" s="25">
        <f>cuotas_emitidas!O150-SUMIFS(ingresos!$D:$D,ingresos!$F:$F,saldos!$A155,ingresos!$G:$G,saldos!O$6)</f>
        <v>0</v>
      </c>
      <c r="P155" s="25">
        <f>cuotas_emitidas!P150-SUMIFS(ingresos!$D:$D,ingresos!$F:$F,saldos!$A155,ingresos!$G:$G,saldos!P$6)</f>
        <v>0</v>
      </c>
      <c r="Q155" s="25">
        <f>cuotas_emitidas!Q150-SUMIFS(ingresos!$D:$D,ingresos!$F:$F,saldos!$A155,ingresos!$G:$G,saldos!Q$6)</f>
        <v>0</v>
      </c>
      <c r="R155" s="26">
        <f t="shared" si="6"/>
        <v>0</v>
      </c>
      <c r="T155" s="26">
        <f t="shared" si="7"/>
        <v>0</v>
      </c>
      <c r="U155" s="26">
        <f t="shared" si="8"/>
        <v>0</v>
      </c>
    </row>
    <row r="156" spans="1:21" x14ac:dyDescent="0.25">
      <c r="A156" s="17" t="s">
        <v>1915</v>
      </c>
      <c r="B156" s="17" t="s">
        <v>1916</v>
      </c>
      <c r="C156" s="17" t="s">
        <v>1917</v>
      </c>
      <c r="D156" s="25">
        <f>cuotas_emitidas!D151-SUMIFS(ingresos!$D:$D,ingresos!$F:$F,saldos!$A156,ingresos!$G:$G,saldos!D$6)</f>
        <v>0</v>
      </c>
      <c r="E156" s="25">
        <f>cuotas_emitidas!E151-SUMIFS(ingresos!$D:$D,ingresos!$F:$F,saldos!$A156,ingresos!$G:$G,saldos!E$6)</f>
        <v>0</v>
      </c>
      <c r="F156" s="25">
        <f>cuotas_emitidas!F151-SUMIFS(ingresos!$D:$D,ingresos!$F:$F,saldos!$A156,ingresos!$G:$G,saldos!F$6)</f>
        <v>0</v>
      </c>
      <c r="G156" s="25">
        <f>cuotas_emitidas!G151-SUMIFS(ingresos!$D:$D,ingresos!$F:$F,saldos!$A156,ingresos!$G:$G,saldos!G$6)</f>
        <v>0</v>
      </c>
      <c r="H156" s="25">
        <f>cuotas_emitidas!H151-SUMIFS(ingresos!$D:$D,ingresos!$F:$F,saldos!$A156,ingresos!$G:$G,saldos!H$6)</f>
        <v>0</v>
      </c>
      <c r="I156" s="25">
        <f>cuotas_emitidas!I151-SUMIFS(ingresos!$D:$D,ingresos!$F:$F,saldos!$A156,ingresos!$G:$G,saldos!I$6)</f>
        <v>296.97000000000003</v>
      </c>
      <c r="J156" s="25">
        <f>cuotas_emitidas!J151-SUMIFS(ingresos!$D:$D,ingresos!$F:$F,saldos!$A156,ingresos!$G:$G,saldos!J$6)</f>
        <v>289.23</v>
      </c>
      <c r="K156" s="25">
        <f>cuotas_emitidas!K151-SUMIFS(ingresos!$D:$D,ingresos!$F:$F,saldos!$A156,ingresos!$G:$G,saldos!K$6)</f>
        <v>293.10000000000002</v>
      </c>
      <c r="L156" s="25">
        <f>cuotas_emitidas!L151-SUMIFS(ingresos!$D:$D,ingresos!$F:$F,saldos!$A156,ingresos!$G:$G,saldos!L$6)</f>
        <v>296.97000000000003</v>
      </c>
      <c r="M156" s="25">
        <f>cuotas_emitidas!M151-SUMIFS(ingresos!$D:$D,ingresos!$F:$F,saldos!$A156,ingresos!$G:$G,saldos!M$6)</f>
        <v>279.31</v>
      </c>
      <c r="N156" s="25">
        <f>cuotas_emitidas!N151-SUMIFS(ingresos!$D:$D,ingresos!$F:$F,saldos!$A156,ingresos!$G:$G,saldos!N$6)</f>
        <v>289.51</v>
      </c>
      <c r="O156" s="25">
        <f>cuotas_emitidas!O151-SUMIFS(ingresos!$D:$D,ingresos!$F:$F,saldos!$A156,ingresos!$G:$G,saldos!O$6)</f>
        <v>285.36</v>
      </c>
      <c r="P156" s="25">
        <f>cuotas_emitidas!P151-SUMIFS(ingresos!$D:$D,ingresos!$F:$F,saldos!$A156,ingresos!$G:$G,saldos!P$6)</f>
        <v>288.23</v>
      </c>
      <c r="Q156" s="25">
        <f>cuotas_emitidas!Q151-SUMIFS(ingresos!$D:$D,ingresos!$F:$F,saldos!$A156,ingresos!$G:$G,saldos!Q$6)</f>
        <v>288.34000000000003</v>
      </c>
      <c r="R156" s="26">
        <f t="shared" si="6"/>
        <v>2607.02</v>
      </c>
      <c r="T156" s="26">
        <f t="shared" si="7"/>
        <v>288.34000000000003</v>
      </c>
      <c r="U156" s="26">
        <f t="shared" si="8"/>
        <v>2318.6799999999998</v>
      </c>
    </row>
    <row r="157" spans="1:21" x14ac:dyDescent="0.25">
      <c r="A157" s="17" t="s">
        <v>1918</v>
      </c>
      <c r="B157" s="17" t="s">
        <v>1919</v>
      </c>
      <c r="C157" s="17" t="s">
        <v>1920</v>
      </c>
      <c r="D157" s="25">
        <f>cuotas_emitidas!D152-SUMIFS(ingresos!$D:$D,ingresos!$F:$F,saldos!$A157,ingresos!$G:$G,saldos!D$6)</f>
        <v>0</v>
      </c>
      <c r="E157" s="25">
        <f>cuotas_emitidas!E152-SUMIFS(ingresos!$D:$D,ingresos!$F:$F,saldos!$A157,ingresos!$G:$G,saldos!E$6)</f>
        <v>0</v>
      </c>
      <c r="F157" s="25">
        <f>cuotas_emitidas!F152-SUMIFS(ingresos!$D:$D,ingresos!$F:$F,saldos!$A157,ingresos!$G:$G,saldos!F$6)</f>
        <v>0</v>
      </c>
      <c r="G157" s="25">
        <f>cuotas_emitidas!G152-SUMIFS(ingresos!$D:$D,ingresos!$F:$F,saldos!$A157,ingresos!$G:$G,saldos!G$6)</f>
        <v>0</v>
      </c>
      <c r="H157" s="25">
        <f>cuotas_emitidas!H152-SUMIFS(ingresos!$D:$D,ingresos!$F:$F,saldos!$A157,ingresos!$G:$G,saldos!H$6)</f>
        <v>0</v>
      </c>
      <c r="I157" s="25">
        <f>cuotas_emitidas!I152-SUMIFS(ingresos!$D:$D,ingresos!$F:$F,saldos!$A157,ingresos!$G:$G,saldos!I$6)</f>
        <v>0</v>
      </c>
      <c r="J157" s="25">
        <f>cuotas_emitidas!J152-SUMIFS(ingresos!$D:$D,ingresos!$F:$F,saldos!$A157,ingresos!$G:$G,saldos!J$6)</f>
        <v>0</v>
      </c>
      <c r="K157" s="25">
        <f>cuotas_emitidas!K152-SUMIFS(ingresos!$D:$D,ingresos!$F:$F,saldos!$A157,ingresos!$G:$G,saldos!K$6)</f>
        <v>0</v>
      </c>
      <c r="L157" s="25">
        <f>cuotas_emitidas!L152-SUMIFS(ingresos!$D:$D,ingresos!$F:$F,saldos!$A157,ingresos!$G:$G,saldos!L$6)</f>
        <v>0</v>
      </c>
      <c r="M157" s="25">
        <f>cuotas_emitidas!M152-SUMIFS(ingresos!$D:$D,ingresos!$F:$F,saldos!$A157,ingresos!$G:$G,saldos!M$6)</f>
        <v>0</v>
      </c>
      <c r="N157" s="25">
        <f>cuotas_emitidas!N152-SUMIFS(ingresos!$D:$D,ingresos!$F:$F,saldos!$A157,ingresos!$G:$G,saldos!N$6)</f>
        <v>0</v>
      </c>
      <c r="O157" s="25">
        <f>cuotas_emitidas!O152-SUMIFS(ingresos!$D:$D,ingresos!$F:$F,saldos!$A157,ingresos!$G:$G,saldos!O$6)</f>
        <v>0</v>
      </c>
      <c r="P157" s="25">
        <f>cuotas_emitidas!P152-SUMIFS(ingresos!$D:$D,ingresos!$F:$F,saldos!$A157,ingresos!$G:$G,saldos!P$6)</f>
        <v>0</v>
      </c>
      <c r="Q157" s="25">
        <f>cuotas_emitidas!Q152-SUMIFS(ingresos!$D:$D,ingresos!$F:$F,saldos!$A157,ingresos!$G:$G,saldos!Q$6)</f>
        <v>0</v>
      </c>
      <c r="R157" s="26">
        <f t="shared" si="6"/>
        <v>0</v>
      </c>
      <c r="T157" s="26">
        <f t="shared" si="7"/>
        <v>0</v>
      </c>
      <c r="U157" s="26">
        <f t="shared" si="8"/>
        <v>0</v>
      </c>
    </row>
    <row r="158" spans="1:21" x14ac:dyDescent="0.25">
      <c r="A158" s="17" t="s">
        <v>1921</v>
      </c>
      <c r="B158" s="17" t="s">
        <v>1922</v>
      </c>
      <c r="C158" s="17" t="s">
        <v>1923</v>
      </c>
      <c r="D158" s="25">
        <f>cuotas_emitidas!D153-SUMIFS(ingresos!$D:$D,ingresos!$F:$F,saldos!$A158,ingresos!$G:$G,saldos!D$6)</f>
        <v>0</v>
      </c>
      <c r="E158" s="25">
        <f>cuotas_emitidas!E153-SUMIFS(ingresos!$D:$D,ingresos!$F:$F,saldos!$A158,ingresos!$G:$G,saldos!E$6)</f>
        <v>0</v>
      </c>
      <c r="F158" s="25">
        <f>cuotas_emitidas!F153-SUMIFS(ingresos!$D:$D,ingresos!$F:$F,saldos!$A158,ingresos!$G:$G,saldos!F$6)</f>
        <v>0</v>
      </c>
      <c r="G158" s="25">
        <f>cuotas_emitidas!G153-SUMIFS(ingresos!$D:$D,ingresos!$F:$F,saldos!$A158,ingresos!$G:$G,saldos!G$6)</f>
        <v>0</v>
      </c>
      <c r="H158" s="25">
        <f>cuotas_emitidas!H153-SUMIFS(ingresos!$D:$D,ingresos!$F:$F,saldos!$A158,ingresos!$G:$G,saldos!H$6)</f>
        <v>0</v>
      </c>
      <c r="I158" s="25">
        <f>cuotas_emitidas!I153-SUMIFS(ingresos!$D:$D,ingresos!$F:$F,saldos!$A158,ingresos!$G:$G,saldos!I$6)</f>
        <v>0</v>
      </c>
      <c r="J158" s="25">
        <f>cuotas_emitidas!J153-SUMIFS(ingresos!$D:$D,ingresos!$F:$F,saldos!$A158,ingresos!$G:$G,saldos!J$6)</f>
        <v>0</v>
      </c>
      <c r="K158" s="25">
        <f>cuotas_emitidas!K153-SUMIFS(ingresos!$D:$D,ingresos!$F:$F,saldos!$A158,ingresos!$G:$G,saldos!K$6)</f>
        <v>0</v>
      </c>
      <c r="L158" s="25">
        <f>cuotas_emitidas!L153-SUMIFS(ingresos!$D:$D,ingresos!$F:$F,saldos!$A158,ingresos!$G:$G,saldos!L$6)</f>
        <v>0</v>
      </c>
      <c r="M158" s="25">
        <f>cuotas_emitidas!M153-SUMIFS(ingresos!$D:$D,ingresos!$F:$F,saldos!$A158,ingresos!$G:$G,saldos!M$6)</f>
        <v>0</v>
      </c>
      <c r="N158" s="25">
        <f>cuotas_emitidas!N153-SUMIFS(ingresos!$D:$D,ingresos!$F:$F,saldos!$A158,ingresos!$G:$G,saldos!N$6)</f>
        <v>0</v>
      </c>
      <c r="O158" s="25">
        <f>cuotas_emitidas!O153-SUMIFS(ingresos!$D:$D,ingresos!$F:$F,saldos!$A158,ingresos!$G:$G,saldos!O$6)</f>
        <v>0</v>
      </c>
      <c r="P158" s="25">
        <f>cuotas_emitidas!P153-SUMIFS(ingresos!$D:$D,ingresos!$F:$F,saldos!$A158,ingresos!$G:$G,saldos!P$6)</f>
        <v>387.26</v>
      </c>
      <c r="Q158" s="25">
        <f>cuotas_emitidas!Q153-SUMIFS(ingresos!$D:$D,ingresos!$F:$F,saldos!$A158,ingresos!$G:$G,saldos!Q$6)</f>
        <v>403.63</v>
      </c>
      <c r="R158" s="26">
        <f t="shared" si="6"/>
        <v>790.89</v>
      </c>
      <c r="T158" s="26">
        <f t="shared" si="7"/>
        <v>403.63</v>
      </c>
      <c r="U158" s="26">
        <f t="shared" si="8"/>
        <v>387.26</v>
      </c>
    </row>
    <row r="159" spans="1:21" x14ac:dyDescent="0.25">
      <c r="A159" s="17" t="s">
        <v>1924</v>
      </c>
      <c r="B159" s="17" t="s">
        <v>1925</v>
      </c>
      <c r="C159" s="17" t="s">
        <v>1926</v>
      </c>
      <c r="D159" s="25">
        <f>cuotas_emitidas!D154-SUMIFS(ingresos!$D:$D,ingresos!$F:$F,saldos!$A159,ingresos!$G:$G,saldos!D$6)</f>
        <v>0</v>
      </c>
      <c r="E159" s="25">
        <f>cuotas_emitidas!E154-SUMIFS(ingresos!$D:$D,ingresos!$F:$F,saldos!$A159,ingresos!$G:$G,saldos!E$6)</f>
        <v>0</v>
      </c>
      <c r="F159" s="25">
        <f>cuotas_emitidas!F154-SUMIFS(ingresos!$D:$D,ingresos!$F:$F,saldos!$A159,ingresos!$G:$G,saldos!F$6)</f>
        <v>0</v>
      </c>
      <c r="G159" s="25">
        <f>cuotas_emitidas!G154-SUMIFS(ingresos!$D:$D,ingresos!$F:$F,saldos!$A159,ingresos!$G:$G,saldos!G$6)</f>
        <v>0</v>
      </c>
      <c r="H159" s="25">
        <f>cuotas_emitidas!H154-SUMIFS(ingresos!$D:$D,ingresos!$F:$F,saldos!$A159,ingresos!$G:$G,saldos!H$6)</f>
        <v>0</v>
      </c>
      <c r="I159" s="25">
        <f>cuotas_emitidas!I154-SUMIFS(ingresos!$D:$D,ingresos!$F:$F,saldos!$A159,ingresos!$G:$G,saldos!I$6)</f>
        <v>0</v>
      </c>
      <c r="J159" s="25">
        <f>cuotas_emitidas!J154-SUMIFS(ingresos!$D:$D,ingresos!$F:$F,saldos!$A159,ingresos!$G:$G,saldos!J$6)</f>
        <v>0</v>
      </c>
      <c r="K159" s="25">
        <f>cuotas_emitidas!K154-SUMIFS(ingresos!$D:$D,ingresos!$F:$F,saldos!$A159,ingresos!$G:$G,saldos!K$6)</f>
        <v>0</v>
      </c>
      <c r="L159" s="25">
        <f>cuotas_emitidas!L154-SUMIFS(ingresos!$D:$D,ingresos!$F:$F,saldos!$A159,ingresos!$G:$G,saldos!L$6)</f>
        <v>263.06</v>
      </c>
      <c r="M159" s="25">
        <f>cuotas_emitidas!M154-SUMIFS(ingresos!$D:$D,ingresos!$F:$F,saldos!$A159,ingresos!$G:$G,saldos!M$6)</f>
        <v>250.3</v>
      </c>
      <c r="N159" s="25">
        <f>cuotas_emitidas!N154-SUMIFS(ingresos!$D:$D,ingresos!$F:$F,saldos!$A159,ingresos!$G:$G,saldos!N$6)</f>
        <v>259.76</v>
      </c>
      <c r="O159" s="25">
        <f>cuotas_emitidas!O154-SUMIFS(ingresos!$D:$D,ingresos!$F:$F,saldos!$A159,ingresos!$G:$G,saldos!O$6)</f>
        <v>257.83999999999997</v>
      </c>
      <c r="P159" s="25">
        <f>cuotas_emitidas!P154-SUMIFS(ingresos!$D:$D,ingresos!$F:$F,saldos!$A159,ingresos!$G:$G,saldos!P$6)</f>
        <v>254.32</v>
      </c>
      <c r="Q159" s="25">
        <f>cuotas_emitidas!Q154-SUMIFS(ingresos!$D:$D,ingresos!$F:$F,saldos!$A159,ingresos!$G:$G,saldos!Q$6)</f>
        <v>251.45</v>
      </c>
      <c r="R159" s="26">
        <f t="shared" si="6"/>
        <v>1536.73</v>
      </c>
      <c r="T159" s="26">
        <f t="shared" si="7"/>
        <v>251.45</v>
      </c>
      <c r="U159" s="26">
        <f t="shared" si="8"/>
        <v>1285.28</v>
      </c>
    </row>
    <row r="160" spans="1:21" x14ac:dyDescent="0.25">
      <c r="A160" s="17" t="s">
        <v>1927</v>
      </c>
      <c r="B160" s="17" t="s">
        <v>1928</v>
      </c>
      <c r="C160" s="17" t="s">
        <v>1929</v>
      </c>
      <c r="D160" s="25">
        <f>cuotas_emitidas!D155-SUMIFS(ingresos!$D:$D,ingresos!$F:$F,saldos!$A160,ingresos!$G:$G,saldos!D$6)</f>
        <v>0</v>
      </c>
      <c r="E160" s="25">
        <f>cuotas_emitidas!E155-SUMIFS(ingresos!$D:$D,ingresos!$F:$F,saldos!$A160,ingresos!$G:$G,saldos!E$6)</f>
        <v>0</v>
      </c>
      <c r="F160" s="25">
        <f>cuotas_emitidas!F155-SUMIFS(ingresos!$D:$D,ingresos!$F:$F,saldos!$A160,ingresos!$G:$G,saldos!F$6)</f>
        <v>0</v>
      </c>
      <c r="G160" s="25">
        <f>cuotas_emitidas!G155-SUMIFS(ingresos!$D:$D,ingresos!$F:$F,saldos!$A160,ingresos!$G:$G,saldos!G$6)</f>
        <v>0</v>
      </c>
      <c r="H160" s="25">
        <f>cuotas_emitidas!H155-SUMIFS(ingresos!$D:$D,ingresos!$F:$F,saldos!$A160,ingresos!$G:$G,saldos!H$6)</f>
        <v>0</v>
      </c>
      <c r="I160" s="25">
        <f>cuotas_emitidas!I155-SUMIFS(ingresos!$D:$D,ingresos!$F:$F,saldos!$A160,ingresos!$G:$G,saldos!I$6)</f>
        <v>0</v>
      </c>
      <c r="J160" s="25">
        <f>cuotas_emitidas!J155-SUMIFS(ingresos!$D:$D,ingresos!$F:$F,saldos!$A160,ingresos!$G:$G,saldos!J$6)</f>
        <v>0</v>
      </c>
      <c r="K160" s="25">
        <f>cuotas_emitidas!K155-SUMIFS(ingresos!$D:$D,ingresos!$F:$F,saldos!$A160,ingresos!$G:$G,saldos!K$6)</f>
        <v>0</v>
      </c>
      <c r="L160" s="25">
        <f>cuotas_emitidas!L155-SUMIFS(ingresos!$D:$D,ingresos!$F:$F,saldos!$A160,ingresos!$G:$G,saldos!L$6)</f>
        <v>0</v>
      </c>
      <c r="M160" s="25">
        <f>cuotas_emitidas!M155-SUMIFS(ingresos!$D:$D,ingresos!$F:$F,saldos!$A160,ingresos!$G:$G,saldos!M$6)</f>
        <v>0</v>
      </c>
      <c r="N160" s="25">
        <f>cuotas_emitidas!N155-SUMIFS(ingresos!$D:$D,ingresos!$F:$F,saldos!$A160,ingresos!$G:$G,saldos!N$6)</f>
        <v>0</v>
      </c>
      <c r="O160" s="25">
        <f>cuotas_emitidas!O155-SUMIFS(ingresos!$D:$D,ingresos!$F:$F,saldos!$A160,ingresos!$G:$G,saldos!O$6)</f>
        <v>0</v>
      </c>
      <c r="P160" s="25">
        <f>cuotas_emitidas!P155-SUMIFS(ingresos!$D:$D,ingresos!$F:$F,saldos!$A160,ingresos!$G:$G,saldos!P$6)</f>
        <v>0</v>
      </c>
      <c r="Q160" s="25">
        <f>cuotas_emitidas!Q155-SUMIFS(ingresos!$D:$D,ingresos!$F:$F,saldos!$A160,ingresos!$G:$G,saldos!Q$6)</f>
        <v>0</v>
      </c>
      <c r="R160" s="26">
        <f t="shared" si="6"/>
        <v>0</v>
      </c>
      <c r="T160" s="26">
        <f t="shared" si="7"/>
        <v>0</v>
      </c>
      <c r="U160" s="26">
        <f t="shared" si="8"/>
        <v>0</v>
      </c>
    </row>
    <row r="161" spans="1:21" x14ac:dyDescent="0.25">
      <c r="A161" s="17" t="s">
        <v>1930</v>
      </c>
      <c r="B161" s="17" t="s">
        <v>1931</v>
      </c>
      <c r="C161" s="17" t="s">
        <v>1932</v>
      </c>
      <c r="D161" s="25">
        <f>cuotas_emitidas!D156-SUMIFS(ingresos!$D:$D,ingresos!$F:$F,saldos!$A161,ingresos!$G:$G,saldos!D$6)</f>
        <v>0</v>
      </c>
      <c r="E161" s="25">
        <f>cuotas_emitidas!E156-SUMIFS(ingresos!$D:$D,ingresos!$F:$F,saldos!$A161,ingresos!$G:$G,saldos!E$6)</f>
        <v>0</v>
      </c>
      <c r="F161" s="25">
        <f>cuotas_emitidas!F156-SUMIFS(ingresos!$D:$D,ingresos!$F:$F,saldos!$A161,ingresos!$G:$G,saldos!F$6)</f>
        <v>0</v>
      </c>
      <c r="G161" s="25">
        <f>cuotas_emitidas!G156-SUMIFS(ingresos!$D:$D,ingresos!$F:$F,saldos!$A161,ingresos!$G:$G,saldos!G$6)</f>
        <v>0</v>
      </c>
      <c r="H161" s="25">
        <f>cuotas_emitidas!H156-SUMIFS(ingresos!$D:$D,ingresos!$F:$F,saldos!$A161,ingresos!$G:$G,saldos!H$6)</f>
        <v>0</v>
      </c>
      <c r="I161" s="25">
        <f>cuotas_emitidas!I156-SUMIFS(ingresos!$D:$D,ingresos!$F:$F,saldos!$A161,ingresos!$G:$G,saldos!I$6)</f>
        <v>0</v>
      </c>
      <c r="J161" s="25">
        <f>cuotas_emitidas!J156-SUMIFS(ingresos!$D:$D,ingresos!$F:$F,saldos!$A161,ingresos!$G:$G,saldos!J$6)</f>
        <v>0</v>
      </c>
      <c r="K161" s="25">
        <f>cuotas_emitidas!K156-SUMIFS(ingresos!$D:$D,ingresos!$F:$F,saldos!$A161,ingresos!$G:$G,saldos!K$6)</f>
        <v>0</v>
      </c>
      <c r="L161" s="25">
        <f>cuotas_emitidas!L156-SUMIFS(ingresos!$D:$D,ingresos!$F:$F,saldos!$A161,ingresos!$G:$G,saldos!L$6)</f>
        <v>0</v>
      </c>
      <c r="M161" s="25">
        <f>cuotas_emitidas!M156-SUMIFS(ingresos!$D:$D,ingresos!$F:$F,saldos!$A161,ingresos!$G:$G,saldos!M$6)</f>
        <v>180.01000000000002</v>
      </c>
      <c r="N161" s="25">
        <f>cuotas_emitidas!N156-SUMIFS(ingresos!$D:$D,ingresos!$F:$F,saldos!$A161,ingresos!$G:$G,saldos!N$6)</f>
        <v>183.39</v>
      </c>
      <c r="O161" s="25">
        <f>cuotas_emitidas!O156-SUMIFS(ingresos!$D:$D,ingresos!$F:$F,saldos!$A161,ingresos!$G:$G,saldos!O$6)</f>
        <v>190.09</v>
      </c>
      <c r="P161" s="25">
        <f>cuotas_emitidas!P156-SUMIFS(ingresos!$D:$D,ingresos!$F:$F,saldos!$A161,ingresos!$G:$G,saldos!P$6)</f>
        <v>176.67</v>
      </c>
      <c r="Q161" s="25">
        <f>cuotas_emitidas!Q156-SUMIFS(ingresos!$D:$D,ingresos!$F:$F,saldos!$A161,ingresos!$G:$G,saldos!Q$6)</f>
        <v>350.8</v>
      </c>
      <c r="R161" s="26">
        <f t="shared" si="6"/>
        <v>1080.96</v>
      </c>
      <c r="T161" s="26">
        <f t="shared" si="7"/>
        <v>350.8</v>
      </c>
      <c r="U161" s="26">
        <f t="shared" si="8"/>
        <v>730.16000000000008</v>
      </c>
    </row>
    <row r="162" spans="1:21" x14ac:dyDescent="0.25">
      <c r="A162" s="17" t="s">
        <v>1933</v>
      </c>
      <c r="B162" s="17" t="s">
        <v>1934</v>
      </c>
      <c r="C162" s="17" t="s">
        <v>1935</v>
      </c>
      <c r="D162" s="25">
        <f>cuotas_emitidas!D157-SUMIFS(ingresos!$D:$D,ingresos!$F:$F,saldos!$A162,ingresos!$G:$G,saldos!D$6)</f>
        <v>0</v>
      </c>
      <c r="E162" s="25">
        <f>cuotas_emitidas!E157-SUMIFS(ingresos!$D:$D,ingresos!$F:$F,saldos!$A162,ingresos!$G:$G,saldos!E$6)</f>
        <v>0</v>
      </c>
      <c r="F162" s="25">
        <f>cuotas_emitidas!F157-SUMIFS(ingresos!$D:$D,ingresos!$F:$F,saldos!$A162,ingresos!$G:$G,saldos!F$6)</f>
        <v>0</v>
      </c>
      <c r="G162" s="25">
        <f>cuotas_emitidas!G157-SUMIFS(ingresos!$D:$D,ingresos!$F:$F,saldos!$A162,ingresos!$G:$G,saldos!G$6)</f>
        <v>0</v>
      </c>
      <c r="H162" s="25">
        <f>cuotas_emitidas!H157-SUMIFS(ingresos!$D:$D,ingresos!$F:$F,saldos!$A162,ingresos!$G:$G,saldos!H$6)</f>
        <v>0</v>
      </c>
      <c r="I162" s="25">
        <f>cuotas_emitidas!I157-SUMIFS(ingresos!$D:$D,ingresos!$F:$F,saldos!$A162,ingresos!$G:$G,saldos!I$6)</f>
        <v>0</v>
      </c>
      <c r="J162" s="25">
        <f>cuotas_emitidas!J157-SUMIFS(ingresos!$D:$D,ingresos!$F:$F,saldos!$A162,ingresos!$G:$G,saldos!J$6)</f>
        <v>0</v>
      </c>
      <c r="K162" s="25">
        <f>cuotas_emitidas!K157-SUMIFS(ingresos!$D:$D,ingresos!$F:$F,saldos!$A162,ingresos!$G:$G,saldos!K$6)</f>
        <v>0</v>
      </c>
      <c r="L162" s="25">
        <f>cuotas_emitidas!L157-SUMIFS(ingresos!$D:$D,ingresos!$F:$F,saldos!$A162,ingresos!$G:$G,saldos!L$6)</f>
        <v>0</v>
      </c>
      <c r="M162" s="25">
        <f>cuotas_emitidas!M157-SUMIFS(ingresos!$D:$D,ingresos!$F:$F,saldos!$A162,ingresos!$G:$G,saldos!M$6)</f>
        <v>0</v>
      </c>
      <c r="N162" s="25">
        <f>cuotas_emitidas!N157-SUMIFS(ingresos!$D:$D,ingresos!$F:$F,saldos!$A162,ingresos!$G:$G,saldos!N$6)</f>
        <v>0</v>
      </c>
      <c r="O162" s="25">
        <f>cuotas_emitidas!O157-SUMIFS(ingresos!$D:$D,ingresos!$F:$F,saldos!$A162,ingresos!$G:$G,saldos!O$6)</f>
        <v>0</v>
      </c>
      <c r="P162" s="25">
        <f>cuotas_emitidas!P157-SUMIFS(ingresos!$D:$D,ingresos!$F:$F,saldos!$A162,ingresos!$G:$G,saldos!P$6)</f>
        <v>412.35</v>
      </c>
      <c r="Q162" s="25">
        <f>cuotas_emitidas!Q157-SUMIFS(ingresos!$D:$D,ingresos!$F:$F,saldos!$A162,ingresos!$G:$G,saldos!Q$6)</f>
        <v>423.24</v>
      </c>
      <c r="R162" s="26">
        <f t="shared" si="6"/>
        <v>835.59</v>
      </c>
      <c r="T162" s="26">
        <f t="shared" si="7"/>
        <v>423.24</v>
      </c>
      <c r="U162" s="26">
        <f t="shared" si="8"/>
        <v>412.35</v>
      </c>
    </row>
    <row r="163" spans="1:21" x14ac:dyDescent="0.25">
      <c r="A163" s="17" t="s">
        <v>1936</v>
      </c>
      <c r="B163" s="17" t="s">
        <v>1364</v>
      </c>
      <c r="C163" s="17" t="s">
        <v>1937</v>
      </c>
      <c r="D163" s="25">
        <f>cuotas_emitidas!D158-SUMIFS(ingresos!$D:$D,ingresos!$F:$F,saldos!$A163,ingresos!$G:$G,saldos!D$6)</f>
        <v>0</v>
      </c>
      <c r="E163" s="25">
        <f>cuotas_emitidas!E158-SUMIFS(ingresos!$D:$D,ingresos!$F:$F,saldos!$A163,ingresos!$G:$G,saldos!E$6)</f>
        <v>0</v>
      </c>
      <c r="F163" s="25">
        <f>cuotas_emitidas!F158-SUMIFS(ingresos!$D:$D,ingresos!$F:$F,saldos!$A163,ingresos!$G:$G,saldos!F$6)</f>
        <v>0</v>
      </c>
      <c r="G163" s="25">
        <f>cuotas_emitidas!G158-SUMIFS(ingresos!$D:$D,ingresos!$F:$F,saldos!$A163,ingresos!$G:$G,saldos!G$6)</f>
        <v>0</v>
      </c>
      <c r="H163" s="25">
        <f>cuotas_emitidas!H158-SUMIFS(ingresos!$D:$D,ingresos!$F:$F,saldos!$A163,ingresos!$G:$G,saldos!H$6)</f>
        <v>0</v>
      </c>
      <c r="I163" s="25">
        <f>cuotas_emitidas!I158-SUMIFS(ingresos!$D:$D,ingresos!$F:$F,saldos!$A163,ingresos!$G:$G,saldos!I$6)</f>
        <v>0</v>
      </c>
      <c r="J163" s="25">
        <f>cuotas_emitidas!J158-SUMIFS(ingresos!$D:$D,ingresos!$F:$F,saldos!$A163,ingresos!$G:$G,saldos!J$6)</f>
        <v>0</v>
      </c>
      <c r="K163" s="25">
        <f>cuotas_emitidas!K158-SUMIFS(ingresos!$D:$D,ingresos!$F:$F,saldos!$A163,ingresos!$G:$G,saldos!K$6)</f>
        <v>0</v>
      </c>
      <c r="L163" s="25">
        <f>cuotas_emitidas!L158-SUMIFS(ingresos!$D:$D,ingresos!$F:$F,saldos!$A163,ingresos!$G:$G,saldos!L$6)</f>
        <v>0</v>
      </c>
      <c r="M163" s="25">
        <f>cuotas_emitidas!M158-SUMIFS(ingresos!$D:$D,ingresos!$F:$F,saldos!$A163,ingresos!$G:$G,saldos!M$6)</f>
        <v>0</v>
      </c>
      <c r="N163" s="25">
        <f>cuotas_emitidas!N158-SUMIFS(ingresos!$D:$D,ingresos!$F:$F,saldos!$A163,ingresos!$G:$G,saldos!N$6)</f>
        <v>0</v>
      </c>
      <c r="O163" s="25">
        <f>cuotas_emitidas!O158-SUMIFS(ingresos!$D:$D,ingresos!$F:$F,saldos!$A163,ingresos!$G:$G,saldos!O$6)</f>
        <v>0</v>
      </c>
      <c r="P163" s="25">
        <f>cuotas_emitidas!P158-SUMIFS(ingresos!$D:$D,ingresos!$F:$F,saldos!$A163,ingresos!$G:$G,saldos!P$6)</f>
        <v>0</v>
      </c>
      <c r="Q163" s="25">
        <f>cuotas_emitidas!Q158-SUMIFS(ingresos!$D:$D,ingresos!$F:$F,saldos!$A163,ingresos!$G:$G,saldos!Q$6)</f>
        <v>0</v>
      </c>
      <c r="R163" s="26">
        <f t="shared" si="6"/>
        <v>0</v>
      </c>
      <c r="T163" s="26">
        <f t="shared" si="7"/>
        <v>0</v>
      </c>
      <c r="U163" s="26">
        <f t="shared" si="8"/>
        <v>0</v>
      </c>
    </row>
    <row r="164" spans="1:21" x14ac:dyDescent="0.25">
      <c r="A164" s="17" t="s">
        <v>1938</v>
      </c>
      <c r="B164" s="17" t="s">
        <v>1939</v>
      </c>
      <c r="C164" s="17" t="s">
        <v>1940</v>
      </c>
      <c r="D164" s="25">
        <f>cuotas_emitidas!D159-SUMIFS(ingresos!$D:$D,ingresos!$F:$F,saldos!$A164,ingresos!$G:$G,saldos!D$6)</f>
        <v>0</v>
      </c>
      <c r="E164" s="25">
        <f>cuotas_emitidas!E159-SUMIFS(ingresos!$D:$D,ingresos!$F:$F,saldos!$A164,ingresos!$G:$G,saldos!E$6)</f>
        <v>0</v>
      </c>
      <c r="F164" s="25">
        <f>cuotas_emitidas!F159-SUMIFS(ingresos!$D:$D,ingresos!$F:$F,saldos!$A164,ingresos!$G:$G,saldos!F$6)</f>
        <v>0</v>
      </c>
      <c r="G164" s="25">
        <f>cuotas_emitidas!G159-SUMIFS(ingresos!$D:$D,ingresos!$F:$F,saldos!$A164,ingresos!$G:$G,saldos!G$6)</f>
        <v>0</v>
      </c>
      <c r="H164" s="25">
        <f>cuotas_emitidas!H159-SUMIFS(ingresos!$D:$D,ingresos!$F:$F,saldos!$A164,ingresos!$G:$G,saldos!H$6)</f>
        <v>0</v>
      </c>
      <c r="I164" s="25">
        <f>cuotas_emitidas!I159-SUMIFS(ingresos!$D:$D,ingresos!$F:$F,saldos!$A164,ingresos!$G:$G,saldos!I$6)</f>
        <v>0</v>
      </c>
      <c r="J164" s="25">
        <f>cuotas_emitidas!J159-SUMIFS(ingresos!$D:$D,ingresos!$F:$F,saldos!$A164,ingresos!$G:$G,saldos!J$6)</f>
        <v>0</v>
      </c>
      <c r="K164" s="25">
        <f>cuotas_emitidas!K159-SUMIFS(ingresos!$D:$D,ingresos!$F:$F,saldos!$A164,ingresos!$G:$G,saldos!K$6)</f>
        <v>0</v>
      </c>
      <c r="L164" s="25">
        <f>cuotas_emitidas!L159-SUMIFS(ingresos!$D:$D,ingresos!$F:$F,saldos!$A164,ingresos!$G:$G,saldos!L$6)</f>
        <v>0</v>
      </c>
      <c r="M164" s="25">
        <f>cuotas_emitidas!M159-SUMIFS(ingresos!$D:$D,ingresos!$F:$F,saldos!$A164,ingresos!$G:$G,saldos!M$6)</f>
        <v>-13.349999999999966</v>
      </c>
      <c r="N164" s="25">
        <f>cuotas_emitidas!N159-SUMIFS(ingresos!$D:$D,ingresos!$F:$F,saldos!$A164,ingresos!$G:$G,saldos!N$6)</f>
        <v>-1.4600000000000364</v>
      </c>
      <c r="O164" s="25">
        <f>cuotas_emitidas!O159-SUMIFS(ingresos!$D:$D,ingresos!$F:$F,saldos!$A164,ingresos!$G:$G,saldos!O$6)</f>
        <v>0</v>
      </c>
      <c r="P164" s="25">
        <f>cuotas_emitidas!P159-SUMIFS(ingresos!$D:$D,ingresos!$F:$F,saldos!$A164,ingresos!$G:$G,saldos!P$6)</f>
        <v>429.29</v>
      </c>
      <c r="Q164" s="25">
        <f>cuotas_emitidas!Q159-SUMIFS(ingresos!$D:$D,ingresos!$F:$F,saldos!$A164,ingresos!$G:$G,saldos!Q$6)</f>
        <v>0</v>
      </c>
      <c r="R164" s="26">
        <f t="shared" si="6"/>
        <v>414.48</v>
      </c>
      <c r="T164" s="26">
        <f t="shared" si="7"/>
        <v>0</v>
      </c>
      <c r="U164" s="26">
        <f t="shared" si="8"/>
        <v>414.48</v>
      </c>
    </row>
    <row r="165" spans="1:21" x14ac:dyDescent="0.25">
      <c r="A165" s="17" t="s">
        <v>1941</v>
      </c>
      <c r="B165" s="17" t="s">
        <v>1239</v>
      </c>
      <c r="C165" s="17" t="s">
        <v>1942</v>
      </c>
      <c r="D165" s="25">
        <f>cuotas_emitidas!D160-SUMIFS(ingresos!$D:$D,ingresos!$F:$F,saldos!$A165,ingresos!$G:$G,saldos!D$6)</f>
        <v>0</v>
      </c>
      <c r="E165" s="25">
        <f>cuotas_emitidas!E160-SUMIFS(ingresos!$D:$D,ingresos!$F:$F,saldos!$A165,ingresos!$G:$G,saldos!E$6)</f>
        <v>0</v>
      </c>
      <c r="F165" s="25">
        <f>cuotas_emitidas!F160-SUMIFS(ingresos!$D:$D,ingresos!$F:$F,saldos!$A165,ingresos!$G:$G,saldos!F$6)</f>
        <v>0</v>
      </c>
      <c r="G165" s="25">
        <f>cuotas_emitidas!G160-SUMIFS(ingresos!$D:$D,ingresos!$F:$F,saldos!$A165,ingresos!$G:$G,saldos!G$6)</f>
        <v>0</v>
      </c>
      <c r="H165" s="25">
        <f>cuotas_emitidas!H160-SUMIFS(ingresos!$D:$D,ingresos!$F:$F,saldos!$A165,ingresos!$G:$G,saldos!H$6)</f>
        <v>0</v>
      </c>
      <c r="I165" s="25">
        <f>cuotas_emitidas!I160-SUMIFS(ingresos!$D:$D,ingresos!$F:$F,saldos!$A165,ingresos!$G:$G,saldos!I$6)</f>
        <v>0</v>
      </c>
      <c r="J165" s="25">
        <f>cuotas_emitidas!J160-SUMIFS(ingresos!$D:$D,ingresos!$F:$F,saldos!$A165,ingresos!$G:$G,saldos!J$6)</f>
        <v>0</v>
      </c>
      <c r="K165" s="25">
        <f>cuotas_emitidas!K160-SUMIFS(ingresos!$D:$D,ingresos!$F:$F,saldos!$A165,ingresos!$G:$G,saldos!K$6)</f>
        <v>0</v>
      </c>
      <c r="L165" s="25">
        <f>cuotas_emitidas!L160-SUMIFS(ingresos!$D:$D,ingresos!$F:$F,saldos!$A165,ingresos!$G:$G,saldos!L$6)</f>
        <v>0</v>
      </c>
      <c r="M165" s="25">
        <f>cuotas_emitidas!M160-SUMIFS(ingresos!$D:$D,ingresos!$F:$F,saldos!$A165,ingresos!$G:$G,saldos!M$6)</f>
        <v>0</v>
      </c>
      <c r="N165" s="25">
        <f>cuotas_emitidas!N160-SUMIFS(ingresos!$D:$D,ingresos!$F:$F,saldos!$A165,ingresos!$G:$G,saldos!N$6)</f>
        <v>0</v>
      </c>
      <c r="O165" s="25">
        <f>cuotas_emitidas!O160-SUMIFS(ingresos!$D:$D,ingresos!$F:$F,saldos!$A165,ingresos!$G:$G,saldos!O$6)</f>
        <v>0</v>
      </c>
      <c r="P165" s="25">
        <f>cuotas_emitidas!P160-SUMIFS(ingresos!$D:$D,ingresos!$F:$F,saldos!$A165,ingresos!$G:$G,saldos!P$6)</f>
        <v>182.41</v>
      </c>
      <c r="Q165" s="25">
        <f>cuotas_emitidas!Q160-SUMIFS(ingresos!$D:$D,ingresos!$F:$F,saldos!$A165,ingresos!$G:$G,saldos!Q$6)</f>
        <v>0</v>
      </c>
      <c r="R165" s="26">
        <f t="shared" si="6"/>
        <v>182.41</v>
      </c>
      <c r="T165" s="26">
        <f t="shared" si="7"/>
        <v>0</v>
      </c>
      <c r="U165" s="26">
        <f t="shared" si="8"/>
        <v>182.41</v>
      </c>
    </row>
    <row r="166" spans="1:21" x14ac:dyDescent="0.25">
      <c r="A166" s="17" t="s">
        <v>1943</v>
      </c>
      <c r="B166" s="17" t="s">
        <v>1944</v>
      </c>
      <c r="C166" s="17" t="s">
        <v>1945</v>
      </c>
      <c r="D166" s="25">
        <f>cuotas_emitidas!D161-SUMIFS(ingresos!$D:$D,ingresos!$F:$F,saldos!$A166,ingresos!$G:$G,saldos!D$6)</f>
        <v>0</v>
      </c>
      <c r="E166" s="25">
        <f>cuotas_emitidas!E161-SUMIFS(ingresos!$D:$D,ingresos!$F:$F,saldos!$A166,ingresos!$G:$G,saldos!E$6)</f>
        <v>0</v>
      </c>
      <c r="F166" s="25">
        <f>cuotas_emitidas!F161-SUMIFS(ingresos!$D:$D,ingresos!$F:$F,saldos!$A166,ingresos!$G:$G,saldos!F$6)</f>
        <v>0</v>
      </c>
      <c r="G166" s="25">
        <f>cuotas_emitidas!G161-SUMIFS(ingresos!$D:$D,ingresos!$F:$F,saldos!$A166,ingresos!$G:$G,saldos!G$6)</f>
        <v>0</v>
      </c>
      <c r="H166" s="25">
        <f>cuotas_emitidas!H161-SUMIFS(ingresos!$D:$D,ingresos!$F:$F,saldos!$A166,ingresos!$G:$G,saldos!H$6)</f>
        <v>0</v>
      </c>
      <c r="I166" s="25">
        <f>cuotas_emitidas!I161-SUMIFS(ingresos!$D:$D,ingresos!$F:$F,saldos!$A166,ingresos!$G:$G,saldos!I$6)</f>
        <v>0</v>
      </c>
      <c r="J166" s="25">
        <f>cuotas_emitidas!J161-SUMIFS(ingresos!$D:$D,ingresos!$F:$F,saldos!$A166,ingresos!$G:$G,saldos!J$6)</f>
        <v>0</v>
      </c>
      <c r="K166" s="25">
        <f>cuotas_emitidas!K161-SUMIFS(ingresos!$D:$D,ingresos!$F:$F,saldos!$A166,ingresos!$G:$G,saldos!K$6)</f>
        <v>0</v>
      </c>
      <c r="L166" s="25">
        <f>cuotas_emitidas!L161-SUMIFS(ingresos!$D:$D,ingresos!$F:$F,saldos!$A166,ingresos!$G:$G,saldos!L$6)</f>
        <v>0</v>
      </c>
      <c r="M166" s="25">
        <f>cuotas_emitidas!M161-SUMIFS(ingresos!$D:$D,ingresos!$F:$F,saldos!$A166,ingresos!$G:$G,saldos!M$6)</f>
        <v>0</v>
      </c>
      <c r="N166" s="25">
        <f>cuotas_emitidas!N161-SUMIFS(ingresos!$D:$D,ingresos!$F:$F,saldos!$A166,ingresos!$G:$G,saldos!N$6)</f>
        <v>0</v>
      </c>
      <c r="O166" s="25">
        <f>cuotas_emitidas!O161-SUMIFS(ingresos!$D:$D,ingresos!$F:$F,saldos!$A166,ingresos!$G:$G,saldos!O$6)</f>
        <v>0</v>
      </c>
      <c r="P166" s="25">
        <f>cuotas_emitidas!P161-SUMIFS(ingresos!$D:$D,ingresos!$F:$F,saldos!$A166,ingresos!$G:$G,saldos!P$6)</f>
        <v>0</v>
      </c>
      <c r="Q166" s="25">
        <f>cuotas_emitidas!Q161-SUMIFS(ingresos!$D:$D,ingresos!$F:$F,saldos!$A166,ingresos!$G:$G,saldos!Q$6)</f>
        <v>0</v>
      </c>
      <c r="R166" s="26">
        <f t="shared" si="6"/>
        <v>0</v>
      </c>
      <c r="T166" s="26">
        <f t="shared" si="7"/>
        <v>0</v>
      </c>
      <c r="U166" s="26">
        <f t="shared" si="8"/>
        <v>0</v>
      </c>
    </row>
    <row r="167" spans="1:21" x14ac:dyDescent="0.25">
      <c r="A167" s="17" t="s">
        <v>1946</v>
      </c>
      <c r="B167" s="17" t="s">
        <v>1947</v>
      </c>
      <c r="C167" s="17" t="s">
        <v>1948</v>
      </c>
      <c r="D167" s="25">
        <f>cuotas_emitidas!D162-SUMIFS(ingresos!$D:$D,ingresos!$F:$F,saldos!$A167,ingresos!$G:$G,saldos!D$6)</f>
        <v>0</v>
      </c>
      <c r="E167" s="25">
        <f>cuotas_emitidas!E162-SUMIFS(ingresos!$D:$D,ingresos!$F:$F,saldos!$A167,ingresos!$G:$G,saldos!E$6)</f>
        <v>0</v>
      </c>
      <c r="F167" s="25">
        <f>cuotas_emitidas!F162-SUMIFS(ingresos!$D:$D,ingresos!$F:$F,saldos!$A167,ingresos!$G:$G,saldos!F$6)</f>
        <v>0</v>
      </c>
      <c r="G167" s="25">
        <f>cuotas_emitidas!G162-SUMIFS(ingresos!$D:$D,ingresos!$F:$F,saldos!$A167,ingresos!$G:$G,saldos!G$6)</f>
        <v>0</v>
      </c>
      <c r="H167" s="25">
        <f>cuotas_emitidas!H162-SUMIFS(ingresos!$D:$D,ingresos!$F:$F,saldos!$A167,ingresos!$G:$G,saldos!H$6)</f>
        <v>0</v>
      </c>
      <c r="I167" s="25">
        <f>cuotas_emitidas!I162-SUMIFS(ingresos!$D:$D,ingresos!$F:$F,saldos!$A167,ingresos!$G:$G,saldos!I$6)</f>
        <v>0</v>
      </c>
      <c r="J167" s="25">
        <f>cuotas_emitidas!J162-SUMIFS(ingresos!$D:$D,ingresos!$F:$F,saldos!$A167,ingresos!$G:$G,saldos!J$6)</f>
        <v>0</v>
      </c>
      <c r="K167" s="25">
        <f>cuotas_emitidas!K162-SUMIFS(ingresos!$D:$D,ingresos!$F:$F,saldos!$A167,ingresos!$G:$G,saldos!K$6)</f>
        <v>0</v>
      </c>
      <c r="L167" s="25">
        <f>cuotas_emitidas!L162-SUMIFS(ingresos!$D:$D,ingresos!$F:$F,saldos!$A167,ingresos!$G:$G,saldos!L$6)</f>
        <v>0</v>
      </c>
      <c r="M167" s="25">
        <f>cuotas_emitidas!M162-SUMIFS(ingresos!$D:$D,ingresos!$F:$F,saldos!$A167,ingresos!$G:$G,saldos!M$6)</f>
        <v>0</v>
      </c>
      <c r="N167" s="25">
        <f>cuotas_emitidas!N162-SUMIFS(ingresos!$D:$D,ingresos!$F:$F,saldos!$A167,ingresos!$G:$G,saldos!N$6)</f>
        <v>0</v>
      </c>
      <c r="O167" s="25">
        <f>cuotas_emitidas!O162-SUMIFS(ingresos!$D:$D,ingresos!$F:$F,saldos!$A167,ingresos!$G:$G,saldos!O$6)</f>
        <v>0</v>
      </c>
      <c r="P167" s="25">
        <f>cuotas_emitidas!P162-SUMIFS(ingresos!$D:$D,ingresos!$F:$F,saldos!$A167,ingresos!$G:$G,saldos!P$6)</f>
        <v>0</v>
      </c>
      <c r="Q167" s="25">
        <f>cuotas_emitidas!Q162-SUMIFS(ingresos!$D:$D,ingresos!$F:$F,saldos!$A167,ingresos!$G:$G,saldos!Q$6)</f>
        <v>0</v>
      </c>
      <c r="R167" s="26">
        <f t="shared" si="6"/>
        <v>0</v>
      </c>
      <c r="T167" s="26">
        <f t="shared" si="7"/>
        <v>0</v>
      </c>
      <c r="U167" s="26">
        <f t="shared" si="8"/>
        <v>0</v>
      </c>
    </row>
    <row r="168" spans="1:21" x14ac:dyDescent="0.25">
      <c r="A168" s="17" t="s">
        <v>1949</v>
      </c>
      <c r="B168" s="17" t="s">
        <v>1950</v>
      </c>
      <c r="C168" s="17" t="s">
        <v>1951</v>
      </c>
      <c r="D168" s="25">
        <f>cuotas_emitidas!D163-SUMIFS(ingresos!$D:$D,ingresos!$F:$F,saldos!$A168,ingresos!$G:$G,saldos!D$6)</f>
        <v>0</v>
      </c>
      <c r="E168" s="25">
        <f>cuotas_emitidas!E163-SUMIFS(ingresos!$D:$D,ingresos!$F:$F,saldos!$A168,ingresos!$G:$G,saldos!E$6)</f>
        <v>0</v>
      </c>
      <c r="F168" s="25">
        <f>cuotas_emitidas!F163-SUMIFS(ingresos!$D:$D,ingresos!$F:$F,saldos!$A168,ingresos!$G:$G,saldos!F$6)</f>
        <v>0</v>
      </c>
      <c r="G168" s="25">
        <f>cuotas_emitidas!G163-SUMIFS(ingresos!$D:$D,ingresos!$F:$F,saldos!$A168,ingresos!$G:$G,saldos!G$6)</f>
        <v>0</v>
      </c>
      <c r="H168" s="25">
        <f>cuotas_emitidas!H163-SUMIFS(ingresos!$D:$D,ingresos!$F:$F,saldos!$A168,ingresos!$G:$G,saldos!H$6)</f>
        <v>0</v>
      </c>
      <c r="I168" s="25">
        <f>cuotas_emitidas!I163-SUMIFS(ingresos!$D:$D,ingresos!$F:$F,saldos!$A168,ingresos!$G:$G,saldos!I$6)</f>
        <v>0</v>
      </c>
      <c r="J168" s="25">
        <f>cuotas_emitidas!J163-SUMIFS(ingresos!$D:$D,ingresos!$F:$F,saldos!$A168,ingresos!$G:$G,saldos!J$6)</f>
        <v>0</v>
      </c>
      <c r="K168" s="25">
        <f>cuotas_emitidas!K163-SUMIFS(ingresos!$D:$D,ingresos!$F:$F,saldos!$A168,ingresos!$G:$G,saldos!K$6)</f>
        <v>0</v>
      </c>
      <c r="L168" s="25">
        <f>cuotas_emitidas!L163-SUMIFS(ingresos!$D:$D,ingresos!$F:$F,saldos!$A168,ingresos!$G:$G,saldos!L$6)</f>
        <v>0</v>
      </c>
      <c r="M168" s="25">
        <f>cuotas_emitidas!M163-SUMIFS(ingresos!$D:$D,ingresos!$F:$F,saldos!$A168,ingresos!$G:$G,saldos!M$6)</f>
        <v>0</v>
      </c>
      <c r="N168" s="25">
        <f>cuotas_emitidas!N163-SUMIFS(ingresos!$D:$D,ingresos!$F:$F,saldos!$A168,ingresos!$G:$G,saldos!N$6)</f>
        <v>0</v>
      </c>
      <c r="O168" s="25">
        <f>cuotas_emitidas!O163-SUMIFS(ingresos!$D:$D,ingresos!$F:$F,saldos!$A168,ingresos!$G:$G,saldos!O$6)</f>
        <v>0</v>
      </c>
      <c r="P168" s="25">
        <f>cuotas_emitidas!P163-SUMIFS(ingresos!$D:$D,ingresos!$F:$F,saldos!$A168,ingresos!$G:$G,saldos!P$6)</f>
        <v>0</v>
      </c>
      <c r="Q168" s="25">
        <f>cuotas_emitidas!Q163-SUMIFS(ingresos!$D:$D,ingresos!$F:$F,saldos!$A168,ingresos!$G:$G,saldos!Q$6)</f>
        <v>563.94000000000005</v>
      </c>
      <c r="R168" s="26">
        <f t="shared" si="6"/>
        <v>563.94000000000005</v>
      </c>
      <c r="T168" s="26">
        <f t="shared" si="7"/>
        <v>563.94000000000005</v>
      </c>
      <c r="U168" s="26">
        <f t="shared" si="8"/>
        <v>0</v>
      </c>
    </row>
    <row r="169" spans="1:21" x14ac:dyDescent="0.25">
      <c r="A169" s="17" t="s">
        <v>1952</v>
      </c>
      <c r="B169" s="17" t="s">
        <v>1953</v>
      </c>
      <c r="C169" s="17" t="s">
        <v>1954</v>
      </c>
      <c r="D169" s="25">
        <f>cuotas_emitidas!D164-SUMIFS(ingresos!$D:$D,ingresos!$F:$F,saldos!$A169,ingresos!$G:$G,saldos!D$6)</f>
        <v>0</v>
      </c>
      <c r="E169" s="25">
        <f>cuotas_emitidas!E164-SUMIFS(ingresos!$D:$D,ingresos!$F:$F,saldos!$A169,ingresos!$G:$G,saldos!E$6)</f>
        <v>0</v>
      </c>
      <c r="F169" s="25">
        <f>cuotas_emitidas!F164-SUMIFS(ingresos!$D:$D,ingresos!$F:$F,saldos!$A169,ingresos!$G:$G,saldos!F$6)</f>
        <v>0</v>
      </c>
      <c r="G169" s="25">
        <f>cuotas_emitidas!G164-SUMIFS(ingresos!$D:$D,ingresos!$F:$F,saldos!$A169,ingresos!$G:$G,saldos!G$6)</f>
        <v>0</v>
      </c>
      <c r="H169" s="25">
        <f>cuotas_emitidas!H164-SUMIFS(ingresos!$D:$D,ingresos!$F:$F,saldos!$A169,ingresos!$G:$G,saldos!H$6)</f>
        <v>0</v>
      </c>
      <c r="I169" s="25">
        <f>cuotas_emitidas!I164-SUMIFS(ingresos!$D:$D,ingresos!$F:$F,saldos!$A169,ingresos!$G:$G,saldos!I$6)</f>
        <v>0</v>
      </c>
      <c r="J169" s="25">
        <f>cuotas_emitidas!J164-SUMIFS(ingresos!$D:$D,ingresos!$F:$F,saldos!$A169,ingresos!$G:$G,saldos!J$6)</f>
        <v>0</v>
      </c>
      <c r="K169" s="25">
        <f>cuotas_emitidas!K164-SUMIFS(ingresos!$D:$D,ingresos!$F:$F,saldos!$A169,ingresos!$G:$G,saldos!K$6)</f>
        <v>0</v>
      </c>
      <c r="L169" s="25">
        <f>cuotas_emitidas!L164-SUMIFS(ingresos!$D:$D,ingresos!$F:$F,saldos!$A169,ingresos!$G:$G,saldos!L$6)</f>
        <v>0</v>
      </c>
      <c r="M169" s="25">
        <f>cuotas_emitidas!M164-SUMIFS(ingresos!$D:$D,ingresos!$F:$F,saldos!$A169,ingresos!$G:$G,saldos!M$6)</f>
        <v>0</v>
      </c>
      <c r="N169" s="25">
        <f>cuotas_emitidas!N164-SUMIFS(ingresos!$D:$D,ingresos!$F:$F,saldos!$A169,ingresos!$G:$G,saldos!N$6)</f>
        <v>0</v>
      </c>
      <c r="O169" s="25">
        <f>cuotas_emitidas!O164-SUMIFS(ingresos!$D:$D,ingresos!$F:$F,saldos!$A169,ingresos!$G:$G,saldos!O$6)</f>
        <v>0</v>
      </c>
      <c r="P169" s="25">
        <f>cuotas_emitidas!P164-SUMIFS(ingresos!$D:$D,ingresos!$F:$F,saldos!$A169,ingresos!$G:$G,saldos!P$6)</f>
        <v>0</v>
      </c>
      <c r="Q169" s="25">
        <f>cuotas_emitidas!Q164-SUMIFS(ingresos!$D:$D,ingresos!$F:$F,saldos!$A169,ingresos!$G:$G,saldos!Q$6)</f>
        <v>0</v>
      </c>
      <c r="R169" s="26">
        <f t="shared" si="6"/>
        <v>0</v>
      </c>
      <c r="T169" s="26">
        <f t="shared" si="7"/>
        <v>0</v>
      </c>
      <c r="U169" s="26">
        <f t="shared" si="8"/>
        <v>0</v>
      </c>
    </row>
    <row r="170" spans="1:21" x14ac:dyDescent="0.25">
      <c r="A170" s="17" t="s">
        <v>1955</v>
      </c>
      <c r="B170" s="17" t="s">
        <v>1956</v>
      </c>
      <c r="C170" s="17" t="s">
        <v>1957</v>
      </c>
      <c r="D170" s="25">
        <f>cuotas_emitidas!D165-SUMIFS(ingresos!$D:$D,ingresos!$F:$F,saldos!$A170,ingresos!$G:$G,saldos!D$6)</f>
        <v>0</v>
      </c>
      <c r="E170" s="25">
        <f>cuotas_emitidas!E165-SUMIFS(ingresos!$D:$D,ingresos!$F:$F,saldos!$A170,ingresos!$G:$G,saldos!E$6)</f>
        <v>0</v>
      </c>
      <c r="F170" s="25">
        <f>cuotas_emitidas!F165-SUMIFS(ingresos!$D:$D,ingresos!$F:$F,saldos!$A170,ingresos!$G:$G,saldos!F$6)</f>
        <v>0</v>
      </c>
      <c r="G170" s="25">
        <f>cuotas_emitidas!G165-SUMIFS(ingresos!$D:$D,ingresos!$F:$F,saldos!$A170,ingresos!$G:$G,saldos!G$6)</f>
        <v>0</v>
      </c>
      <c r="H170" s="25">
        <f>cuotas_emitidas!H165-SUMIFS(ingresos!$D:$D,ingresos!$F:$F,saldos!$A170,ingresos!$G:$G,saldos!H$6)</f>
        <v>0</v>
      </c>
      <c r="I170" s="25">
        <f>cuotas_emitidas!I165-SUMIFS(ingresos!$D:$D,ingresos!$F:$F,saldos!$A170,ingresos!$G:$G,saldos!I$6)</f>
        <v>0</v>
      </c>
      <c r="J170" s="25">
        <f>cuotas_emitidas!J165-SUMIFS(ingresos!$D:$D,ingresos!$F:$F,saldos!$A170,ingresos!$G:$G,saldos!J$6)</f>
        <v>0</v>
      </c>
      <c r="K170" s="25">
        <f>cuotas_emitidas!K165-SUMIFS(ingresos!$D:$D,ingresos!$F:$F,saldos!$A170,ingresos!$G:$G,saldos!K$6)</f>
        <v>0</v>
      </c>
      <c r="L170" s="25">
        <f>cuotas_emitidas!L165-SUMIFS(ingresos!$D:$D,ingresos!$F:$F,saldos!$A170,ingresos!$G:$G,saldos!L$6)</f>
        <v>0</v>
      </c>
      <c r="M170" s="25">
        <f>cuotas_emitidas!M165-SUMIFS(ingresos!$D:$D,ingresos!$F:$F,saldos!$A170,ingresos!$G:$G,saldos!M$6)</f>
        <v>0</v>
      </c>
      <c r="N170" s="25">
        <f>cuotas_emitidas!N165-SUMIFS(ingresos!$D:$D,ingresos!$F:$F,saldos!$A170,ingresos!$G:$G,saldos!N$6)</f>
        <v>0</v>
      </c>
      <c r="O170" s="25">
        <f>cuotas_emitidas!O165-SUMIFS(ingresos!$D:$D,ingresos!$F:$F,saldos!$A170,ingresos!$G:$G,saldos!O$6)</f>
        <v>0</v>
      </c>
      <c r="P170" s="25">
        <f>cuotas_emitidas!P165-SUMIFS(ingresos!$D:$D,ingresos!$F:$F,saldos!$A170,ingresos!$G:$G,saldos!P$6)</f>
        <v>0</v>
      </c>
      <c r="Q170" s="25">
        <f>cuotas_emitidas!Q165-SUMIFS(ingresos!$D:$D,ingresos!$F:$F,saldos!$A170,ingresos!$G:$G,saldos!Q$6)</f>
        <v>0</v>
      </c>
      <c r="R170" s="26">
        <f t="shared" si="6"/>
        <v>0</v>
      </c>
      <c r="T170" s="26">
        <f t="shared" si="7"/>
        <v>0</v>
      </c>
      <c r="U170" s="26">
        <f t="shared" si="8"/>
        <v>0</v>
      </c>
    </row>
    <row r="171" spans="1:21" x14ac:dyDescent="0.25">
      <c r="A171" s="17" t="s">
        <v>1958</v>
      </c>
      <c r="B171" s="17" t="s">
        <v>1959</v>
      </c>
      <c r="C171" s="17" t="s">
        <v>1960</v>
      </c>
      <c r="D171" s="25">
        <f>cuotas_emitidas!D166-SUMIFS(ingresos!$D:$D,ingresos!$F:$F,saldos!$A171,ingresos!$G:$G,saldos!D$6)</f>
        <v>0</v>
      </c>
      <c r="E171" s="25">
        <f>cuotas_emitidas!E166-SUMIFS(ingresos!$D:$D,ingresos!$F:$F,saldos!$A171,ingresos!$G:$G,saldos!E$6)</f>
        <v>0</v>
      </c>
      <c r="F171" s="25">
        <f>cuotas_emitidas!F166-SUMIFS(ingresos!$D:$D,ingresos!$F:$F,saldos!$A171,ingresos!$G:$G,saldos!F$6)</f>
        <v>0</v>
      </c>
      <c r="G171" s="25">
        <f>cuotas_emitidas!G166-SUMIFS(ingresos!$D:$D,ingresos!$F:$F,saldos!$A171,ingresos!$G:$G,saldos!G$6)</f>
        <v>0</v>
      </c>
      <c r="H171" s="25">
        <f>cuotas_emitidas!H166-SUMIFS(ingresos!$D:$D,ingresos!$F:$F,saldos!$A171,ingresos!$G:$G,saldos!H$6)</f>
        <v>0</v>
      </c>
      <c r="I171" s="25">
        <f>cuotas_emitidas!I166-SUMIFS(ingresos!$D:$D,ingresos!$F:$F,saldos!$A171,ingresos!$G:$G,saldos!I$6)</f>
        <v>0</v>
      </c>
      <c r="J171" s="25">
        <f>cuotas_emitidas!J166-SUMIFS(ingresos!$D:$D,ingresos!$F:$F,saldos!$A171,ingresos!$G:$G,saldos!J$6)</f>
        <v>0</v>
      </c>
      <c r="K171" s="25">
        <f>cuotas_emitidas!K166-SUMIFS(ingresos!$D:$D,ingresos!$F:$F,saldos!$A171,ingresos!$G:$G,saldos!K$6)</f>
        <v>0</v>
      </c>
      <c r="L171" s="25">
        <f>cuotas_emitidas!L166-SUMIFS(ingresos!$D:$D,ingresos!$F:$F,saldos!$A171,ingresos!$G:$G,saldos!L$6)</f>
        <v>0</v>
      </c>
      <c r="M171" s="25">
        <f>cuotas_emitidas!M166-SUMIFS(ingresos!$D:$D,ingresos!$F:$F,saldos!$A171,ingresos!$G:$G,saldos!M$6)</f>
        <v>0</v>
      </c>
      <c r="N171" s="25">
        <f>cuotas_emitidas!N166-SUMIFS(ingresos!$D:$D,ingresos!$F:$F,saldos!$A171,ingresos!$G:$G,saldos!N$6)</f>
        <v>0</v>
      </c>
      <c r="O171" s="25">
        <f>cuotas_emitidas!O166-SUMIFS(ingresos!$D:$D,ingresos!$F:$F,saldos!$A171,ingresos!$G:$G,saldos!O$6)</f>
        <v>0</v>
      </c>
      <c r="P171" s="25">
        <f>cuotas_emitidas!P166-SUMIFS(ingresos!$D:$D,ingresos!$F:$F,saldos!$A171,ingresos!$G:$G,saldos!P$6)</f>
        <v>365.88</v>
      </c>
      <c r="Q171" s="25">
        <f>cuotas_emitidas!Q166-SUMIFS(ingresos!$D:$D,ingresos!$F:$F,saldos!$A171,ingresos!$G:$G,saldos!Q$6)</f>
        <v>365.88</v>
      </c>
      <c r="R171" s="26">
        <f t="shared" si="6"/>
        <v>731.76</v>
      </c>
      <c r="T171" s="26">
        <f t="shared" si="7"/>
        <v>365.88</v>
      </c>
      <c r="U171" s="26">
        <f t="shared" si="8"/>
        <v>365.88</v>
      </c>
    </row>
    <row r="172" spans="1:21" x14ac:dyDescent="0.25">
      <c r="A172" s="17" t="s">
        <v>1961</v>
      </c>
      <c r="B172" s="17" t="s">
        <v>1295</v>
      </c>
      <c r="C172" s="17" t="s">
        <v>1962</v>
      </c>
      <c r="D172" s="25">
        <f>cuotas_emitidas!D167-SUMIFS(ingresos!$D:$D,ingresos!$F:$F,saldos!$A172,ingresos!$G:$G,saldos!D$6)</f>
        <v>0</v>
      </c>
      <c r="E172" s="25">
        <f>cuotas_emitidas!E167-SUMIFS(ingresos!$D:$D,ingresos!$F:$F,saldos!$A172,ingresos!$G:$G,saldos!E$6)</f>
        <v>0</v>
      </c>
      <c r="F172" s="25">
        <f>cuotas_emitidas!F167-SUMIFS(ingresos!$D:$D,ingresos!$F:$F,saldos!$A172,ingresos!$G:$G,saldos!F$6)</f>
        <v>0</v>
      </c>
      <c r="G172" s="25">
        <f>cuotas_emitidas!G167-SUMIFS(ingresos!$D:$D,ingresos!$F:$F,saldos!$A172,ingresos!$G:$G,saldos!G$6)</f>
        <v>0</v>
      </c>
      <c r="H172" s="25">
        <f>cuotas_emitidas!H167-SUMIFS(ingresos!$D:$D,ingresos!$F:$F,saldos!$A172,ingresos!$G:$G,saldos!H$6)</f>
        <v>0</v>
      </c>
      <c r="I172" s="25">
        <f>cuotas_emitidas!I167-SUMIFS(ingresos!$D:$D,ingresos!$F:$F,saldos!$A172,ingresos!$G:$G,saldos!I$6)</f>
        <v>0</v>
      </c>
      <c r="J172" s="25">
        <f>cuotas_emitidas!J167-SUMIFS(ingresos!$D:$D,ingresos!$F:$F,saldos!$A172,ingresos!$G:$G,saldos!J$6)</f>
        <v>0</v>
      </c>
      <c r="K172" s="25">
        <f>cuotas_emitidas!K167-SUMIFS(ingresos!$D:$D,ingresos!$F:$F,saldos!$A172,ingresos!$G:$G,saldos!K$6)</f>
        <v>0</v>
      </c>
      <c r="L172" s="25">
        <f>cuotas_emitidas!L167-SUMIFS(ingresos!$D:$D,ingresos!$F:$F,saldos!$A172,ingresos!$G:$G,saldos!L$6)</f>
        <v>0</v>
      </c>
      <c r="M172" s="25">
        <f>cuotas_emitidas!M167-SUMIFS(ingresos!$D:$D,ingresos!$F:$F,saldos!$A172,ingresos!$G:$G,saldos!M$6)</f>
        <v>0</v>
      </c>
      <c r="N172" s="25">
        <f>cuotas_emitidas!N167-SUMIFS(ingresos!$D:$D,ingresos!$F:$F,saldos!$A172,ingresos!$G:$G,saldos!N$6)</f>
        <v>0</v>
      </c>
      <c r="O172" s="25">
        <f>cuotas_emitidas!O167-SUMIFS(ingresos!$D:$D,ingresos!$F:$F,saldos!$A172,ingresos!$G:$G,saldos!O$6)</f>
        <v>0</v>
      </c>
      <c r="P172" s="25">
        <f>cuotas_emitidas!P167-SUMIFS(ingresos!$D:$D,ingresos!$F:$F,saldos!$A172,ingresos!$G:$G,saldos!P$6)</f>
        <v>0</v>
      </c>
      <c r="Q172" s="25">
        <f>cuotas_emitidas!Q167-SUMIFS(ingresos!$D:$D,ingresos!$F:$F,saldos!$A172,ingresos!$G:$G,saldos!Q$6)</f>
        <v>0</v>
      </c>
      <c r="R172" s="26">
        <f t="shared" si="6"/>
        <v>0</v>
      </c>
      <c r="T172" s="26">
        <f t="shared" si="7"/>
        <v>0</v>
      </c>
      <c r="U172" s="26">
        <f t="shared" si="8"/>
        <v>0</v>
      </c>
    </row>
    <row r="173" spans="1:21" x14ac:dyDescent="0.25">
      <c r="A173" s="17" t="s">
        <v>1963</v>
      </c>
      <c r="B173" s="17" t="s">
        <v>1964</v>
      </c>
      <c r="C173" s="17" t="s">
        <v>1965</v>
      </c>
      <c r="D173" s="25">
        <f>cuotas_emitidas!D168-SUMIFS(ingresos!$D:$D,ingresos!$F:$F,saldos!$A173,ingresos!$G:$G,saldos!D$6)</f>
        <v>0</v>
      </c>
      <c r="E173" s="25">
        <f>cuotas_emitidas!E168-SUMIFS(ingresos!$D:$D,ingresos!$F:$F,saldos!$A173,ingresos!$G:$G,saldos!E$6)</f>
        <v>0</v>
      </c>
      <c r="F173" s="25">
        <f>cuotas_emitidas!F168-SUMIFS(ingresos!$D:$D,ingresos!$F:$F,saldos!$A173,ingresos!$G:$G,saldos!F$6)</f>
        <v>0</v>
      </c>
      <c r="G173" s="25">
        <f>cuotas_emitidas!G168-SUMIFS(ingresos!$D:$D,ingresos!$F:$F,saldos!$A173,ingresos!$G:$G,saldos!G$6)</f>
        <v>0</v>
      </c>
      <c r="H173" s="25">
        <f>cuotas_emitidas!H168-SUMIFS(ingresos!$D:$D,ingresos!$F:$F,saldos!$A173,ingresos!$G:$G,saldos!H$6)</f>
        <v>0</v>
      </c>
      <c r="I173" s="25">
        <f>cuotas_emitidas!I168-SUMIFS(ingresos!$D:$D,ingresos!$F:$F,saldos!$A173,ingresos!$G:$G,saldos!I$6)</f>
        <v>0</v>
      </c>
      <c r="J173" s="25">
        <f>cuotas_emitidas!J168-SUMIFS(ingresos!$D:$D,ingresos!$F:$F,saldos!$A173,ingresos!$G:$G,saldos!J$6)</f>
        <v>0</v>
      </c>
      <c r="K173" s="25">
        <f>cuotas_emitidas!K168-SUMIFS(ingresos!$D:$D,ingresos!$F:$F,saldos!$A173,ingresos!$G:$G,saldos!K$6)</f>
        <v>0</v>
      </c>
      <c r="L173" s="25">
        <f>cuotas_emitidas!L168-SUMIFS(ingresos!$D:$D,ingresos!$F:$F,saldos!$A173,ingresos!$G:$G,saldos!L$6)</f>
        <v>0</v>
      </c>
      <c r="M173" s="25">
        <f>cuotas_emitidas!M168-SUMIFS(ingresos!$D:$D,ingresos!$F:$F,saldos!$A173,ingresos!$G:$G,saldos!M$6)</f>
        <v>0</v>
      </c>
      <c r="N173" s="25">
        <f>cuotas_emitidas!N168-SUMIFS(ingresos!$D:$D,ingresos!$F:$F,saldos!$A173,ingresos!$G:$G,saldos!N$6)</f>
        <v>0</v>
      </c>
      <c r="O173" s="25">
        <f>cuotas_emitidas!O168-SUMIFS(ingresos!$D:$D,ingresos!$F:$F,saldos!$A173,ingresos!$G:$G,saldos!O$6)</f>
        <v>14.810000000000002</v>
      </c>
      <c r="P173" s="25">
        <f>cuotas_emitidas!P168-SUMIFS(ingresos!$D:$D,ingresos!$F:$F,saldos!$A173,ingresos!$G:$G,saldos!P$6)</f>
        <v>9.0500000000000114</v>
      </c>
      <c r="Q173" s="25">
        <f>cuotas_emitidas!Q168-SUMIFS(ingresos!$D:$D,ingresos!$F:$F,saldos!$A173,ingresos!$G:$G,saldos!Q$6)</f>
        <v>12.419999999999987</v>
      </c>
      <c r="R173" s="26">
        <f t="shared" si="6"/>
        <v>36.28</v>
      </c>
      <c r="T173" s="26">
        <f t="shared" si="7"/>
        <v>12.419999999999987</v>
      </c>
      <c r="U173" s="26">
        <f t="shared" si="8"/>
        <v>23.860000000000014</v>
      </c>
    </row>
    <row r="174" spans="1:21" x14ac:dyDescent="0.25">
      <c r="A174" s="17" t="s">
        <v>1966</v>
      </c>
      <c r="B174" s="17" t="s">
        <v>1967</v>
      </c>
      <c r="C174" s="17" t="s">
        <v>1968</v>
      </c>
      <c r="D174" s="25">
        <f>cuotas_emitidas!D169-SUMIFS(ingresos!$D:$D,ingresos!$F:$F,saldos!$A174,ingresos!$G:$G,saldos!D$6)</f>
        <v>0</v>
      </c>
      <c r="E174" s="25">
        <f>cuotas_emitidas!E169-SUMIFS(ingresos!$D:$D,ingresos!$F:$F,saldos!$A174,ingresos!$G:$G,saldos!E$6)</f>
        <v>0</v>
      </c>
      <c r="F174" s="25">
        <f>cuotas_emitidas!F169-SUMIFS(ingresos!$D:$D,ingresos!$F:$F,saldos!$A174,ingresos!$G:$G,saldos!F$6)</f>
        <v>0</v>
      </c>
      <c r="G174" s="25">
        <f>cuotas_emitidas!G169-SUMIFS(ingresos!$D:$D,ingresos!$F:$F,saldos!$A174,ingresos!$G:$G,saldos!G$6)</f>
        <v>0</v>
      </c>
      <c r="H174" s="25">
        <f>cuotas_emitidas!H169-SUMIFS(ingresos!$D:$D,ingresos!$F:$F,saldos!$A174,ingresos!$G:$G,saldos!H$6)</f>
        <v>0</v>
      </c>
      <c r="I174" s="25">
        <f>cuotas_emitidas!I169-SUMIFS(ingresos!$D:$D,ingresos!$F:$F,saldos!$A174,ingresos!$G:$G,saldos!I$6)</f>
        <v>0</v>
      </c>
      <c r="J174" s="25">
        <f>cuotas_emitidas!J169-SUMIFS(ingresos!$D:$D,ingresos!$F:$F,saldos!$A174,ingresos!$G:$G,saldos!J$6)</f>
        <v>0</v>
      </c>
      <c r="K174" s="25">
        <f>cuotas_emitidas!K169-SUMIFS(ingresos!$D:$D,ingresos!$F:$F,saldos!$A174,ingresos!$G:$G,saldos!K$6)</f>
        <v>0</v>
      </c>
      <c r="L174" s="25">
        <f>cuotas_emitidas!L169-SUMIFS(ingresos!$D:$D,ingresos!$F:$F,saldos!$A174,ingresos!$G:$G,saldos!L$6)</f>
        <v>0</v>
      </c>
      <c r="M174" s="25">
        <f>cuotas_emitidas!M169-SUMIFS(ingresos!$D:$D,ingresos!$F:$F,saldos!$A174,ingresos!$G:$G,saldos!M$6)</f>
        <v>0</v>
      </c>
      <c r="N174" s="25">
        <f>cuotas_emitidas!N169-SUMIFS(ingresos!$D:$D,ingresos!$F:$F,saldos!$A174,ingresos!$G:$G,saldos!N$6)</f>
        <v>0</v>
      </c>
      <c r="O174" s="25">
        <f>cuotas_emitidas!O169-SUMIFS(ingresos!$D:$D,ingresos!$F:$F,saldos!$A174,ingresos!$G:$G,saldos!O$6)</f>
        <v>0</v>
      </c>
      <c r="P174" s="25">
        <f>cuotas_emitidas!P169-SUMIFS(ingresos!$D:$D,ingresos!$F:$F,saldos!$A174,ingresos!$G:$G,saldos!P$6)</f>
        <v>0</v>
      </c>
      <c r="Q174" s="25">
        <f>cuotas_emitidas!Q169-SUMIFS(ingresos!$D:$D,ingresos!$F:$F,saldos!$A174,ingresos!$G:$G,saldos!Q$6)</f>
        <v>254.43</v>
      </c>
      <c r="R174" s="26">
        <f t="shared" si="6"/>
        <v>254.43</v>
      </c>
      <c r="T174" s="26">
        <f t="shared" si="7"/>
        <v>254.43</v>
      </c>
      <c r="U174" s="26">
        <f t="shared" si="8"/>
        <v>0</v>
      </c>
    </row>
    <row r="175" spans="1:21" x14ac:dyDescent="0.25">
      <c r="A175" s="17" t="s">
        <v>1969</v>
      </c>
      <c r="B175" s="17" t="s">
        <v>1970</v>
      </c>
      <c r="C175" s="17" t="s">
        <v>1971</v>
      </c>
      <c r="D175" s="25">
        <f>cuotas_emitidas!D170-SUMIFS(ingresos!$D:$D,ingresos!$F:$F,saldos!$A175,ingresos!$G:$G,saldos!D$6)</f>
        <v>0</v>
      </c>
      <c r="E175" s="25">
        <f>cuotas_emitidas!E170-SUMIFS(ingresos!$D:$D,ingresos!$F:$F,saldos!$A175,ingresos!$G:$G,saldos!E$6)</f>
        <v>0</v>
      </c>
      <c r="F175" s="25">
        <f>cuotas_emitidas!F170-SUMIFS(ingresos!$D:$D,ingresos!$F:$F,saldos!$A175,ingresos!$G:$G,saldos!F$6)</f>
        <v>0</v>
      </c>
      <c r="G175" s="25">
        <f>cuotas_emitidas!G170-SUMIFS(ingresos!$D:$D,ingresos!$F:$F,saldos!$A175,ingresos!$G:$G,saldos!G$6)</f>
        <v>0</v>
      </c>
      <c r="H175" s="25">
        <f>cuotas_emitidas!H170-SUMIFS(ingresos!$D:$D,ingresos!$F:$F,saldos!$A175,ingresos!$G:$G,saldos!H$6)</f>
        <v>0</v>
      </c>
      <c r="I175" s="25">
        <f>cuotas_emitidas!I170-SUMIFS(ingresos!$D:$D,ingresos!$F:$F,saldos!$A175,ingresos!$G:$G,saldos!I$6)</f>
        <v>0</v>
      </c>
      <c r="J175" s="25">
        <f>cuotas_emitidas!J170-SUMIFS(ingresos!$D:$D,ingresos!$F:$F,saldos!$A175,ingresos!$G:$G,saldos!J$6)</f>
        <v>0</v>
      </c>
      <c r="K175" s="25">
        <f>cuotas_emitidas!K170-SUMIFS(ingresos!$D:$D,ingresos!$F:$F,saldos!$A175,ingresos!$G:$G,saldos!K$6)</f>
        <v>0</v>
      </c>
      <c r="L175" s="25">
        <f>cuotas_emitidas!L170-SUMIFS(ingresos!$D:$D,ingresos!$F:$F,saldos!$A175,ingresos!$G:$G,saldos!L$6)</f>
        <v>175.57</v>
      </c>
      <c r="M175" s="25">
        <f>cuotas_emitidas!M170-SUMIFS(ingresos!$D:$D,ingresos!$F:$F,saldos!$A175,ingresos!$G:$G,saldos!M$6)</f>
        <v>0</v>
      </c>
      <c r="N175" s="25">
        <f>cuotas_emitidas!N170-SUMIFS(ingresos!$D:$D,ingresos!$F:$F,saldos!$A175,ingresos!$G:$G,saldos!N$6)</f>
        <v>0</v>
      </c>
      <c r="O175" s="25">
        <f>cuotas_emitidas!O170-SUMIFS(ingresos!$D:$D,ingresos!$F:$F,saldos!$A175,ingresos!$G:$G,saldos!O$6)</f>
        <v>14.52000000000001</v>
      </c>
      <c r="P175" s="25">
        <f>cuotas_emitidas!P170-SUMIFS(ingresos!$D:$D,ingresos!$F:$F,saldos!$A175,ingresos!$G:$G,saldos!P$6)</f>
        <v>182.41</v>
      </c>
      <c r="Q175" s="25">
        <f>cuotas_emitidas!Q170-SUMIFS(ingresos!$D:$D,ingresos!$F:$F,saldos!$A175,ingresos!$G:$G,saldos!Q$6)</f>
        <v>182.85</v>
      </c>
      <c r="R175" s="26">
        <f t="shared" si="6"/>
        <v>555.35</v>
      </c>
      <c r="T175" s="26">
        <f t="shared" si="7"/>
        <v>182.85</v>
      </c>
      <c r="U175" s="26">
        <f t="shared" si="8"/>
        <v>372.5</v>
      </c>
    </row>
    <row r="176" spans="1:21" x14ac:dyDescent="0.25">
      <c r="A176" s="17" t="s">
        <v>1972</v>
      </c>
      <c r="B176" s="17" t="s">
        <v>1973</v>
      </c>
      <c r="C176" s="17" t="s">
        <v>1974</v>
      </c>
      <c r="D176" s="25">
        <f>cuotas_emitidas!D171-SUMIFS(ingresos!$D:$D,ingresos!$F:$F,saldos!$A176,ingresos!$G:$G,saldos!D$6)</f>
        <v>0</v>
      </c>
      <c r="E176" s="25">
        <f>cuotas_emitidas!E171-SUMIFS(ingresos!$D:$D,ingresos!$F:$F,saldos!$A176,ingresos!$G:$G,saldos!E$6)</f>
        <v>0</v>
      </c>
      <c r="F176" s="25">
        <f>cuotas_emitidas!F171-SUMIFS(ingresos!$D:$D,ingresos!$F:$F,saldos!$A176,ingresos!$G:$G,saldos!F$6)</f>
        <v>0</v>
      </c>
      <c r="G176" s="25">
        <f>cuotas_emitidas!G171-SUMIFS(ingresos!$D:$D,ingresos!$F:$F,saldos!$A176,ingresos!$G:$G,saldos!G$6)</f>
        <v>0</v>
      </c>
      <c r="H176" s="25">
        <f>cuotas_emitidas!H171-SUMIFS(ingresos!$D:$D,ingresos!$F:$F,saldos!$A176,ingresos!$G:$G,saldos!H$6)</f>
        <v>0</v>
      </c>
      <c r="I176" s="25">
        <f>cuotas_emitidas!I171-SUMIFS(ingresos!$D:$D,ingresos!$F:$F,saldos!$A176,ingresos!$G:$G,saldos!I$6)</f>
        <v>0</v>
      </c>
      <c r="J176" s="25">
        <f>cuotas_emitidas!J171-SUMIFS(ingresos!$D:$D,ingresos!$F:$F,saldos!$A176,ingresos!$G:$G,saldos!J$6)</f>
        <v>0</v>
      </c>
      <c r="K176" s="25">
        <f>cuotas_emitidas!K171-SUMIFS(ingresos!$D:$D,ingresos!$F:$F,saldos!$A176,ingresos!$G:$G,saldos!K$6)</f>
        <v>0</v>
      </c>
      <c r="L176" s="25">
        <f>cuotas_emitidas!L171-SUMIFS(ingresos!$D:$D,ingresos!$F:$F,saldos!$A176,ingresos!$G:$G,saldos!L$6)</f>
        <v>0</v>
      </c>
      <c r="M176" s="25">
        <f>cuotas_emitidas!M171-SUMIFS(ingresos!$D:$D,ingresos!$F:$F,saldos!$A176,ingresos!$G:$G,saldos!M$6)</f>
        <v>0</v>
      </c>
      <c r="N176" s="25">
        <f>cuotas_emitidas!N171-SUMIFS(ingresos!$D:$D,ingresos!$F:$F,saldos!$A176,ingresos!$G:$G,saldos!N$6)</f>
        <v>0</v>
      </c>
      <c r="O176" s="25">
        <f>cuotas_emitidas!O171-SUMIFS(ingresos!$D:$D,ingresos!$F:$F,saldos!$A176,ingresos!$G:$G,saldos!O$6)</f>
        <v>0</v>
      </c>
      <c r="P176" s="25">
        <f>cuotas_emitidas!P171-SUMIFS(ingresos!$D:$D,ingresos!$F:$F,saldos!$A176,ingresos!$G:$G,saldos!P$6)</f>
        <v>0</v>
      </c>
      <c r="Q176" s="25">
        <f>cuotas_emitidas!Q171-SUMIFS(ingresos!$D:$D,ingresos!$F:$F,saldos!$A176,ingresos!$G:$G,saldos!Q$6)</f>
        <v>173.91</v>
      </c>
      <c r="R176" s="26">
        <f t="shared" si="6"/>
        <v>173.91</v>
      </c>
      <c r="T176" s="26">
        <f t="shared" si="7"/>
        <v>173.91</v>
      </c>
      <c r="U176" s="26">
        <f t="shared" si="8"/>
        <v>0</v>
      </c>
    </row>
    <row r="177" spans="1:21" x14ac:dyDescent="0.25">
      <c r="A177" s="17" t="s">
        <v>1975</v>
      </c>
      <c r="B177" s="17" t="s">
        <v>1976</v>
      </c>
      <c r="C177" s="17" t="s">
        <v>1977</v>
      </c>
      <c r="D177" s="25">
        <f>cuotas_emitidas!D172-SUMIFS(ingresos!$D:$D,ingresos!$F:$F,saldos!$A177,ingresos!$G:$G,saldos!D$6)</f>
        <v>0</v>
      </c>
      <c r="E177" s="25">
        <f>cuotas_emitidas!E172-SUMIFS(ingresos!$D:$D,ingresos!$F:$F,saldos!$A177,ingresos!$G:$G,saldos!E$6)</f>
        <v>0</v>
      </c>
      <c r="F177" s="25">
        <f>cuotas_emitidas!F172-SUMIFS(ingresos!$D:$D,ingresos!$F:$F,saldos!$A177,ingresos!$G:$G,saldos!F$6)</f>
        <v>0</v>
      </c>
      <c r="G177" s="25">
        <f>cuotas_emitidas!G172-SUMIFS(ingresos!$D:$D,ingresos!$F:$F,saldos!$A177,ingresos!$G:$G,saldos!G$6)</f>
        <v>0</v>
      </c>
      <c r="H177" s="25">
        <f>cuotas_emitidas!H172-SUMIFS(ingresos!$D:$D,ingresos!$F:$F,saldos!$A177,ingresos!$G:$G,saldos!H$6)</f>
        <v>0</v>
      </c>
      <c r="I177" s="25">
        <f>cuotas_emitidas!I172-SUMIFS(ingresos!$D:$D,ingresos!$F:$F,saldos!$A177,ingresos!$G:$G,saldos!I$6)</f>
        <v>0</v>
      </c>
      <c r="J177" s="25">
        <f>cuotas_emitidas!J172-SUMIFS(ingresos!$D:$D,ingresos!$F:$F,saldos!$A177,ingresos!$G:$G,saldos!J$6)</f>
        <v>0</v>
      </c>
      <c r="K177" s="25">
        <f>cuotas_emitidas!K172-SUMIFS(ingresos!$D:$D,ingresos!$F:$F,saldos!$A177,ingresos!$G:$G,saldos!K$6)</f>
        <v>0</v>
      </c>
      <c r="L177" s="25">
        <f>cuotas_emitidas!L172-SUMIFS(ingresos!$D:$D,ingresos!$F:$F,saldos!$A177,ingresos!$G:$G,saldos!L$6)</f>
        <v>0</v>
      </c>
      <c r="M177" s="25">
        <f>cuotas_emitidas!M172-SUMIFS(ingresos!$D:$D,ingresos!$F:$F,saldos!$A177,ingresos!$G:$G,saldos!M$6)</f>
        <v>0</v>
      </c>
      <c r="N177" s="25">
        <f>cuotas_emitidas!N172-SUMIFS(ingresos!$D:$D,ingresos!$F:$F,saldos!$A177,ingresos!$G:$G,saldos!N$6)</f>
        <v>0</v>
      </c>
      <c r="O177" s="25">
        <f>cuotas_emitidas!O172-SUMIFS(ingresos!$D:$D,ingresos!$F:$F,saldos!$A177,ingresos!$G:$G,saldos!O$6)</f>
        <v>0</v>
      </c>
      <c r="P177" s="25">
        <f>cuotas_emitidas!P172-SUMIFS(ingresos!$D:$D,ingresos!$F:$F,saldos!$A177,ingresos!$G:$G,saldos!P$6)</f>
        <v>0</v>
      </c>
      <c r="Q177" s="25">
        <f>cuotas_emitidas!Q172-SUMIFS(ingresos!$D:$D,ingresos!$F:$F,saldos!$A177,ingresos!$G:$G,saldos!Q$6)</f>
        <v>251.45</v>
      </c>
      <c r="R177" s="26">
        <f t="shared" si="6"/>
        <v>251.45</v>
      </c>
      <c r="T177" s="26">
        <f t="shared" si="7"/>
        <v>251.45</v>
      </c>
      <c r="U177" s="26">
        <f t="shared" si="8"/>
        <v>0</v>
      </c>
    </row>
    <row r="178" spans="1:21" x14ac:dyDescent="0.25">
      <c r="A178" s="17" t="s">
        <v>1978</v>
      </c>
      <c r="B178" s="17" t="s">
        <v>1979</v>
      </c>
      <c r="C178" s="17" t="s">
        <v>1980</v>
      </c>
      <c r="D178" s="25">
        <f>cuotas_emitidas!D173-SUMIFS(ingresos!$D:$D,ingresos!$F:$F,saldos!$A178,ingresos!$G:$G,saldos!D$6)</f>
        <v>0</v>
      </c>
      <c r="E178" s="25">
        <f>cuotas_emitidas!E173-SUMIFS(ingresos!$D:$D,ingresos!$F:$F,saldos!$A178,ingresos!$G:$G,saldos!E$6)</f>
        <v>0</v>
      </c>
      <c r="F178" s="25">
        <f>cuotas_emitidas!F173-SUMIFS(ingresos!$D:$D,ingresos!$F:$F,saldos!$A178,ingresos!$G:$G,saldos!F$6)</f>
        <v>0</v>
      </c>
      <c r="G178" s="25">
        <f>cuotas_emitidas!G173-SUMIFS(ingresos!$D:$D,ingresos!$F:$F,saldos!$A178,ingresos!$G:$G,saldos!G$6)</f>
        <v>0</v>
      </c>
      <c r="H178" s="25">
        <f>cuotas_emitidas!H173-SUMIFS(ingresos!$D:$D,ingresos!$F:$F,saldos!$A178,ingresos!$G:$G,saldos!H$6)</f>
        <v>0</v>
      </c>
      <c r="I178" s="25">
        <f>cuotas_emitidas!I173-SUMIFS(ingresos!$D:$D,ingresos!$F:$F,saldos!$A178,ingresos!$G:$G,saldos!I$6)</f>
        <v>0</v>
      </c>
      <c r="J178" s="25">
        <f>cuotas_emitidas!J173-SUMIFS(ingresos!$D:$D,ingresos!$F:$F,saldos!$A178,ingresos!$G:$G,saldos!J$6)</f>
        <v>0</v>
      </c>
      <c r="K178" s="25">
        <f>cuotas_emitidas!K173-SUMIFS(ingresos!$D:$D,ingresos!$F:$F,saldos!$A178,ingresos!$G:$G,saldos!K$6)</f>
        <v>0</v>
      </c>
      <c r="L178" s="25">
        <f>cuotas_emitidas!L173-SUMIFS(ingresos!$D:$D,ingresos!$F:$F,saldos!$A178,ingresos!$G:$G,saldos!L$6)</f>
        <v>0</v>
      </c>
      <c r="M178" s="25">
        <f>cuotas_emitidas!M173-SUMIFS(ingresos!$D:$D,ingresos!$F:$F,saldos!$A178,ingresos!$G:$G,saldos!M$6)</f>
        <v>0</v>
      </c>
      <c r="N178" s="25">
        <f>cuotas_emitidas!N173-SUMIFS(ingresos!$D:$D,ingresos!$F:$F,saldos!$A178,ingresos!$G:$G,saldos!N$6)</f>
        <v>0</v>
      </c>
      <c r="O178" s="25">
        <f>cuotas_emitidas!O173-SUMIFS(ingresos!$D:$D,ingresos!$F:$F,saldos!$A178,ingresos!$G:$G,saldos!O$6)</f>
        <v>0</v>
      </c>
      <c r="P178" s="25">
        <f>cuotas_emitidas!P173-SUMIFS(ingresos!$D:$D,ingresos!$F:$F,saldos!$A178,ingresos!$G:$G,saldos!P$6)</f>
        <v>0</v>
      </c>
      <c r="Q178" s="25">
        <f>cuotas_emitidas!Q173-SUMIFS(ingresos!$D:$D,ingresos!$F:$F,saldos!$A178,ingresos!$G:$G,saldos!Q$6)</f>
        <v>387.36</v>
      </c>
      <c r="R178" s="26">
        <f t="shared" si="6"/>
        <v>387.36</v>
      </c>
      <c r="T178" s="26">
        <f t="shared" si="7"/>
        <v>387.36</v>
      </c>
      <c r="U178" s="26">
        <f t="shared" si="8"/>
        <v>0</v>
      </c>
    </row>
    <row r="179" spans="1:21" x14ac:dyDescent="0.25">
      <c r="A179" s="17" t="s">
        <v>1981</v>
      </c>
      <c r="B179" s="17" t="s">
        <v>1982</v>
      </c>
      <c r="C179" s="17" t="s">
        <v>1983</v>
      </c>
      <c r="D179" s="25">
        <f>cuotas_emitidas!D174-SUMIFS(ingresos!$D:$D,ingresos!$F:$F,saldos!$A179,ingresos!$G:$G,saldos!D$6)</f>
        <v>0</v>
      </c>
      <c r="E179" s="25">
        <f>cuotas_emitidas!E174-SUMIFS(ingresos!$D:$D,ingresos!$F:$F,saldos!$A179,ingresos!$G:$G,saldos!E$6)</f>
        <v>0</v>
      </c>
      <c r="F179" s="25">
        <f>cuotas_emitidas!F174-SUMIFS(ingresos!$D:$D,ingresos!$F:$F,saldos!$A179,ingresos!$G:$G,saldos!F$6)</f>
        <v>0</v>
      </c>
      <c r="G179" s="25">
        <f>cuotas_emitidas!G174-SUMIFS(ingresos!$D:$D,ingresos!$F:$F,saldos!$A179,ingresos!$G:$G,saldos!G$6)</f>
        <v>0</v>
      </c>
      <c r="H179" s="25">
        <f>cuotas_emitidas!H174-SUMIFS(ingresos!$D:$D,ingresos!$F:$F,saldos!$A179,ingresos!$G:$G,saldos!H$6)</f>
        <v>0</v>
      </c>
      <c r="I179" s="25">
        <f>cuotas_emitidas!I174-SUMIFS(ingresos!$D:$D,ingresos!$F:$F,saldos!$A179,ingresos!$G:$G,saldos!I$6)</f>
        <v>0</v>
      </c>
      <c r="J179" s="25">
        <f>cuotas_emitidas!J174-SUMIFS(ingresos!$D:$D,ingresos!$F:$F,saldos!$A179,ingresos!$G:$G,saldos!J$6)</f>
        <v>0</v>
      </c>
      <c r="K179" s="25">
        <f>cuotas_emitidas!K174-SUMIFS(ingresos!$D:$D,ingresos!$F:$F,saldos!$A179,ingresos!$G:$G,saldos!K$6)</f>
        <v>0</v>
      </c>
      <c r="L179" s="25">
        <f>cuotas_emitidas!L174-SUMIFS(ingresos!$D:$D,ingresos!$F:$F,saldos!$A179,ingresos!$G:$G,saldos!L$6)</f>
        <v>396.84</v>
      </c>
      <c r="M179" s="25">
        <f>cuotas_emitidas!M174-SUMIFS(ingresos!$D:$D,ingresos!$F:$F,saldos!$A179,ingresos!$G:$G,saldos!M$6)</f>
        <v>0</v>
      </c>
      <c r="N179" s="25">
        <f>cuotas_emitidas!N174-SUMIFS(ingresos!$D:$D,ingresos!$F:$F,saldos!$A179,ingresos!$G:$G,saldos!N$6)</f>
        <v>0</v>
      </c>
      <c r="O179" s="25">
        <f>cuotas_emitidas!O174-SUMIFS(ingresos!$D:$D,ingresos!$F:$F,saldos!$A179,ingresos!$G:$G,saldos!O$6)</f>
        <v>0</v>
      </c>
      <c r="P179" s="25">
        <f>cuotas_emitidas!P174-SUMIFS(ingresos!$D:$D,ingresos!$F:$F,saldos!$A179,ingresos!$G:$G,saldos!P$6)</f>
        <v>0</v>
      </c>
      <c r="Q179" s="25">
        <f>cuotas_emitidas!Q174-SUMIFS(ingresos!$D:$D,ingresos!$F:$F,saldos!$A179,ingresos!$G:$G,saldos!Q$6)</f>
        <v>377.8</v>
      </c>
      <c r="R179" s="26">
        <f t="shared" si="6"/>
        <v>774.64</v>
      </c>
      <c r="T179" s="26">
        <f t="shared" si="7"/>
        <v>377.8</v>
      </c>
      <c r="U179" s="26">
        <f t="shared" si="8"/>
        <v>396.84</v>
      </c>
    </row>
    <row r="180" spans="1:21" x14ac:dyDescent="0.25">
      <c r="A180" s="17" t="s">
        <v>1984</v>
      </c>
      <c r="B180" s="17" t="s">
        <v>1394</v>
      </c>
      <c r="C180" s="17" t="s">
        <v>1985</v>
      </c>
      <c r="D180" s="25">
        <f>cuotas_emitidas!D175-SUMIFS(ingresos!$D:$D,ingresos!$F:$F,saldos!$A180,ingresos!$G:$G,saldos!D$6)</f>
        <v>0</v>
      </c>
      <c r="E180" s="25">
        <f>cuotas_emitidas!E175-SUMIFS(ingresos!$D:$D,ingresos!$F:$F,saldos!$A180,ingresos!$G:$G,saldos!E$6)</f>
        <v>0</v>
      </c>
      <c r="F180" s="25">
        <f>cuotas_emitidas!F175-SUMIFS(ingresos!$D:$D,ingresos!$F:$F,saldos!$A180,ingresos!$G:$G,saldos!F$6)</f>
        <v>0</v>
      </c>
      <c r="G180" s="25">
        <f>cuotas_emitidas!G175-SUMIFS(ingresos!$D:$D,ingresos!$F:$F,saldos!$A180,ingresos!$G:$G,saldos!G$6)</f>
        <v>0</v>
      </c>
      <c r="H180" s="25">
        <f>cuotas_emitidas!H175-SUMIFS(ingresos!$D:$D,ingresos!$F:$F,saldos!$A180,ingresos!$G:$G,saldos!H$6)</f>
        <v>0</v>
      </c>
      <c r="I180" s="25">
        <f>cuotas_emitidas!I175-SUMIFS(ingresos!$D:$D,ingresos!$F:$F,saldos!$A180,ingresos!$G:$G,saldos!I$6)</f>
        <v>0</v>
      </c>
      <c r="J180" s="25">
        <f>cuotas_emitidas!J175-SUMIFS(ingresos!$D:$D,ingresos!$F:$F,saldos!$A180,ingresos!$G:$G,saldos!J$6)</f>
        <v>0</v>
      </c>
      <c r="K180" s="25">
        <f>cuotas_emitidas!K175-SUMIFS(ingresos!$D:$D,ingresos!$F:$F,saldos!$A180,ingresos!$G:$G,saldos!K$6)</f>
        <v>0</v>
      </c>
      <c r="L180" s="25">
        <f>cuotas_emitidas!L175-SUMIFS(ingresos!$D:$D,ingresos!$F:$F,saldos!$A180,ingresos!$G:$G,saldos!L$6)</f>
        <v>0</v>
      </c>
      <c r="M180" s="25">
        <f>cuotas_emitidas!M175-SUMIFS(ingresos!$D:$D,ingresos!$F:$F,saldos!$A180,ingresos!$G:$G,saldos!M$6)</f>
        <v>0</v>
      </c>
      <c r="N180" s="25">
        <f>cuotas_emitidas!N175-SUMIFS(ingresos!$D:$D,ingresos!$F:$F,saldos!$A180,ingresos!$G:$G,saldos!N$6)</f>
        <v>288.83999999999997</v>
      </c>
      <c r="O180" s="25">
        <f>cuotas_emitidas!O175-SUMIFS(ingresos!$D:$D,ingresos!$F:$F,saldos!$A180,ingresos!$G:$G,saldos!O$6)</f>
        <v>0</v>
      </c>
      <c r="P180" s="25">
        <f>cuotas_emitidas!P175-SUMIFS(ingresos!$D:$D,ingresos!$F:$F,saldos!$A180,ingresos!$G:$G,saldos!P$6)</f>
        <v>0</v>
      </c>
      <c r="Q180" s="25">
        <f>cuotas_emitidas!Q175-SUMIFS(ingresos!$D:$D,ingresos!$F:$F,saldos!$A180,ingresos!$G:$G,saldos!Q$6)</f>
        <v>269.33</v>
      </c>
      <c r="R180" s="26">
        <f t="shared" si="6"/>
        <v>558.16999999999996</v>
      </c>
      <c r="T180" s="26">
        <f t="shared" si="7"/>
        <v>269.33</v>
      </c>
      <c r="U180" s="26">
        <f t="shared" si="8"/>
        <v>288.83999999999997</v>
      </c>
    </row>
    <row r="181" spans="1:21" x14ac:dyDescent="0.25">
      <c r="A181" s="17" t="s">
        <v>1986</v>
      </c>
      <c r="B181" s="17" t="s">
        <v>1227</v>
      </c>
      <c r="C181" s="17" t="s">
        <v>1987</v>
      </c>
      <c r="D181" s="25">
        <f>cuotas_emitidas!D176-SUMIFS(ingresos!$D:$D,ingresos!$F:$F,saldos!$A181,ingresos!$G:$G,saldos!D$6)</f>
        <v>0</v>
      </c>
      <c r="E181" s="25">
        <f>cuotas_emitidas!E176-SUMIFS(ingresos!$D:$D,ingresos!$F:$F,saldos!$A181,ingresos!$G:$G,saldos!E$6)</f>
        <v>0</v>
      </c>
      <c r="F181" s="25">
        <f>cuotas_emitidas!F176-SUMIFS(ingresos!$D:$D,ingresos!$F:$F,saldos!$A181,ingresos!$G:$G,saldos!F$6)</f>
        <v>0</v>
      </c>
      <c r="G181" s="25">
        <f>cuotas_emitidas!G176-SUMIFS(ingresos!$D:$D,ingresos!$F:$F,saldos!$A181,ingresos!$G:$G,saldos!G$6)</f>
        <v>0</v>
      </c>
      <c r="H181" s="25">
        <f>cuotas_emitidas!H176-SUMIFS(ingresos!$D:$D,ingresos!$F:$F,saldos!$A181,ingresos!$G:$G,saldos!H$6)</f>
        <v>0</v>
      </c>
      <c r="I181" s="25">
        <f>cuotas_emitidas!I176-SUMIFS(ingresos!$D:$D,ingresos!$F:$F,saldos!$A181,ingresos!$G:$G,saldos!I$6)</f>
        <v>0</v>
      </c>
      <c r="J181" s="25">
        <f>cuotas_emitidas!J176-SUMIFS(ingresos!$D:$D,ingresos!$F:$F,saldos!$A181,ingresos!$G:$G,saldos!J$6)</f>
        <v>0</v>
      </c>
      <c r="K181" s="25">
        <f>cuotas_emitidas!K176-SUMIFS(ingresos!$D:$D,ingresos!$F:$F,saldos!$A181,ingresos!$G:$G,saldos!K$6)</f>
        <v>0</v>
      </c>
      <c r="L181" s="25">
        <f>cuotas_emitidas!L176-SUMIFS(ingresos!$D:$D,ingresos!$F:$F,saldos!$A181,ingresos!$G:$G,saldos!L$6)</f>
        <v>0</v>
      </c>
      <c r="M181" s="25">
        <f>cuotas_emitidas!M176-SUMIFS(ingresos!$D:$D,ingresos!$F:$F,saldos!$A181,ingresos!$G:$G,saldos!M$6)</f>
        <v>0</v>
      </c>
      <c r="N181" s="25">
        <f>cuotas_emitidas!N176-SUMIFS(ingresos!$D:$D,ingresos!$F:$F,saldos!$A181,ingresos!$G:$G,saldos!N$6)</f>
        <v>0</v>
      </c>
      <c r="O181" s="25">
        <f>cuotas_emitidas!O176-SUMIFS(ingresos!$D:$D,ingresos!$F:$F,saldos!$A181,ingresos!$G:$G,saldos!O$6)</f>
        <v>0</v>
      </c>
      <c r="P181" s="25">
        <f>cuotas_emitidas!P176-SUMIFS(ingresos!$D:$D,ingresos!$F:$F,saldos!$A181,ingresos!$G:$G,saldos!P$6)</f>
        <v>0</v>
      </c>
      <c r="Q181" s="25">
        <f>cuotas_emitidas!Q176-SUMIFS(ingresos!$D:$D,ingresos!$F:$F,saldos!$A181,ingresos!$G:$G,saldos!Q$6)</f>
        <v>0</v>
      </c>
      <c r="R181" s="26">
        <f t="shared" si="6"/>
        <v>0</v>
      </c>
      <c r="T181" s="26">
        <f t="shared" si="7"/>
        <v>0</v>
      </c>
      <c r="U181" s="26">
        <f t="shared" si="8"/>
        <v>0</v>
      </c>
    </row>
    <row r="182" spans="1:21" x14ac:dyDescent="0.25">
      <c r="A182" s="17" t="s">
        <v>1988</v>
      </c>
      <c r="B182" s="17" t="s">
        <v>1989</v>
      </c>
      <c r="C182" s="17" t="s">
        <v>1990</v>
      </c>
      <c r="D182" s="25">
        <f>cuotas_emitidas!D177-SUMIFS(ingresos!$D:$D,ingresos!$F:$F,saldos!$A182,ingresos!$G:$G,saldos!D$6)</f>
        <v>0</v>
      </c>
      <c r="E182" s="25">
        <f>cuotas_emitidas!E177-SUMIFS(ingresos!$D:$D,ingresos!$F:$F,saldos!$A182,ingresos!$G:$G,saldos!E$6)</f>
        <v>0</v>
      </c>
      <c r="F182" s="25">
        <f>cuotas_emitidas!F177-SUMIFS(ingresos!$D:$D,ingresos!$F:$F,saldos!$A182,ingresos!$G:$G,saldos!F$6)</f>
        <v>0</v>
      </c>
      <c r="G182" s="25">
        <f>cuotas_emitidas!G177-SUMIFS(ingresos!$D:$D,ingresos!$F:$F,saldos!$A182,ingresos!$G:$G,saldos!G$6)</f>
        <v>0</v>
      </c>
      <c r="H182" s="25">
        <f>cuotas_emitidas!H177-SUMIFS(ingresos!$D:$D,ingresos!$F:$F,saldos!$A182,ingresos!$G:$G,saldos!H$6)</f>
        <v>0</v>
      </c>
      <c r="I182" s="25">
        <f>cuotas_emitidas!I177-SUMIFS(ingresos!$D:$D,ingresos!$F:$F,saldos!$A182,ingresos!$G:$G,saldos!I$6)</f>
        <v>0</v>
      </c>
      <c r="J182" s="25">
        <f>cuotas_emitidas!J177-SUMIFS(ingresos!$D:$D,ingresos!$F:$F,saldos!$A182,ingresos!$G:$G,saldos!J$6)</f>
        <v>0</v>
      </c>
      <c r="K182" s="25">
        <f>cuotas_emitidas!K177-SUMIFS(ingresos!$D:$D,ingresos!$F:$F,saldos!$A182,ingresos!$G:$G,saldos!K$6)</f>
        <v>0</v>
      </c>
      <c r="L182" s="25">
        <f>cuotas_emitidas!L177-SUMIFS(ingresos!$D:$D,ingresos!$F:$F,saldos!$A182,ingresos!$G:$G,saldos!L$6)</f>
        <v>0</v>
      </c>
      <c r="M182" s="25">
        <f>cuotas_emitidas!M177-SUMIFS(ingresos!$D:$D,ingresos!$F:$F,saldos!$A182,ingresos!$G:$G,saldos!M$6)</f>
        <v>0</v>
      </c>
      <c r="N182" s="25">
        <f>cuotas_emitidas!N177-SUMIFS(ingresos!$D:$D,ingresos!$F:$F,saldos!$A182,ingresos!$G:$G,saldos!N$6)</f>
        <v>175.08</v>
      </c>
      <c r="O182" s="25">
        <f>cuotas_emitidas!O177-SUMIFS(ingresos!$D:$D,ingresos!$F:$F,saldos!$A182,ingresos!$G:$G,saldos!O$6)</f>
        <v>0</v>
      </c>
      <c r="P182" s="25">
        <f>cuotas_emitidas!P177-SUMIFS(ingresos!$D:$D,ingresos!$F:$F,saldos!$A182,ingresos!$G:$G,saldos!P$6)</f>
        <v>176.67</v>
      </c>
      <c r="Q182" s="25">
        <f>cuotas_emitidas!Q177-SUMIFS(ingresos!$D:$D,ingresos!$F:$F,saldos!$A182,ingresos!$G:$G,saldos!Q$6)</f>
        <v>173.91</v>
      </c>
      <c r="R182" s="26">
        <f t="shared" si="6"/>
        <v>525.66</v>
      </c>
      <c r="T182" s="26">
        <f t="shared" si="7"/>
        <v>173.91</v>
      </c>
      <c r="U182" s="26">
        <f t="shared" si="8"/>
        <v>351.75</v>
      </c>
    </row>
    <row r="183" spans="1:21" x14ac:dyDescent="0.25">
      <c r="A183" s="17" t="s">
        <v>1991</v>
      </c>
      <c r="B183" s="17" t="s">
        <v>1343</v>
      </c>
      <c r="C183" s="17" t="s">
        <v>1992</v>
      </c>
      <c r="D183" s="25">
        <f>cuotas_emitidas!D178-SUMIFS(ingresos!$D:$D,ingresos!$F:$F,saldos!$A183,ingresos!$G:$G,saldos!D$6)</f>
        <v>0</v>
      </c>
      <c r="E183" s="25">
        <f>cuotas_emitidas!E178-SUMIFS(ingresos!$D:$D,ingresos!$F:$F,saldos!$A183,ingresos!$G:$G,saldos!E$6)</f>
        <v>0</v>
      </c>
      <c r="F183" s="25">
        <f>cuotas_emitidas!F178-SUMIFS(ingresos!$D:$D,ingresos!$F:$F,saldos!$A183,ingresos!$G:$G,saldos!F$6)</f>
        <v>0</v>
      </c>
      <c r="G183" s="25">
        <f>cuotas_emitidas!G178-SUMIFS(ingresos!$D:$D,ingresos!$F:$F,saldos!$A183,ingresos!$G:$G,saldos!G$6)</f>
        <v>0</v>
      </c>
      <c r="H183" s="25">
        <f>cuotas_emitidas!H178-SUMIFS(ingresos!$D:$D,ingresos!$F:$F,saldos!$A183,ingresos!$G:$G,saldos!H$6)</f>
        <v>0</v>
      </c>
      <c r="I183" s="25">
        <f>cuotas_emitidas!I178-SUMIFS(ingresos!$D:$D,ingresos!$F:$F,saldos!$A183,ingresos!$G:$G,saldos!I$6)</f>
        <v>0</v>
      </c>
      <c r="J183" s="25">
        <f>cuotas_emitidas!J178-SUMIFS(ingresos!$D:$D,ingresos!$F:$F,saldos!$A183,ingresos!$G:$G,saldos!J$6)</f>
        <v>0</v>
      </c>
      <c r="K183" s="25">
        <f>cuotas_emitidas!K178-SUMIFS(ingresos!$D:$D,ingresos!$F:$F,saldos!$A183,ingresos!$G:$G,saldos!K$6)</f>
        <v>0</v>
      </c>
      <c r="L183" s="25">
        <f>cuotas_emitidas!L178-SUMIFS(ingresos!$D:$D,ingresos!$F:$F,saldos!$A183,ingresos!$G:$G,saldos!L$6)</f>
        <v>0</v>
      </c>
      <c r="M183" s="25">
        <f>cuotas_emitidas!M178-SUMIFS(ingresos!$D:$D,ingresos!$F:$F,saldos!$A183,ingresos!$G:$G,saldos!M$6)</f>
        <v>0</v>
      </c>
      <c r="N183" s="25">
        <f>cuotas_emitidas!N178-SUMIFS(ingresos!$D:$D,ingresos!$F:$F,saldos!$A183,ingresos!$G:$G,saldos!N$6)</f>
        <v>0</v>
      </c>
      <c r="O183" s="25">
        <f>cuotas_emitidas!O178-SUMIFS(ingresos!$D:$D,ingresos!$F:$F,saldos!$A183,ingresos!$G:$G,saldos!O$6)</f>
        <v>0</v>
      </c>
      <c r="P183" s="25">
        <f>cuotas_emitidas!P178-SUMIFS(ingresos!$D:$D,ingresos!$F:$F,saldos!$A183,ingresos!$G:$G,saldos!P$6)</f>
        <v>0</v>
      </c>
      <c r="Q183" s="25">
        <f>cuotas_emitidas!Q178-SUMIFS(ingresos!$D:$D,ingresos!$F:$F,saldos!$A183,ingresos!$G:$G,saldos!Q$6)</f>
        <v>-303.24</v>
      </c>
      <c r="R183" s="26">
        <f t="shared" si="6"/>
        <v>-303.24</v>
      </c>
      <c r="T183" s="26">
        <f t="shared" si="7"/>
        <v>-303.24</v>
      </c>
      <c r="U183" s="26">
        <f t="shared" si="8"/>
        <v>0</v>
      </c>
    </row>
    <row r="184" spans="1:21" x14ac:dyDescent="0.25">
      <c r="A184" s="17" t="s">
        <v>1993</v>
      </c>
      <c r="B184" s="17" t="s">
        <v>1994</v>
      </c>
      <c r="C184" s="17" t="s">
        <v>1995</v>
      </c>
      <c r="D184" s="25">
        <f>cuotas_emitidas!D179-SUMIFS(ingresos!$D:$D,ingresos!$F:$F,saldos!$A184,ingresos!$G:$G,saldos!D$6)</f>
        <v>0</v>
      </c>
      <c r="E184" s="25">
        <f>cuotas_emitidas!E179-SUMIFS(ingresos!$D:$D,ingresos!$F:$F,saldos!$A184,ingresos!$G:$G,saldos!E$6)</f>
        <v>0</v>
      </c>
      <c r="F184" s="25">
        <f>cuotas_emitidas!F179-SUMIFS(ingresos!$D:$D,ingresos!$F:$F,saldos!$A184,ingresos!$G:$G,saldos!F$6)</f>
        <v>0</v>
      </c>
      <c r="G184" s="25">
        <f>cuotas_emitidas!G179-SUMIFS(ingresos!$D:$D,ingresos!$F:$F,saldos!$A184,ingresos!$G:$G,saldos!G$6)</f>
        <v>0</v>
      </c>
      <c r="H184" s="25">
        <f>cuotas_emitidas!H179-SUMIFS(ingresos!$D:$D,ingresos!$F:$F,saldos!$A184,ingresos!$G:$G,saldos!H$6)</f>
        <v>0</v>
      </c>
      <c r="I184" s="25">
        <f>cuotas_emitidas!I179-SUMIFS(ingresos!$D:$D,ingresos!$F:$F,saldos!$A184,ingresos!$G:$G,saldos!I$6)</f>
        <v>0</v>
      </c>
      <c r="J184" s="25">
        <f>cuotas_emitidas!J179-SUMIFS(ingresos!$D:$D,ingresos!$F:$F,saldos!$A184,ingresos!$G:$G,saldos!J$6)</f>
        <v>0</v>
      </c>
      <c r="K184" s="25">
        <f>cuotas_emitidas!K179-SUMIFS(ingresos!$D:$D,ingresos!$F:$F,saldos!$A184,ingresos!$G:$G,saldos!K$6)</f>
        <v>0</v>
      </c>
      <c r="L184" s="25">
        <f>cuotas_emitidas!L179-SUMIFS(ingresos!$D:$D,ingresos!$F:$F,saldos!$A184,ingresos!$G:$G,saldos!L$6)</f>
        <v>0</v>
      </c>
      <c r="M184" s="25">
        <f>cuotas_emitidas!M179-SUMIFS(ingresos!$D:$D,ingresos!$F:$F,saldos!$A184,ingresos!$G:$G,saldos!M$6)</f>
        <v>0</v>
      </c>
      <c r="N184" s="25">
        <f>cuotas_emitidas!N179-SUMIFS(ingresos!$D:$D,ingresos!$F:$F,saldos!$A184,ingresos!$G:$G,saldos!N$6)</f>
        <v>0</v>
      </c>
      <c r="O184" s="25">
        <f>cuotas_emitidas!O179-SUMIFS(ingresos!$D:$D,ingresos!$F:$F,saldos!$A184,ingresos!$G:$G,saldos!O$6)</f>
        <v>194.25</v>
      </c>
      <c r="P184" s="25">
        <f>cuotas_emitidas!P179-SUMIFS(ingresos!$D:$D,ingresos!$F:$F,saldos!$A184,ingresos!$G:$G,saldos!P$6)</f>
        <v>194.25</v>
      </c>
      <c r="Q184" s="25">
        <f>cuotas_emitidas!Q179-SUMIFS(ingresos!$D:$D,ingresos!$F:$F,saldos!$A184,ingresos!$G:$G,saldos!Q$6)</f>
        <v>194.25</v>
      </c>
      <c r="R184" s="26">
        <f t="shared" si="6"/>
        <v>582.75</v>
      </c>
      <c r="T184" s="26">
        <f t="shared" si="7"/>
        <v>194.25</v>
      </c>
      <c r="U184" s="26">
        <f t="shared" si="8"/>
        <v>388.5</v>
      </c>
    </row>
    <row r="185" spans="1:21" x14ac:dyDescent="0.25">
      <c r="A185" s="17" t="s">
        <v>1996</v>
      </c>
      <c r="B185" s="17" t="s">
        <v>1309</v>
      </c>
      <c r="C185" s="17" t="s">
        <v>1997</v>
      </c>
      <c r="D185" s="25">
        <f>cuotas_emitidas!D180-SUMIFS(ingresos!$D:$D,ingresos!$F:$F,saldos!$A185,ingresos!$G:$G,saldos!D$6)</f>
        <v>0</v>
      </c>
      <c r="E185" s="25">
        <f>cuotas_emitidas!E180-SUMIFS(ingresos!$D:$D,ingresos!$F:$F,saldos!$A185,ingresos!$G:$G,saldos!E$6)</f>
        <v>0</v>
      </c>
      <c r="F185" s="25">
        <f>cuotas_emitidas!F180-SUMIFS(ingresos!$D:$D,ingresos!$F:$F,saldos!$A185,ingresos!$G:$G,saldos!F$6)</f>
        <v>0</v>
      </c>
      <c r="G185" s="25">
        <f>cuotas_emitidas!G180-SUMIFS(ingresos!$D:$D,ingresos!$F:$F,saldos!$A185,ingresos!$G:$G,saldos!G$6)</f>
        <v>0</v>
      </c>
      <c r="H185" s="25">
        <f>cuotas_emitidas!H180-SUMIFS(ingresos!$D:$D,ingresos!$F:$F,saldos!$A185,ingresos!$G:$G,saldos!H$6)</f>
        <v>0</v>
      </c>
      <c r="I185" s="25">
        <f>cuotas_emitidas!I180-SUMIFS(ingresos!$D:$D,ingresos!$F:$F,saldos!$A185,ingresos!$G:$G,saldos!I$6)</f>
        <v>0</v>
      </c>
      <c r="J185" s="25">
        <f>cuotas_emitidas!J180-SUMIFS(ingresos!$D:$D,ingresos!$F:$F,saldos!$A185,ingresos!$G:$G,saldos!J$6)</f>
        <v>0</v>
      </c>
      <c r="K185" s="25">
        <f>cuotas_emitidas!K180-SUMIFS(ingresos!$D:$D,ingresos!$F:$F,saldos!$A185,ingresos!$G:$G,saldos!K$6)</f>
        <v>0</v>
      </c>
      <c r="L185" s="25">
        <f>cuotas_emitidas!L180-SUMIFS(ingresos!$D:$D,ingresos!$F:$F,saldos!$A185,ingresos!$G:$G,saldos!L$6)</f>
        <v>0</v>
      </c>
      <c r="M185" s="25">
        <f>cuotas_emitidas!M180-SUMIFS(ingresos!$D:$D,ingresos!$F:$F,saldos!$A185,ingresos!$G:$G,saldos!M$6)</f>
        <v>0</v>
      </c>
      <c r="N185" s="25">
        <f>cuotas_emitidas!N180-SUMIFS(ingresos!$D:$D,ingresos!$F:$F,saldos!$A185,ingresos!$G:$G,saldos!N$6)</f>
        <v>0</v>
      </c>
      <c r="O185" s="25">
        <f>cuotas_emitidas!O180-SUMIFS(ingresos!$D:$D,ingresos!$F:$F,saldos!$A185,ingresos!$G:$G,saldos!O$6)</f>
        <v>0</v>
      </c>
      <c r="P185" s="25">
        <f>cuotas_emitidas!P180-SUMIFS(ingresos!$D:$D,ingresos!$F:$F,saldos!$A185,ingresos!$G:$G,saldos!P$6)</f>
        <v>0</v>
      </c>
      <c r="Q185" s="25">
        <f>cuotas_emitidas!Q180-SUMIFS(ingresos!$D:$D,ingresos!$F:$F,saldos!$A185,ingresos!$G:$G,saldos!Q$6)</f>
        <v>395.68</v>
      </c>
      <c r="R185" s="26">
        <f t="shared" si="6"/>
        <v>395.68</v>
      </c>
      <c r="T185" s="26">
        <f t="shared" si="7"/>
        <v>395.68</v>
      </c>
      <c r="U185" s="26">
        <f t="shared" si="8"/>
        <v>0</v>
      </c>
    </row>
    <row r="186" spans="1:21" x14ac:dyDescent="0.25">
      <c r="A186" s="17" t="s">
        <v>1998</v>
      </c>
      <c r="B186" s="17" t="s">
        <v>1999</v>
      </c>
      <c r="C186" s="17" t="s">
        <v>2000</v>
      </c>
      <c r="D186" s="25">
        <f>cuotas_emitidas!D181-SUMIFS(ingresos!$D:$D,ingresos!$F:$F,saldos!$A186,ingresos!$G:$G,saldos!D$6)</f>
        <v>0</v>
      </c>
      <c r="E186" s="25">
        <f>cuotas_emitidas!E181-SUMIFS(ingresos!$D:$D,ingresos!$F:$F,saldos!$A186,ingresos!$G:$G,saldos!E$6)</f>
        <v>0</v>
      </c>
      <c r="F186" s="25">
        <f>cuotas_emitidas!F181-SUMIFS(ingresos!$D:$D,ingresos!$F:$F,saldos!$A186,ingresos!$G:$G,saldos!F$6)</f>
        <v>0</v>
      </c>
      <c r="G186" s="25">
        <f>cuotas_emitidas!G181-SUMIFS(ingresos!$D:$D,ingresos!$F:$F,saldos!$A186,ingresos!$G:$G,saldos!G$6)</f>
        <v>0</v>
      </c>
      <c r="H186" s="25">
        <f>cuotas_emitidas!H181-SUMIFS(ingresos!$D:$D,ingresos!$F:$F,saldos!$A186,ingresos!$G:$G,saldos!H$6)</f>
        <v>0</v>
      </c>
      <c r="I186" s="25">
        <f>cuotas_emitidas!I181-SUMIFS(ingresos!$D:$D,ingresos!$F:$F,saldos!$A186,ingresos!$G:$G,saldos!I$6)</f>
        <v>0</v>
      </c>
      <c r="J186" s="25">
        <f>cuotas_emitidas!J181-SUMIFS(ingresos!$D:$D,ingresos!$F:$F,saldos!$A186,ingresos!$G:$G,saldos!J$6)</f>
        <v>0</v>
      </c>
      <c r="K186" s="25">
        <f>cuotas_emitidas!K181-SUMIFS(ingresos!$D:$D,ingresos!$F:$F,saldos!$A186,ingresos!$G:$G,saldos!K$6)</f>
        <v>0</v>
      </c>
      <c r="L186" s="25">
        <f>cuotas_emitidas!L181-SUMIFS(ingresos!$D:$D,ingresos!$F:$F,saldos!$A186,ingresos!$G:$G,saldos!L$6)</f>
        <v>0</v>
      </c>
      <c r="M186" s="25">
        <f>cuotas_emitidas!M181-SUMIFS(ingresos!$D:$D,ingresos!$F:$F,saldos!$A186,ingresos!$G:$G,saldos!M$6)</f>
        <v>0</v>
      </c>
      <c r="N186" s="25">
        <f>cuotas_emitidas!N181-SUMIFS(ingresos!$D:$D,ingresos!$F:$F,saldos!$A186,ingresos!$G:$G,saldos!N$6)</f>
        <v>0</v>
      </c>
      <c r="O186" s="25">
        <f>cuotas_emitidas!O181-SUMIFS(ingresos!$D:$D,ingresos!$F:$F,saldos!$A186,ingresos!$G:$G,saldos!O$6)</f>
        <v>0</v>
      </c>
      <c r="P186" s="25">
        <f>cuotas_emitidas!P181-SUMIFS(ingresos!$D:$D,ingresos!$F:$F,saldos!$A186,ingresos!$G:$G,saldos!P$6)</f>
        <v>0</v>
      </c>
      <c r="Q186" s="25">
        <f>cuotas_emitidas!Q181-SUMIFS(ingresos!$D:$D,ingresos!$F:$F,saldos!$A186,ingresos!$G:$G,saldos!Q$6)</f>
        <v>294.3</v>
      </c>
      <c r="R186" s="26">
        <f t="shared" si="6"/>
        <v>294.3</v>
      </c>
      <c r="T186" s="26">
        <f t="shared" si="7"/>
        <v>294.3</v>
      </c>
      <c r="U186" s="26">
        <f t="shared" si="8"/>
        <v>0</v>
      </c>
    </row>
    <row r="187" spans="1:21" x14ac:dyDescent="0.25">
      <c r="A187" s="17" t="s">
        <v>2001</v>
      </c>
      <c r="B187" s="17" t="s">
        <v>2002</v>
      </c>
      <c r="C187" s="17" t="s">
        <v>2003</v>
      </c>
      <c r="D187" s="25">
        <f>cuotas_emitidas!D182-SUMIFS(ingresos!$D:$D,ingresos!$F:$F,saldos!$A187,ingresos!$G:$G,saldos!D$6)</f>
        <v>0</v>
      </c>
      <c r="E187" s="25">
        <f>cuotas_emitidas!E182-SUMIFS(ingresos!$D:$D,ingresos!$F:$F,saldos!$A187,ingresos!$G:$G,saldos!E$6)</f>
        <v>0</v>
      </c>
      <c r="F187" s="25">
        <f>cuotas_emitidas!F182-SUMIFS(ingresos!$D:$D,ingresos!$F:$F,saldos!$A187,ingresos!$G:$G,saldos!F$6)</f>
        <v>0</v>
      </c>
      <c r="G187" s="25">
        <f>cuotas_emitidas!G182-SUMIFS(ingresos!$D:$D,ingresos!$F:$F,saldos!$A187,ingresos!$G:$G,saldos!G$6)</f>
        <v>0</v>
      </c>
      <c r="H187" s="25">
        <f>cuotas_emitidas!H182-SUMIFS(ingresos!$D:$D,ingresos!$F:$F,saldos!$A187,ingresos!$G:$G,saldos!H$6)</f>
        <v>0</v>
      </c>
      <c r="I187" s="25">
        <f>cuotas_emitidas!I182-SUMIFS(ingresos!$D:$D,ingresos!$F:$F,saldos!$A187,ingresos!$G:$G,saldos!I$6)</f>
        <v>0</v>
      </c>
      <c r="J187" s="25">
        <f>cuotas_emitidas!J182-SUMIFS(ingresos!$D:$D,ingresos!$F:$F,saldos!$A187,ingresos!$G:$G,saldos!J$6)</f>
        <v>0</v>
      </c>
      <c r="K187" s="25">
        <f>cuotas_emitidas!K182-SUMIFS(ingresos!$D:$D,ingresos!$F:$F,saldos!$A187,ingresos!$G:$G,saldos!K$6)</f>
        <v>0</v>
      </c>
      <c r="L187" s="25">
        <f>cuotas_emitidas!L182-SUMIFS(ingresos!$D:$D,ingresos!$F:$F,saldos!$A187,ingresos!$G:$G,saldos!L$6)</f>
        <v>0</v>
      </c>
      <c r="M187" s="25">
        <f>cuotas_emitidas!M182-SUMIFS(ingresos!$D:$D,ingresos!$F:$F,saldos!$A187,ingresos!$G:$G,saldos!M$6)</f>
        <v>0</v>
      </c>
      <c r="N187" s="25">
        <f>cuotas_emitidas!N182-SUMIFS(ingresos!$D:$D,ingresos!$F:$F,saldos!$A187,ingresos!$G:$G,saldos!N$6)</f>
        <v>0</v>
      </c>
      <c r="O187" s="25">
        <f>cuotas_emitidas!O182-SUMIFS(ingresos!$D:$D,ingresos!$F:$F,saldos!$A187,ingresos!$G:$G,saldos!O$6)</f>
        <v>0</v>
      </c>
      <c r="P187" s="25">
        <f>cuotas_emitidas!P182-SUMIFS(ingresos!$D:$D,ingresos!$F:$F,saldos!$A187,ingresos!$G:$G,saldos!P$6)</f>
        <v>0</v>
      </c>
      <c r="Q187" s="25">
        <f>cuotas_emitidas!Q182-SUMIFS(ingresos!$D:$D,ingresos!$F:$F,saldos!$A187,ingresos!$G:$G,saldos!Q$6)</f>
        <v>389.71999999999997</v>
      </c>
      <c r="R187" s="26">
        <f t="shared" si="6"/>
        <v>389.71999999999997</v>
      </c>
      <c r="T187" s="26">
        <f t="shared" si="7"/>
        <v>389.71999999999997</v>
      </c>
      <c r="U187" s="26">
        <f t="shared" si="8"/>
        <v>0</v>
      </c>
    </row>
    <row r="188" spans="1:21" x14ac:dyDescent="0.25">
      <c r="A188" s="17" t="s">
        <v>2004</v>
      </c>
      <c r="B188" s="17" t="s">
        <v>2005</v>
      </c>
      <c r="C188" s="17" t="s">
        <v>2006</v>
      </c>
      <c r="D188" s="25">
        <f>cuotas_emitidas!D183-SUMIFS(ingresos!$D:$D,ingresos!$F:$F,saldos!$A188,ingresos!$G:$G,saldos!D$6)</f>
        <v>0</v>
      </c>
      <c r="E188" s="25">
        <f>cuotas_emitidas!E183-SUMIFS(ingresos!$D:$D,ingresos!$F:$F,saldos!$A188,ingresos!$G:$G,saldos!E$6)</f>
        <v>0</v>
      </c>
      <c r="F188" s="25">
        <f>cuotas_emitidas!F183-SUMIFS(ingresos!$D:$D,ingresos!$F:$F,saldos!$A188,ingresos!$G:$G,saldos!F$6)</f>
        <v>0</v>
      </c>
      <c r="G188" s="25">
        <f>cuotas_emitidas!G183-SUMIFS(ingresos!$D:$D,ingresos!$F:$F,saldos!$A188,ingresos!$G:$G,saldos!G$6)</f>
        <v>0</v>
      </c>
      <c r="H188" s="25">
        <f>cuotas_emitidas!H183-SUMIFS(ingresos!$D:$D,ingresos!$F:$F,saldos!$A188,ingresos!$G:$G,saldos!H$6)</f>
        <v>0</v>
      </c>
      <c r="I188" s="25">
        <f>cuotas_emitidas!I183-SUMIFS(ingresos!$D:$D,ingresos!$F:$F,saldos!$A188,ingresos!$G:$G,saldos!I$6)</f>
        <v>0</v>
      </c>
      <c r="J188" s="25">
        <f>cuotas_emitidas!J183-SUMIFS(ingresos!$D:$D,ingresos!$F:$F,saldos!$A188,ingresos!$G:$G,saldos!J$6)</f>
        <v>0</v>
      </c>
      <c r="K188" s="25">
        <f>cuotas_emitidas!K183-SUMIFS(ingresos!$D:$D,ingresos!$F:$F,saldos!$A188,ingresos!$G:$G,saldos!K$6)</f>
        <v>0</v>
      </c>
      <c r="L188" s="25">
        <f>cuotas_emitidas!L183-SUMIFS(ingresos!$D:$D,ingresos!$F:$F,saldos!$A188,ingresos!$G:$G,saldos!L$6)</f>
        <v>0</v>
      </c>
      <c r="M188" s="25">
        <f>cuotas_emitidas!M183-SUMIFS(ingresos!$D:$D,ingresos!$F:$F,saldos!$A188,ingresos!$G:$G,saldos!M$6)</f>
        <v>0</v>
      </c>
      <c r="N188" s="25">
        <f>cuotas_emitidas!N183-SUMIFS(ingresos!$D:$D,ingresos!$F:$F,saldos!$A188,ingresos!$G:$G,saldos!N$6)</f>
        <v>0</v>
      </c>
      <c r="O188" s="25">
        <f>cuotas_emitidas!O183-SUMIFS(ingresos!$D:$D,ingresos!$F:$F,saldos!$A188,ingresos!$G:$G,saldos!O$6)</f>
        <v>0</v>
      </c>
      <c r="P188" s="25">
        <f>cuotas_emitidas!P183-SUMIFS(ingresos!$D:$D,ingresos!$F:$F,saldos!$A188,ingresos!$G:$G,saldos!P$6)</f>
        <v>0</v>
      </c>
      <c r="Q188" s="25">
        <f>cuotas_emitidas!Q183-SUMIFS(ingresos!$D:$D,ingresos!$F:$F,saldos!$A188,ingresos!$G:$G,saldos!Q$6)</f>
        <v>395.68</v>
      </c>
      <c r="R188" s="26">
        <f t="shared" si="6"/>
        <v>395.68</v>
      </c>
      <c r="T188" s="26">
        <f t="shared" si="7"/>
        <v>395.68</v>
      </c>
      <c r="U188" s="26">
        <f t="shared" si="8"/>
        <v>0</v>
      </c>
    </row>
    <row r="189" spans="1:21" x14ac:dyDescent="0.25">
      <c r="A189" s="17" t="s">
        <v>2007</v>
      </c>
      <c r="B189" s="17" t="s">
        <v>2008</v>
      </c>
      <c r="C189" s="17" t="s">
        <v>2009</v>
      </c>
      <c r="D189" s="25">
        <f>cuotas_emitidas!D184-SUMIFS(ingresos!$D:$D,ingresos!$F:$F,saldos!$A189,ingresos!$G:$G,saldos!D$6)</f>
        <v>0</v>
      </c>
      <c r="E189" s="25">
        <f>cuotas_emitidas!E184-SUMIFS(ingresos!$D:$D,ingresos!$F:$F,saldos!$A189,ingresos!$G:$G,saldos!E$6)</f>
        <v>0</v>
      </c>
      <c r="F189" s="25">
        <f>cuotas_emitidas!F184-SUMIFS(ingresos!$D:$D,ingresos!$F:$F,saldos!$A189,ingresos!$G:$G,saldos!F$6)</f>
        <v>0</v>
      </c>
      <c r="G189" s="25">
        <f>cuotas_emitidas!G184-SUMIFS(ingresos!$D:$D,ingresos!$F:$F,saldos!$A189,ingresos!$G:$G,saldos!G$6)</f>
        <v>0</v>
      </c>
      <c r="H189" s="25">
        <f>cuotas_emitidas!H184-SUMIFS(ingresos!$D:$D,ingresos!$F:$F,saldos!$A189,ingresos!$G:$G,saldos!H$6)</f>
        <v>0</v>
      </c>
      <c r="I189" s="25">
        <f>cuotas_emitidas!I184-SUMIFS(ingresos!$D:$D,ingresos!$F:$F,saldos!$A189,ingresos!$G:$G,saldos!I$6)</f>
        <v>0</v>
      </c>
      <c r="J189" s="25">
        <f>cuotas_emitidas!J184-SUMIFS(ingresos!$D:$D,ingresos!$F:$F,saldos!$A189,ingresos!$G:$G,saldos!J$6)</f>
        <v>0</v>
      </c>
      <c r="K189" s="25">
        <f>cuotas_emitidas!K184-SUMIFS(ingresos!$D:$D,ingresos!$F:$F,saldos!$A189,ingresos!$G:$G,saldos!K$6)</f>
        <v>0</v>
      </c>
      <c r="L189" s="25">
        <f>cuotas_emitidas!L184-SUMIFS(ingresos!$D:$D,ingresos!$F:$F,saldos!$A189,ingresos!$G:$G,saldos!L$6)</f>
        <v>0</v>
      </c>
      <c r="M189" s="25">
        <f>cuotas_emitidas!M184-SUMIFS(ingresos!$D:$D,ingresos!$F:$F,saldos!$A189,ingresos!$G:$G,saldos!M$6)</f>
        <v>0</v>
      </c>
      <c r="N189" s="25">
        <f>cuotas_emitidas!N184-SUMIFS(ingresos!$D:$D,ingresos!$F:$F,saldos!$A189,ingresos!$G:$G,saldos!N$6)</f>
        <v>0</v>
      </c>
      <c r="O189" s="25">
        <f>cuotas_emitidas!O184-SUMIFS(ingresos!$D:$D,ingresos!$F:$F,saldos!$A189,ingresos!$G:$G,saldos!O$6)</f>
        <v>0</v>
      </c>
      <c r="P189" s="25">
        <f>cuotas_emitidas!P184-SUMIFS(ingresos!$D:$D,ingresos!$F:$F,saldos!$A189,ingresos!$G:$G,saldos!P$6)</f>
        <v>0</v>
      </c>
      <c r="Q189" s="25">
        <f>cuotas_emitidas!Q184-SUMIFS(ingresos!$D:$D,ingresos!$F:$F,saldos!$A189,ingresos!$G:$G,saldos!Q$6)</f>
        <v>529.77</v>
      </c>
      <c r="R189" s="26">
        <f t="shared" si="6"/>
        <v>529.77</v>
      </c>
      <c r="T189" s="26">
        <f t="shared" si="7"/>
        <v>529.77</v>
      </c>
      <c r="U189" s="26">
        <f t="shared" si="8"/>
        <v>0</v>
      </c>
    </row>
    <row r="190" spans="1:21" x14ac:dyDescent="0.25">
      <c r="A190" s="17" t="s">
        <v>2010</v>
      </c>
      <c r="B190" s="17" t="s">
        <v>2011</v>
      </c>
      <c r="C190" s="17" t="s">
        <v>2012</v>
      </c>
      <c r="D190" s="25">
        <f>cuotas_emitidas!D185-SUMIFS(ingresos!$D:$D,ingresos!$F:$F,saldos!$A190,ingresos!$G:$G,saldos!D$6)</f>
        <v>0</v>
      </c>
      <c r="E190" s="25">
        <f>cuotas_emitidas!E185-SUMIFS(ingresos!$D:$D,ingresos!$F:$F,saldos!$A190,ingresos!$G:$G,saldos!E$6)</f>
        <v>0</v>
      </c>
      <c r="F190" s="25">
        <f>cuotas_emitidas!F185-SUMIFS(ingresos!$D:$D,ingresos!$F:$F,saldos!$A190,ingresos!$G:$G,saldos!F$6)</f>
        <v>0</v>
      </c>
      <c r="G190" s="25">
        <f>cuotas_emitidas!G185-SUMIFS(ingresos!$D:$D,ingresos!$F:$F,saldos!$A190,ingresos!$G:$G,saldos!G$6)</f>
        <v>0</v>
      </c>
      <c r="H190" s="25">
        <f>cuotas_emitidas!H185-SUMIFS(ingresos!$D:$D,ingresos!$F:$F,saldos!$A190,ingresos!$G:$G,saldos!H$6)</f>
        <v>0</v>
      </c>
      <c r="I190" s="25">
        <f>cuotas_emitidas!I185-SUMIFS(ingresos!$D:$D,ingresos!$F:$F,saldos!$A190,ingresos!$G:$G,saldos!I$6)</f>
        <v>0</v>
      </c>
      <c r="J190" s="25">
        <f>cuotas_emitidas!J185-SUMIFS(ingresos!$D:$D,ingresos!$F:$F,saldos!$A190,ingresos!$G:$G,saldos!J$6)</f>
        <v>0</v>
      </c>
      <c r="K190" s="25">
        <f>cuotas_emitidas!K185-SUMIFS(ingresos!$D:$D,ingresos!$F:$F,saldos!$A190,ingresos!$G:$G,saldos!K$6)</f>
        <v>0</v>
      </c>
      <c r="L190" s="25">
        <f>cuotas_emitidas!L185-SUMIFS(ingresos!$D:$D,ingresos!$F:$F,saldos!$A190,ingresos!$G:$G,saldos!L$6)</f>
        <v>0</v>
      </c>
      <c r="M190" s="25">
        <f>cuotas_emitidas!M185-SUMIFS(ingresos!$D:$D,ingresos!$F:$F,saldos!$A190,ingresos!$G:$G,saldos!M$6)</f>
        <v>0</v>
      </c>
      <c r="N190" s="25">
        <f>cuotas_emitidas!N185-SUMIFS(ingresos!$D:$D,ingresos!$F:$F,saldos!$A190,ingresos!$G:$G,saldos!N$6)</f>
        <v>0</v>
      </c>
      <c r="O190" s="25">
        <f>cuotas_emitidas!O185-SUMIFS(ingresos!$D:$D,ingresos!$F:$F,saldos!$A190,ingresos!$G:$G,saldos!O$6)</f>
        <v>0</v>
      </c>
      <c r="P190" s="25">
        <f>cuotas_emitidas!P185-SUMIFS(ingresos!$D:$D,ingresos!$F:$F,saldos!$A190,ingresos!$G:$G,saldos!P$6)</f>
        <v>0</v>
      </c>
      <c r="Q190" s="25">
        <f>cuotas_emitidas!Q185-SUMIFS(ingresos!$D:$D,ingresos!$F:$F,saldos!$A190,ingresos!$G:$G,saldos!Q$6)</f>
        <v>0</v>
      </c>
      <c r="R190" s="26">
        <f t="shared" si="6"/>
        <v>0</v>
      </c>
      <c r="T190" s="26">
        <f t="shared" si="7"/>
        <v>0</v>
      </c>
      <c r="U190" s="26">
        <f t="shared" si="8"/>
        <v>0</v>
      </c>
    </row>
    <row r="191" spans="1:21" x14ac:dyDescent="0.25">
      <c r="A191" s="17" t="s">
        <v>2013</v>
      </c>
      <c r="B191" s="17" t="s">
        <v>2014</v>
      </c>
      <c r="C191" s="17" t="s">
        <v>2015</v>
      </c>
      <c r="D191" s="25">
        <f>cuotas_emitidas!D186-SUMIFS(ingresos!$D:$D,ingresos!$F:$F,saldos!$A191,ingresos!$G:$G,saldos!D$6)</f>
        <v>0</v>
      </c>
      <c r="E191" s="25">
        <f>cuotas_emitidas!E186-SUMIFS(ingresos!$D:$D,ingresos!$F:$F,saldos!$A191,ingresos!$G:$G,saldos!E$6)</f>
        <v>0</v>
      </c>
      <c r="F191" s="25">
        <f>cuotas_emitidas!F186-SUMIFS(ingresos!$D:$D,ingresos!$F:$F,saldos!$A191,ingresos!$G:$G,saldos!F$6)</f>
        <v>0</v>
      </c>
      <c r="G191" s="25">
        <f>cuotas_emitidas!G186-SUMIFS(ingresos!$D:$D,ingresos!$F:$F,saldos!$A191,ingresos!$G:$G,saldos!G$6)</f>
        <v>0</v>
      </c>
      <c r="H191" s="25">
        <f>cuotas_emitidas!H186-SUMIFS(ingresos!$D:$D,ingresos!$F:$F,saldos!$A191,ingresos!$G:$G,saldos!H$6)</f>
        <v>0</v>
      </c>
      <c r="I191" s="25">
        <f>cuotas_emitidas!I186-SUMIFS(ingresos!$D:$D,ingresos!$F:$F,saldos!$A191,ingresos!$G:$G,saldos!I$6)</f>
        <v>0</v>
      </c>
      <c r="J191" s="25">
        <f>cuotas_emitidas!J186-SUMIFS(ingresos!$D:$D,ingresos!$F:$F,saldos!$A191,ingresos!$G:$G,saldos!J$6)</f>
        <v>0</v>
      </c>
      <c r="K191" s="25">
        <f>cuotas_emitidas!K186-SUMIFS(ingresos!$D:$D,ingresos!$F:$F,saldos!$A191,ingresos!$G:$G,saldos!K$6)</f>
        <v>0</v>
      </c>
      <c r="L191" s="25">
        <f>cuotas_emitidas!L186-SUMIFS(ingresos!$D:$D,ingresos!$F:$F,saldos!$A191,ingresos!$G:$G,saldos!L$6)</f>
        <v>0</v>
      </c>
      <c r="M191" s="25">
        <f>cuotas_emitidas!M186-SUMIFS(ingresos!$D:$D,ingresos!$F:$F,saldos!$A191,ingresos!$G:$G,saldos!M$6)</f>
        <v>0</v>
      </c>
      <c r="N191" s="25">
        <f>cuotas_emitidas!N186-SUMIFS(ingresos!$D:$D,ingresos!$F:$F,saldos!$A191,ingresos!$G:$G,saldos!N$6)</f>
        <v>0</v>
      </c>
      <c r="O191" s="25">
        <f>cuotas_emitidas!O186-SUMIFS(ingresos!$D:$D,ingresos!$F:$F,saldos!$A191,ingresos!$G:$G,saldos!O$6)</f>
        <v>0</v>
      </c>
      <c r="P191" s="25">
        <f>cuotas_emitidas!P186-SUMIFS(ingresos!$D:$D,ingresos!$F:$F,saldos!$A191,ingresos!$G:$G,saldos!P$6)</f>
        <v>0</v>
      </c>
      <c r="Q191" s="25">
        <f>cuotas_emitidas!Q186-SUMIFS(ingresos!$D:$D,ingresos!$F:$F,saldos!$A191,ingresos!$G:$G,saldos!Q$6)</f>
        <v>0</v>
      </c>
      <c r="R191" s="26">
        <f t="shared" si="6"/>
        <v>0</v>
      </c>
      <c r="T191" s="26">
        <f t="shared" si="7"/>
        <v>0</v>
      </c>
      <c r="U191" s="26">
        <f t="shared" si="8"/>
        <v>0</v>
      </c>
    </row>
    <row r="192" spans="1:21" x14ac:dyDescent="0.25">
      <c r="A192" s="17" t="s">
        <v>2016</v>
      </c>
      <c r="B192" s="17" t="s">
        <v>2017</v>
      </c>
      <c r="C192" s="17" t="s">
        <v>2018</v>
      </c>
      <c r="D192" s="25">
        <f>cuotas_emitidas!D187-SUMIFS(ingresos!$D:$D,ingresos!$F:$F,saldos!$A192,ingresos!$G:$G,saldos!D$6)</f>
        <v>0</v>
      </c>
      <c r="E192" s="25">
        <f>cuotas_emitidas!E187-SUMIFS(ingresos!$D:$D,ingresos!$F:$F,saldos!$A192,ingresos!$G:$G,saldos!E$6)</f>
        <v>0</v>
      </c>
      <c r="F192" s="25">
        <f>cuotas_emitidas!F187-SUMIFS(ingresos!$D:$D,ingresos!$F:$F,saldos!$A192,ingresos!$G:$G,saldos!F$6)</f>
        <v>0</v>
      </c>
      <c r="G192" s="25">
        <f>cuotas_emitidas!G187-SUMIFS(ingresos!$D:$D,ingresos!$F:$F,saldos!$A192,ingresos!$G:$G,saldos!G$6)</f>
        <v>0</v>
      </c>
      <c r="H192" s="25">
        <f>cuotas_emitidas!H187-SUMIFS(ingresos!$D:$D,ingresos!$F:$F,saldos!$A192,ingresos!$G:$G,saldos!H$6)</f>
        <v>0</v>
      </c>
      <c r="I192" s="25">
        <f>cuotas_emitidas!I187-SUMIFS(ingresos!$D:$D,ingresos!$F:$F,saldos!$A192,ingresos!$G:$G,saldos!I$6)</f>
        <v>0</v>
      </c>
      <c r="J192" s="25">
        <f>cuotas_emitidas!J187-SUMIFS(ingresos!$D:$D,ingresos!$F:$F,saldos!$A192,ingresos!$G:$G,saldos!J$6)</f>
        <v>0</v>
      </c>
      <c r="K192" s="25">
        <f>cuotas_emitidas!K187-SUMIFS(ingresos!$D:$D,ingresos!$F:$F,saldos!$A192,ingresos!$G:$G,saldos!K$6)</f>
        <v>0</v>
      </c>
      <c r="L192" s="25">
        <f>cuotas_emitidas!L187-SUMIFS(ingresos!$D:$D,ingresos!$F:$F,saldos!$A192,ingresos!$G:$G,saldos!L$6)</f>
        <v>0</v>
      </c>
      <c r="M192" s="25">
        <f>cuotas_emitidas!M187-SUMIFS(ingresos!$D:$D,ingresos!$F:$F,saldos!$A192,ingresos!$G:$G,saldos!M$6)</f>
        <v>0</v>
      </c>
      <c r="N192" s="25">
        <f>cuotas_emitidas!N187-SUMIFS(ingresos!$D:$D,ingresos!$F:$F,saldos!$A192,ingresos!$G:$G,saldos!N$6)</f>
        <v>0</v>
      </c>
      <c r="O192" s="25">
        <f>cuotas_emitidas!O187-SUMIFS(ingresos!$D:$D,ingresos!$F:$F,saldos!$A192,ingresos!$G:$G,saldos!O$6)</f>
        <v>0</v>
      </c>
      <c r="P192" s="25">
        <f>cuotas_emitidas!P187-SUMIFS(ingresos!$D:$D,ingresos!$F:$F,saldos!$A192,ingresos!$G:$G,saldos!P$6)</f>
        <v>0</v>
      </c>
      <c r="Q192" s="25">
        <f>cuotas_emitidas!Q187-SUMIFS(ingresos!$D:$D,ingresos!$F:$F,saldos!$A192,ingresos!$G:$G,saldos!Q$6)</f>
        <v>416.53999999999996</v>
      </c>
      <c r="R192" s="26">
        <f t="shared" si="6"/>
        <v>416.53999999999996</v>
      </c>
      <c r="T192" s="26">
        <f t="shared" si="7"/>
        <v>416.53999999999996</v>
      </c>
      <c r="U192" s="26">
        <f t="shared" si="8"/>
        <v>0</v>
      </c>
    </row>
    <row r="193" spans="1:21" x14ac:dyDescent="0.25">
      <c r="A193" s="17" t="s">
        <v>2019</v>
      </c>
      <c r="B193" s="17" t="s">
        <v>2020</v>
      </c>
      <c r="C193" s="17" t="s">
        <v>2021</v>
      </c>
      <c r="D193" s="25">
        <f>cuotas_emitidas!D188-SUMIFS(ingresos!$D:$D,ingresos!$F:$F,saldos!$A193,ingresos!$G:$G,saldos!D$6)</f>
        <v>0</v>
      </c>
      <c r="E193" s="25">
        <f>cuotas_emitidas!E188-SUMIFS(ingresos!$D:$D,ingresos!$F:$F,saldos!$A193,ingresos!$G:$G,saldos!E$6)</f>
        <v>0</v>
      </c>
      <c r="F193" s="25">
        <f>cuotas_emitidas!F188-SUMIFS(ingresos!$D:$D,ingresos!$F:$F,saldos!$A193,ingresos!$G:$G,saldos!F$6)</f>
        <v>0</v>
      </c>
      <c r="G193" s="25">
        <f>cuotas_emitidas!G188-SUMIFS(ingresos!$D:$D,ingresos!$F:$F,saldos!$A193,ingresos!$G:$G,saldos!G$6)</f>
        <v>0</v>
      </c>
      <c r="H193" s="25">
        <f>cuotas_emitidas!H188-SUMIFS(ingresos!$D:$D,ingresos!$F:$F,saldos!$A193,ingresos!$G:$G,saldos!H$6)</f>
        <v>0</v>
      </c>
      <c r="I193" s="25">
        <f>cuotas_emitidas!I188-SUMIFS(ingresos!$D:$D,ingresos!$F:$F,saldos!$A193,ingresos!$G:$G,saldos!I$6)</f>
        <v>0</v>
      </c>
      <c r="J193" s="25">
        <f>cuotas_emitidas!J188-SUMIFS(ingresos!$D:$D,ingresos!$F:$F,saldos!$A193,ingresos!$G:$G,saldos!J$6)</f>
        <v>0</v>
      </c>
      <c r="K193" s="25">
        <f>cuotas_emitidas!K188-SUMIFS(ingresos!$D:$D,ingresos!$F:$F,saldos!$A193,ingresos!$G:$G,saldos!K$6)</f>
        <v>0</v>
      </c>
      <c r="L193" s="25">
        <f>cuotas_emitidas!L188-SUMIFS(ingresos!$D:$D,ingresos!$F:$F,saldos!$A193,ingresos!$G:$G,saldos!L$6)</f>
        <v>0</v>
      </c>
      <c r="M193" s="25">
        <f>cuotas_emitidas!M188-SUMIFS(ingresos!$D:$D,ingresos!$F:$F,saldos!$A193,ingresos!$G:$G,saldos!M$6)</f>
        <v>-12.379999999999995</v>
      </c>
      <c r="N193" s="25">
        <f>cuotas_emitidas!N188-SUMIFS(ingresos!$D:$D,ingresos!$F:$F,saldos!$A193,ingresos!$G:$G,saldos!N$6)</f>
        <v>4.1500000000000341</v>
      </c>
      <c r="O193" s="25">
        <f>cuotas_emitidas!O188-SUMIFS(ingresos!$D:$D,ingresos!$F:$F,saldos!$A193,ingresos!$G:$G,saldos!O$6)</f>
        <v>0</v>
      </c>
      <c r="P193" s="25">
        <f>cuotas_emitidas!P188-SUMIFS(ingresos!$D:$D,ingresos!$F:$F,saldos!$A193,ingresos!$G:$G,saldos!P$6)</f>
        <v>0</v>
      </c>
      <c r="Q193" s="25">
        <f>cuotas_emitidas!Q188-SUMIFS(ingresos!$D:$D,ingresos!$F:$F,saldos!$A193,ingresos!$G:$G,saldos!Q$6)</f>
        <v>8.2300000000000182</v>
      </c>
      <c r="R193" s="26">
        <f t="shared" si="6"/>
        <v>5.6843418860808015E-14</v>
      </c>
      <c r="T193" s="26">
        <f t="shared" si="7"/>
        <v>8.2300000000000182</v>
      </c>
      <c r="U193" s="26">
        <f t="shared" si="8"/>
        <v>-8.2299999999999613</v>
      </c>
    </row>
    <row r="194" spans="1:21" x14ac:dyDescent="0.25">
      <c r="A194" s="17" t="s">
        <v>2022</v>
      </c>
      <c r="B194" s="17" t="s">
        <v>2023</v>
      </c>
      <c r="C194" s="17" t="s">
        <v>2024</v>
      </c>
      <c r="D194" s="25">
        <f>cuotas_emitidas!D189-SUMIFS(ingresos!$D:$D,ingresos!$F:$F,saldos!$A194,ingresos!$G:$G,saldos!D$6)</f>
        <v>0</v>
      </c>
      <c r="E194" s="25">
        <f>cuotas_emitidas!E189-SUMIFS(ingresos!$D:$D,ingresos!$F:$F,saldos!$A194,ingresos!$G:$G,saldos!E$6)</f>
        <v>0</v>
      </c>
      <c r="F194" s="25">
        <f>cuotas_emitidas!F189-SUMIFS(ingresos!$D:$D,ingresos!$F:$F,saldos!$A194,ingresos!$G:$G,saldos!F$6)</f>
        <v>0</v>
      </c>
      <c r="G194" s="25">
        <f>cuotas_emitidas!G189-SUMIFS(ingresos!$D:$D,ingresos!$F:$F,saldos!$A194,ingresos!$G:$G,saldos!G$6)</f>
        <v>0</v>
      </c>
      <c r="H194" s="25">
        <f>cuotas_emitidas!H189-SUMIFS(ingresos!$D:$D,ingresos!$F:$F,saldos!$A194,ingresos!$G:$G,saldos!H$6)</f>
        <v>0</v>
      </c>
      <c r="I194" s="25">
        <f>cuotas_emitidas!I189-SUMIFS(ingresos!$D:$D,ingresos!$F:$F,saldos!$A194,ingresos!$G:$G,saldos!I$6)</f>
        <v>0</v>
      </c>
      <c r="J194" s="25">
        <f>cuotas_emitidas!J189-SUMIFS(ingresos!$D:$D,ingresos!$F:$F,saldos!$A194,ingresos!$G:$G,saldos!J$6)</f>
        <v>0</v>
      </c>
      <c r="K194" s="25">
        <f>cuotas_emitidas!K189-SUMIFS(ingresos!$D:$D,ingresos!$F:$F,saldos!$A194,ingresos!$G:$G,saldos!K$6)</f>
        <v>0</v>
      </c>
      <c r="L194" s="25">
        <f>cuotas_emitidas!L189-SUMIFS(ingresos!$D:$D,ingresos!$F:$F,saldos!$A194,ingresos!$G:$G,saldos!L$6)</f>
        <v>0</v>
      </c>
      <c r="M194" s="25">
        <f>cuotas_emitidas!M189-SUMIFS(ingresos!$D:$D,ingresos!$F:$F,saldos!$A194,ingresos!$G:$G,saldos!M$6)</f>
        <v>0</v>
      </c>
      <c r="N194" s="25">
        <f>cuotas_emitidas!N189-SUMIFS(ingresos!$D:$D,ingresos!$F:$F,saldos!$A194,ingresos!$G:$G,saldos!N$6)</f>
        <v>0</v>
      </c>
      <c r="O194" s="25">
        <f>cuotas_emitidas!O189-SUMIFS(ingresos!$D:$D,ingresos!$F:$F,saldos!$A194,ingresos!$G:$G,saldos!O$6)</f>
        <v>0</v>
      </c>
      <c r="P194" s="25">
        <f>cuotas_emitidas!P189-SUMIFS(ingresos!$D:$D,ingresos!$F:$F,saldos!$A194,ingresos!$G:$G,saldos!P$6)</f>
        <v>0</v>
      </c>
      <c r="Q194" s="25">
        <f>cuotas_emitidas!Q189-SUMIFS(ingresos!$D:$D,ingresos!$F:$F,saldos!$A194,ingresos!$G:$G,saldos!Q$6)</f>
        <v>170.93</v>
      </c>
      <c r="R194" s="26">
        <f t="shared" si="6"/>
        <v>170.93</v>
      </c>
      <c r="T194" s="26">
        <f t="shared" si="7"/>
        <v>170.93</v>
      </c>
      <c r="U194" s="26">
        <f t="shared" si="8"/>
        <v>0</v>
      </c>
    </row>
    <row r="195" spans="1:21" x14ac:dyDescent="0.25">
      <c r="A195" s="17" t="s">
        <v>2025</v>
      </c>
      <c r="B195" s="17" t="s">
        <v>1308</v>
      </c>
      <c r="C195" s="17" t="s">
        <v>2026</v>
      </c>
      <c r="D195" s="25">
        <f>cuotas_emitidas!D190-SUMIFS(ingresos!$D:$D,ingresos!$F:$F,saldos!$A195,ingresos!$G:$G,saldos!D$6)</f>
        <v>0</v>
      </c>
      <c r="E195" s="25">
        <f>cuotas_emitidas!E190-SUMIFS(ingresos!$D:$D,ingresos!$F:$F,saldos!$A195,ingresos!$G:$G,saldos!E$6)</f>
        <v>0</v>
      </c>
      <c r="F195" s="25">
        <f>cuotas_emitidas!F190-SUMIFS(ingresos!$D:$D,ingresos!$F:$F,saldos!$A195,ingresos!$G:$G,saldos!F$6)</f>
        <v>0</v>
      </c>
      <c r="G195" s="25">
        <f>cuotas_emitidas!G190-SUMIFS(ingresos!$D:$D,ingresos!$F:$F,saldos!$A195,ingresos!$G:$G,saldos!G$6)</f>
        <v>0</v>
      </c>
      <c r="H195" s="25">
        <f>cuotas_emitidas!H190-SUMIFS(ingresos!$D:$D,ingresos!$F:$F,saldos!$A195,ingresos!$G:$G,saldos!H$6)</f>
        <v>0</v>
      </c>
      <c r="I195" s="25">
        <f>cuotas_emitidas!I190-SUMIFS(ingresos!$D:$D,ingresos!$F:$F,saldos!$A195,ingresos!$G:$G,saldos!I$6)</f>
        <v>0</v>
      </c>
      <c r="J195" s="25">
        <f>cuotas_emitidas!J190-SUMIFS(ingresos!$D:$D,ingresos!$F:$F,saldos!$A195,ingresos!$G:$G,saldos!J$6)</f>
        <v>0</v>
      </c>
      <c r="K195" s="25">
        <f>cuotas_emitidas!K190-SUMIFS(ingresos!$D:$D,ingresos!$F:$F,saldos!$A195,ingresos!$G:$G,saldos!K$6)</f>
        <v>0</v>
      </c>
      <c r="L195" s="25">
        <f>cuotas_emitidas!L190-SUMIFS(ingresos!$D:$D,ingresos!$F:$F,saldos!$A195,ingresos!$G:$G,saldos!L$6)</f>
        <v>0</v>
      </c>
      <c r="M195" s="25">
        <f>cuotas_emitidas!M190-SUMIFS(ingresos!$D:$D,ingresos!$F:$F,saldos!$A195,ingresos!$G:$G,saldos!M$6)</f>
        <v>0</v>
      </c>
      <c r="N195" s="25">
        <f>cuotas_emitidas!N190-SUMIFS(ingresos!$D:$D,ingresos!$F:$F,saldos!$A195,ingresos!$G:$G,saldos!N$6)</f>
        <v>0</v>
      </c>
      <c r="O195" s="25">
        <f>cuotas_emitidas!O190-SUMIFS(ingresos!$D:$D,ingresos!$F:$F,saldos!$A195,ingresos!$G:$G,saldos!O$6)</f>
        <v>0</v>
      </c>
      <c r="P195" s="25">
        <f>cuotas_emitidas!P190-SUMIFS(ingresos!$D:$D,ingresos!$F:$F,saldos!$A195,ingresos!$G:$G,saldos!P$6)</f>
        <v>0</v>
      </c>
      <c r="Q195" s="25">
        <f>cuotas_emitidas!Q190-SUMIFS(ingresos!$D:$D,ingresos!$F:$F,saldos!$A195,ingresos!$G:$G,saldos!Q$6)</f>
        <v>446.4</v>
      </c>
      <c r="R195" s="26">
        <f t="shared" si="6"/>
        <v>446.4</v>
      </c>
      <c r="T195" s="26">
        <f t="shared" si="7"/>
        <v>446.4</v>
      </c>
      <c r="U195" s="26">
        <f t="shared" si="8"/>
        <v>0</v>
      </c>
    </row>
    <row r="196" spans="1:21" x14ac:dyDescent="0.25">
      <c r="A196" s="17" t="s">
        <v>2027</v>
      </c>
      <c r="B196" s="17" t="s">
        <v>2028</v>
      </c>
      <c r="C196" s="17" t="s">
        <v>2029</v>
      </c>
      <c r="D196" s="25">
        <f>cuotas_emitidas!D191-SUMIFS(ingresos!$D:$D,ingresos!$F:$F,saldos!$A196,ingresos!$G:$G,saldos!D$6)</f>
        <v>0</v>
      </c>
      <c r="E196" s="25">
        <f>cuotas_emitidas!E191-SUMIFS(ingresos!$D:$D,ingresos!$F:$F,saldos!$A196,ingresos!$G:$G,saldos!E$6)</f>
        <v>0</v>
      </c>
      <c r="F196" s="25">
        <f>cuotas_emitidas!F191-SUMIFS(ingresos!$D:$D,ingresos!$F:$F,saldos!$A196,ingresos!$G:$G,saldos!F$6)</f>
        <v>0</v>
      </c>
      <c r="G196" s="25">
        <f>cuotas_emitidas!G191-SUMIFS(ingresos!$D:$D,ingresos!$F:$F,saldos!$A196,ingresos!$G:$G,saldos!G$6)</f>
        <v>0</v>
      </c>
      <c r="H196" s="25">
        <f>cuotas_emitidas!H191-SUMIFS(ingresos!$D:$D,ingresos!$F:$F,saldos!$A196,ingresos!$G:$G,saldos!H$6)</f>
        <v>0</v>
      </c>
      <c r="I196" s="25">
        <f>cuotas_emitidas!I191-SUMIFS(ingresos!$D:$D,ingresos!$F:$F,saldos!$A196,ingresos!$G:$G,saldos!I$6)</f>
        <v>0</v>
      </c>
      <c r="J196" s="25">
        <f>cuotas_emitidas!J191-SUMIFS(ingresos!$D:$D,ingresos!$F:$F,saldos!$A196,ingresos!$G:$G,saldos!J$6)</f>
        <v>0</v>
      </c>
      <c r="K196" s="25">
        <f>cuotas_emitidas!K191-SUMIFS(ingresos!$D:$D,ingresos!$F:$F,saldos!$A196,ingresos!$G:$G,saldos!K$6)</f>
        <v>0</v>
      </c>
      <c r="L196" s="25">
        <f>cuotas_emitidas!L191-SUMIFS(ingresos!$D:$D,ingresos!$F:$F,saldos!$A196,ingresos!$G:$G,saldos!L$6)</f>
        <v>0</v>
      </c>
      <c r="M196" s="25">
        <f>cuotas_emitidas!M191-SUMIFS(ingresos!$D:$D,ingresos!$F:$F,saldos!$A196,ingresos!$G:$G,saldos!M$6)</f>
        <v>0</v>
      </c>
      <c r="N196" s="25">
        <f>cuotas_emitidas!N191-SUMIFS(ingresos!$D:$D,ingresos!$F:$F,saldos!$A196,ingresos!$G:$G,saldos!N$6)</f>
        <v>0</v>
      </c>
      <c r="O196" s="25">
        <f>cuotas_emitidas!O191-SUMIFS(ingresos!$D:$D,ingresos!$F:$F,saldos!$A196,ingresos!$G:$G,saldos!O$6)</f>
        <v>0</v>
      </c>
      <c r="P196" s="25">
        <f>cuotas_emitidas!P191-SUMIFS(ingresos!$D:$D,ingresos!$F:$F,saldos!$A196,ingresos!$G:$G,saldos!P$6)</f>
        <v>0</v>
      </c>
      <c r="Q196" s="25">
        <f>cuotas_emitidas!Q191-SUMIFS(ingresos!$D:$D,ingresos!$F:$F,saldos!$A196,ingresos!$G:$G,saldos!Q$6)</f>
        <v>391.13</v>
      </c>
      <c r="R196" s="26">
        <f t="shared" si="6"/>
        <v>391.13</v>
      </c>
      <c r="T196" s="26">
        <f t="shared" si="7"/>
        <v>391.13</v>
      </c>
      <c r="U196" s="26">
        <f t="shared" si="8"/>
        <v>0</v>
      </c>
    </row>
    <row r="197" spans="1:21" x14ac:dyDescent="0.25">
      <c r="A197" s="17" t="s">
        <v>2030</v>
      </c>
      <c r="B197" s="17" t="s">
        <v>1476</v>
      </c>
      <c r="C197" s="17" t="s">
        <v>2031</v>
      </c>
      <c r="D197" s="25">
        <f>cuotas_emitidas!D192-SUMIFS(ingresos!$D:$D,ingresos!$F:$F,saldos!$A197,ingresos!$G:$G,saldos!D$6)</f>
        <v>0</v>
      </c>
      <c r="E197" s="25">
        <f>cuotas_emitidas!E192-SUMIFS(ingresos!$D:$D,ingresos!$F:$F,saldos!$A197,ingresos!$G:$G,saldos!E$6)</f>
        <v>0</v>
      </c>
      <c r="F197" s="25">
        <f>cuotas_emitidas!F192-SUMIFS(ingresos!$D:$D,ingresos!$F:$F,saldos!$A197,ingresos!$G:$G,saldos!F$6)</f>
        <v>0</v>
      </c>
      <c r="G197" s="25">
        <f>cuotas_emitidas!G192-SUMIFS(ingresos!$D:$D,ingresos!$F:$F,saldos!$A197,ingresos!$G:$G,saldos!G$6)</f>
        <v>0</v>
      </c>
      <c r="H197" s="25">
        <f>cuotas_emitidas!H192-SUMIFS(ingresos!$D:$D,ingresos!$F:$F,saldos!$A197,ingresos!$G:$G,saldos!H$6)</f>
        <v>0</v>
      </c>
      <c r="I197" s="25">
        <f>cuotas_emitidas!I192-SUMIFS(ingresos!$D:$D,ingresos!$F:$F,saldos!$A197,ingresos!$G:$G,saldos!I$6)</f>
        <v>0</v>
      </c>
      <c r="J197" s="25">
        <f>cuotas_emitidas!J192-SUMIFS(ingresos!$D:$D,ingresos!$F:$F,saldos!$A197,ingresos!$G:$G,saldos!J$6)</f>
        <v>0</v>
      </c>
      <c r="K197" s="25">
        <f>cuotas_emitidas!K192-SUMIFS(ingresos!$D:$D,ingresos!$F:$F,saldos!$A197,ingresos!$G:$G,saldos!K$6)</f>
        <v>0</v>
      </c>
      <c r="L197" s="25">
        <f>cuotas_emitidas!L192-SUMIFS(ingresos!$D:$D,ingresos!$F:$F,saldos!$A197,ingresos!$G:$G,saldos!L$6)</f>
        <v>0</v>
      </c>
      <c r="M197" s="25">
        <f>cuotas_emitidas!M192-SUMIFS(ingresos!$D:$D,ingresos!$F:$F,saldos!$A197,ingresos!$G:$G,saldos!M$6)</f>
        <v>0</v>
      </c>
      <c r="N197" s="25">
        <f>cuotas_emitidas!N192-SUMIFS(ingresos!$D:$D,ingresos!$F:$F,saldos!$A197,ingresos!$G:$G,saldos!N$6)</f>
        <v>0</v>
      </c>
      <c r="O197" s="25">
        <f>cuotas_emitidas!O192-SUMIFS(ingresos!$D:$D,ingresos!$F:$F,saldos!$A197,ingresos!$G:$G,saldos!O$6)</f>
        <v>0</v>
      </c>
      <c r="P197" s="25">
        <f>cuotas_emitidas!P192-SUMIFS(ingresos!$D:$D,ingresos!$F:$F,saldos!$A197,ingresos!$G:$G,saldos!P$6)</f>
        <v>0</v>
      </c>
      <c r="Q197" s="25">
        <f>cuotas_emitidas!Q192-SUMIFS(ingresos!$D:$D,ingresos!$F:$F,saldos!$A197,ingresos!$G:$G,saldos!Q$6)</f>
        <v>0</v>
      </c>
      <c r="R197" s="26">
        <f t="shared" si="6"/>
        <v>0</v>
      </c>
      <c r="T197" s="26">
        <f t="shared" si="7"/>
        <v>0</v>
      </c>
      <c r="U197" s="26">
        <f t="shared" si="8"/>
        <v>0</v>
      </c>
    </row>
    <row r="198" spans="1:21" x14ac:dyDescent="0.25">
      <c r="A198" s="17" t="s">
        <v>2032</v>
      </c>
      <c r="B198" s="17" t="s">
        <v>2033</v>
      </c>
      <c r="C198" s="17" t="s">
        <v>2034</v>
      </c>
      <c r="D198" s="25">
        <f>cuotas_emitidas!D193-SUMIFS(ingresos!$D:$D,ingresos!$F:$F,saldos!$A198,ingresos!$G:$G,saldos!D$6)</f>
        <v>0</v>
      </c>
      <c r="E198" s="25">
        <f>cuotas_emitidas!E193-SUMIFS(ingresos!$D:$D,ingresos!$F:$F,saldos!$A198,ingresos!$G:$G,saldos!E$6)</f>
        <v>0</v>
      </c>
      <c r="F198" s="25">
        <f>cuotas_emitidas!F193-SUMIFS(ingresos!$D:$D,ingresos!$F:$F,saldos!$A198,ingresos!$G:$G,saldos!F$6)</f>
        <v>0</v>
      </c>
      <c r="G198" s="25">
        <f>cuotas_emitidas!G193-SUMIFS(ingresos!$D:$D,ingresos!$F:$F,saldos!$A198,ingresos!$G:$G,saldos!G$6)</f>
        <v>0</v>
      </c>
      <c r="H198" s="25">
        <f>cuotas_emitidas!H193-SUMIFS(ingresos!$D:$D,ingresos!$F:$F,saldos!$A198,ingresos!$G:$G,saldos!H$6)</f>
        <v>0</v>
      </c>
      <c r="I198" s="25">
        <f>cuotas_emitidas!I193-SUMIFS(ingresos!$D:$D,ingresos!$F:$F,saldos!$A198,ingresos!$G:$G,saldos!I$6)</f>
        <v>0</v>
      </c>
      <c r="J198" s="25">
        <f>cuotas_emitidas!J193-SUMIFS(ingresos!$D:$D,ingresos!$F:$F,saldos!$A198,ingresos!$G:$G,saldos!J$6)</f>
        <v>0</v>
      </c>
      <c r="K198" s="25">
        <f>cuotas_emitidas!K193-SUMIFS(ingresos!$D:$D,ingresos!$F:$F,saldos!$A198,ingresos!$G:$G,saldos!K$6)</f>
        <v>0</v>
      </c>
      <c r="L198" s="25">
        <f>cuotas_emitidas!L193-SUMIFS(ingresos!$D:$D,ingresos!$F:$F,saldos!$A198,ingresos!$G:$G,saldos!L$6)</f>
        <v>0</v>
      </c>
      <c r="M198" s="25">
        <f>cuotas_emitidas!M193-SUMIFS(ingresos!$D:$D,ingresos!$F:$F,saldos!$A198,ingresos!$G:$G,saldos!M$6)</f>
        <v>0</v>
      </c>
      <c r="N198" s="25">
        <f>cuotas_emitidas!N193-SUMIFS(ingresos!$D:$D,ingresos!$F:$F,saldos!$A198,ingresos!$G:$G,saldos!N$6)</f>
        <v>0</v>
      </c>
      <c r="O198" s="25">
        <f>cuotas_emitidas!O193-SUMIFS(ingresos!$D:$D,ingresos!$F:$F,saldos!$A198,ingresos!$G:$G,saldos!O$6)</f>
        <v>0</v>
      </c>
      <c r="P198" s="25">
        <f>cuotas_emitidas!P193-SUMIFS(ingresos!$D:$D,ingresos!$F:$F,saldos!$A198,ingresos!$G:$G,saldos!P$6)</f>
        <v>0</v>
      </c>
      <c r="Q198" s="25">
        <f>cuotas_emitidas!Q193-SUMIFS(ingresos!$D:$D,ingresos!$F:$F,saldos!$A198,ingresos!$G:$G,saldos!Q$6)</f>
        <v>177.58</v>
      </c>
      <c r="R198" s="26">
        <f t="shared" si="6"/>
        <v>177.58</v>
      </c>
      <c r="T198" s="26">
        <f t="shared" si="7"/>
        <v>177.58</v>
      </c>
      <c r="U198" s="26">
        <f t="shared" si="8"/>
        <v>0</v>
      </c>
    </row>
    <row r="199" spans="1:21" x14ac:dyDescent="0.25">
      <c r="A199" s="17" t="s">
        <v>2035</v>
      </c>
      <c r="B199" s="17" t="s">
        <v>1444</v>
      </c>
      <c r="C199" s="17" t="s">
        <v>2036</v>
      </c>
      <c r="D199" s="25">
        <f>cuotas_emitidas!D194-SUMIFS(ingresos!$D:$D,ingresos!$F:$F,saldos!$A199,ingresos!$G:$G,saldos!D$6)</f>
        <v>0</v>
      </c>
      <c r="E199" s="25">
        <f>cuotas_emitidas!E194-SUMIFS(ingresos!$D:$D,ingresos!$F:$F,saldos!$A199,ingresos!$G:$G,saldos!E$6)</f>
        <v>0</v>
      </c>
      <c r="F199" s="25">
        <f>cuotas_emitidas!F194-SUMIFS(ingresos!$D:$D,ingresos!$F:$F,saldos!$A199,ingresos!$G:$G,saldos!F$6)</f>
        <v>0</v>
      </c>
      <c r="G199" s="25">
        <f>cuotas_emitidas!G194-SUMIFS(ingresos!$D:$D,ingresos!$F:$F,saldos!$A199,ingresos!$G:$G,saldos!G$6)</f>
        <v>0</v>
      </c>
      <c r="H199" s="25">
        <f>cuotas_emitidas!H194-SUMIFS(ingresos!$D:$D,ingresos!$F:$F,saldos!$A199,ingresos!$G:$G,saldos!H$6)</f>
        <v>0</v>
      </c>
      <c r="I199" s="25">
        <f>cuotas_emitidas!I194-SUMIFS(ingresos!$D:$D,ingresos!$F:$F,saldos!$A199,ingresos!$G:$G,saldos!I$6)</f>
        <v>0</v>
      </c>
      <c r="J199" s="25">
        <f>cuotas_emitidas!J194-SUMIFS(ingresos!$D:$D,ingresos!$F:$F,saldos!$A199,ingresos!$G:$G,saldos!J$6)</f>
        <v>0</v>
      </c>
      <c r="K199" s="25">
        <f>cuotas_emitidas!K194-SUMIFS(ingresos!$D:$D,ingresos!$F:$F,saldos!$A199,ingresos!$G:$G,saldos!K$6)</f>
        <v>0</v>
      </c>
      <c r="L199" s="25">
        <f>cuotas_emitidas!L194-SUMIFS(ingresos!$D:$D,ingresos!$F:$F,saldos!$A199,ingresos!$G:$G,saldos!L$6)</f>
        <v>0</v>
      </c>
      <c r="M199" s="25">
        <f>cuotas_emitidas!M194-SUMIFS(ingresos!$D:$D,ingresos!$F:$F,saldos!$A199,ingresos!$G:$G,saldos!M$6)</f>
        <v>0</v>
      </c>
      <c r="N199" s="25">
        <f>cuotas_emitidas!N194-SUMIFS(ingresos!$D:$D,ingresos!$F:$F,saldos!$A199,ingresos!$G:$G,saldos!N$6)</f>
        <v>0</v>
      </c>
      <c r="O199" s="25">
        <f>cuotas_emitidas!O194-SUMIFS(ingresos!$D:$D,ingresos!$F:$F,saldos!$A199,ingresos!$G:$G,saldos!O$6)</f>
        <v>0</v>
      </c>
      <c r="P199" s="25">
        <f>cuotas_emitidas!P194-SUMIFS(ingresos!$D:$D,ingresos!$F:$F,saldos!$A199,ingresos!$G:$G,saldos!P$6)</f>
        <v>0</v>
      </c>
      <c r="Q199" s="25">
        <f>cuotas_emitidas!Q194-SUMIFS(ingresos!$D:$D,ingresos!$F:$F,saldos!$A199,ingresos!$G:$G,saldos!Q$6)</f>
        <v>389.2</v>
      </c>
      <c r="R199" s="26">
        <f t="shared" si="6"/>
        <v>389.2</v>
      </c>
      <c r="T199" s="26">
        <f t="shared" si="7"/>
        <v>389.2</v>
      </c>
      <c r="U199" s="26">
        <f t="shared" si="8"/>
        <v>0</v>
      </c>
    </row>
    <row r="200" spans="1:21" x14ac:dyDescent="0.25">
      <c r="A200" s="17" t="s">
        <v>2037</v>
      </c>
      <c r="B200" s="17" t="s">
        <v>2038</v>
      </c>
      <c r="C200" s="17" t="s">
        <v>2039</v>
      </c>
      <c r="D200" s="25">
        <f>cuotas_emitidas!D195-SUMIFS(ingresos!$D:$D,ingresos!$F:$F,saldos!$A200,ingresos!$G:$G,saldos!D$6)</f>
        <v>0</v>
      </c>
      <c r="E200" s="25">
        <f>cuotas_emitidas!E195-SUMIFS(ingresos!$D:$D,ingresos!$F:$F,saldos!$A200,ingresos!$G:$G,saldos!E$6)</f>
        <v>0</v>
      </c>
      <c r="F200" s="25">
        <f>cuotas_emitidas!F195-SUMIFS(ingresos!$D:$D,ingresos!$F:$F,saldos!$A200,ingresos!$G:$G,saldos!F$6)</f>
        <v>0</v>
      </c>
      <c r="G200" s="25">
        <f>cuotas_emitidas!G195-SUMIFS(ingresos!$D:$D,ingresos!$F:$F,saldos!$A200,ingresos!$G:$G,saldos!G$6)</f>
        <v>0</v>
      </c>
      <c r="H200" s="25">
        <f>cuotas_emitidas!H195-SUMIFS(ingresos!$D:$D,ingresos!$F:$F,saldos!$A200,ingresos!$G:$G,saldos!H$6)</f>
        <v>0</v>
      </c>
      <c r="I200" s="25">
        <f>cuotas_emitidas!I195-SUMIFS(ingresos!$D:$D,ingresos!$F:$F,saldos!$A200,ingresos!$G:$G,saldos!I$6)</f>
        <v>0</v>
      </c>
      <c r="J200" s="25">
        <f>cuotas_emitidas!J195-SUMIFS(ingresos!$D:$D,ingresos!$F:$F,saldos!$A200,ingresos!$G:$G,saldos!J$6)</f>
        <v>0</v>
      </c>
      <c r="K200" s="25">
        <f>cuotas_emitidas!K195-SUMIFS(ingresos!$D:$D,ingresos!$F:$F,saldos!$A200,ingresos!$G:$G,saldos!K$6)</f>
        <v>0</v>
      </c>
      <c r="L200" s="25">
        <f>cuotas_emitidas!L195-SUMIFS(ingresos!$D:$D,ingresos!$F:$F,saldos!$A200,ingresos!$G:$G,saldos!L$6)</f>
        <v>0</v>
      </c>
      <c r="M200" s="25">
        <f>cuotas_emitidas!M195-SUMIFS(ingresos!$D:$D,ingresos!$F:$F,saldos!$A200,ingresos!$G:$G,saldos!M$6)</f>
        <v>0</v>
      </c>
      <c r="N200" s="25">
        <f>cuotas_emitidas!N195-SUMIFS(ingresos!$D:$D,ingresos!$F:$F,saldos!$A200,ingresos!$G:$G,saldos!N$6)</f>
        <v>0</v>
      </c>
      <c r="O200" s="25">
        <f>cuotas_emitidas!O195-SUMIFS(ingresos!$D:$D,ingresos!$F:$F,saldos!$A200,ingresos!$G:$G,saldos!O$6)</f>
        <v>0</v>
      </c>
      <c r="P200" s="25">
        <f>cuotas_emitidas!P195-SUMIFS(ingresos!$D:$D,ingresos!$F:$F,saldos!$A200,ingresos!$G:$G,saldos!P$6)</f>
        <v>0</v>
      </c>
      <c r="Q200" s="25">
        <f>cuotas_emitidas!Q195-SUMIFS(ingresos!$D:$D,ingresos!$F:$F,saldos!$A200,ingresos!$G:$G,saldos!Q$6)</f>
        <v>0</v>
      </c>
      <c r="R200" s="26">
        <f t="shared" ref="R200:R210" si="9">SUM(D200:Q200)</f>
        <v>0</v>
      </c>
      <c r="T200" s="26">
        <f t="shared" ref="T200:T210" si="10">Q200</f>
        <v>0</v>
      </c>
      <c r="U200" s="26">
        <f t="shared" ref="U200:U210" si="11">R200-T200</f>
        <v>0</v>
      </c>
    </row>
    <row r="201" spans="1:21" x14ac:dyDescent="0.25">
      <c r="A201" s="17" t="s">
        <v>2040</v>
      </c>
      <c r="B201" s="17" t="s">
        <v>2041</v>
      </c>
      <c r="C201" s="17" t="s">
        <v>2042</v>
      </c>
      <c r="D201" s="25">
        <f>cuotas_emitidas!D196-SUMIFS(ingresos!$D:$D,ingresos!$F:$F,saldos!$A201,ingresos!$G:$G,saldos!D$6)</f>
        <v>0</v>
      </c>
      <c r="E201" s="25">
        <f>cuotas_emitidas!E196-SUMIFS(ingresos!$D:$D,ingresos!$F:$F,saldos!$A201,ingresos!$G:$G,saldos!E$6)</f>
        <v>0</v>
      </c>
      <c r="F201" s="25">
        <f>cuotas_emitidas!F196-SUMIFS(ingresos!$D:$D,ingresos!$F:$F,saldos!$A201,ingresos!$G:$G,saldos!F$6)</f>
        <v>0</v>
      </c>
      <c r="G201" s="25">
        <f>cuotas_emitidas!G196-SUMIFS(ingresos!$D:$D,ingresos!$F:$F,saldos!$A201,ingresos!$G:$G,saldos!G$6)</f>
        <v>0</v>
      </c>
      <c r="H201" s="25">
        <f>cuotas_emitidas!H196-SUMIFS(ingresos!$D:$D,ingresos!$F:$F,saldos!$A201,ingresos!$G:$G,saldos!H$6)</f>
        <v>0</v>
      </c>
      <c r="I201" s="25">
        <f>cuotas_emitidas!I196-SUMIFS(ingresos!$D:$D,ingresos!$F:$F,saldos!$A201,ingresos!$G:$G,saldos!I$6)</f>
        <v>0</v>
      </c>
      <c r="J201" s="25">
        <f>cuotas_emitidas!J196-SUMIFS(ingresos!$D:$D,ingresos!$F:$F,saldos!$A201,ingresos!$G:$G,saldos!J$6)</f>
        <v>0</v>
      </c>
      <c r="K201" s="25">
        <f>cuotas_emitidas!K196-SUMIFS(ingresos!$D:$D,ingresos!$F:$F,saldos!$A201,ingresos!$G:$G,saldos!K$6)</f>
        <v>0</v>
      </c>
      <c r="L201" s="25">
        <f>cuotas_emitidas!L196-SUMIFS(ingresos!$D:$D,ingresos!$F:$F,saldos!$A201,ingresos!$G:$G,saldos!L$6)</f>
        <v>0</v>
      </c>
      <c r="M201" s="25">
        <f>cuotas_emitidas!M196-SUMIFS(ingresos!$D:$D,ingresos!$F:$F,saldos!$A201,ingresos!$G:$G,saldos!M$6)</f>
        <v>0</v>
      </c>
      <c r="N201" s="25">
        <f>cuotas_emitidas!N196-SUMIFS(ingresos!$D:$D,ingresos!$F:$F,saldos!$A201,ingresos!$G:$G,saldos!N$6)</f>
        <v>0</v>
      </c>
      <c r="O201" s="25">
        <f>cuotas_emitidas!O196-SUMIFS(ingresos!$D:$D,ingresos!$F:$F,saldos!$A201,ingresos!$G:$G,saldos!O$6)</f>
        <v>0</v>
      </c>
      <c r="P201" s="25">
        <f>cuotas_emitidas!P196-SUMIFS(ingresos!$D:$D,ingresos!$F:$F,saldos!$A201,ingresos!$G:$G,saldos!P$6)</f>
        <v>0</v>
      </c>
      <c r="Q201" s="25">
        <f>cuotas_emitidas!Q196-SUMIFS(ingresos!$D:$D,ingresos!$F:$F,saldos!$A201,ingresos!$G:$G,saldos!Q$6)</f>
        <v>182.85</v>
      </c>
      <c r="R201" s="26">
        <f t="shared" si="9"/>
        <v>182.85</v>
      </c>
      <c r="T201" s="26">
        <f t="shared" si="10"/>
        <v>182.85</v>
      </c>
      <c r="U201" s="26">
        <f t="shared" si="11"/>
        <v>0</v>
      </c>
    </row>
    <row r="202" spans="1:21" x14ac:dyDescent="0.25">
      <c r="A202" s="17" t="s">
        <v>2043</v>
      </c>
      <c r="B202" s="17" t="s">
        <v>2044</v>
      </c>
      <c r="C202" s="17" t="s">
        <v>2045</v>
      </c>
      <c r="D202" s="25">
        <f>cuotas_emitidas!D197-SUMIFS(ingresos!$D:$D,ingresos!$F:$F,saldos!$A202,ingresos!$G:$G,saldos!D$6)</f>
        <v>0</v>
      </c>
      <c r="E202" s="25">
        <f>cuotas_emitidas!E197-SUMIFS(ingresos!$D:$D,ingresos!$F:$F,saldos!$A202,ingresos!$G:$G,saldos!E$6)</f>
        <v>0</v>
      </c>
      <c r="F202" s="25">
        <f>cuotas_emitidas!F197-SUMIFS(ingresos!$D:$D,ingresos!$F:$F,saldos!$A202,ingresos!$G:$G,saldos!F$6)</f>
        <v>0</v>
      </c>
      <c r="G202" s="25">
        <f>cuotas_emitidas!G197-SUMIFS(ingresos!$D:$D,ingresos!$F:$F,saldos!$A202,ingresos!$G:$G,saldos!G$6)</f>
        <v>0</v>
      </c>
      <c r="H202" s="25">
        <f>cuotas_emitidas!H197-SUMIFS(ingresos!$D:$D,ingresos!$F:$F,saldos!$A202,ingresos!$G:$G,saldos!H$6)</f>
        <v>0</v>
      </c>
      <c r="I202" s="25">
        <f>cuotas_emitidas!I197-SUMIFS(ingresos!$D:$D,ingresos!$F:$F,saldos!$A202,ingresos!$G:$G,saldos!I$6)</f>
        <v>0</v>
      </c>
      <c r="J202" s="25">
        <f>cuotas_emitidas!J197-SUMIFS(ingresos!$D:$D,ingresos!$F:$F,saldos!$A202,ingresos!$G:$G,saldos!J$6)</f>
        <v>0</v>
      </c>
      <c r="K202" s="25">
        <f>cuotas_emitidas!K197-SUMIFS(ingresos!$D:$D,ingresos!$F:$F,saldos!$A202,ingresos!$G:$G,saldos!K$6)</f>
        <v>0</v>
      </c>
      <c r="L202" s="25">
        <f>cuotas_emitidas!L197-SUMIFS(ingresos!$D:$D,ingresos!$F:$F,saldos!$A202,ingresos!$G:$G,saldos!L$6)</f>
        <v>0</v>
      </c>
      <c r="M202" s="25">
        <f>cuotas_emitidas!M197-SUMIFS(ingresos!$D:$D,ingresos!$F:$F,saldos!$A202,ingresos!$G:$G,saldos!M$6)</f>
        <v>0</v>
      </c>
      <c r="N202" s="25">
        <f>cuotas_emitidas!N197-SUMIFS(ingresos!$D:$D,ingresos!$F:$F,saldos!$A202,ingresos!$G:$G,saldos!N$6)</f>
        <v>365.88</v>
      </c>
      <c r="O202" s="25">
        <f>cuotas_emitidas!O197-SUMIFS(ingresos!$D:$D,ingresos!$F:$F,saldos!$A202,ingresos!$G:$G,saldos!O$6)</f>
        <v>372.27</v>
      </c>
      <c r="P202" s="25">
        <f>cuotas_emitidas!P197-SUMIFS(ingresos!$D:$D,ingresos!$F:$F,saldos!$A202,ingresos!$G:$G,saldos!P$6)</f>
        <v>368.75</v>
      </c>
      <c r="Q202" s="25">
        <f>cuotas_emitidas!Q197-SUMIFS(ingresos!$D:$D,ingresos!$F:$F,saldos!$A202,ingresos!$G:$G,saldos!Q$6)</f>
        <v>416.53999999999996</v>
      </c>
      <c r="R202" s="26">
        <f t="shared" si="9"/>
        <v>1523.44</v>
      </c>
      <c r="T202" s="26">
        <f t="shared" si="10"/>
        <v>416.53999999999996</v>
      </c>
      <c r="U202" s="26">
        <f t="shared" si="11"/>
        <v>1106.9000000000001</v>
      </c>
    </row>
    <row r="203" spans="1:21" x14ac:dyDescent="0.25">
      <c r="A203" s="17" t="s">
        <v>2046</v>
      </c>
      <c r="B203" s="17" t="s">
        <v>2047</v>
      </c>
      <c r="C203" s="17" t="s">
        <v>2048</v>
      </c>
      <c r="D203" s="25">
        <f>cuotas_emitidas!D198-SUMIFS(ingresos!$D:$D,ingresos!$F:$F,saldos!$A203,ingresos!$G:$G,saldos!D$6)</f>
        <v>0</v>
      </c>
      <c r="E203" s="25">
        <f>cuotas_emitidas!E198-SUMIFS(ingresos!$D:$D,ingresos!$F:$F,saldos!$A203,ingresos!$G:$G,saldos!E$6)</f>
        <v>0</v>
      </c>
      <c r="F203" s="25">
        <f>cuotas_emitidas!F198-SUMIFS(ingresos!$D:$D,ingresos!$F:$F,saldos!$A203,ingresos!$G:$G,saldos!F$6)</f>
        <v>0</v>
      </c>
      <c r="G203" s="25">
        <f>cuotas_emitidas!G198-SUMIFS(ingresos!$D:$D,ingresos!$F:$F,saldos!$A203,ingresos!$G:$G,saldos!G$6)</f>
        <v>0</v>
      </c>
      <c r="H203" s="25">
        <f>cuotas_emitidas!H198-SUMIFS(ingresos!$D:$D,ingresos!$F:$F,saldos!$A203,ingresos!$G:$G,saldos!H$6)</f>
        <v>0</v>
      </c>
      <c r="I203" s="25">
        <f>cuotas_emitidas!I198-SUMIFS(ingresos!$D:$D,ingresos!$F:$F,saldos!$A203,ingresos!$G:$G,saldos!I$6)</f>
        <v>0</v>
      </c>
      <c r="J203" s="25">
        <f>cuotas_emitidas!J198-SUMIFS(ingresos!$D:$D,ingresos!$F:$F,saldos!$A203,ingresos!$G:$G,saldos!J$6)</f>
        <v>0</v>
      </c>
      <c r="K203" s="25">
        <f>cuotas_emitidas!K198-SUMIFS(ingresos!$D:$D,ingresos!$F:$F,saldos!$A203,ingresos!$G:$G,saldos!K$6)</f>
        <v>0</v>
      </c>
      <c r="L203" s="25">
        <f>cuotas_emitidas!L198-SUMIFS(ingresos!$D:$D,ingresos!$F:$F,saldos!$A203,ingresos!$G:$G,saldos!L$6)</f>
        <v>0</v>
      </c>
      <c r="M203" s="25">
        <f>cuotas_emitidas!M198-SUMIFS(ingresos!$D:$D,ingresos!$F:$F,saldos!$A203,ingresos!$G:$G,saldos!M$6)</f>
        <v>0</v>
      </c>
      <c r="N203" s="25">
        <f>cuotas_emitidas!N198-SUMIFS(ingresos!$D:$D,ingresos!$F:$F,saldos!$A203,ingresos!$G:$G,saldos!N$6)</f>
        <v>0</v>
      </c>
      <c r="O203" s="25">
        <f>cuotas_emitidas!O198-SUMIFS(ingresos!$D:$D,ingresos!$F:$F,saldos!$A203,ingresos!$G:$G,saldos!O$6)</f>
        <v>0</v>
      </c>
      <c r="P203" s="25">
        <f>cuotas_emitidas!P198-SUMIFS(ingresos!$D:$D,ingresos!$F:$F,saldos!$A203,ingresos!$G:$G,saldos!P$6)</f>
        <v>0</v>
      </c>
      <c r="Q203" s="25">
        <f>cuotas_emitidas!Q198-SUMIFS(ingresos!$D:$D,ingresos!$F:$F,saldos!$A203,ingresos!$G:$G,saldos!Q$6)</f>
        <v>0</v>
      </c>
      <c r="R203" s="26">
        <f t="shared" si="9"/>
        <v>0</v>
      </c>
      <c r="T203" s="26">
        <f t="shared" si="10"/>
        <v>0</v>
      </c>
      <c r="U203" s="26">
        <f t="shared" si="11"/>
        <v>0</v>
      </c>
    </row>
    <row r="204" spans="1:21" x14ac:dyDescent="0.25">
      <c r="A204" s="17" t="s">
        <v>2049</v>
      </c>
      <c r="B204" s="17" t="s">
        <v>2050</v>
      </c>
      <c r="C204" s="17" t="s">
        <v>2051</v>
      </c>
      <c r="D204" s="25">
        <f>cuotas_emitidas!D199-SUMIFS(ingresos!$D:$D,ingresos!$F:$F,saldos!$A204,ingresos!$G:$G,saldos!D$6)</f>
        <v>0</v>
      </c>
      <c r="E204" s="25">
        <f>cuotas_emitidas!E199-SUMIFS(ingresos!$D:$D,ingresos!$F:$F,saldos!$A204,ingresos!$G:$G,saldos!E$6)</f>
        <v>0</v>
      </c>
      <c r="F204" s="25">
        <f>cuotas_emitidas!F199-SUMIFS(ingresos!$D:$D,ingresos!$F:$F,saldos!$A204,ingresos!$G:$G,saldos!F$6)</f>
        <v>0</v>
      </c>
      <c r="G204" s="25">
        <f>cuotas_emitidas!G199-SUMIFS(ingresos!$D:$D,ingresos!$F:$F,saldos!$A204,ingresos!$G:$G,saldos!G$6)</f>
        <v>0</v>
      </c>
      <c r="H204" s="25">
        <f>cuotas_emitidas!H199-SUMIFS(ingresos!$D:$D,ingresos!$F:$F,saldos!$A204,ingresos!$G:$G,saldos!H$6)</f>
        <v>0</v>
      </c>
      <c r="I204" s="25">
        <f>cuotas_emitidas!I199-SUMIFS(ingresos!$D:$D,ingresos!$F:$F,saldos!$A204,ingresos!$G:$G,saldos!I$6)</f>
        <v>0</v>
      </c>
      <c r="J204" s="25">
        <f>cuotas_emitidas!J199-SUMIFS(ingresos!$D:$D,ingresos!$F:$F,saldos!$A204,ingresos!$G:$G,saldos!J$6)</f>
        <v>0</v>
      </c>
      <c r="K204" s="25">
        <f>cuotas_emitidas!K199-SUMIFS(ingresos!$D:$D,ingresos!$F:$F,saldos!$A204,ingresos!$G:$G,saldos!K$6)</f>
        <v>0</v>
      </c>
      <c r="L204" s="25">
        <f>cuotas_emitidas!L199-SUMIFS(ingresos!$D:$D,ingresos!$F:$F,saldos!$A204,ingresos!$G:$G,saldos!L$6)</f>
        <v>0</v>
      </c>
      <c r="M204" s="25">
        <f>cuotas_emitidas!M199-SUMIFS(ingresos!$D:$D,ingresos!$F:$F,saldos!$A204,ingresos!$G:$G,saldos!M$6)</f>
        <v>0</v>
      </c>
      <c r="N204" s="25">
        <f>cuotas_emitidas!N199-SUMIFS(ingresos!$D:$D,ingresos!$F:$F,saldos!$A204,ingresos!$G:$G,saldos!N$6)</f>
        <v>0</v>
      </c>
      <c r="O204" s="25">
        <f>cuotas_emitidas!O199-SUMIFS(ingresos!$D:$D,ingresos!$F:$F,saldos!$A204,ingresos!$G:$G,saldos!O$6)</f>
        <v>0</v>
      </c>
      <c r="P204" s="25">
        <f>cuotas_emitidas!P199-SUMIFS(ingresos!$D:$D,ingresos!$F:$F,saldos!$A204,ingresos!$G:$G,saldos!P$6)</f>
        <v>0</v>
      </c>
      <c r="Q204" s="25">
        <f>cuotas_emitidas!Q199-SUMIFS(ingresos!$D:$D,ingresos!$F:$F,saldos!$A204,ingresos!$G:$G,saldos!Q$6)</f>
        <v>0</v>
      </c>
      <c r="R204" s="26">
        <f t="shared" si="9"/>
        <v>0</v>
      </c>
      <c r="T204" s="26">
        <f t="shared" si="10"/>
        <v>0</v>
      </c>
      <c r="U204" s="26">
        <f t="shared" si="11"/>
        <v>0</v>
      </c>
    </row>
    <row r="205" spans="1:21" x14ac:dyDescent="0.25">
      <c r="A205" s="17" t="s">
        <v>2052</v>
      </c>
      <c r="B205" s="17" t="s">
        <v>2053</v>
      </c>
      <c r="C205" s="17" t="s">
        <v>2054</v>
      </c>
      <c r="D205" s="25">
        <f>cuotas_emitidas!D200-SUMIFS(ingresos!$D:$D,ingresos!$F:$F,saldos!$A205,ingresos!$G:$G,saldos!D$6)</f>
        <v>0</v>
      </c>
      <c r="E205" s="25">
        <f>cuotas_emitidas!E200-SUMIFS(ingresos!$D:$D,ingresos!$F:$F,saldos!$A205,ingresos!$G:$G,saldos!E$6)</f>
        <v>0</v>
      </c>
      <c r="F205" s="25">
        <f>cuotas_emitidas!F200-SUMIFS(ingresos!$D:$D,ingresos!$F:$F,saldos!$A205,ingresos!$G:$G,saldos!F$6)</f>
        <v>0</v>
      </c>
      <c r="G205" s="25">
        <f>cuotas_emitidas!G200-SUMIFS(ingresos!$D:$D,ingresos!$F:$F,saldos!$A205,ingresos!$G:$G,saldos!G$6)</f>
        <v>0</v>
      </c>
      <c r="H205" s="25">
        <f>cuotas_emitidas!H200-SUMIFS(ingresos!$D:$D,ingresos!$F:$F,saldos!$A205,ingresos!$G:$G,saldos!H$6)</f>
        <v>0</v>
      </c>
      <c r="I205" s="25">
        <f>cuotas_emitidas!I200-SUMIFS(ingresos!$D:$D,ingresos!$F:$F,saldos!$A205,ingresos!$G:$G,saldos!I$6)</f>
        <v>0</v>
      </c>
      <c r="J205" s="25">
        <f>cuotas_emitidas!J200-SUMIFS(ingresos!$D:$D,ingresos!$F:$F,saldos!$A205,ingresos!$G:$G,saldos!J$6)</f>
        <v>0</v>
      </c>
      <c r="K205" s="25">
        <f>cuotas_emitidas!K200-SUMIFS(ingresos!$D:$D,ingresos!$F:$F,saldos!$A205,ingresos!$G:$G,saldos!K$6)</f>
        <v>0</v>
      </c>
      <c r="L205" s="25">
        <f>cuotas_emitidas!L200-SUMIFS(ingresos!$D:$D,ingresos!$F:$F,saldos!$A205,ingresos!$G:$G,saldos!L$6)</f>
        <v>0</v>
      </c>
      <c r="M205" s="25">
        <f>cuotas_emitidas!M200-SUMIFS(ingresos!$D:$D,ingresos!$F:$F,saldos!$A205,ingresos!$G:$G,saldos!M$6)</f>
        <v>-2.0249999999890633E-3</v>
      </c>
      <c r="N205" s="25">
        <f>cuotas_emitidas!N200-SUMIFS(ingresos!$D:$D,ingresos!$F:$F,saldos!$A205,ingresos!$G:$G,saldos!N$6)</f>
        <v>0</v>
      </c>
      <c r="O205" s="25">
        <f>cuotas_emitidas!O200-SUMIFS(ingresos!$D:$D,ingresos!$F:$F,saldos!$A205,ingresos!$G:$G,saldos!O$6)</f>
        <v>80.51931900000001</v>
      </c>
      <c r="P205" s="25">
        <f>cuotas_emitidas!P200-SUMIFS(ingresos!$D:$D,ingresos!$F:$F,saldos!$A205,ingresos!$G:$G,saldos!P$6)</f>
        <v>0</v>
      </c>
      <c r="Q205" s="25">
        <f>cuotas_emitidas!Q200-SUMIFS(ingresos!$D:$D,ingresos!$F:$F,saldos!$A205,ingresos!$G:$G,saldos!Q$6)</f>
        <v>0</v>
      </c>
      <c r="R205" s="26">
        <f t="shared" si="9"/>
        <v>80.517294000000021</v>
      </c>
      <c r="T205" s="26">
        <f t="shared" si="10"/>
        <v>0</v>
      </c>
      <c r="U205" s="26">
        <f t="shared" si="11"/>
        <v>80.517294000000021</v>
      </c>
    </row>
    <row r="206" spans="1:21" x14ac:dyDescent="0.25">
      <c r="A206" s="17" t="s">
        <v>2055</v>
      </c>
      <c r="B206" s="17" t="s">
        <v>2056</v>
      </c>
      <c r="C206" s="17" t="s">
        <v>2057</v>
      </c>
      <c r="D206" s="25">
        <f>cuotas_emitidas!D201-SUMIFS(ingresos!$D:$D,ingresos!$F:$F,saldos!$A206,ingresos!$G:$G,saldos!D$6)</f>
        <v>0</v>
      </c>
      <c r="E206" s="25">
        <f>cuotas_emitidas!E201-SUMIFS(ingresos!$D:$D,ingresos!$F:$F,saldos!$A206,ingresos!$G:$G,saldos!E$6)</f>
        <v>0</v>
      </c>
      <c r="F206" s="25">
        <f>cuotas_emitidas!F201-SUMIFS(ingresos!$D:$D,ingresos!$F:$F,saldos!$A206,ingresos!$G:$G,saldos!F$6)</f>
        <v>0</v>
      </c>
      <c r="G206" s="25">
        <f>cuotas_emitidas!G201-SUMIFS(ingresos!$D:$D,ingresos!$F:$F,saldos!$A206,ingresos!$G:$G,saldos!G$6)</f>
        <v>0</v>
      </c>
      <c r="H206" s="25">
        <f>cuotas_emitidas!H201-SUMIFS(ingresos!$D:$D,ingresos!$F:$F,saldos!$A206,ingresos!$G:$G,saldos!H$6)</f>
        <v>0</v>
      </c>
      <c r="I206" s="25">
        <f>cuotas_emitidas!I201-SUMIFS(ingresos!$D:$D,ingresos!$F:$F,saldos!$A206,ingresos!$G:$G,saldos!I$6)</f>
        <v>0</v>
      </c>
      <c r="J206" s="25">
        <f>cuotas_emitidas!J201-SUMIFS(ingresos!$D:$D,ingresos!$F:$F,saldos!$A206,ingresos!$G:$G,saldos!J$6)</f>
        <v>0</v>
      </c>
      <c r="K206" s="25">
        <f>cuotas_emitidas!K201-SUMIFS(ingresos!$D:$D,ingresos!$F:$F,saldos!$A206,ingresos!$G:$G,saldos!K$6)</f>
        <v>0</v>
      </c>
      <c r="L206" s="25">
        <f>cuotas_emitidas!L201-SUMIFS(ingresos!$D:$D,ingresos!$F:$F,saldos!$A206,ingresos!$G:$G,saldos!L$6)</f>
        <v>0</v>
      </c>
      <c r="M206" s="25">
        <f>cuotas_emitidas!M201-SUMIFS(ingresos!$D:$D,ingresos!$F:$F,saldos!$A206,ingresos!$G:$G,saldos!M$6)</f>
        <v>-2.0249999999890633E-3</v>
      </c>
      <c r="N206" s="25">
        <f>cuotas_emitidas!N201-SUMIFS(ingresos!$D:$D,ingresos!$F:$F,saldos!$A206,ingresos!$G:$G,saldos!N$6)</f>
        <v>80.52</v>
      </c>
      <c r="O206" s="25">
        <f>cuotas_emitidas!O201-SUMIFS(ingresos!$D:$D,ingresos!$F:$F,saldos!$A206,ingresos!$G:$G,saldos!O$6)</f>
        <v>80.51931900000001</v>
      </c>
      <c r="P206" s="25">
        <f>cuotas_emitidas!P201-SUMIFS(ingresos!$D:$D,ingresos!$F:$F,saldos!$A206,ingresos!$G:$G,saldos!P$6)</f>
        <v>80.52</v>
      </c>
      <c r="Q206" s="25">
        <f>cuotas_emitidas!Q201-SUMIFS(ingresos!$D:$D,ingresos!$F:$F,saldos!$A206,ingresos!$G:$G,saldos!Q$6)</f>
        <v>80.52</v>
      </c>
      <c r="R206" s="26">
        <f t="shared" si="9"/>
        <v>322.07729399999999</v>
      </c>
      <c r="T206" s="26">
        <f t="shared" si="10"/>
        <v>80.52</v>
      </c>
      <c r="U206" s="26">
        <f t="shared" si="11"/>
        <v>241.55729400000001</v>
      </c>
    </row>
    <row r="207" spans="1:21" x14ac:dyDescent="0.25">
      <c r="A207" s="17" t="s">
        <v>2058</v>
      </c>
      <c r="B207" s="17" t="s">
        <v>2059</v>
      </c>
      <c r="C207" s="17" t="s">
        <v>2060</v>
      </c>
      <c r="D207" s="25">
        <f>cuotas_emitidas!D202-SUMIFS(ingresos!$D:$D,ingresos!$F:$F,saldos!$A207,ingresos!$G:$G,saldos!D$6)</f>
        <v>0</v>
      </c>
      <c r="E207" s="25">
        <f>cuotas_emitidas!E202-SUMIFS(ingresos!$D:$D,ingresos!$F:$F,saldos!$A207,ingresos!$G:$G,saldos!E$6)</f>
        <v>0</v>
      </c>
      <c r="F207" s="25">
        <f>cuotas_emitidas!F202-SUMIFS(ingresos!$D:$D,ingresos!$F:$F,saldos!$A207,ingresos!$G:$G,saldos!F$6)</f>
        <v>0</v>
      </c>
      <c r="G207" s="25">
        <f>cuotas_emitidas!G202-SUMIFS(ingresos!$D:$D,ingresos!$F:$F,saldos!$A207,ingresos!$G:$G,saldos!G$6)</f>
        <v>0</v>
      </c>
      <c r="H207" s="25">
        <f>cuotas_emitidas!H202-SUMIFS(ingresos!$D:$D,ingresos!$F:$F,saldos!$A207,ingresos!$G:$G,saldos!H$6)</f>
        <v>0</v>
      </c>
      <c r="I207" s="25">
        <f>cuotas_emitidas!I202-SUMIFS(ingresos!$D:$D,ingresos!$F:$F,saldos!$A207,ingresos!$G:$G,saldos!I$6)</f>
        <v>0</v>
      </c>
      <c r="J207" s="25">
        <f>cuotas_emitidas!J202-SUMIFS(ingresos!$D:$D,ingresos!$F:$F,saldos!$A207,ingresos!$G:$G,saldos!J$6)</f>
        <v>0</v>
      </c>
      <c r="K207" s="25">
        <f>cuotas_emitidas!K202-SUMIFS(ingresos!$D:$D,ingresos!$F:$F,saldos!$A207,ingresos!$G:$G,saldos!K$6)</f>
        <v>0</v>
      </c>
      <c r="L207" s="25">
        <f>cuotas_emitidas!L202-SUMIFS(ingresos!$D:$D,ingresos!$F:$F,saldos!$A207,ingresos!$G:$G,saldos!L$6)</f>
        <v>0</v>
      </c>
      <c r="M207" s="25">
        <f>cuotas_emitidas!M202-SUMIFS(ingresos!$D:$D,ingresos!$F:$F,saldos!$A207,ingresos!$G:$G,saldos!M$6)</f>
        <v>45.04</v>
      </c>
      <c r="N207" s="25">
        <f>cuotas_emitidas!N202-SUMIFS(ingresos!$D:$D,ingresos!$F:$F,saldos!$A207,ingresos!$G:$G,saldos!N$6)</f>
        <v>46.64</v>
      </c>
      <c r="O207" s="25">
        <f>cuotas_emitidas!O202-SUMIFS(ingresos!$D:$D,ingresos!$F:$F,saldos!$A207,ingresos!$G:$G,saldos!O$6)</f>
        <v>46.64</v>
      </c>
      <c r="P207" s="25">
        <f>cuotas_emitidas!P202-SUMIFS(ingresos!$D:$D,ingresos!$F:$F,saldos!$A207,ingresos!$G:$G,saldos!P$6)</f>
        <v>46.64</v>
      </c>
      <c r="Q207" s="25">
        <f>cuotas_emitidas!Q202-SUMIFS(ingresos!$D:$D,ingresos!$F:$F,saldos!$A207,ingresos!$G:$G,saldos!Q$6)</f>
        <v>46.64</v>
      </c>
      <c r="R207" s="26">
        <f t="shared" si="9"/>
        <v>231.59999999999997</v>
      </c>
      <c r="T207" s="26">
        <f t="shared" si="10"/>
        <v>46.64</v>
      </c>
      <c r="U207" s="26">
        <f t="shared" si="11"/>
        <v>184.95999999999998</v>
      </c>
    </row>
    <row r="208" spans="1:21" x14ac:dyDescent="0.25">
      <c r="A208" s="17" t="s">
        <v>2061</v>
      </c>
      <c r="B208" s="17" t="s">
        <v>2062</v>
      </c>
      <c r="C208" s="17" t="s">
        <v>2063</v>
      </c>
      <c r="D208" s="25">
        <f>cuotas_emitidas!D203-SUMIFS(ingresos!$D:$D,ingresos!$F:$F,saldos!$A208,ingresos!$G:$G,saldos!D$6)</f>
        <v>0</v>
      </c>
      <c r="E208" s="25">
        <f>cuotas_emitidas!E203-SUMIFS(ingresos!$D:$D,ingresos!$F:$F,saldos!$A208,ingresos!$G:$G,saldos!E$6)</f>
        <v>0</v>
      </c>
      <c r="F208" s="25">
        <f>cuotas_emitidas!F203-SUMIFS(ingresos!$D:$D,ingresos!$F:$F,saldos!$A208,ingresos!$G:$G,saldos!F$6)</f>
        <v>0</v>
      </c>
      <c r="G208" s="25">
        <f>cuotas_emitidas!G203-SUMIFS(ingresos!$D:$D,ingresos!$F:$F,saldos!$A208,ingresos!$G:$G,saldos!G$6)</f>
        <v>0</v>
      </c>
      <c r="H208" s="25">
        <f>cuotas_emitidas!H203-SUMIFS(ingresos!$D:$D,ingresos!$F:$F,saldos!$A208,ingresos!$G:$G,saldos!H$6)</f>
        <v>0</v>
      </c>
      <c r="I208" s="25">
        <f>cuotas_emitidas!I203-SUMIFS(ingresos!$D:$D,ingresos!$F:$F,saldos!$A208,ingresos!$G:$G,saldos!I$6)</f>
        <v>0</v>
      </c>
      <c r="J208" s="25">
        <f>cuotas_emitidas!J203-SUMIFS(ingresos!$D:$D,ingresos!$F:$F,saldos!$A208,ingresos!$G:$G,saldos!J$6)</f>
        <v>0</v>
      </c>
      <c r="K208" s="25">
        <f>cuotas_emitidas!K203-SUMIFS(ingresos!$D:$D,ingresos!$F:$F,saldos!$A208,ingresos!$G:$G,saldos!K$6)</f>
        <v>0</v>
      </c>
      <c r="L208" s="25">
        <f>cuotas_emitidas!L203-SUMIFS(ingresos!$D:$D,ingresos!$F:$F,saldos!$A208,ingresos!$G:$G,saldos!L$6)</f>
        <v>0</v>
      </c>
      <c r="M208" s="25">
        <f>cuotas_emitidas!M203-SUMIFS(ingresos!$D:$D,ingresos!$F:$F,saldos!$A208,ingresos!$G:$G,saldos!M$6)</f>
        <v>0</v>
      </c>
      <c r="N208" s="25">
        <f>cuotas_emitidas!N203-SUMIFS(ingresos!$D:$D,ingresos!$F:$F,saldos!$A208,ingresos!$G:$G,saldos!N$6)</f>
        <v>0</v>
      </c>
      <c r="O208" s="25">
        <f>cuotas_emitidas!O203-SUMIFS(ingresos!$D:$D,ingresos!$F:$F,saldos!$A208,ingresos!$G:$G,saldos!O$6)</f>
        <v>0</v>
      </c>
      <c r="P208" s="25">
        <f>cuotas_emitidas!P203-SUMIFS(ingresos!$D:$D,ingresos!$F:$F,saldos!$A208,ingresos!$G:$G,saldos!P$6)</f>
        <v>80.52</v>
      </c>
      <c r="Q208" s="25">
        <f>cuotas_emitidas!Q203-SUMIFS(ingresos!$D:$D,ingresos!$F:$F,saldos!$A208,ingresos!$G:$G,saldos!Q$6)</f>
        <v>80.52</v>
      </c>
      <c r="R208" s="26">
        <f t="shared" si="9"/>
        <v>161.04</v>
      </c>
      <c r="T208" s="26">
        <f t="shared" si="10"/>
        <v>80.52</v>
      </c>
      <c r="U208" s="26">
        <f t="shared" si="11"/>
        <v>80.52</v>
      </c>
    </row>
    <row r="209" spans="1:21" x14ac:dyDescent="0.25">
      <c r="A209" s="17" t="s">
        <v>2318</v>
      </c>
      <c r="B209" s="17" t="s">
        <v>2320</v>
      </c>
      <c r="C209" s="17" t="s">
        <v>1738</v>
      </c>
      <c r="D209" s="25">
        <f>cuotas_emitidas!D204-SUMIFS(ingresos!$D:$D,ingresos!$F:$F,saldos!$A209,ingresos!$G:$G,saldos!D$6)</f>
        <v>0</v>
      </c>
      <c r="E209" s="25">
        <f>cuotas_emitidas!E204-SUMIFS(ingresos!$D:$D,ingresos!$F:$F,saldos!$A209,ingresos!$G:$G,saldos!E$6)</f>
        <v>0</v>
      </c>
      <c r="F209" s="25">
        <f>cuotas_emitidas!F204-SUMIFS(ingresos!$D:$D,ingresos!$F:$F,saldos!$A209,ingresos!$G:$G,saldos!F$6)</f>
        <v>0</v>
      </c>
      <c r="G209" s="25">
        <f>cuotas_emitidas!G204-SUMIFS(ingresos!$D:$D,ingresos!$F:$F,saldos!$A209,ingresos!$G:$G,saldos!G$6)</f>
        <v>0</v>
      </c>
      <c r="H209" s="25">
        <f>cuotas_emitidas!H204-SUMIFS(ingresos!$D:$D,ingresos!$F:$F,saldos!$A209,ingresos!$G:$G,saldos!H$6)</f>
        <v>0</v>
      </c>
      <c r="I209" s="25">
        <f>cuotas_emitidas!I204-SUMIFS(ingresos!$D:$D,ingresos!$F:$F,saldos!$A209,ingresos!$G:$G,saldos!I$6)</f>
        <v>0</v>
      </c>
      <c r="J209" s="25">
        <f>cuotas_emitidas!J204-SUMIFS(ingresos!$D:$D,ingresos!$F:$F,saldos!$A209,ingresos!$G:$G,saldos!J$6)</f>
        <v>0</v>
      </c>
      <c r="K209" s="25">
        <f>cuotas_emitidas!K204-SUMIFS(ingresos!$D:$D,ingresos!$F:$F,saldos!$A209,ingresos!$G:$G,saldos!K$6)</f>
        <v>0</v>
      </c>
      <c r="L209" s="25">
        <f>cuotas_emitidas!L204-SUMIFS(ingresos!$D:$D,ingresos!$F:$F,saldos!$A209,ingresos!$G:$G,saldos!L$6)</f>
        <v>0</v>
      </c>
      <c r="M209" s="25">
        <f>cuotas_emitidas!M204-SUMIFS(ingresos!$D:$D,ingresos!$F:$F,saldos!$A209,ingresos!$G:$G,saldos!M$6)</f>
        <v>0</v>
      </c>
      <c r="N209" s="25">
        <f>cuotas_emitidas!N204-SUMIFS(ingresos!$D:$D,ingresos!$F:$F,saldos!$A209,ingresos!$G:$G,saldos!N$6)</f>
        <v>0</v>
      </c>
      <c r="O209" s="25">
        <f>cuotas_emitidas!O204-SUMIFS(ingresos!$D:$D,ingresos!$F:$F,saldos!$A209,ingresos!$G:$G,saldos!O$6)</f>
        <v>0</v>
      </c>
      <c r="P209" s="25">
        <f>cuotas_emitidas!P204-SUMIFS(ingresos!$D:$D,ingresos!$F:$F,saldos!$A209,ingresos!$G:$G,saldos!P$6)</f>
        <v>0</v>
      </c>
      <c r="Q209" s="25">
        <f>cuotas_emitidas!Q204-SUMIFS(ingresos!$D:$D,ingresos!$F:$F,saldos!$A209,ingresos!$G:$G,saldos!Q$6)</f>
        <v>368.86</v>
      </c>
      <c r="R209" s="26">
        <f t="shared" ref="R209" si="12">SUM(D209:Q209)</f>
        <v>368.86</v>
      </c>
      <c r="T209" s="26">
        <f t="shared" ref="T209" si="13">Q209</f>
        <v>368.86</v>
      </c>
      <c r="U209" s="26">
        <f t="shared" ref="U209" si="14">R209-T209</f>
        <v>0</v>
      </c>
    </row>
    <row r="210" spans="1:21" x14ac:dyDescent="0.25">
      <c r="A210" s="17" t="s">
        <v>2064</v>
      </c>
      <c r="B210" s="17" t="s">
        <v>2065</v>
      </c>
      <c r="C210" s="17" t="s">
        <v>2064</v>
      </c>
      <c r="D210" s="25">
        <f>cuotas_emitidas!D205-SUMIFS(ingresos!$D:$D,ingresos!$F:$F,saldos!$A210,ingresos!$G:$G,saldos!D$6)</f>
        <v>0</v>
      </c>
      <c r="E210" s="25">
        <f>cuotas_emitidas!E205-SUMIFS(ingresos!$D:$D,ingresos!$F:$F,saldos!$A210,ingresos!$G:$G,saldos!E$6)</f>
        <v>0</v>
      </c>
      <c r="F210" s="25">
        <f>cuotas_emitidas!F205-SUMIFS(ingresos!$D:$D,ingresos!$F:$F,saldos!$A210,ingresos!$G:$G,saldos!F$6)</f>
        <v>0</v>
      </c>
      <c r="G210" s="25">
        <f>cuotas_emitidas!G205-SUMIFS(ingresos!$D:$D,ingresos!$F:$F,saldos!$A210,ingresos!$G:$G,saldos!G$6)</f>
        <v>0</v>
      </c>
      <c r="H210" s="25">
        <f>cuotas_emitidas!H205-SUMIFS(ingresos!$D:$D,ingresos!$F:$F,saldos!$A210,ingresos!$G:$G,saldos!H$6)</f>
        <v>0</v>
      </c>
      <c r="I210" s="25">
        <f>cuotas_emitidas!I205-SUMIFS(ingresos!$D:$D,ingresos!$F:$F,saldos!$A210,ingresos!$G:$G,saldos!I$6)</f>
        <v>0</v>
      </c>
      <c r="J210" s="25">
        <f>cuotas_emitidas!J205-SUMIFS(ingresos!$D:$D,ingresos!$F:$F,saldos!$A210,ingresos!$G:$G,saldos!J$6)</f>
        <v>0</v>
      </c>
      <c r="K210" s="25">
        <f>cuotas_emitidas!K205-SUMIFS(ingresos!$D:$D,ingresos!$F:$F,saldos!$A210,ingresos!$G:$G,saldos!K$6)</f>
        <v>0</v>
      </c>
      <c r="L210" s="25">
        <f>cuotas_emitidas!L205-SUMIFS(ingresos!$D:$D,ingresos!$F:$F,saldos!$A210,ingresos!$G:$G,saldos!L$6)</f>
        <v>0</v>
      </c>
      <c r="M210" s="25">
        <f>cuotas_emitidas!M205-SUMIFS(ingresos!$D:$D,ingresos!$F:$F,saldos!$A210,ingresos!$G:$G,saldos!M$6)</f>
        <v>0</v>
      </c>
      <c r="N210" s="25">
        <f>cuotas_emitidas!N205-SUMIFS(ingresos!$D:$D,ingresos!$F:$F,saldos!$A210,ingresos!$G:$G,saldos!N$6)</f>
        <v>0</v>
      </c>
      <c r="O210" s="25">
        <f>cuotas_emitidas!O205-SUMIFS(ingresos!$D:$D,ingresos!$F:$F,saldos!$A210,ingresos!$G:$G,saldos!O$6)</f>
        <v>0</v>
      </c>
      <c r="P210" s="25">
        <f>cuotas_emitidas!P205-SUMIFS(ingresos!$D:$D,ingresos!$F:$F,saldos!$A210,ingresos!$G:$G,saldos!P$6)</f>
        <v>437.12000000000035</v>
      </c>
      <c r="Q210" s="25">
        <f>cuotas_emitidas!Q205-SUMIFS(ingresos!$D:$D,ingresos!$F:$F,saldos!$A210,ingresos!$G:$G,saldos!Q$6)</f>
        <v>0</v>
      </c>
      <c r="R210" s="26">
        <f t="shared" si="9"/>
        <v>437.12000000000035</v>
      </c>
      <c r="T210" s="26">
        <f t="shared" si="10"/>
        <v>0</v>
      </c>
      <c r="U210" s="26">
        <f t="shared" si="11"/>
        <v>437.12000000000035</v>
      </c>
    </row>
    <row r="211" spans="1:21" x14ac:dyDescent="0.25">
      <c r="A211" s="17"/>
      <c r="B211" s="17"/>
      <c r="C211" s="17"/>
      <c r="D211" s="26">
        <f>SUM(D7:D210)</f>
        <v>1099.8</v>
      </c>
      <c r="E211" s="26">
        <f t="shared" ref="E211:R211" si="15">SUM(E7:E210)</f>
        <v>3717.73</v>
      </c>
      <c r="F211" s="26">
        <f t="shared" si="15"/>
        <v>302.58</v>
      </c>
      <c r="G211" s="26">
        <f t="shared" si="15"/>
        <v>305.64</v>
      </c>
      <c r="H211" s="26">
        <f t="shared" si="15"/>
        <v>309.7</v>
      </c>
      <c r="I211" s="26">
        <f t="shared" si="15"/>
        <v>599.71</v>
      </c>
      <c r="J211" s="26">
        <f t="shared" si="15"/>
        <v>1716.0100000000002</v>
      </c>
      <c r="K211" s="26">
        <f t="shared" si="15"/>
        <v>2000.1099999999997</v>
      </c>
      <c r="L211" s="26">
        <f t="shared" si="15"/>
        <v>5162.55</v>
      </c>
      <c r="M211" s="26">
        <f t="shared" si="15"/>
        <v>6131.543235000001</v>
      </c>
      <c r="N211" s="26">
        <f t="shared" si="15"/>
        <v>7155.5088914000007</v>
      </c>
      <c r="O211" s="26">
        <f t="shared" si="15"/>
        <v>9139.5775294000032</v>
      </c>
      <c r="P211" s="26">
        <f t="shared" si="15"/>
        <v>16686.41</v>
      </c>
      <c r="Q211" s="26">
        <f t="shared" si="15"/>
        <v>40068.46</v>
      </c>
      <c r="R211" s="26">
        <f t="shared" si="15"/>
        <v>94395.329655799986</v>
      </c>
      <c r="T211" s="26">
        <f>SUBTOTAL(9,T6:T208)</f>
        <v>39699.599999999999</v>
      </c>
      <c r="U211" s="26">
        <f>SUBTOTAL(9,U6:U208)</f>
        <v>53889.749655799991</v>
      </c>
    </row>
  </sheetData>
  <autoFilter ref="A6:U210" xr:uid="{6064B790-35CA-4F98-B694-5D89327AC758}"/>
  <mergeCells count="1">
    <mergeCell ref="A3:B3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D86F-B8FF-46F5-B496-DF796A374462}">
  <sheetPr>
    <pageSetUpPr fitToPage="1"/>
  </sheetPr>
  <dimension ref="A1:I55"/>
  <sheetViews>
    <sheetView showGridLines="0" tabSelected="1" zoomScale="40" zoomScaleNormal="40" workbookViewId="0"/>
  </sheetViews>
  <sheetFormatPr baseColWidth="10" defaultRowHeight="15" x14ac:dyDescent="0.25"/>
  <cols>
    <col min="1" max="1" width="42.42578125" customWidth="1"/>
    <col min="2" max="2" width="35.140625" bestFit="1" customWidth="1"/>
    <col min="3" max="3" width="31.28515625" bestFit="1" customWidth="1"/>
    <col min="4" max="4" width="34.140625" bestFit="1" customWidth="1"/>
    <col min="5" max="5" width="30.42578125" customWidth="1"/>
    <col min="6" max="6" width="30.85546875" customWidth="1"/>
    <col min="7" max="7" width="25.140625" customWidth="1"/>
    <col min="8" max="8" width="37.85546875" customWidth="1"/>
    <col min="9" max="9" width="44.28515625" bestFit="1" customWidth="1"/>
    <col min="13" max="13" width="26.42578125" bestFit="1" customWidth="1"/>
    <col min="14" max="14" width="25.5703125" bestFit="1" customWidth="1"/>
    <col min="15" max="15" width="23.28515625" bestFit="1" customWidth="1"/>
    <col min="16" max="16" width="20.85546875" bestFit="1" customWidth="1"/>
    <col min="17" max="17" width="23.28515625" bestFit="1" customWidth="1"/>
  </cols>
  <sheetData>
    <row r="1" spans="1:9" ht="35.25" x14ac:dyDescent="0.25">
      <c r="A1" s="79" t="s">
        <v>2297</v>
      </c>
      <c r="B1" s="80"/>
      <c r="C1" s="80"/>
      <c r="D1" s="80"/>
      <c r="E1" s="80"/>
      <c r="F1" s="80"/>
      <c r="G1" s="80"/>
      <c r="H1" s="80"/>
      <c r="I1" s="80"/>
    </row>
    <row r="2" spans="1:9" ht="35.25" x14ac:dyDescent="0.25">
      <c r="A2" s="79" t="s">
        <v>2298</v>
      </c>
      <c r="B2" s="80"/>
      <c r="C2" s="80"/>
      <c r="D2" s="80"/>
      <c r="E2" s="80"/>
      <c r="F2" s="80"/>
      <c r="G2" s="80"/>
      <c r="H2" s="80"/>
      <c r="I2" s="80"/>
    </row>
    <row r="3" spans="1:9" ht="35.25" x14ac:dyDescent="0.25">
      <c r="A3" s="79">
        <v>20614642247</v>
      </c>
      <c r="B3" s="80"/>
      <c r="C3" s="80"/>
      <c r="D3" s="80"/>
      <c r="E3" s="80"/>
      <c r="F3" s="80"/>
      <c r="G3" s="80"/>
      <c r="H3" s="80"/>
      <c r="I3" s="80"/>
    </row>
    <row r="4" spans="1:9" ht="36" thickBot="1" x14ac:dyDescent="0.3">
      <c r="A4" s="80"/>
      <c r="B4" s="80"/>
      <c r="C4" s="80"/>
      <c r="D4" s="80"/>
      <c r="E4" s="80"/>
      <c r="F4" s="80"/>
      <c r="G4" s="80"/>
      <c r="H4" s="80"/>
      <c r="I4" s="80"/>
    </row>
    <row r="5" spans="1:9" ht="64.5" thickBot="1" x14ac:dyDescent="0.3">
      <c r="A5" s="117" t="s">
        <v>2280</v>
      </c>
      <c r="B5" s="118"/>
      <c r="C5" s="118"/>
      <c r="D5" s="118"/>
      <c r="E5" s="118"/>
      <c r="F5" s="118"/>
      <c r="G5" s="119"/>
      <c r="H5" s="80" t="s">
        <v>2281</v>
      </c>
      <c r="I5" s="100">
        <f>VLOOKUP($I$8,RESUMEN_mes!$A:$E,5,0)</f>
        <v>349.62810239999999</v>
      </c>
    </row>
    <row r="6" spans="1:9" ht="35.25" x14ac:dyDescent="0.25">
      <c r="A6" s="80"/>
      <c r="B6" s="80"/>
      <c r="C6" s="80"/>
      <c r="D6" s="80"/>
      <c r="E6" s="80"/>
      <c r="F6" s="80"/>
      <c r="G6" s="80"/>
      <c r="H6" s="80"/>
      <c r="I6" s="80"/>
    </row>
    <row r="7" spans="1:9" ht="70.5" x14ac:dyDescent="0.25">
      <c r="A7" s="80" t="s">
        <v>2282</v>
      </c>
      <c r="B7" s="80"/>
      <c r="C7" s="80" t="s">
        <v>2283</v>
      </c>
      <c r="D7" s="80"/>
      <c r="E7" s="80" t="s">
        <v>2284</v>
      </c>
      <c r="F7" s="80"/>
      <c r="G7" s="80" t="s">
        <v>2285</v>
      </c>
      <c r="H7" s="80"/>
      <c r="I7" s="80" t="s">
        <v>2286</v>
      </c>
    </row>
    <row r="8" spans="1:9" ht="46.5" x14ac:dyDescent="0.25">
      <c r="A8" s="81" t="s">
        <v>2287</v>
      </c>
      <c r="B8" s="80"/>
      <c r="C8" s="82">
        <v>46030</v>
      </c>
      <c r="D8" s="80"/>
      <c r="E8" s="83">
        <v>46044</v>
      </c>
      <c r="F8" s="80"/>
      <c r="G8" s="84">
        <f>IFERROR(VLOOKUP($C$21,consumo_agua!$A$7:$X$203,22,0),0)</f>
        <v>1</v>
      </c>
      <c r="H8" s="80"/>
      <c r="I8" s="85" t="str">
        <f>$D$18</f>
        <v>PP-202</v>
      </c>
    </row>
    <row r="9" spans="1:9" ht="35.25" x14ac:dyDescent="0.25">
      <c r="A9" s="80"/>
      <c r="B9" s="80"/>
      <c r="C9" s="80"/>
      <c r="D9" s="80"/>
      <c r="E9" s="80"/>
      <c r="F9" s="80"/>
      <c r="G9" s="80"/>
      <c r="H9" s="80"/>
      <c r="I9" s="80"/>
    </row>
    <row r="10" spans="1:9" ht="35.25" x14ac:dyDescent="0.25">
      <c r="A10" s="86" t="s">
        <v>2288</v>
      </c>
      <c r="B10" s="80"/>
      <c r="C10" s="120" t="str">
        <f>VLOOKUP($I$8,calculo!$A:$B,2,0)</f>
        <v>PALOMINO CRISTIAN</v>
      </c>
      <c r="D10" s="120"/>
      <c r="E10" s="120"/>
      <c r="F10" s="120"/>
      <c r="G10" s="120"/>
      <c r="H10" s="120"/>
      <c r="I10" s="120"/>
    </row>
    <row r="11" spans="1:9" x14ac:dyDescent="0.25">
      <c r="A11" s="50"/>
      <c r="B11" s="50"/>
      <c r="C11" s="120"/>
      <c r="D11" s="120"/>
      <c r="E11" s="120"/>
      <c r="F11" s="120"/>
      <c r="G11" s="120"/>
      <c r="H11" s="120"/>
      <c r="I11" s="120"/>
    </row>
    <row r="12" spans="1:9" ht="35.25" x14ac:dyDescent="0.25">
      <c r="A12" s="86" t="s">
        <v>2289</v>
      </c>
      <c r="B12" s="80"/>
      <c r="C12" s="121"/>
      <c r="D12" s="121"/>
      <c r="E12" s="121"/>
      <c r="F12" s="121"/>
      <c r="G12" s="121"/>
      <c r="H12" s="121"/>
      <c r="I12" s="121"/>
    </row>
    <row r="13" spans="1:9" x14ac:dyDescent="0.25">
      <c r="A13" s="50"/>
      <c r="B13" s="50"/>
      <c r="C13" s="121"/>
      <c r="D13" s="121"/>
      <c r="E13" s="121"/>
      <c r="F13" s="121"/>
      <c r="G13" s="121"/>
      <c r="H13" s="121"/>
      <c r="I13" s="121"/>
    </row>
    <row r="14" spans="1:9" ht="35.25" x14ac:dyDescent="0.25">
      <c r="A14" s="86" t="s">
        <v>2290</v>
      </c>
      <c r="B14" s="80"/>
      <c r="C14" s="121"/>
      <c r="D14" s="121"/>
      <c r="E14" s="121"/>
      <c r="F14" s="121"/>
      <c r="G14" s="121"/>
      <c r="H14" s="121"/>
      <c r="I14" s="121"/>
    </row>
    <row r="15" spans="1:9" x14ac:dyDescent="0.25">
      <c r="C15" s="121"/>
      <c r="D15" s="121"/>
      <c r="E15" s="121"/>
      <c r="F15" s="121"/>
      <c r="G15" s="121"/>
      <c r="H15" s="121"/>
      <c r="I15" s="121"/>
    </row>
    <row r="18" spans="3:7" ht="31.5" x14ac:dyDescent="0.5">
      <c r="C18" s="102" t="s">
        <v>1509</v>
      </c>
      <c r="D18" s="103" t="s">
        <v>2318</v>
      </c>
      <c r="E18" s="104"/>
      <c r="F18" s="104"/>
      <c r="G18" s="104"/>
    </row>
    <row r="19" spans="3:7" ht="43.5" customHeight="1" x14ac:dyDescent="0.5">
      <c r="C19" s="104"/>
      <c r="D19" s="104"/>
      <c r="E19" s="104"/>
      <c r="F19" s="104"/>
      <c r="G19" s="104"/>
    </row>
    <row r="20" spans="3:7" ht="63" x14ac:dyDescent="0.25">
      <c r="C20" s="105" t="s">
        <v>2303</v>
      </c>
      <c r="D20" s="106" t="s">
        <v>2304</v>
      </c>
      <c r="E20" s="106" t="s">
        <v>2306</v>
      </c>
      <c r="F20" s="106" t="s">
        <v>2307</v>
      </c>
      <c r="G20" s="106" t="s">
        <v>2305</v>
      </c>
    </row>
    <row r="21" spans="3:7" s="98" customFormat="1" ht="31.5" x14ac:dyDescent="0.5">
      <c r="C21" s="103" t="s">
        <v>1738</v>
      </c>
      <c r="D21" s="107">
        <v>4.4973999999999995E-3</v>
      </c>
      <c r="E21" s="108">
        <v>270.36569839999999</v>
      </c>
      <c r="F21" s="108">
        <v>2.9752000000000001</v>
      </c>
      <c r="G21" s="108">
        <v>273.34089839999996</v>
      </c>
    </row>
    <row r="22" spans="3:7" ht="31.5" x14ac:dyDescent="0.5">
      <c r="C22" s="103" t="s">
        <v>2185</v>
      </c>
      <c r="D22" s="107">
        <v>1.2690000000000002E-3</v>
      </c>
      <c r="E22" s="108">
        <v>76.287204000000003</v>
      </c>
      <c r="F22" s="108">
        <v>0</v>
      </c>
      <c r="G22" s="108">
        <v>76.287204000000003</v>
      </c>
    </row>
    <row r="23" spans="3:7" ht="31.5" x14ac:dyDescent="0.5">
      <c r="C23" s="103" t="s">
        <v>2299</v>
      </c>
      <c r="D23" s="107">
        <v>5.7663999999999997E-3</v>
      </c>
      <c r="E23" s="108">
        <v>346.65290240000002</v>
      </c>
      <c r="F23" s="108">
        <v>2.9752000000000001</v>
      </c>
      <c r="G23" s="108">
        <v>349.62810239999999</v>
      </c>
    </row>
    <row r="37" spans="1:9" ht="35.25" x14ac:dyDescent="0.25">
      <c r="A37" s="87" t="s">
        <v>2291</v>
      </c>
      <c r="B37" s="80"/>
      <c r="D37" s="124" t="s">
        <v>2294</v>
      </c>
      <c r="E37" s="124"/>
    </row>
    <row r="38" spans="1:9" ht="35.25" x14ac:dyDescent="0.5">
      <c r="A38" s="122" t="s">
        <v>2292</v>
      </c>
      <c r="B38" s="123"/>
      <c r="D38" s="102" t="s">
        <v>1482</v>
      </c>
      <c r="E38" s="103" t="s">
        <v>1512</v>
      </c>
      <c r="H38" s="122" t="s">
        <v>2314</v>
      </c>
      <c r="I38" s="123"/>
    </row>
    <row r="39" spans="1:9" ht="35.25" x14ac:dyDescent="0.5">
      <c r="A39" s="88" t="s">
        <v>2293</v>
      </c>
      <c r="B39" s="89">
        <f>VLOOKUP($I$8,cuotas_emitidas!$A$1:$E$206,4,0)+VLOOKUP($I$8,cuotas_emitidas!$A$1:$E$206,5,0)</f>
        <v>0</v>
      </c>
      <c r="D39" s="109"/>
      <c r="E39" s="109"/>
      <c r="H39" s="90" t="s">
        <v>2293</v>
      </c>
      <c r="I39" s="89">
        <f>VLOOKUP($I$8,saldos!$A$6:$R$211,4,0)+VLOOKUP($I$8,saldos!$A$6:$R$211,5,0)</f>
        <v>0</v>
      </c>
    </row>
    <row r="40" spans="1:9" ht="63" x14ac:dyDescent="0.25">
      <c r="A40" s="90">
        <v>45658</v>
      </c>
      <c r="B40" s="89">
        <f>VLOOKUP($I$8,cuotas_emitidas!$A$1:$R$206,6,0)</f>
        <v>0</v>
      </c>
      <c r="D40" s="105" t="s">
        <v>2312</v>
      </c>
      <c r="E40" s="110" t="s">
        <v>2313</v>
      </c>
      <c r="H40" s="90">
        <v>45658</v>
      </c>
      <c r="I40" s="89">
        <f>VLOOKUP($I$8,saldos!$A$6:$R$211,6,0)</f>
        <v>0</v>
      </c>
    </row>
    <row r="41" spans="1:9" ht="35.25" x14ac:dyDescent="0.5">
      <c r="A41" s="90">
        <v>45689</v>
      </c>
      <c r="B41" s="89">
        <f>VLOOKUP($I$8,cuotas_emitidas!$A$1:$R$206,7,0)</f>
        <v>0</v>
      </c>
      <c r="D41" s="111">
        <v>45870</v>
      </c>
      <c r="E41" s="108">
        <v>0</v>
      </c>
      <c r="H41" s="90">
        <v>45689</v>
      </c>
      <c r="I41" s="89">
        <f>VLOOKUP($I$8,saldos!$A$6:$R$211,7,0)</f>
        <v>0</v>
      </c>
    </row>
    <row r="42" spans="1:9" ht="35.25" x14ac:dyDescent="0.5">
      <c r="A42" s="90">
        <v>45717</v>
      </c>
      <c r="B42" s="89">
        <f>VLOOKUP($I$8,cuotas_emitidas!$A$1:$R$206,8,0)</f>
        <v>0</v>
      </c>
      <c r="D42" s="111" t="s">
        <v>2299</v>
      </c>
      <c r="E42" s="108">
        <v>0</v>
      </c>
      <c r="H42" s="90">
        <v>45717</v>
      </c>
      <c r="I42" s="89">
        <f>VLOOKUP($I$8,saldos!$A$6:$R$211,8,0)</f>
        <v>0</v>
      </c>
    </row>
    <row r="43" spans="1:9" ht="35.25" x14ac:dyDescent="0.25">
      <c r="A43" s="90">
        <v>45748</v>
      </c>
      <c r="B43" s="89">
        <f>VLOOKUP($I$8,cuotas_emitidas!$A$1:$R$206,9,0)</f>
        <v>0</v>
      </c>
      <c r="H43" s="90">
        <v>45748</v>
      </c>
      <c r="I43" s="89">
        <f>VLOOKUP($I$8,saldos!$A$6:$R$211,9,0)</f>
        <v>0</v>
      </c>
    </row>
    <row r="44" spans="1:9" ht="35.25" x14ac:dyDescent="0.25">
      <c r="A44" s="90">
        <v>45778</v>
      </c>
      <c r="B44" s="89">
        <f>VLOOKUP($I$8,cuotas_emitidas!$A$1:$R$206,10,0)</f>
        <v>0</v>
      </c>
      <c r="H44" s="90">
        <v>45778</v>
      </c>
      <c r="I44" s="89">
        <f>VLOOKUP($I$8,saldos!$A$6:$R$211,10,0)</f>
        <v>0</v>
      </c>
    </row>
    <row r="45" spans="1:9" ht="35.25" x14ac:dyDescent="0.25">
      <c r="A45" s="90">
        <v>45809</v>
      </c>
      <c r="B45" s="89">
        <f>VLOOKUP($I$8,cuotas_emitidas!$A$1:$R$206,11,0)</f>
        <v>0</v>
      </c>
      <c r="H45" s="90">
        <v>45809</v>
      </c>
      <c r="I45" s="89">
        <f>VLOOKUP($I$8,saldos!$A$6:$R$211,11,0)</f>
        <v>0</v>
      </c>
    </row>
    <row r="46" spans="1:9" ht="35.25" x14ac:dyDescent="0.25">
      <c r="A46" s="90">
        <v>45839</v>
      </c>
      <c r="B46" s="89">
        <f>VLOOKUP($I$8,cuotas_emitidas!$A$1:$R$206,12,0)</f>
        <v>0</v>
      </c>
      <c r="H46" s="90">
        <v>45839</v>
      </c>
      <c r="I46" s="89">
        <f>VLOOKUP($I$8,saldos!$A$6:$R$211,12,0)</f>
        <v>0</v>
      </c>
    </row>
    <row r="47" spans="1:9" ht="35.25" x14ac:dyDescent="0.25">
      <c r="A47" s="90">
        <v>45870</v>
      </c>
      <c r="B47" s="89">
        <f>VLOOKUP($I$8,cuotas_emitidas!$A$1:$R$206,13,0)</f>
        <v>0</v>
      </c>
      <c r="H47" s="90">
        <v>45870</v>
      </c>
      <c r="I47" s="89">
        <f>VLOOKUP($I$8,saldos!$A$6:$R$211,13,0)</f>
        <v>0</v>
      </c>
    </row>
    <row r="48" spans="1:9" ht="35.25" x14ac:dyDescent="0.25">
      <c r="A48" s="90">
        <v>45901</v>
      </c>
      <c r="B48" s="89">
        <f>VLOOKUP($I$8,cuotas_emitidas!$A$1:$R$206,14,0)</f>
        <v>0</v>
      </c>
      <c r="H48" s="90">
        <v>45901</v>
      </c>
      <c r="I48" s="89">
        <f>VLOOKUP($I$8,saldos!$A$6:$R$211,14,0)</f>
        <v>0</v>
      </c>
    </row>
    <row r="49" spans="1:9" ht="35.25" x14ac:dyDescent="0.25">
      <c r="A49" s="90">
        <v>45931</v>
      </c>
      <c r="B49" s="89">
        <f>VLOOKUP($I$8,cuotas_emitidas!$A$1:$R$206,15,0)</f>
        <v>0</v>
      </c>
      <c r="H49" s="90">
        <v>45931</v>
      </c>
      <c r="I49" s="89">
        <f>VLOOKUP($I$8,saldos!$A$6:$R$211,15,0)</f>
        <v>0</v>
      </c>
    </row>
    <row r="50" spans="1:9" ht="35.25" x14ac:dyDescent="0.25">
      <c r="A50" s="90">
        <v>45962</v>
      </c>
      <c r="B50" s="89">
        <f>VLOOKUP($I$8,cuotas_emitidas!$A$1:$R$206,16,0)</f>
        <v>0</v>
      </c>
      <c r="H50" s="90">
        <v>45962</v>
      </c>
      <c r="I50" s="89">
        <f>VLOOKUP($I$8,saldos!$A$6:$R$211,16,0)</f>
        <v>0</v>
      </c>
    </row>
    <row r="51" spans="1:9" ht="35.25" x14ac:dyDescent="0.25">
      <c r="A51" s="90">
        <v>45992</v>
      </c>
      <c r="B51" s="92">
        <f>VLOOKUP($I$8,cuotas_emitidas!$A$1:$R$206,17,0)</f>
        <v>368.86</v>
      </c>
      <c r="H51" s="90">
        <v>45992</v>
      </c>
      <c r="I51" s="89">
        <f>VLOOKUP($I$8,saldos!$A$6:$R$211,17,0)</f>
        <v>368.86</v>
      </c>
    </row>
    <row r="52" spans="1:9" ht="35.25" x14ac:dyDescent="0.25">
      <c r="B52" s="101">
        <f>SUM(B39:B51)</f>
        <v>368.86</v>
      </c>
      <c r="H52" s="91"/>
      <c r="I52" s="93">
        <f>SUM(I39:I51)</f>
        <v>368.86</v>
      </c>
    </row>
    <row r="53" spans="1:9" ht="35.25" x14ac:dyDescent="0.25">
      <c r="H53" s="91"/>
      <c r="I53" s="93"/>
    </row>
    <row r="54" spans="1:9" ht="34.5" x14ac:dyDescent="0.25">
      <c r="A54" s="94" t="s">
        <v>2295</v>
      </c>
      <c r="H54" s="116" t="str">
        <f>IF($I$52&lt;0,"*saldo a favor del propietario","-")</f>
        <v>-</v>
      </c>
      <c r="I54" s="116"/>
    </row>
    <row r="55" spans="1:9" ht="34.5" x14ac:dyDescent="0.25">
      <c r="A55" s="95" t="s">
        <v>2296</v>
      </c>
      <c r="H55" s="116"/>
      <c r="I55" s="116"/>
    </row>
  </sheetData>
  <mergeCells count="8">
    <mergeCell ref="H54:I55"/>
    <mergeCell ref="A5:G5"/>
    <mergeCell ref="C10:I11"/>
    <mergeCell ref="C12:I13"/>
    <mergeCell ref="C14:I15"/>
    <mergeCell ref="A38:B38"/>
    <mergeCell ref="D37:E37"/>
    <mergeCell ref="H38:I3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1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3</vt:i4>
      </vt:variant>
    </vt:vector>
  </HeadingPairs>
  <TitlesOfParts>
    <vt:vector size="14" baseType="lpstr">
      <vt:lpstr>pres</vt:lpstr>
      <vt:lpstr>consumo_agua</vt:lpstr>
      <vt:lpstr>RESUMEN_mes</vt:lpstr>
      <vt:lpstr>calculo</vt:lpstr>
      <vt:lpstr>egresos</vt:lpstr>
      <vt:lpstr>tablas</vt:lpstr>
      <vt:lpstr>codigos</vt:lpstr>
      <vt:lpstr>ingresos</vt:lpstr>
      <vt:lpstr>cuotas_emitidas</vt:lpstr>
      <vt:lpstr>saldos</vt:lpstr>
      <vt:lpstr>recibo_newP</vt:lpstr>
      <vt:lpstr>saldos!Área_de_impresión</vt:lpstr>
      <vt:lpstr>pp_anual26</vt:lpstr>
      <vt:lpstr>saldos!Títulos_a_imprimir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Magallanes</dc:creator>
  <cp:lastModifiedBy>Luis Magallanes</cp:lastModifiedBy>
  <cp:lastPrinted>2026-01-20T23:33:23Z</cp:lastPrinted>
  <dcterms:created xsi:type="dcterms:W3CDTF">2026-01-07T21:54:40Z</dcterms:created>
  <dcterms:modified xsi:type="dcterms:W3CDTF">2026-01-20T23:33:26Z</dcterms:modified>
</cp:coreProperties>
</file>