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i0X1QKt86oLJPrRTufzyrMmS30ppkg07\Pacifik admin\Finanzas\"/>
    </mc:Choice>
  </mc:AlternateContent>
  <xr:revisionPtr revIDLastSave="0" documentId="13_ncr:1_{0C6823EB-0294-4E10-98B8-D235244480CC}" xr6:coauthVersionLast="47" xr6:coauthVersionMax="47" xr10:uidLastSave="{00000000-0000-0000-0000-000000000000}"/>
  <bookViews>
    <workbookView xWindow="-120" yWindow="-120" windowWidth="29040" windowHeight="15720" activeTab="7" xr2:uid="{41CBE76D-44C2-4141-A4A5-0EB30AF756D6}"/>
  </bookViews>
  <sheets>
    <sheet name="tabla" sheetId="8" r:id="rId1"/>
    <sheet name="pres" sheetId="5" r:id="rId2"/>
    <sheet name="consumo_agua" sheetId="6" r:id="rId3"/>
    <sheet name="calculo" sheetId="7" r:id="rId4"/>
    <sheet name="cuota_resumen" sheetId="9" r:id="rId5"/>
    <sheet name="cuotas" sheetId="2" r:id="rId6"/>
    <sheet name="ingresos" sheetId="1" r:id="rId7"/>
    <sheet name="saldo" sheetId="3" r:id="rId8"/>
    <sheet name="reciboxmes" sheetId="4" r:id="rId9"/>
  </sheets>
  <definedNames>
    <definedName name="_xlnm._FilterDatabase" localSheetId="3" hidden="1">calculo!$A$1:$I$384</definedName>
    <definedName name="_xlnm._FilterDatabase" localSheetId="2" hidden="1">consumo_agua!$A$7:$AA$203</definedName>
    <definedName name="_xlnm._FilterDatabase" localSheetId="5" hidden="1">cuotas!$A$5:$E$209</definedName>
    <definedName name="_xlnm._FilterDatabase" localSheetId="6" hidden="1">ingresos!$A$5:$G$258</definedName>
    <definedName name="_xlnm._FilterDatabase" localSheetId="7" hidden="1">saldo!$A$5:$F$208</definedName>
    <definedName name="agua_consumo" localSheetId="3">#REF!</definedName>
    <definedName name="agua_consumo">#REF!</definedName>
    <definedName name="pp_anual26" localSheetId="3">#REF!</definedName>
    <definedName name="pp_anual26">#REF!</definedName>
    <definedName name="_xlnm.Print_Titles" localSheetId="7">saldo!$1:$5</definedName>
  </definedNames>
  <calcPr calcId="19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82" i="7" l="1"/>
  <c r="G382" i="7"/>
  <c r="H381" i="7"/>
  <c r="G381" i="7"/>
  <c r="H380" i="7"/>
  <c r="G380" i="7"/>
  <c r="H379" i="7"/>
  <c r="G379" i="7"/>
  <c r="H378" i="7"/>
  <c r="G378" i="7"/>
  <c r="H377" i="7"/>
  <c r="G377" i="7"/>
  <c r="H376" i="7"/>
  <c r="G376" i="7"/>
  <c r="H375" i="7"/>
  <c r="G375" i="7"/>
  <c r="H374" i="7"/>
  <c r="G374" i="7"/>
  <c r="H373" i="7"/>
  <c r="G373" i="7"/>
  <c r="H372" i="7"/>
  <c r="G372" i="7"/>
  <c r="H371" i="7"/>
  <c r="G371" i="7"/>
  <c r="H370" i="7"/>
  <c r="G370" i="7"/>
  <c r="H369" i="7"/>
  <c r="G369" i="7"/>
  <c r="H368" i="7"/>
  <c r="G368" i="7"/>
  <c r="H367" i="7"/>
  <c r="G367" i="7"/>
  <c r="H366" i="7"/>
  <c r="G366" i="7"/>
  <c r="H365" i="7"/>
  <c r="G365" i="7"/>
  <c r="H364" i="7"/>
  <c r="G364" i="7"/>
  <c r="H363" i="7"/>
  <c r="G363" i="7"/>
  <c r="H362" i="7"/>
  <c r="G362" i="7"/>
  <c r="H361" i="7"/>
  <c r="G361" i="7"/>
  <c r="H360" i="7"/>
  <c r="G360" i="7"/>
  <c r="H359" i="7"/>
  <c r="G359" i="7"/>
  <c r="H358" i="7"/>
  <c r="G358" i="7"/>
  <c r="H357" i="7"/>
  <c r="G357" i="7"/>
  <c r="H356" i="7"/>
  <c r="G356" i="7"/>
  <c r="H355" i="7"/>
  <c r="G355" i="7"/>
  <c r="H354" i="7"/>
  <c r="G354" i="7"/>
  <c r="H353" i="7"/>
  <c r="G353" i="7"/>
  <c r="H352" i="7"/>
  <c r="G352" i="7"/>
  <c r="H351" i="7"/>
  <c r="G351" i="7"/>
  <c r="H350" i="7"/>
  <c r="G350" i="7"/>
  <c r="H349" i="7"/>
  <c r="G349" i="7"/>
  <c r="H348" i="7"/>
  <c r="G348" i="7"/>
  <c r="H347" i="7"/>
  <c r="G347" i="7"/>
  <c r="H346" i="7"/>
  <c r="G346" i="7"/>
  <c r="H345" i="7"/>
  <c r="G345" i="7"/>
  <c r="H344" i="7"/>
  <c r="G344" i="7"/>
  <c r="H343" i="7"/>
  <c r="G343" i="7"/>
  <c r="H342" i="7"/>
  <c r="G342" i="7"/>
  <c r="H341" i="7"/>
  <c r="G341" i="7"/>
  <c r="H340" i="7"/>
  <c r="G340" i="7"/>
  <c r="H339" i="7"/>
  <c r="G339" i="7"/>
  <c r="H338" i="7"/>
  <c r="G338" i="7"/>
  <c r="H337" i="7"/>
  <c r="G337" i="7"/>
  <c r="H336" i="7"/>
  <c r="G336" i="7"/>
  <c r="H335" i="7"/>
  <c r="G335" i="7"/>
  <c r="H334" i="7"/>
  <c r="G334" i="7"/>
  <c r="H333" i="7"/>
  <c r="G333" i="7"/>
  <c r="H332" i="7"/>
  <c r="G332" i="7"/>
  <c r="H331" i="7"/>
  <c r="G331" i="7"/>
  <c r="H330" i="7"/>
  <c r="G330" i="7"/>
  <c r="H329" i="7"/>
  <c r="G329" i="7"/>
  <c r="H328" i="7"/>
  <c r="G328" i="7"/>
  <c r="H327" i="7"/>
  <c r="G327" i="7"/>
  <c r="H326" i="7"/>
  <c r="G326" i="7"/>
  <c r="H325" i="7"/>
  <c r="G325" i="7"/>
  <c r="H324" i="7"/>
  <c r="G324" i="7"/>
  <c r="H323" i="7"/>
  <c r="G323" i="7"/>
  <c r="H322" i="7"/>
  <c r="G322" i="7"/>
  <c r="H321" i="7"/>
  <c r="G321" i="7"/>
  <c r="H320" i="7"/>
  <c r="G320" i="7"/>
  <c r="H319" i="7"/>
  <c r="G319" i="7"/>
  <c r="H318" i="7"/>
  <c r="G318" i="7"/>
  <c r="H317" i="7"/>
  <c r="G317" i="7"/>
  <c r="H316" i="7"/>
  <c r="G316" i="7"/>
  <c r="H315" i="7"/>
  <c r="G315" i="7"/>
  <c r="H314" i="7"/>
  <c r="G314" i="7"/>
  <c r="H313" i="7"/>
  <c r="G313" i="7"/>
  <c r="H312" i="7"/>
  <c r="G312" i="7"/>
  <c r="H311" i="7"/>
  <c r="G311" i="7"/>
  <c r="H310" i="7"/>
  <c r="G310" i="7"/>
  <c r="H309" i="7"/>
  <c r="G309" i="7"/>
  <c r="H308" i="7"/>
  <c r="G308" i="7"/>
  <c r="H307" i="7"/>
  <c r="G307" i="7"/>
  <c r="H306" i="7"/>
  <c r="G306" i="7"/>
  <c r="H305" i="7"/>
  <c r="G305" i="7"/>
  <c r="H304" i="7"/>
  <c r="G304" i="7"/>
  <c r="H303" i="7"/>
  <c r="G303" i="7"/>
  <c r="H302" i="7"/>
  <c r="G302" i="7"/>
  <c r="H301" i="7"/>
  <c r="G301" i="7"/>
  <c r="H300" i="7"/>
  <c r="G300" i="7"/>
  <c r="H299" i="7"/>
  <c r="G299" i="7"/>
  <c r="H298" i="7"/>
  <c r="G298" i="7"/>
  <c r="H297" i="7"/>
  <c r="G297" i="7"/>
  <c r="H296" i="7"/>
  <c r="G296" i="7"/>
  <c r="H295" i="7"/>
  <c r="G295" i="7"/>
  <c r="H294" i="7"/>
  <c r="G294" i="7"/>
  <c r="H293" i="7"/>
  <c r="G293" i="7"/>
  <c r="H292" i="7"/>
  <c r="G292" i="7"/>
  <c r="H291" i="7"/>
  <c r="G291" i="7"/>
  <c r="H290" i="7"/>
  <c r="G290" i="7"/>
  <c r="H289" i="7"/>
  <c r="G289" i="7"/>
  <c r="H288" i="7"/>
  <c r="G288" i="7"/>
  <c r="H287" i="7"/>
  <c r="G287" i="7"/>
  <c r="H286" i="7"/>
  <c r="G286" i="7"/>
  <c r="H285" i="7"/>
  <c r="G285" i="7"/>
  <c r="H284" i="7"/>
  <c r="G284" i="7"/>
  <c r="H283" i="7"/>
  <c r="G283" i="7"/>
  <c r="H282" i="7"/>
  <c r="G282" i="7"/>
  <c r="H281" i="7"/>
  <c r="G281" i="7"/>
  <c r="H280" i="7"/>
  <c r="G280" i="7"/>
  <c r="H279" i="7"/>
  <c r="G279" i="7"/>
  <c r="H278" i="7"/>
  <c r="G278" i="7"/>
  <c r="H277" i="7"/>
  <c r="G277" i="7"/>
  <c r="H276" i="7"/>
  <c r="G276" i="7"/>
  <c r="H275" i="7"/>
  <c r="G275" i="7"/>
  <c r="H274" i="7"/>
  <c r="G274" i="7"/>
  <c r="H273" i="7"/>
  <c r="G273" i="7"/>
  <c r="H272" i="7"/>
  <c r="G272" i="7"/>
  <c r="H271" i="7"/>
  <c r="G271" i="7"/>
  <c r="H270" i="7"/>
  <c r="G270" i="7"/>
  <c r="H269" i="7"/>
  <c r="G269" i="7"/>
  <c r="H268" i="7"/>
  <c r="G268" i="7"/>
  <c r="H267" i="7"/>
  <c r="G267" i="7"/>
  <c r="H266" i="7"/>
  <c r="G266" i="7"/>
  <c r="H265" i="7"/>
  <c r="G265" i="7"/>
  <c r="H264" i="7"/>
  <c r="G264" i="7"/>
  <c r="H263" i="7"/>
  <c r="G263" i="7"/>
  <c r="H262" i="7"/>
  <c r="G262" i="7"/>
  <c r="H261" i="7"/>
  <c r="G261" i="7"/>
  <c r="H260" i="7"/>
  <c r="G260" i="7"/>
  <c r="H259" i="7"/>
  <c r="G259" i="7"/>
  <c r="H258" i="7"/>
  <c r="G258" i="7"/>
  <c r="H257" i="7"/>
  <c r="G257" i="7"/>
  <c r="H256" i="7"/>
  <c r="G256" i="7"/>
  <c r="H255" i="7"/>
  <c r="G255" i="7"/>
  <c r="H254" i="7"/>
  <c r="G254" i="7"/>
  <c r="H253" i="7"/>
  <c r="G253" i="7"/>
  <c r="H252" i="7"/>
  <c r="G252" i="7"/>
  <c r="H251" i="7"/>
  <c r="G251" i="7"/>
  <c r="H250" i="7"/>
  <c r="G250" i="7"/>
  <c r="H249" i="7"/>
  <c r="G249" i="7"/>
  <c r="H248" i="7"/>
  <c r="G248" i="7"/>
  <c r="H247" i="7"/>
  <c r="G247" i="7"/>
  <c r="H246" i="7"/>
  <c r="G246" i="7"/>
  <c r="H245" i="7"/>
  <c r="G245" i="7"/>
  <c r="H244" i="7"/>
  <c r="G244" i="7"/>
  <c r="H243" i="7"/>
  <c r="G243" i="7"/>
  <c r="H242" i="7"/>
  <c r="G242" i="7"/>
  <c r="H241" i="7"/>
  <c r="G241" i="7"/>
  <c r="H240" i="7"/>
  <c r="G240" i="7"/>
  <c r="H239" i="7"/>
  <c r="G239" i="7"/>
  <c r="H238" i="7"/>
  <c r="G238" i="7"/>
  <c r="H237" i="7"/>
  <c r="G237" i="7"/>
  <c r="H236" i="7"/>
  <c r="G236" i="7"/>
  <c r="H235" i="7"/>
  <c r="G235" i="7"/>
  <c r="H234" i="7"/>
  <c r="G234" i="7"/>
  <c r="H233" i="7"/>
  <c r="G233" i="7"/>
  <c r="H232" i="7"/>
  <c r="G232" i="7"/>
  <c r="H231" i="7"/>
  <c r="G231" i="7"/>
  <c r="H230" i="7"/>
  <c r="G230" i="7"/>
  <c r="H229" i="7"/>
  <c r="G229" i="7"/>
  <c r="H228" i="7"/>
  <c r="G228" i="7"/>
  <c r="H227" i="7"/>
  <c r="G227" i="7"/>
  <c r="H226" i="7"/>
  <c r="G226" i="7"/>
  <c r="H225" i="7"/>
  <c r="G225" i="7"/>
  <c r="H224" i="7"/>
  <c r="G224" i="7"/>
  <c r="H223" i="7"/>
  <c r="G223" i="7"/>
  <c r="H222" i="7"/>
  <c r="G222" i="7"/>
  <c r="H221" i="7"/>
  <c r="G221" i="7"/>
  <c r="H220" i="7"/>
  <c r="G220" i="7"/>
  <c r="H219" i="7"/>
  <c r="G219" i="7"/>
  <c r="H218" i="7"/>
  <c r="G218" i="7"/>
  <c r="H217" i="7"/>
  <c r="G217" i="7"/>
  <c r="H216" i="7"/>
  <c r="G216" i="7"/>
  <c r="H215" i="7"/>
  <c r="G215" i="7"/>
  <c r="H214" i="7"/>
  <c r="G214" i="7"/>
  <c r="H213" i="7"/>
  <c r="G213" i="7"/>
  <c r="H212" i="7"/>
  <c r="G212" i="7"/>
  <c r="H211" i="7"/>
  <c r="G211" i="7"/>
  <c r="H210" i="7"/>
  <c r="G210" i="7"/>
  <c r="H209" i="7"/>
  <c r="G209" i="7"/>
  <c r="H208" i="7"/>
  <c r="G208" i="7"/>
  <c r="H207" i="7"/>
  <c r="G207" i="7"/>
  <c r="H206" i="7"/>
  <c r="G206" i="7"/>
  <c r="H205" i="7"/>
  <c r="G205" i="7"/>
  <c r="H204" i="7"/>
  <c r="G204" i="7"/>
  <c r="H203" i="7"/>
  <c r="G203" i="7"/>
  <c r="H202" i="7"/>
  <c r="G202" i="7"/>
  <c r="H201" i="7"/>
  <c r="G201" i="7"/>
  <c r="H200" i="7"/>
  <c r="G200" i="7"/>
  <c r="H199" i="7"/>
  <c r="G199" i="7"/>
  <c r="H198" i="7"/>
  <c r="G198" i="7"/>
  <c r="H197" i="7"/>
  <c r="G197" i="7"/>
  <c r="H196" i="7"/>
  <c r="G196" i="7"/>
  <c r="H195" i="7"/>
  <c r="G195" i="7"/>
  <c r="H194" i="7"/>
  <c r="G194" i="7"/>
  <c r="H193" i="7"/>
  <c r="G193" i="7"/>
  <c r="H192" i="7"/>
  <c r="G192" i="7"/>
  <c r="H191" i="7"/>
  <c r="G191" i="7"/>
  <c r="H190" i="7"/>
  <c r="G190" i="7"/>
  <c r="H189" i="7"/>
  <c r="G189" i="7"/>
  <c r="H188" i="7"/>
  <c r="G188" i="7"/>
  <c r="H187" i="7"/>
  <c r="G187" i="7"/>
  <c r="H186" i="7"/>
  <c r="G186" i="7"/>
  <c r="H185" i="7"/>
  <c r="G185" i="7"/>
  <c r="H184" i="7"/>
  <c r="G184" i="7"/>
  <c r="H183" i="7"/>
  <c r="G183" i="7"/>
  <c r="H182" i="7"/>
  <c r="G182" i="7"/>
  <c r="H181" i="7"/>
  <c r="G181" i="7"/>
  <c r="H180" i="7"/>
  <c r="G180" i="7"/>
  <c r="H179" i="7"/>
  <c r="G179" i="7"/>
  <c r="H178" i="7"/>
  <c r="G178" i="7"/>
  <c r="H177" i="7"/>
  <c r="G177" i="7"/>
  <c r="H176" i="7"/>
  <c r="G176" i="7"/>
  <c r="H175" i="7"/>
  <c r="G175" i="7"/>
  <c r="H174" i="7"/>
  <c r="G174" i="7"/>
  <c r="H173" i="7"/>
  <c r="G173" i="7"/>
  <c r="H172" i="7"/>
  <c r="G172" i="7"/>
  <c r="H171" i="7"/>
  <c r="G171" i="7"/>
  <c r="H170" i="7"/>
  <c r="G170" i="7"/>
  <c r="H169" i="7"/>
  <c r="G169" i="7"/>
  <c r="H168" i="7"/>
  <c r="G168" i="7"/>
  <c r="H167" i="7"/>
  <c r="G167" i="7"/>
  <c r="H166" i="7"/>
  <c r="G166" i="7"/>
  <c r="H165" i="7"/>
  <c r="G165" i="7"/>
  <c r="H164" i="7"/>
  <c r="G164" i="7"/>
  <c r="H163" i="7"/>
  <c r="G163" i="7"/>
  <c r="H162" i="7"/>
  <c r="G162" i="7"/>
  <c r="H161" i="7"/>
  <c r="G161" i="7"/>
  <c r="H160" i="7"/>
  <c r="G160" i="7"/>
  <c r="H159" i="7"/>
  <c r="G159" i="7"/>
  <c r="H158" i="7"/>
  <c r="G158" i="7"/>
  <c r="H157" i="7"/>
  <c r="G157" i="7"/>
  <c r="H156" i="7"/>
  <c r="G156" i="7"/>
  <c r="H155" i="7"/>
  <c r="G155" i="7"/>
  <c r="H154" i="7"/>
  <c r="G154" i="7"/>
  <c r="H153" i="7"/>
  <c r="G153" i="7"/>
  <c r="H152" i="7"/>
  <c r="G152" i="7"/>
  <c r="H151" i="7"/>
  <c r="G151" i="7"/>
  <c r="H150" i="7"/>
  <c r="G150" i="7"/>
  <c r="H149" i="7"/>
  <c r="G149" i="7"/>
  <c r="H148" i="7"/>
  <c r="G148" i="7"/>
  <c r="H147" i="7"/>
  <c r="G147" i="7"/>
  <c r="H146" i="7"/>
  <c r="G146" i="7"/>
  <c r="H145" i="7"/>
  <c r="G145" i="7"/>
  <c r="H144" i="7"/>
  <c r="G144" i="7"/>
  <c r="H143" i="7"/>
  <c r="G143" i="7"/>
  <c r="H142" i="7"/>
  <c r="G142" i="7"/>
  <c r="H141" i="7"/>
  <c r="G141" i="7"/>
  <c r="H140" i="7"/>
  <c r="G140" i="7"/>
  <c r="H139" i="7"/>
  <c r="G139" i="7"/>
  <c r="H138" i="7"/>
  <c r="G138" i="7"/>
  <c r="H137" i="7"/>
  <c r="G137" i="7"/>
  <c r="H136" i="7"/>
  <c r="G136" i="7"/>
  <c r="H135" i="7"/>
  <c r="G135" i="7"/>
  <c r="H134" i="7"/>
  <c r="G134" i="7"/>
  <c r="H133" i="7"/>
  <c r="G133" i="7"/>
  <c r="H132" i="7"/>
  <c r="G132" i="7"/>
  <c r="H131" i="7"/>
  <c r="G131" i="7"/>
  <c r="H130" i="7"/>
  <c r="G130" i="7"/>
  <c r="H129" i="7"/>
  <c r="G129" i="7"/>
  <c r="H128" i="7"/>
  <c r="G128" i="7"/>
  <c r="H127" i="7"/>
  <c r="G127" i="7"/>
  <c r="H126" i="7"/>
  <c r="G126" i="7"/>
  <c r="H125" i="7"/>
  <c r="G125" i="7"/>
  <c r="H124" i="7"/>
  <c r="G124" i="7"/>
  <c r="H123" i="7"/>
  <c r="G123" i="7"/>
  <c r="H122" i="7"/>
  <c r="G122" i="7"/>
  <c r="H121" i="7"/>
  <c r="G121" i="7"/>
  <c r="H120" i="7"/>
  <c r="G120" i="7"/>
  <c r="H119" i="7"/>
  <c r="G119" i="7"/>
  <c r="H118" i="7"/>
  <c r="G118" i="7"/>
  <c r="H117" i="7"/>
  <c r="G117" i="7"/>
  <c r="H116" i="7"/>
  <c r="G116" i="7"/>
  <c r="H115" i="7"/>
  <c r="G115" i="7"/>
  <c r="H114" i="7"/>
  <c r="G114" i="7"/>
  <c r="H113" i="7"/>
  <c r="G113" i="7"/>
  <c r="H112" i="7"/>
  <c r="G112" i="7"/>
  <c r="H111" i="7"/>
  <c r="G111" i="7"/>
  <c r="H110" i="7"/>
  <c r="G110" i="7"/>
  <c r="H109" i="7"/>
  <c r="G109" i="7"/>
  <c r="H108" i="7"/>
  <c r="G108" i="7"/>
  <c r="H107" i="7"/>
  <c r="G107" i="7"/>
  <c r="H106" i="7"/>
  <c r="G106" i="7"/>
  <c r="H105" i="7"/>
  <c r="G105" i="7"/>
  <c r="H104" i="7"/>
  <c r="G104" i="7"/>
  <c r="H103" i="7"/>
  <c r="G103" i="7"/>
  <c r="H102" i="7"/>
  <c r="G102" i="7"/>
  <c r="H101" i="7"/>
  <c r="G101" i="7"/>
  <c r="H100" i="7"/>
  <c r="G100" i="7"/>
  <c r="H99" i="7"/>
  <c r="G99" i="7"/>
  <c r="H98" i="7"/>
  <c r="G98" i="7"/>
  <c r="H97" i="7"/>
  <c r="G97" i="7"/>
  <c r="H96" i="7"/>
  <c r="G96" i="7"/>
  <c r="H95" i="7"/>
  <c r="G95" i="7"/>
  <c r="H94" i="7"/>
  <c r="G94" i="7"/>
  <c r="H93" i="7"/>
  <c r="G93" i="7"/>
  <c r="H92" i="7"/>
  <c r="G92" i="7"/>
  <c r="H91" i="7"/>
  <c r="G91" i="7"/>
  <c r="H90" i="7"/>
  <c r="G90" i="7"/>
  <c r="H89" i="7"/>
  <c r="G89" i="7"/>
  <c r="H88" i="7"/>
  <c r="G88" i="7"/>
  <c r="H87" i="7"/>
  <c r="G87" i="7"/>
  <c r="H86" i="7"/>
  <c r="G86" i="7"/>
  <c r="H85" i="7"/>
  <c r="G85" i="7"/>
  <c r="H84" i="7"/>
  <c r="G84" i="7"/>
  <c r="H83" i="7"/>
  <c r="G83" i="7"/>
  <c r="H82" i="7"/>
  <c r="G82" i="7"/>
  <c r="H81" i="7"/>
  <c r="G81" i="7"/>
  <c r="H80" i="7"/>
  <c r="G80" i="7"/>
  <c r="H79" i="7"/>
  <c r="G79" i="7"/>
  <c r="H78" i="7"/>
  <c r="G78" i="7"/>
  <c r="H77" i="7"/>
  <c r="G77" i="7"/>
  <c r="H76" i="7"/>
  <c r="G76" i="7"/>
  <c r="H75" i="7"/>
  <c r="G75" i="7"/>
  <c r="H74" i="7"/>
  <c r="G74" i="7"/>
  <c r="H73" i="7"/>
  <c r="G73" i="7"/>
  <c r="H72" i="7"/>
  <c r="G72" i="7"/>
  <c r="H71" i="7"/>
  <c r="G71" i="7"/>
  <c r="H70" i="7"/>
  <c r="G70" i="7"/>
  <c r="H69" i="7"/>
  <c r="G69" i="7"/>
  <c r="H68" i="7"/>
  <c r="G68" i="7"/>
  <c r="H67" i="7"/>
  <c r="G67" i="7"/>
  <c r="H66" i="7"/>
  <c r="G66" i="7"/>
  <c r="H65" i="7"/>
  <c r="G65" i="7"/>
  <c r="H64" i="7"/>
  <c r="G64" i="7"/>
  <c r="H63" i="7"/>
  <c r="G63" i="7"/>
  <c r="H62" i="7"/>
  <c r="G62" i="7"/>
  <c r="H61" i="7"/>
  <c r="G61" i="7"/>
  <c r="H60" i="7"/>
  <c r="G60" i="7"/>
  <c r="H59" i="7"/>
  <c r="G59" i="7"/>
  <c r="H58" i="7"/>
  <c r="G58" i="7"/>
  <c r="H57" i="7"/>
  <c r="G57" i="7"/>
  <c r="H56" i="7"/>
  <c r="G56" i="7"/>
  <c r="H55" i="7"/>
  <c r="G55" i="7"/>
  <c r="H54" i="7"/>
  <c r="G54" i="7"/>
  <c r="H53" i="7"/>
  <c r="G53" i="7"/>
  <c r="H52" i="7"/>
  <c r="G52" i="7"/>
  <c r="H51" i="7"/>
  <c r="G51" i="7"/>
  <c r="H50" i="7"/>
  <c r="G50" i="7"/>
  <c r="H49" i="7"/>
  <c r="G49" i="7"/>
  <c r="H48" i="7"/>
  <c r="G48" i="7"/>
  <c r="H47" i="7"/>
  <c r="G47" i="7"/>
  <c r="H46" i="7"/>
  <c r="G46" i="7"/>
  <c r="H45" i="7"/>
  <c r="G45" i="7"/>
  <c r="H44" i="7"/>
  <c r="G44" i="7"/>
  <c r="H43" i="7"/>
  <c r="G43" i="7"/>
  <c r="H42" i="7"/>
  <c r="G42" i="7"/>
  <c r="H41" i="7"/>
  <c r="G41" i="7"/>
  <c r="H40" i="7"/>
  <c r="G40" i="7"/>
  <c r="H39" i="7"/>
  <c r="G39" i="7"/>
  <c r="H38" i="7"/>
  <c r="G38" i="7"/>
  <c r="H37" i="7"/>
  <c r="G37" i="7"/>
  <c r="H36" i="7"/>
  <c r="G36" i="7"/>
  <c r="H35" i="7"/>
  <c r="G35" i="7"/>
  <c r="H34" i="7"/>
  <c r="G34" i="7"/>
  <c r="H33" i="7"/>
  <c r="G33" i="7"/>
  <c r="H32" i="7"/>
  <c r="G32" i="7"/>
  <c r="H31" i="7"/>
  <c r="G31" i="7"/>
  <c r="H30" i="7"/>
  <c r="G30" i="7"/>
  <c r="H29" i="7"/>
  <c r="G29" i="7"/>
  <c r="H28" i="7"/>
  <c r="G28" i="7"/>
  <c r="H27" i="7"/>
  <c r="G27" i="7"/>
  <c r="H26" i="7"/>
  <c r="G26" i="7"/>
  <c r="H25" i="7"/>
  <c r="G25" i="7"/>
  <c r="H24" i="7"/>
  <c r="G24" i="7"/>
  <c r="H23" i="7"/>
  <c r="G23" i="7"/>
  <c r="H22" i="7"/>
  <c r="G22" i="7"/>
  <c r="H21" i="7"/>
  <c r="G21" i="7"/>
  <c r="H20" i="7"/>
  <c r="G20" i="7"/>
  <c r="H19" i="7"/>
  <c r="G19" i="7"/>
  <c r="H18" i="7"/>
  <c r="G18" i="7"/>
  <c r="H17" i="7"/>
  <c r="G17" i="7"/>
  <c r="H16" i="7"/>
  <c r="G16" i="7"/>
  <c r="H15" i="7"/>
  <c r="G15" i="7"/>
  <c r="H14" i="7"/>
  <c r="G14" i="7"/>
  <c r="H13" i="7"/>
  <c r="G13" i="7"/>
  <c r="H12" i="7"/>
  <c r="G12" i="7"/>
  <c r="H11" i="7"/>
  <c r="G11" i="7"/>
  <c r="H10" i="7"/>
  <c r="G10" i="7"/>
  <c r="H9" i="7"/>
  <c r="G9" i="7"/>
  <c r="H8" i="7"/>
  <c r="G8" i="7"/>
  <c r="H7" i="7"/>
  <c r="G7" i="7"/>
  <c r="H6" i="7"/>
  <c r="G6" i="7"/>
  <c r="H5" i="7"/>
  <c r="G5" i="7"/>
  <c r="H4" i="7"/>
  <c r="G4" i="7"/>
  <c r="H3" i="7"/>
  <c r="G3" i="7"/>
  <c r="G2" i="7"/>
  <c r="G8" i="4"/>
  <c r="I5" i="4"/>
  <c r="H2" i="7"/>
  <c r="B40" i="4"/>
  <c r="B39" i="4"/>
  <c r="I8" i="4"/>
  <c r="C10" i="4" s="1"/>
  <c r="I2" i="7" l="1"/>
  <c r="C105" i="1"/>
  <c r="G153" i="2"/>
  <c r="H153" i="2" s="1"/>
  <c r="E208" i="3" l="1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I40" i="4" l="1"/>
  <c r="I39" i="4"/>
  <c r="F166" i="3"/>
  <c r="F170" i="3"/>
  <c r="F174" i="3"/>
  <c r="F178" i="3"/>
  <c r="F182" i="3"/>
  <c r="F186" i="3"/>
  <c r="F190" i="3"/>
  <c r="F194" i="3"/>
  <c r="F198" i="3"/>
  <c r="F202" i="3"/>
  <c r="F206" i="3"/>
  <c r="F106" i="3"/>
  <c r="F110" i="3"/>
  <c r="F114" i="3"/>
  <c r="F118" i="3"/>
  <c r="F122" i="3"/>
  <c r="F126" i="3"/>
  <c r="F130" i="3"/>
  <c r="F134" i="3"/>
  <c r="F138" i="3"/>
  <c r="F142" i="3"/>
  <c r="F146" i="3"/>
  <c r="F150" i="3"/>
  <c r="F154" i="3"/>
  <c r="F158" i="3"/>
  <c r="F162" i="3"/>
  <c r="F46" i="3"/>
  <c r="F54" i="3"/>
  <c r="F62" i="3"/>
  <c r="F70" i="3"/>
  <c r="F78" i="3"/>
  <c r="F86" i="3"/>
  <c r="F94" i="3"/>
  <c r="F98" i="3"/>
  <c r="F102" i="3"/>
  <c r="F42" i="3"/>
  <c r="F50" i="3"/>
  <c r="F58" i="3"/>
  <c r="F66" i="3"/>
  <c r="F74" i="3"/>
  <c r="F82" i="3"/>
  <c r="F90" i="3"/>
  <c r="F8" i="3"/>
  <c r="F12" i="3"/>
  <c r="F24" i="3"/>
  <c r="F32" i="3"/>
  <c r="F36" i="3"/>
  <c r="F48" i="3"/>
  <c r="F52" i="3"/>
  <c r="F56" i="3"/>
  <c r="F60" i="3"/>
  <c r="F64" i="3"/>
  <c r="F68" i="3"/>
  <c r="F72" i="3"/>
  <c r="F76" i="3"/>
  <c r="F80" i="3"/>
  <c r="F84" i="3"/>
  <c r="F88" i="3"/>
  <c r="F92" i="3"/>
  <c r="F96" i="3"/>
  <c r="F100" i="3"/>
  <c r="F104" i="3"/>
  <c r="F108" i="3"/>
  <c r="F112" i="3"/>
  <c r="F116" i="3"/>
  <c r="F120" i="3"/>
  <c r="F124" i="3"/>
  <c r="F128" i="3"/>
  <c r="F132" i="3"/>
  <c r="F136" i="3"/>
  <c r="F140" i="3"/>
  <c r="F144" i="3"/>
  <c r="F148" i="3"/>
  <c r="F152" i="3"/>
  <c r="F156" i="3"/>
  <c r="F160" i="3"/>
  <c r="F164" i="3"/>
  <c r="F168" i="3"/>
  <c r="F172" i="3"/>
  <c r="F176" i="3"/>
  <c r="F180" i="3"/>
  <c r="F184" i="3"/>
  <c r="F188" i="3"/>
  <c r="F192" i="3"/>
  <c r="F196" i="3"/>
  <c r="F200" i="3"/>
  <c r="F204" i="3"/>
  <c r="F208" i="3"/>
  <c r="F16" i="3"/>
  <c r="F20" i="3"/>
  <c r="F28" i="3"/>
  <c r="F40" i="3"/>
  <c r="F44" i="3"/>
  <c r="F33" i="3"/>
  <c r="F89" i="3"/>
  <c r="F93" i="3"/>
  <c r="F101" i="3"/>
  <c r="F113" i="3"/>
  <c r="F121" i="3"/>
  <c r="F129" i="3"/>
  <c r="F137" i="3"/>
  <c r="F145" i="3"/>
  <c r="F153" i="3"/>
  <c r="F161" i="3"/>
  <c r="F169" i="3"/>
  <c r="F177" i="3"/>
  <c r="F181" i="3"/>
  <c r="F189" i="3"/>
  <c r="F193" i="3"/>
  <c r="F10" i="3"/>
  <c r="F14" i="3"/>
  <c r="F18" i="3"/>
  <c r="F22" i="3"/>
  <c r="F26" i="3"/>
  <c r="F30" i="3"/>
  <c r="F34" i="3"/>
  <c r="F38" i="3"/>
  <c r="F17" i="3"/>
  <c r="F49" i="3"/>
  <c r="F65" i="3"/>
  <c r="F81" i="3"/>
  <c r="F97" i="3"/>
  <c r="F105" i="3"/>
  <c r="F109" i="3"/>
  <c r="F117" i="3"/>
  <c r="F125" i="3"/>
  <c r="F133" i="3"/>
  <c r="F141" i="3"/>
  <c r="F149" i="3"/>
  <c r="F157" i="3"/>
  <c r="F165" i="3"/>
  <c r="F173" i="3"/>
  <c r="F185" i="3"/>
  <c r="F197" i="3"/>
  <c r="F6" i="3"/>
  <c r="F13" i="3"/>
  <c r="F21" i="3"/>
  <c r="F37" i="3"/>
  <c r="F53" i="3"/>
  <c r="F73" i="3"/>
  <c r="F85" i="3"/>
  <c r="F201" i="3"/>
  <c r="F205" i="3"/>
  <c r="F25" i="3"/>
  <c r="F41" i="3"/>
  <c r="F45" i="3"/>
  <c r="F61" i="3"/>
  <c r="F77" i="3"/>
  <c r="F9" i="3"/>
  <c r="F29" i="3"/>
  <c r="F57" i="3"/>
  <c r="F69" i="3"/>
  <c r="F7" i="3"/>
  <c r="F19" i="3"/>
  <c r="F31" i="3"/>
  <c r="F43" i="3"/>
  <c r="F55" i="3"/>
  <c r="F63" i="3"/>
  <c r="F67" i="3"/>
  <c r="F71" i="3"/>
  <c r="F75" i="3"/>
  <c r="F79" i="3"/>
  <c r="F83" i="3"/>
  <c r="F87" i="3"/>
  <c r="F91" i="3"/>
  <c r="F95" i="3"/>
  <c r="F99" i="3"/>
  <c r="F103" i="3"/>
  <c r="F107" i="3"/>
  <c r="F111" i="3"/>
  <c r="F115" i="3"/>
  <c r="F119" i="3"/>
  <c r="F123" i="3"/>
  <c r="F127" i="3"/>
  <c r="F131" i="3"/>
  <c r="F135" i="3"/>
  <c r="F139" i="3"/>
  <c r="F143" i="3"/>
  <c r="F147" i="3"/>
  <c r="F151" i="3"/>
  <c r="F155" i="3"/>
  <c r="F159" i="3"/>
  <c r="F163" i="3"/>
  <c r="F167" i="3"/>
  <c r="F171" i="3"/>
  <c r="F175" i="3"/>
  <c r="F179" i="3"/>
  <c r="F183" i="3"/>
  <c r="F187" i="3"/>
  <c r="F191" i="3"/>
  <c r="F195" i="3"/>
  <c r="F199" i="3"/>
  <c r="F203" i="3"/>
  <c r="F207" i="3"/>
  <c r="F15" i="3"/>
  <c r="F27" i="3"/>
  <c r="F39" i="3"/>
  <c r="F51" i="3"/>
  <c r="F11" i="3"/>
  <c r="F23" i="3"/>
  <c r="F35" i="3"/>
  <c r="F47" i="3"/>
  <c r="F59" i="3"/>
  <c r="G384" i="7"/>
  <c r="I42" i="4" l="1"/>
  <c r="I380" i="7"/>
  <c r="I377" i="7"/>
  <c r="I368" i="7"/>
  <c r="I360" i="7"/>
  <c r="I358" i="7"/>
  <c r="I357" i="7"/>
  <c r="I353" i="7"/>
  <c r="I346" i="7"/>
  <c r="I340" i="7"/>
  <c r="I330" i="7"/>
  <c r="I328" i="7"/>
  <c r="I324" i="7"/>
  <c r="I316" i="7"/>
  <c r="I314" i="7"/>
  <c r="I308" i="7"/>
  <c r="I300" i="7"/>
  <c r="I297" i="7"/>
  <c r="I289" i="7"/>
  <c r="I285" i="7"/>
  <c r="I284" i="7"/>
  <c r="I277" i="7"/>
  <c r="I268" i="7"/>
  <c r="I266" i="7"/>
  <c r="I265" i="7"/>
  <c r="I264" i="7"/>
  <c r="I260" i="7"/>
  <c r="I257" i="7"/>
  <c r="I252" i="7"/>
  <c r="I245" i="7"/>
  <c r="I240" i="7"/>
  <c r="I236" i="7"/>
  <c r="I234" i="7"/>
  <c r="I232" i="7"/>
  <c r="I229" i="7"/>
  <c r="I226" i="7"/>
  <c r="I223" i="7"/>
  <c r="I222" i="7"/>
  <c r="I218" i="7"/>
  <c r="I216" i="7"/>
  <c r="I211" i="7"/>
  <c r="I210" i="7"/>
  <c r="I200" i="7"/>
  <c r="I198" i="7"/>
  <c r="I195" i="7"/>
  <c r="I191" i="7"/>
  <c r="I190" i="7"/>
  <c r="I187" i="7"/>
  <c r="I184" i="7"/>
  <c r="I178" i="7"/>
  <c r="I167" i="7"/>
  <c r="I163" i="7"/>
  <c r="I159" i="7"/>
  <c r="I154" i="7"/>
  <c r="I152" i="7"/>
  <c r="I147" i="7"/>
  <c r="I146" i="7"/>
  <c r="I134" i="7"/>
  <c r="I130" i="7"/>
  <c r="I127" i="7"/>
  <c r="I123" i="7"/>
  <c r="I119" i="7"/>
  <c r="I118" i="7"/>
  <c r="I115" i="7"/>
  <c r="I108" i="7"/>
  <c r="I106" i="7"/>
  <c r="I91" i="7"/>
  <c r="I83" i="7"/>
  <c r="I79" i="7"/>
  <c r="I71" i="7"/>
  <c r="I59" i="7"/>
  <c r="I58" i="7"/>
  <c r="I56" i="7"/>
  <c r="I54" i="7"/>
  <c r="I52" i="7"/>
  <c r="I48" i="7"/>
  <c r="I38" i="7"/>
  <c r="I227" i="7"/>
  <c r="I36" i="7"/>
  <c r="I34" i="7"/>
  <c r="I32" i="7"/>
  <c r="I25" i="7"/>
  <c r="I20" i="7"/>
  <c r="I18" i="7"/>
  <c r="I16" i="7"/>
  <c r="I13" i="7"/>
  <c r="I4" i="7"/>
  <c r="I376" i="7"/>
  <c r="I344" i="7"/>
  <c r="I312" i="7"/>
  <c r="I214" i="7"/>
  <c r="I182" i="7"/>
  <c r="I150" i="7"/>
  <c r="I42" i="7"/>
  <c r="I24" i="7"/>
  <c r="C4" i="5"/>
  <c r="Z132" i="6"/>
  <c r="Y202" i="6"/>
  <c r="Y201" i="6"/>
  <c r="Y200" i="6"/>
  <c r="Y199" i="6"/>
  <c r="Y198" i="6"/>
  <c r="Y197" i="6"/>
  <c r="Y196" i="6"/>
  <c r="Y195" i="6"/>
  <c r="Y194" i="6"/>
  <c r="Y193" i="6"/>
  <c r="Y192" i="6"/>
  <c r="Y191" i="6"/>
  <c r="Y190" i="6"/>
  <c r="Y189" i="6"/>
  <c r="Y188" i="6"/>
  <c r="Y187" i="6"/>
  <c r="Y186" i="6"/>
  <c r="Y185" i="6"/>
  <c r="Y184" i="6"/>
  <c r="Y183" i="6"/>
  <c r="Y182" i="6"/>
  <c r="Y181" i="6"/>
  <c r="Y180" i="6"/>
  <c r="Y179" i="6"/>
  <c r="Y178" i="6"/>
  <c r="Y177" i="6"/>
  <c r="Y176" i="6"/>
  <c r="Y175" i="6"/>
  <c r="Y174" i="6"/>
  <c r="Y173" i="6"/>
  <c r="Y172" i="6"/>
  <c r="Y171" i="6"/>
  <c r="Y170" i="6"/>
  <c r="Y169" i="6"/>
  <c r="Y168" i="6"/>
  <c r="Y167" i="6"/>
  <c r="Y166" i="6"/>
  <c r="Y165" i="6"/>
  <c r="Y164" i="6"/>
  <c r="Y163" i="6"/>
  <c r="Y162" i="6"/>
  <c r="Y161" i="6"/>
  <c r="Y160" i="6"/>
  <c r="Y159" i="6"/>
  <c r="Y158" i="6"/>
  <c r="Y157" i="6"/>
  <c r="Y156" i="6"/>
  <c r="Y155" i="6"/>
  <c r="Y154" i="6"/>
  <c r="Y153" i="6"/>
  <c r="Y152" i="6"/>
  <c r="Y151" i="6"/>
  <c r="Y150" i="6"/>
  <c r="Y149" i="6"/>
  <c r="Y148" i="6"/>
  <c r="Y147" i="6"/>
  <c r="Y146" i="6"/>
  <c r="Y145" i="6"/>
  <c r="Y144" i="6"/>
  <c r="Y143" i="6"/>
  <c r="Y142" i="6"/>
  <c r="Y141" i="6"/>
  <c r="Y140" i="6"/>
  <c r="Y139" i="6"/>
  <c r="Y138" i="6"/>
  <c r="Y137" i="6"/>
  <c r="Y136" i="6"/>
  <c r="Y135" i="6"/>
  <c r="Y134" i="6"/>
  <c r="Y133" i="6"/>
  <c r="Y131" i="6"/>
  <c r="Y130" i="6"/>
  <c r="Y129" i="6"/>
  <c r="Y128" i="6"/>
  <c r="Y127" i="6"/>
  <c r="Y126" i="6"/>
  <c r="Y125" i="6"/>
  <c r="Y124" i="6"/>
  <c r="Y123" i="6"/>
  <c r="Y122" i="6"/>
  <c r="Y121" i="6"/>
  <c r="Y120" i="6"/>
  <c r="Y119" i="6"/>
  <c r="Y118" i="6"/>
  <c r="Y117" i="6"/>
  <c r="Y116" i="6"/>
  <c r="Y115" i="6"/>
  <c r="Y114" i="6"/>
  <c r="Y113" i="6"/>
  <c r="Y112" i="6"/>
  <c r="Y111" i="6"/>
  <c r="Y110" i="6"/>
  <c r="Y109" i="6"/>
  <c r="Y108" i="6"/>
  <c r="Y107" i="6"/>
  <c r="Y106" i="6"/>
  <c r="Y105" i="6"/>
  <c r="Y104" i="6"/>
  <c r="Y103" i="6"/>
  <c r="Y102" i="6"/>
  <c r="Y101" i="6"/>
  <c r="Y100" i="6"/>
  <c r="Y99" i="6"/>
  <c r="Y98" i="6"/>
  <c r="Y97" i="6"/>
  <c r="Y96" i="6"/>
  <c r="Y95" i="6"/>
  <c r="Y94" i="6"/>
  <c r="Y93" i="6"/>
  <c r="Y92" i="6"/>
  <c r="Y91" i="6"/>
  <c r="Y90" i="6"/>
  <c r="Y89" i="6"/>
  <c r="Y88" i="6"/>
  <c r="Y87" i="6"/>
  <c r="Y86" i="6"/>
  <c r="Y85" i="6"/>
  <c r="Y84" i="6"/>
  <c r="Y83" i="6"/>
  <c r="Y82" i="6"/>
  <c r="Y81" i="6"/>
  <c r="Y80" i="6"/>
  <c r="Y79" i="6"/>
  <c r="Y78" i="6"/>
  <c r="Y77" i="6"/>
  <c r="Y76" i="6"/>
  <c r="Y75" i="6"/>
  <c r="Y74" i="6"/>
  <c r="Y73" i="6"/>
  <c r="Y72" i="6"/>
  <c r="Y71" i="6"/>
  <c r="Y70" i="6"/>
  <c r="Y69" i="6"/>
  <c r="Y68" i="6"/>
  <c r="Y67" i="6"/>
  <c r="Y66" i="6"/>
  <c r="Y65" i="6"/>
  <c r="Y64" i="6"/>
  <c r="Y63" i="6"/>
  <c r="Y62" i="6"/>
  <c r="Y61" i="6"/>
  <c r="Y60" i="6"/>
  <c r="Y59" i="6"/>
  <c r="Y58" i="6"/>
  <c r="Y57" i="6"/>
  <c r="Y56" i="6"/>
  <c r="Y55" i="6"/>
  <c r="Y54" i="6"/>
  <c r="Y53" i="6"/>
  <c r="Y52" i="6"/>
  <c r="Y51" i="6"/>
  <c r="Y50" i="6"/>
  <c r="Y49" i="6"/>
  <c r="Y48" i="6"/>
  <c r="Y47" i="6"/>
  <c r="Y46" i="6"/>
  <c r="Y45" i="6"/>
  <c r="Y44" i="6"/>
  <c r="Y43" i="6"/>
  <c r="Y42" i="6"/>
  <c r="Y41" i="6"/>
  <c r="Y40" i="6"/>
  <c r="Y39" i="6"/>
  <c r="Y38" i="6"/>
  <c r="Y37" i="6"/>
  <c r="Y36" i="6"/>
  <c r="Y35" i="6"/>
  <c r="Y34" i="6"/>
  <c r="Y33" i="6"/>
  <c r="Y32" i="6"/>
  <c r="Y31" i="6"/>
  <c r="Y30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E384" i="7"/>
  <c r="D384" i="7"/>
  <c r="I382" i="7"/>
  <c r="I379" i="7"/>
  <c r="I378" i="7"/>
  <c r="I375" i="7"/>
  <c r="I373" i="7"/>
  <c r="I371" i="7"/>
  <c r="I366" i="7"/>
  <c r="I365" i="7"/>
  <c r="I362" i="7"/>
  <c r="I354" i="7"/>
  <c r="I351" i="7"/>
  <c r="I347" i="7"/>
  <c r="I342" i="7"/>
  <c r="I337" i="7"/>
  <c r="I335" i="7"/>
  <c r="I331" i="7"/>
  <c r="I326" i="7"/>
  <c r="I322" i="7"/>
  <c r="I318" i="7"/>
  <c r="I310" i="7"/>
  <c r="I303" i="7"/>
  <c r="I299" i="7"/>
  <c r="I295" i="7"/>
  <c r="I294" i="7"/>
  <c r="I287" i="7"/>
  <c r="I281" i="7"/>
  <c r="I279" i="7"/>
  <c r="I275" i="7"/>
  <c r="I273" i="7"/>
  <c r="I262" i="7"/>
  <c r="I258" i="7"/>
  <c r="I255" i="7"/>
  <c r="I249" i="7"/>
  <c r="I247" i="7"/>
  <c r="I220" i="7"/>
  <c r="I208" i="7"/>
  <c r="I207" i="7"/>
  <c r="I204" i="7"/>
  <c r="I201" i="7"/>
  <c r="I197" i="7"/>
  <c r="I192" i="7"/>
  <c r="I180" i="7"/>
  <c r="I175" i="7"/>
  <c r="I173" i="7"/>
  <c r="I171" i="7"/>
  <c r="I169" i="7"/>
  <c r="I165" i="7"/>
  <c r="I157" i="7"/>
  <c r="I156" i="7"/>
  <c r="I148" i="7"/>
  <c r="I145" i="7"/>
  <c r="I143" i="7"/>
  <c r="I140" i="7"/>
  <c r="I132" i="7"/>
  <c r="I128" i="7"/>
  <c r="I125" i="7"/>
  <c r="I121" i="7"/>
  <c r="I117" i="7"/>
  <c r="I112" i="7"/>
  <c r="I101" i="7"/>
  <c r="I100" i="7"/>
  <c r="I97" i="7"/>
  <c r="I95" i="7"/>
  <c r="I93" i="7"/>
  <c r="I89" i="7"/>
  <c r="I88" i="7"/>
  <c r="I85" i="7"/>
  <c r="I81" i="7"/>
  <c r="I69" i="7"/>
  <c r="I67" i="7"/>
  <c r="I65" i="7"/>
  <c r="I63" i="7"/>
  <c r="I61" i="7"/>
  <c r="I57" i="7"/>
  <c r="I50" i="7"/>
  <c r="I44" i="7"/>
  <c r="I41" i="7"/>
  <c r="I39" i="7"/>
  <c r="I228" i="7"/>
  <c r="I37" i="7"/>
  <c r="I35" i="7"/>
  <c r="I33" i="7"/>
  <c r="I30" i="7"/>
  <c r="I27" i="7"/>
  <c r="I22" i="7"/>
  <c r="I11" i="7"/>
  <c r="I9" i="7"/>
  <c r="I6" i="7"/>
  <c r="F203" i="6"/>
  <c r="D203" i="6"/>
  <c r="B203" i="6"/>
  <c r="V202" i="6"/>
  <c r="S202" i="6"/>
  <c r="P202" i="6"/>
  <c r="M202" i="6"/>
  <c r="V201" i="6"/>
  <c r="S201" i="6"/>
  <c r="P201" i="6"/>
  <c r="M201" i="6"/>
  <c r="J201" i="6"/>
  <c r="G201" i="6"/>
  <c r="E201" i="6"/>
  <c r="C201" i="6"/>
  <c r="V200" i="6"/>
  <c r="S200" i="6"/>
  <c r="P200" i="6"/>
  <c r="M200" i="6"/>
  <c r="J200" i="6"/>
  <c r="G200" i="6"/>
  <c r="E200" i="6"/>
  <c r="C200" i="6"/>
  <c r="V199" i="6"/>
  <c r="S199" i="6"/>
  <c r="P199" i="6"/>
  <c r="M199" i="6"/>
  <c r="J199" i="6"/>
  <c r="G199" i="6"/>
  <c r="E199" i="6"/>
  <c r="C199" i="6"/>
  <c r="V198" i="6"/>
  <c r="S198" i="6"/>
  <c r="P198" i="6"/>
  <c r="M198" i="6"/>
  <c r="J198" i="6"/>
  <c r="G198" i="6"/>
  <c r="E198" i="6"/>
  <c r="C198" i="6"/>
  <c r="V197" i="6"/>
  <c r="S197" i="6"/>
  <c r="P197" i="6"/>
  <c r="M197" i="6"/>
  <c r="J197" i="6"/>
  <c r="G197" i="6"/>
  <c r="E197" i="6"/>
  <c r="C197" i="6"/>
  <c r="V196" i="6"/>
  <c r="S196" i="6"/>
  <c r="P196" i="6"/>
  <c r="M196" i="6"/>
  <c r="J196" i="6"/>
  <c r="G196" i="6"/>
  <c r="E196" i="6"/>
  <c r="C196" i="6"/>
  <c r="V195" i="6"/>
  <c r="S195" i="6"/>
  <c r="P195" i="6"/>
  <c r="M195" i="6"/>
  <c r="J195" i="6"/>
  <c r="G195" i="6"/>
  <c r="E195" i="6"/>
  <c r="C195" i="6"/>
  <c r="V194" i="6"/>
  <c r="S194" i="6"/>
  <c r="P194" i="6"/>
  <c r="M194" i="6"/>
  <c r="J194" i="6"/>
  <c r="G194" i="6"/>
  <c r="E194" i="6"/>
  <c r="C194" i="6"/>
  <c r="V193" i="6"/>
  <c r="S193" i="6"/>
  <c r="P193" i="6"/>
  <c r="M193" i="6"/>
  <c r="J193" i="6"/>
  <c r="G193" i="6"/>
  <c r="E193" i="6"/>
  <c r="C193" i="6"/>
  <c r="V192" i="6"/>
  <c r="S192" i="6"/>
  <c r="P192" i="6"/>
  <c r="M192" i="6"/>
  <c r="J192" i="6"/>
  <c r="G192" i="6"/>
  <c r="E192" i="6"/>
  <c r="C192" i="6"/>
  <c r="V191" i="6"/>
  <c r="S191" i="6"/>
  <c r="P191" i="6"/>
  <c r="M191" i="6"/>
  <c r="J191" i="6"/>
  <c r="G191" i="6"/>
  <c r="E191" i="6"/>
  <c r="C191" i="6"/>
  <c r="V190" i="6"/>
  <c r="S190" i="6"/>
  <c r="P190" i="6"/>
  <c r="M190" i="6"/>
  <c r="J190" i="6"/>
  <c r="G190" i="6"/>
  <c r="E190" i="6"/>
  <c r="C190" i="6"/>
  <c r="V189" i="6"/>
  <c r="S189" i="6"/>
  <c r="P189" i="6"/>
  <c r="M189" i="6"/>
  <c r="J189" i="6"/>
  <c r="G189" i="6"/>
  <c r="E189" i="6"/>
  <c r="C189" i="6"/>
  <c r="V188" i="6"/>
  <c r="S188" i="6"/>
  <c r="P188" i="6"/>
  <c r="M188" i="6"/>
  <c r="J188" i="6"/>
  <c r="G188" i="6"/>
  <c r="E188" i="6"/>
  <c r="C188" i="6"/>
  <c r="V187" i="6"/>
  <c r="S187" i="6"/>
  <c r="P187" i="6"/>
  <c r="M187" i="6"/>
  <c r="J187" i="6"/>
  <c r="G187" i="6"/>
  <c r="E187" i="6"/>
  <c r="C187" i="6"/>
  <c r="V186" i="6"/>
  <c r="S186" i="6"/>
  <c r="P186" i="6"/>
  <c r="M186" i="6"/>
  <c r="J186" i="6"/>
  <c r="E186" i="6"/>
  <c r="C186" i="6"/>
  <c r="V185" i="6"/>
  <c r="S185" i="6"/>
  <c r="P185" i="6"/>
  <c r="M185" i="6"/>
  <c r="J185" i="6"/>
  <c r="G185" i="6"/>
  <c r="E185" i="6"/>
  <c r="C185" i="6"/>
  <c r="V184" i="6"/>
  <c r="S184" i="6"/>
  <c r="P184" i="6"/>
  <c r="M184" i="6"/>
  <c r="J184" i="6"/>
  <c r="G184" i="6"/>
  <c r="E184" i="6"/>
  <c r="C184" i="6"/>
  <c r="V183" i="6"/>
  <c r="S183" i="6"/>
  <c r="P183" i="6"/>
  <c r="M183" i="6"/>
  <c r="J183" i="6"/>
  <c r="G183" i="6"/>
  <c r="E183" i="6"/>
  <c r="C183" i="6"/>
  <c r="V182" i="6"/>
  <c r="S182" i="6"/>
  <c r="P182" i="6"/>
  <c r="M182" i="6"/>
  <c r="J182" i="6"/>
  <c r="G182" i="6"/>
  <c r="E182" i="6"/>
  <c r="C182" i="6"/>
  <c r="V181" i="6"/>
  <c r="S181" i="6"/>
  <c r="P181" i="6"/>
  <c r="M181" i="6"/>
  <c r="J181" i="6"/>
  <c r="G181" i="6"/>
  <c r="E181" i="6"/>
  <c r="C181" i="6"/>
  <c r="V180" i="6"/>
  <c r="S180" i="6"/>
  <c r="P180" i="6"/>
  <c r="M180" i="6"/>
  <c r="J180" i="6"/>
  <c r="G180" i="6"/>
  <c r="E180" i="6"/>
  <c r="C180" i="6"/>
  <c r="V179" i="6"/>
  <c r="S179" i="6"/>
  <c r="P179" i="6"/>
  <c r="M179" i="6"/>
  <c r="J179" i="6"/>
  <c r="G179" i="6"/>
  <c r="E179" i="6"/>
  <c r="C179" i="6"/>
  <c r="V178" i="6"/>
  <c r="S178" i="6"/>
  <c r="P178" i="6"/>
  <c r="M178" i="6"/>
  <c r="J178" i="6"/>
  <c r="G178" i="6"/>
  <c r="E178" i="6"/>
  <c r="C178" i="6"/>
  <c r="V177" i="6"/>
  <c r="S177" i="6"/>
  <c r="P177" i="6"/>
  <c r="M177" i="6"/>
  <c r="J177" i="6"/>
  <c r="G177" i="6"/>
  <c r="E177" i="6"/>
  <c r="C177" i="6"/>
  <c r="V176" i="6"/>
  <c r="S176" i="6"/>
  <c r="P176" i="6"/>
  <c r="M176" i="6"/>
  <c r="J176" i="6"/>
  <c r="G176" i="6"/>
  <c r="E176" i="6"/>
  <c r="C176" i="6"/>
  <c r="V175" i="6"/>
  <c r="S175" i="6"/>
  <c r="P175" i="6"/>
  <c r="M175" i="6"/>
  <c r="J175" i="6"/>
  <c r="G175" i="6"/>
  <c r="E175" i="6"/>
  <c r="C175" i="6"/>
  <c r="V174" i="6"/>
  <c r="S174" i="6"/>
  <c r="P174" i="6"/>
  <c r="M174" i="6"/>
  <c r="J174" i="6"/>
  <c r="G174" i="6"/>
  <c r="E174" i="6"/>
  <c r="C174" i="6"/>
  <c r="V173" i="6"/>
  <c r="S173" i="6"/>
  <c r="P173" i="6"/>
  <c r="M173" i="6"/>
  <c r="J173" i="6"/>
  <c r="G173" i="6"/>
  <c r="E173" i="6"/>
  <c r="C173" i="6"/>
  <c r="V172" i="6"/>
  <c r="S172" i="6"/>
  <c r="P172" i="6"/>
  <c r="M172" i="6"/>
  <c r="J172" i="6"/>
  <c r="G172" i="6"/>
  <c r="E172" i="6"/>
  <c r="C172" i="6"/>
  <c r="V171" i="6"/>
  <c r="S171" i="6"/>
  <c r="P171" i="6"/>
  <c r="M171" i="6"/>
  <c r="J171" i="6"/>
  <c r="G171" i="6"/>
  <c r="E171" i="6"/>
  <c r="C171" i="6"/>
  <c r="V170" i="6"/>
  <c r="S170" i="6"/>
  <c r="P170" i="6"/>
  <c r="M170" i="6"/>
  <c r="J170" i="6"/>
  <c r="G170" i="6"/>
  <c r="E170" i="6"/>
  <c r="C170" i="6"/>
  <c r="V169" i="6"/>
  <c r="S169" i="6"/>
  <c r="P169" i="6"/>
  <c r="M169" i="6"/>
  <c r="J169" i="6"/>
  <c r="G169" i="6"/>
  <c r="E169" i="6"/>
  <c r="C169" i="6"/>
  <c r="V168" i="6"/>
  <c r="S168" i="6"/>
  <c r="P168" i="6"/>
  <c r="M168" i="6"/>
  <c r="J168" i="6"/>
  <c r="G168" i="6"/>
  <c r="E168" i="6"/>
  <c r="C168" i="6"/>
  <c r="V167" i="6"/>
  <c r="S167" i="6"/>
  <c r="P167" i="6"/>
  <c r="M167" i="6"/>
  <c r="J167" i="6"/>
  <c r="G167" i="6"/>
  <c r="E167" i="6"/>
  <c r="C167" i="6"/>
  <c r="V166" i="6"/>
  <c r="S166" i="6"/>
  <c r="P166" i="6"/>
  <c r="M166" i="6"/>
  <c r="J166" i="6"/>
  <c r="G166" i="6"/>
  <c r="E166" i="6"/>
  <c r="C166" i="6"/>
  <c r="V165" i="6"/>
  <c r="S165" i="6"/>
  <c r="P165" i="6"/>
  <c r="M165" i="6"/>
  <c r="J165" i="6"/>
  <c r="G165" i="6"/>
  <c r="E165" i="6"/>
  <c r="C165" i="6"/>
  <c r="V164" i="6"/>
  <c r="S164" i="6"/>
  <c r="P164" i="6"/>
  <c r="M164" i="6"/>
  <c r="J164" i="6"/>
  <c r="E164" i="6"/>
  <c r="C164" i="6"/>
  <c r="V163" i="6"/>
  <c r="S163" i="6"/>
  <c r="P163" i="6"/>
  <c r="M163" i="6"/>
  <c r="J163" i="6"/>
  <c r="G163" i="6"/>
  <c r="E163" i="6"/>
  <c r="C163" i="6"/>
  <c r="V162" i="6"/>
  <c r="S162" i="6"/>
  <c r="P162" i="6"/>
  <c r="M162" i="6"/>
  <c r="J162" i="6"/>
  <c r="G162" i="6"/>
  <c r="E162" i="6"/>
  <c r="C162" i="6"/>
  <c r="V161" i="6"/>
  <c r="S161" i="6"/>
  <c r="P161" i="6"/>
  <c r="M161" i="6"/>
  <c r="J161" i="6"/>
  <c r="E161" i="6"/>
  <c r="C161" i="6"/>
  <c r="V160" i="6"/>
  <c r="S160" i="6"/>
  <c r="P160" i="6"/>
  <c r="M160" i="6"/>
  <c r="J160" i="6"/>
  <c r="G160" i="6"/>
  <c r="E160" i="6"/>
  <c r="C160" i="6"/>
  <c r="V159" i="6"/>
  <c r="S159" i="6"/>
  <c r="P159" i="6"/>
  <c r="M159" i="6"/>
  <c r="J159" i="6"/>
  <c r="E159" i="6"/>
  <c r="C159" i="6"/>
  <c r="V158" i="6"/>
  <c r="S158" i="6"/>
  <c r="P158" i="6"/>
  <c r="M158" i="6"/>
  <c r="J158" i="6"/>
  <c r="G158" i="6"/>
  <c r="E158" i="6"/>
  <c r="C158" i="6"/>
  <c r="V157" i="6"/>
  <c r="S157" i="6"/>
  <c r="P157" i="6"/>
  <c r="M157" i="6"/>
  <c r="J157" i="6"/>
  <c r="G157" i="6"/>
  <c r="E157" i="6"/>
  <c r="C157" i="6"/>
  <c r="V156" i="6"/>
  <c r="S156" i="6"/>
  <c r="P156" i="6"/>
  <c r="M156" i="6"/>
  <c r="J156" i="6"/>
  <c r="G156" i="6"/>
  <c r="E156" i="6"/>
  <c r="C156" i="6"/>
  <c r="V155" i="6"/>
  <c r="S155" i="6"/>
  <c r="P155" i="6"/>
  <c r="M155" i="6"/>
  <c r="J155" i="6"/>
  <c r="G155" i="6"/>
  <c r="E155" i="6"/>
  <c r="C155" i="6"/>
  <c r="V154" i="6"/>
  <c r="S154" i="6"/>
  <c r="P154" i="6"/>
  <c r="M154" i="6"/>
  <c r="J154" i="6"/>
  <c r="G154" i="6"/>
  <c r="E154" i="6"/>
  <c r="C154" i="6"/>
  <c r="V153" i="6"/>
  <c r="S153" i="6"/>
  <c r="P153" i="6"/>
  <c r="M153" i="6"/>
  <c r="J153" i="6"/>
  <c r="G153" i="6"/>
  <c r="E153" i="6"/>
  <c r="C153" i="6"/>
  <c r="V152" i="6"/>
  <c r="S152" i="6"/>
  <c r="P152" i="6"/>
  <c r="M152" i="6"/>
  <c r="J152" i="6"/>
  <c r="G152" i="6"/>
  <c r="E152" i="6"/>
  <c r="C152" i="6"/>
  <c r="V151" i="6"/>
  <c r="S151" i="6"/>
  <c r="P151" i="6"/>
  <c r="M151" i="6"/>
  <c r="J151" i="6"/>
  <c r="G151" i="6"/>
  <c r="E151" i="6"/>
  <c r="C151" i="6"/>
  <c r="V150" i="6"/>
  <c r="S150" i="6"/>
  <c r="P150" i="6"/>
  <c r="M150" i="6"/>
  <c r="J150" i="6"/>
  <c r="G150" i="6"/>
  <c r="E150" i="6"/>
  <c r="C150" i="6"/>
  <c r="V149" i="6"/>
  <c r="S149" i="6"/>
  <c r="P149" i="6"/>
  <c r="M149" i="6"/>
  <c r="J149" i="6"/>
  <c r="G149" i="6"/>
  <c r="E149" i="6"/>
  <c r="C149" i="6"/>
  <c r="V148" i="6"/>
  <c r="S148" i="6"/>
  <c r="P148" i="6"/>
  <c r="M148" i="6"/>
  <c r="J148" i="6"/>
  <c r="G148" i="6"/>
  <c r="E148" i="6"/>
  <c r="C148" i="6"/>
  <c r="V147" i="6"/>
  <c r="S147" i="6"/>
  <c r="P147" i="6"/>
  <c r="M147" i="6"/>
  <c r="J147" i="6"/>
  <c r="G147" i="6"/>
  <c r="E147" i="6"/>
  <c r="C147" i="6"/>
  <c r="V146" i="6"/>
  <c r="S146" i="6"/>
  <c r="P146" i="6"/>
  <c r="M146" i="6"/>
  <c r="J146" i="6"/>
  <c r="G146" i="6"/>
  <c r="E146" i="6"/>
  <c r="C146" i="6"/>
  <c r="V145" i="6"/>
  <c r="S145" i="6"/>
  <c r="P145" i="6"/>
  <c r="M145" i="6"/>
  <c r="J145" i="6"/>
  <c r="G145" i="6"/>
  <c r="E145" i="6"/>
  <c r="C145" i="6"/>
  <c r="V144" i="6"/>
  <c r="S144" i="6"/>
  <c r="P144" i="6"/>
  <c r="M144" i="6"/>
  <c r="J144" i="6"/>
  <c r="G144" i="6"/>
  <c r="E144" i="6"/>
  <c r="C144" i="6"/>
  <c r="V143" i="6"/>
  <c r="S143" i="6"/>
  <c r="P143" i="6"/>
  <c r="M143" i="6"/>
  <c r="J143" i="6"/>
  <c r="G143" i="6"/>
  <c r="E143" i="6"/>
  <c r="C143" i="6"/>
  <c r="V142" i="6"/>
  <c r="S142" i="6"/>
  <c r="P142" i="6"/>
  <c r="M142" i="6"/>
  <c r="J142" i="6"/>
  <c r="G142" i="6"/>
  <c r="E142" i="6"/>
  <c r="C142" i="6"/>
  <c r="V141" i="6"/>
  <c r="S141" i="6"/>
  <c r="P141" i="6"/>
  <c r="M141" i="6"/>
  <c r="J141" i="6"/>
  <c r="G141" i="6"/>
  <c r="E141" i="6"/>
  <c r="C141" i="6"/>
  <c r="V140" i="6"/>
  <c r="S140" i="6"/>
  <c r="P140" i="6"/>
  <c r="M140" i="6"/>
  <c r="J140" i="6"/>
  <c r="G140" i="6"/>
  <c r="E140" i="6"/>
  <c r="C140" i="6"/>
  <c r="V139" i="6"/>
  <c r="S139" i="6"/>
  <c r="P139" i="6"/>
  <c r="M139" i="6"/>
  <c r="J139" i="6"/>
  <c r="G139" i="6"/>
  <c r="E139" i="6"/>
  <c r="C139" i="6"/>
  <c r="V138" i="6"/>
  <c r="S138" i="6"/>
  <c r="P138" i="6"/>
  <c r="M138" i="6"/>
  <c r="J138" i="6"/>
  <c r="G138" i="6"/>
  <c r="E138" i="6"/>
  <c r="C138" i="6"/>
  <c r="V137" i="6"/>
  <c r="S137" i="6"/>
  <c r="P137" i="6"/>
  <c r="M137" i="6"/>
  <c r="J137" i="6"/>
  <c r="G137" i="6"/>
  <c r="E137" i="6"/>
  <c r="C137" i="6"/>
  <c r="V136" i="6"/>
  <c r="S136" i="6"/>
  <c r="P136" i="6"/>
  <c r="M136" i="6"/>
  <c r="J136" i="6"/>
  <c r="G136" i="6"/>
  <c r="E136" i="6"/>
  <c r="C136" i="6"/>
  <c r="V135" i="6"/>
  <c r="S135" i="6"/>
  <c r="P135" i="6"/>
  <c r="M135" i="6"/>
  <c r="J135" i="6"/>
  <c r="G135" i="6"/>
  <c r="E135" i="6"/>
  <c r="C135" i="6"/>
  <c r="V134" i="6"/>
  <c r="S134" i="6"/>
  <c r="P134" i="6"/>
  <c r="M134" i="6"/>
  <c r="J134" i="6"/>
  <c r="E134" i="6"/>
  <c r="C134" i="6"/>
  <c r="V133" i="6"/>
  <c r="S133" i="6"/>
  <c r="P133" i="6"/>
  <c r="M133" i="6"/>
  <c r="J133" i="6"/>
  <c r="G133" i="6"/>
  <c r="E133" i="6"/>
  <c r="C133" i="6"/>
  <c r="W132" i="6"/>
  <c r="Y132" i="6" s="1"/>
  <c r="T132" i="6"/>
  <c r="Q132" i="6"/>
  <c r="N132" i="6"/>
  <c r="K132" i="6"/>
  <c r="H132" i="6"/>
  <c r="H203" i="6" s="1"/>
  <c r="E132" i="6"/>
  <c r="C132" i="6"/>
  <c r="V131" i="6"/>
  <c r="S131" i="6"/>
  <c r="P131" i="6"/>
  <c r="M131" i="6"/>
  <c r="J131" i="6"/>
  <c r="G131" i="6"/>
  <c r="E131" i="6"/>
  <c r="C131" i="6"/>
  <c r="V130" i="6"/>
  <c r="S130" i="6"/>
  <c r="P130" i="6"/>
  <c r="M130" i="6"/>
  <c r="J130" i="6"/>
  <c r="G130" i="6"/>
  <c r="E130" i="6"/>
  <c r="C130" i="6"/>
  <c r="V129" i="6"/>
  <c r="S129" i="6"/>
  <c r="P129" i="6"/>
  <c r="M129" i="6"/>
  <c r="J129" i="6"/>
  <c r="G129" i="6"/>
  <c r="E129" i="6"/>
  <c r="C129" i="6"/>
  <c r="V128" i="6"/>
  <c r="S128" i="6"/>
  <c r="P128" i="6"/>
  <c r="M128" i="6"/>
  <c r="J128" i="6"/>
  <c r="G128" i="6"/>
  <c r="E128" i="6"/>
  <c r="C128" i="6"/>
  <c r="V127" i="6"/>
  <c r="S127" i="6"/>
  <c r="P127" i="6"/>
  <c r="M127" i="6"/>
  <c r="J127" i="6"/>
  <c r="G127" i="6"/>
  <c r="E127" i="6"/>
  <c r="C127" i="6"/>
  <c r="V126" i="6"/>
  <c r="S126" i="6"/>
  <c r="P126" i="6"/>
  <c r="M126" i="6"/>
  <c r="J126" i="6"/>
  <c r="G126" i="6"/>
  <c r="E126" i="6"/>
  <c r="C126" i="6"/>
  <c r="V125" i="6"/>
  <c r="S125" i="6"/>
  <c r="P125" i="6"/>
  <c r="M125" i="6"/>
  <c r="J125" i="6"/>
  <c r="G125" i="6"/>
  <c r="E125" i="6"/>
  <c r="C125" i="6"/>
  <c r="V124" i="6"/>
  <c r="S124" i="6"/>
  <c r="P124" i="6"/>
  <c r="M124" i="6"/>
  <c r="J124" i="6"/>
  <c r="G124" i="6"/>
  <c r="E124" i="6"/>
  <c r="C124" i="6"/>
  <c r="V123" i="6"/>
  <c r="S123" i="6"/>
  <c r="P123" i="6"/>
  <c r="M123" i="6"/>
  <c r="J123" i="6"/>
  <c r="E123" i="6"/>
  <c r="C123" i="6"/>
  <c r="V122" i="6"/>
  <c r="S122" i="6"/>
  <c r="P122" i="6"/>
  <c r="M122" i="6"/>
  <c r="J122" i="6"/>
  <c r="G122" i="6"/>
  <c r="E122" i="6"/>
  <c r="C122" i="6"/>
  <c r="V121" i="6"/>
  <c r="S121" i="6"/>
  <c r="P121" i="6"/>
  <c r="M121" i="6"/>
  <c r="J121" i="6"/>
  <c r="G121" i="6"/>
  <c r="E121" i="6"/>
  <c r="C121" i="6"/>
  <c r="V120" i="6"/>
  <c r="S120" i="6"/>
  <c r="P120" i="6"/>
  <c r="M120" i="6"/>
  <c r="J120" i="6"/>
  <c r="G120" i="6"/>
  <c r="E120" i="6"/>
  <c r="C120" i="6"/>
  <c r="V119" i="6"/>
  <c r="S119" i="6"/>
  <c r="P119" i="6"/>
  <c r="M119" i="6"/>
  <c r="J119" i="6"/>
  <c r="G119" i="6"/>
  <c r="E119" i="6"/>
  <c r="C119" i="6"/>
  <c r="V118" i="6"/>
  <c r="S118" i="6"/>
  <c r="P118" i="6"/>
  <c r="M118" i="6"/>
  <c r="J118" i="6"/>
  <c r="G118" i="6"/>
  <c r="E118" i="6"/>
  <c r="C118" i="6"/>
  <c r="V117" i="6"/>
  <c r="S117" i="6"/>
  <c r="P117" i="6"/>
  <c r="M117" i="6"/>
  <c r="J117" i="6"/>
  <c r="G117" i="6"/>
  <c r="E117" i="6"/>
  <c r="C117" i="6"/>
  <c r="V116" i="6"/>
  <c r="S116" i="6"/>
  <c r="P116" i="6"/>
  <c r="M116" i="6"/>
  <c r="J116" i="6"/>
  <c r="G116" i="6"/>
  <c r="E116" i="6"/>
  <c r="C116" i="6"/>
  <c r="V115" i="6"/>
  <c r="S115" i="6"/>
  <c r="P115" i="6"/>
  <c r="M115" i="6"/>
  <c r="J115" i="6"/>
  <c r="G115" i="6"/>
  <c r="E115" i="6"/>
  <c r="C115" i="6"/>
  <c r="V114" i="6"/>
  <c r="S114" i="6"/>
  <c r="P114" i="6"/>
  <c r="M114" i="6"/>
  <c r="J114" i="6"/>
  <c r="G114" i="6"/>
  <c r="E114" i="6"/>
  <c r="C114" i="6"/>
  <c r="V113" i="6"/>
  <c r="S113" i="6"/>
  <c r="P113" i="6"/>
  <c r="M113" i="6"/>
  <c r="J113" i="6"/>
  <c r="G113" i="6"/>
  <c r="E113" i="6"/>
  <c r="C113" i="6"/>
  <c r="V112" i="6"/>
  <c r="S112" i="6"/>
  <c r="P112" i="6"/>
  <c r="M112" i="6"/>
  <c r="J112" i="6"/>
  <c r="G112" i="6"/>
  <c r="E112" i="6"/>
  <c r="C112" i="6"/>
  <c r="V111" i="6"/>
  <c r="S111" i="6"/>
  <c r="P111" i="6"/>
  <c r="M111" i="6"/>
  <c r="J111" i="6"/>
  <c r="G111" i="6"/>
  <c r="E111" i="6"/>
  <c r="C111" i="6"/>
  <c r="V110" i="6"/>
  <c r="S110" i="6"/>
  <c r="P110" i="6"/>
  <c r="M110" i="6"/>
  <c r="J110" i="6"/>
  <c r="G110" i="6"/>
  <c r="E110" i="6"/>
  <c r="C110" i="6"/>
  <c r="V109" i="6"/>
  <c r="S109" i="6"/>
  <c r="P109" i="6"/>
  <c r="M109" i="6"/>
  <c r="J109" i="6"/>
  <c r="G109" i="6"/>
  <c r="E109" i="6"/>
  <c r="C109" i="6"/>
  <c r="V108" i="6"/>
  <c r="S108" i="6"/>
  <c r="P108" i="6"/>
  <c r="M108" i="6"/>
  <c r="J108" i="6"/>
  <c r="G108" i="6"/>
  <c r="E108" i="6"/>
  <c r="C108" i="6"/>
  <c r="V107" i="6"/>
  <c r="S107" i="6"/>
  <c r="P107" i="6"/>
  <c r="M107" i="6"/>
  <c r="J107" i="6"/>
  <c r="G107" i="6"/>
  <c r="E107" i="6"/>
  <c r="C107" i="6"/>
  <c r="V106" i="6"/>
  <c r="S106" i="6"/>
  <c r="P106" i="6"/>
  <c r="M106" i="6"/>
  <c r="J106" i="6"/>
  <c r="G106" i="6"/>
  <c r="E106" i="6"/>
  <c r="C106" i="6"/>
  <c r="V105" i="6"/>
  <c r="S105" i="6"/>
  <c r="P105" i="6"/>
  <c r="M105" i="6"/>
  <c r="J105" i="6"/>
  <c r="G105" i="6"/>
  <c r="E105" i="6"/>
  <c r="C105" i="6"/>
  <c r="V104" i="6"/>
  <c r="S104" i="6"/>
  <c r="P104" i="6"/>
  <c r="M104" i="6"/>
  <c r="J104" i="6"/>
  <c r="G104" i="6"/>
  <c r="E104" i="6"/>
  <c r="C104" i="6"/>
  <c r="V103" i="6"/>
  <c r="S103" i="6"/>
  <c r="P103" i="6"/>
  <c r="M103" i="6"/>
  <c r="J103" i="6"/>
  <c r="G103" i="6"/>
  <c r="E103" i="6"/>
  <c r="C103" i="6"/>
  <c r="V102" i="6"/>
  <c r="S102" i="6"/>
  <c r="P102" i="6"/>
  <c r="M102" i="6"/>
  <c r="J102" i="6"/>
  <c r="G102" i="6"/>
  <c r="E102" i="6"/>
  <c r="C102" i="6"/>
  <c r="V101" i="6"/>
  <c r="S101" i="6"/>
  <c r="P101" i="6"/>
  <c r="M101" i="6"/>
  <c r="J101" i="6"/>
  <c r="G101" i="6"/>
  <c r="E101" i="6"/>
  <c r="C101" i="6"/>
  <c r="V100" i="6"/>
  <c r="S100" i="6"/>
  <c r="P100" i="6"/>
  <c r="M100" i="6"/>
  <c r="J100" i="6"/>
  <c r="G100" i="6"/>
  <c r="E100" i="6"/>
  <c r="C100" i="6"/>
  <c r="V99" i="6"/>
  <c r="S99" i="6"/>
  <c r="P99" i="6"/>
  <c r="M99" i="6"/>
  <c r="J99" i="6"/>
  <c r="G99" i="6"/>
  <c r="E99" i="6"/>
  <c r="C99" i="6"/>
  <c r="V98" i="6"/>
  <c r="S98" i="6"/>
  <c r="P98" i="6"/>
  <c r="M98" i="6"/>
  <c r="J98" i="6"/>
  <c r="G98" i="6"/>
  <c r="E98" i="6"/>
  <c r="C98" i="6"/>
  <c r="V97" i="6"/>
  <c r="S97" i="6"/>
  <c r="P97" i="6"/>
  <c r="M97" i="6"/>
  <c r="J97" i="6"/>
  <c r="G97" i="6"/>
  <c r="E97" i="6"/>
  <c r="C97" i="6"/>
  <c r="V96" i="6"/>
  <c r="S96" i="6"/>
  <c r="P96" i="6"/>
  <c r="M96" i="6"/>
  <c r="J96" i="6"/>
  <c r="G96" i="6"/>
  <c r="E96" i="6"/>
  <c r="C96" i="6"/>
  <c r="V95" i="6"/>
  <c r="S95" i="6"/>
  <c r="P95" i="6"/>
  <c r="M95" i="6"/>
  <c r="J95" i="6"/>
  <c r="G95" i="6"/>
  <c r="E95" i="6"/>
  <c r="C95" i="6"/>
  <c r="V94" i="6"/>
  <c r="S94" i="6"/>
  <c r="P94" i="6"/>
  <c r="M94" i="6"/>
  <c r="J94" i="6"/>
  <c r="G94" i="6"/>
  <c r="E94" i="6"/>
  <c r="C94" i="6"/>
  <c r="V93" i="6"/>
  <c r="S93" i="6"/>
  <c r="P93" i="6"/>
  <c r="M93" i="6"/>
  <c r="J93" i="6"/>
  <c r="G93" i="6"/>
  <c r="E93" i="6"/>
  <c r="C93" i="6"/>
  <c r="V92" i="6"/>
  <c r="S92" i="6"/>
  <c r="P92" i="6"/>
  <c r="M92" i="6"/>
  <c r="J92" i="6"/>
  <c r="G92" i="6"/>
  <c r="E92" i="6"/>
  <c r="C92" i="6"/>
  <c r="V91" i="6"/>
  <c r="S91" i="6"/>
  <c r="P91" i="6"/>
  <c r="M91" i="6"/>
  <c r="J91" i="6"/>
  <c r="G91" i="6"/>
  <c r="E91" i="6"/>
  <c r="C91" i="6"/>
  <c r="V90" i="6"/>
  <c r="S90" i="6"/>
  <c r="P90" i="6"/>
  <c r="M90" i="6"/>
  <c r="J90" i="6"/>
  <c r="G90" i="6"/>
  <c r="E90" i="6"/>
  <c r="C90" i="6"/>
  <c r="V89" i="6"/>
  <c r="S89" i="6"/>
  <c r="P89" i="6"/>
  <c r="M89" i="6"/>
  <c r="J89" i="6"/>
  <c r="G89" i="6"/>
  <c r="E89" i="6"/>
  <c r="C89" i="6"/>
  <c r="V88" i="6"/>
  <c r="S88" i="6"/>
  <c r="P88" i="6"/>
  <c r="M88" i="6"/>
  <c r="J88" i="6"/>
  <c r="G88" i="6"/>
  <c r="E88" i="6"/>
  <c r="C88" i="6"/>
  <c r="V87" i="6"/>
  <c r="S87" i="6"/>
  <c r="P87" i="6"/>
  <c r="M87" i="6"/>
  <c r="J87" i="6"/>
  <c r="G87" i="6"/>
  <c r="E87" i="6"/>
  <c r="C87" i="6"/>
  <c r="V86" i="6"/>
  <c r="S86" i="6"/>
  <c r="P86" i="6"/>
  <c r="M86" i="6"/>
  <c r="J86" i="6"/>
  <c r="G86" i="6"/>
  <c r="E86" i="6"/>
  <c r="C86" i="6"/>
  <c r="V85" i="6"/>
  <c r="S85" i="6"/>
  <c r="P85" i="6"/>
  <c r="M85" i="6"/>
  <c r="J85" i="6"/>
  <c r="G85" i="6"/>
  <c r="E85" i="6"/>
  <c r="C85" i="6"/>
  <c r="V84" i="6"/>
  <c r="S84" i="6"/>
  <c r="P84" i="6"/>
  <c r="M84" i="6"/>
  <c r="J84" i="6"/>
  <c r="G84" i="6"/>
  <c r="E84" i="6"/>
  <c r="C84" i="6"/>
  <c r="V83" i="6"/>
  <c r="S83" i="6"/>
  <c r="P83" i="6"/>
  <c r="M83" i="6"/>
  <c r="J83" i="6"/>
  <c r="G83" i="6"/>
  <c r="E83" i="6"/>
  <c r="C83" i="6"/>
  <c r="V82" i="6"/>
  <c r="S82" i="6"/>
  <c r="P82" i="6"/>
  <c r="M82" i="6"/>
  <c r="J82" i="6"/>
  <c r="G82" i="6"/>
  <c r="E82" i="6"/>
  <c r="C82" i="6"/>
  <c r="V81" i="6"/>
  <c r="S81" i="6"/>
  <c r="P81" i="6"/>
  <c r="M81" i="6"/>
  <c r="J81" i="6"/>
  <c r="G81" i="6"/>
  <c r="E81" i="6"/>
  <c r="C81" i="6"/>
  <c r="V80" i="6"/>
  <c r="S80" i="6"/>
  <c r="P80" i="6"/>
  <c r="M80" i="6"/>
  <c r="J80" i="6"/>
  <c r="G80" i="6"/>
  <c r="E80" i="6"/>
  <c r="C80" i="6"/>
  <c r="V79" i="6"/>
  <c r="S79" i="6"/>
  <c r="P79" i="6"/>
  <c r="M79" i="6"/>
  <c r="J79" i="6"/>
  <c r="G79" i="6"/>
  <c r="E79" i="6"/>
  <c r="C79" i="6"/>
  <c r="V78" i="6"/>
  <c r="S78" i="6"/>
  <c r="P78" i="6"/>
  <c r="M78" i="6"/>
  <c r="J78" i="6"/>
  <c r="G78" i="6"/>
  <c r="E78" i="6"/>
  <c r="C78" i="6"/>
  <c r="V77" i="6"/>
  <c r="S77" i="6"/>
  <c r="P77" i="6"/>
  <c r="M77" i="6"/>
  <c r="J77" i="6"/>
  <c r="G77" i="6"/>
  <c r="E77" i="6"/>
  <c r="C77" i="6"/>
  <c r="V76" i="6"/>
  <c r="S76" i="6"/>
  <c r="P76" i="6"/>
  <c r="M76" i="6"/>
  <c r="J76" i="6"/>
  <c r="G76" i="6"/>
  <c r="E76" i="6"/>
  <c r="C76" i="6"/>
  <c r="V75" i="6"/>
  <c r="S75" i="6"/>
  <c r="P75" i="6"/>
  <c r="M75" i="6"/>
  <c r="J75" i="6"/>
  <c r="G75" i="6"/>
  <c r="E75" i="6"/>
  <c r="C75" i="6"/>
  <c r="V74" i="6"/>
  <c r="S74" i="6"/>
  <c r="P74" i="6"/>
  <c r="M74" i="6"/>
  <c r="J74" i="6"/>
  <c r="G74" i="6"/>
  <c r="E74" i="6"/>
  <c r="C74" i="6"/>
  <c r="V73" i="6"/>
  <c r="S73" i="6"/>
  <c r="P73" i="6"/>
  <c r="M73" i="6"/>
  <c r="J73" i="6"/>
  <c r="G73" i="6"/>
  <c r="E73" i="6"/>
  <c r="C73" i="6"/>
  <c r="V72" i="6"/>
  <c r="S72" i="6"/>
  <c r="P72" i="6"/>
  <c r="M72" i="6"/>
  <c r="J72" i="6"/>
  <c r="G72" i="6"/>
  <c r="E72" i="6"/>
  <c r="C72" i="6"/>
  <c r="V71" i="6"/>
  <c r="S71" i="6"/>
  <c r="P71" i="6"/>
  <c r="M71" i="6"/>
  <c r="J71" i="6"/>
  <c r="G71" i="6"/>
  <c r="E71" i="6"/>
  <c r="C71" i="6"/>
  <c r="V70" i="6"/>
  <c r="S70" i="6"/>
  <c r="P70" i="6"/>
  <c r="M70" i="6"/>
  <c r="J70" i="6"/>
  <c r="G70" i="6"/>
  <c r="E70" i="6"/>
  <c r="C70" i="6"/>
  <c r="V69" i="6"/>
  <c r="S69" i="6"/>
  <c r="P69" i="6"/>
  <c r="M69" i="6"/>
  <c r="J69" i="6"/>
  <c r="G69" i="6"/>
  <c r="E69" i="6"/>
  <c r="C69" i="6"/>
  <c r="V68" i="6"/>
  <c r="S68" i="6"/>
  <c r="P68" i="6"/>
  <c r="M68" i="6"/>
  <c r="J68" i="6"/>
  <c r="G68" i="6"/>
  <c r="E68" i="6"/>
  <c r="C68" i="6"/>
  <c r="V67" i="6"/>
  <c r="S67" i="6"/>
  <c r="P67" i="6"/>
  <c r="M67" i="6"/>
  <c r="J67" i="6"/>
  <c r="G67" i="6"/>
  <c r="E67" i="6"/>
  <c r="C67" i="6"/>
  <c r="V66" i="6"/>
  <c r="S66" i="6"/>
  <c r="P66" i="6"/>
  <c r="M66" i="6"/>
  <c r="J66" i="6"/>
  <c r="G66" i="6"/>
  <c r="E66" i="6"/>
  <c r="C66" i="6"/>
  <c r="V65" i="6"/>
  <c r="S65" i="6"/>
  <c r="P65" i="6"/>
  <c r="M65" i="6"/>
  <c r="J65" i="6"/>
  <c r="G65" i="6"/>
  <c r="E65" i="6"/>
  <c r="C65" i="6"/>
  <c r="V64" i="6"/>
  <c r="S64" i="6"/>
  <c r="P64" i="6"/>
  <c r="M64" i="6"/>
  <c r="J64" i="6"/>
  <c r="G64" i="6"/>
  <c r="E64" i="6"/>
  <c r="C64" i="6"/>
  <c r="V63" i="6"/>
  <c r="S63" i="6"/>
  <c r="P63" i="6"/>
  <c r="M63" i="6"/>
  <c r="J63" i="6"/>
  <c r="G63" i="6"/>
  <c r="E63" i="6"/>
  <c r="C63" i="6"/>
  <c r="V62" i="6"/>
  <c r="S62" i="6"/>
  <c r="P62" i="6"/>
  <c r="M62" i="6"/>
  <c r="J62" i="6"/>
  <c r="G62" i="6"/>
  <c r="E62" i="6"/>
  <c r="C62" i="6"/>
  <c r="V61" i="6"/>
  <c r="S61" i="6"/>
  <c r="P61" i="6"/>
  <c r="M61" i="6"/>
  <c r="J61" i="6"/>
  <c r="G61" i="6"/>
  <c r="E61" i="6"/>
  <c r="C61" i="6"/>
  <c r="V60" i="6"/>
  <c r="S60" i="6"/>
  <c r="P60" i="6"/>
  <c r="M60" i="6"/>
  <c r="J60" i="6"/>
  <c r="G60" i="6"/>
  <c r="E60" i="6"/>
  <c r="C60" i="6"/>
  <c r="V59" i="6"/>
  <c r="S59" i="6"/>
  <c r="P59" i="6"/>
  <c r="M59" i="6"/>
  <c r="J59" i="6"/>
  <c r="G59" i="6"/>
  <c r="E59" i="6"/>
  <c r="C59" i="6"/>
  <c r="V58" i="6"/>
  <c r="S58" i="6"/>
  <c r="P58" i="6"/>
  <c r="M58" i="6"/>
  <c r="J58" i="6"/>
  <c r="G58" i="6"/>
  <c r="E58" i="6"/>
  <c r="C58" i="6"/>
  <c r="V57" i="6"/>
  <c r="S57" i="6"/>
  <c r="P57" i="6"/>
  <c r="M57" i="6"/>
  <c r="J57" i="6"/>
  <c r="G57" i="6"/>
  <c r="E57" i="6"/>
  <c r="C57" i="6"/>
  <c r="V56" i="6"/>
  <c r="S56" i="6"/>
  <c r="P56" i="6"/>
  <c r="M56" i="6"/>
  <c r="J56" i="6"/>
  <c r="G56" i="6"/>
  <c r="E56" i="6"/>
  <c r="C56" i="6"/>
  <c r="V55" i="6"/>
  <c r="S55" i="6"/>
  <c r="P55" i="6"/>
  <c r="M55" i="6"/>
  <c r="J55" i="6"/>
  <c r="G55" i="6"/>
  <c r="E55" i="6"/>
  <c r="C55" i="6"/>
  <c r="V54" i="6"/>
  <c r="S54" i="6"/>
  <c r="P54" i="6"/>
  <c r="M54" i="6"/>
  <c r="J54" i="6"/>
  <c r="G54" i="6"/>
  <c r="E54" i="6"/>
  <c r="C54" i="6"/>
  <c r="V53" i="6"/>
  <c r="S53" i="6"/>
  <c r="P53" i="6"/>
  <c r="M53" i="6"/>
  <c r="J53" i="6"/>
  <c r="G53" i="6"/>
  <c r="E53" i="6"/>
  <c r="C53" i="6"/>
  <c r="V52" i="6"/>
  <c r="S52" i="6"/>
  <c r="P52" i="6"/>
  <c r="M52" i="6"/>
  <c r="J52" i="6"/>
  <c r="G52" i="6"/>
  <c r="E52" i="6"/>
  <c r="C52" i="6"/>
  <c r="V51" i="6"/>
  <c r="S51" i="6"/>
  <c r="P51" i="6"/>
  <c r="M51" i="6"/>
  <c r="J51" i="6"/>
  <c r="G51" i="6"/>
  <c r="E51" i="6"/>
  <c r="C51" i="6"/>
  <c r="V50" i="6"/>
  <c r="S50" i="6"/>
  <c r="P50" i="6"/>
  <c r="M50" i="6"/>
  <c r="J50" i="6"/>
  <c r="G50" i="6"/>
  <c r="E50" i="6"/>
  <c r="C50" i="6"/>
  <c r="V49" i="6"/>
  <c r="S49" i="6"/>
  <c r="P49" i="6"/>
  <c r="M49" i="6"/>
  <c r="J49" i="6"/>
  <c r="G49" i="6"/>
  <c r="E49" i="6"/>
  <c r="C49" i="6"/>
  <c r="V48" i="6"/>
  <c r="S48" i="6"/>
  <c r="P48" i="6"/>
  <c r="M48" i="6"/>
  <c r="J48" i="6"/>
  <c r="G48" i="6"/>
  <c r="E48" i="6"/>
  <c r="C48" i="6"/>
  <c r="V47" i="6"/>
  <c r="S47" i="6"/>
  <c r="P47" i="6"/>
  <c r="M47" i="6"/>
  <c r="J47" i="6"/>
  <c r="G47" i="6"/>
  <c r="E47" i="6"/>
  <c r="C47" i="6"/>
  <c r="V46" i="6"/>
  <c r="S46" i="6"/>
  <c r="P46" i="6"/>
  <c r="M46" i="6"/>
  <c r="J46" i="6"/>
  <c r="G46" i="6"/>
  <c r="E46" i="6"/>
  <c r="C46" i="6"/>
  <c r="V45" i="6"/>
  <c r="S45" i="6"/>
  <c r="P45" i="6"/>
  <c r="M45" i="6"/>
  <c r="J45" i="6"/>
  <c r="G45" i="6"/>
  <c r="E45" i="6"/>
  <c r="C45" i="6"/>
  <c r="V44" i="6"/>
  <c r="S44" i="6"/>
  <c r="P44" i="6"/>
  <c r="M44" i="6"/>
  <c r="J44" i="6"/>
  <c r="G44" i="6"/>
  <c r="E44" i="6"/>
  <c r="C44" i="6"/>
  <c r="V43" i="6"/>
  <c r="S43" i="6"/>
  <c r="P43" i="6"/>
  <c r="M43" i="6"/>
  <c r="J43" i="6"/>
  <c r="G43" i="6"/>
  <c r="E43" i="6"/>
  <c r="C43" i="6"/>
  <c r="V42" i="6"/>
  <c r="S42" i="6"/>
  <c r="P42" i="6"/>
  <c r="M42" i="6"/>
  <c r="J42" i="6"/>
  <c r="G42" i="6"/>
  <c r="E42" i="6"/>
  <c r="C42" i="6"/>
  <c r="V41" i="6"/>
  <c r="S41" i="6"/>
  <c r="P41" i="6"/>
  <c r="M41" i="6"/>
  <c r="J41" i="6"/>
  <c r="G41" i="6"/>
  <c r="E41" i="6"/>
  <c r="C41" i="6"/>
  <c r="V40" i="6"/>
  <c r="S40" i="6"/>
  <c r="P40" i="6"/>
  <c r="M40" i="6"/>
  <c r="J40" i="6"/>
  <c r="G40" i="6"/>
  <c r="E40" i="6"/>
  <c r="C40" i="6"/>
  <c r="V39" i="6"/>
  <c r="S39" i="6"/>
  <c r="P39" i="6"/>
  <c r="M39" i="6"/>
  <c r="J39" i="6"/>
  <c r="G39" i="6"/>
  <c r="E39" i="6"/>
  <c r="C39" i="6"/>
  <c r="V38" i="6"/>
  <c r="S38" i="6"/>
  <c r="P38" i="6"/>
  <c r="M38" i="6"/>
  <c r="J38" i="6"/>
  <c r="G38" i="6"/>
  <c r="E38" i="6"/>
  <c r="C38" i="6"/>
  <c r="V37" i="6"/>
  <c r="S37" i="6"/>
  <c r="P37" i="6"/>
  <c r="M37" i="6"/>
  <c r="J37" i="6"/>
  <c r="G37" i="6"/>
  <c r="E37" i="6"/>
  <c r="C37" i="6"/>
  <c r="V36" i="6"/>
  <c r="S36" i="6"/>
  <c r="P36" i="6"/>
  <c r="M36" i="6"/>
  <c r="J36" i="6"/>
  <c r="G36" i="6"/>
  <c r="E36" i="6"/>
  <c r="C36" i="6"/>
  <c r="V35" i="6"/>
  <c r="S35" i="6"/>
  <c r="P35" i="6"/>
  <c r="M35" i="6"/>
  <c r="J35" i="6"/>
  <c r="G35" i="6"/>
  <c r="E35" i="6"/>
  <c r="C35" i="6"/>
  <c r="V34" i="6"/>
  <c r="S34" i="6"/>
  <c r="P34" i="6"/>
  <c r="M34" i="6"/>
  <c r="J34" i="6"/>
  <c r="G34" i="6"/>
  <c r="E34" i="6"/>
  <c r="C34" i="6"/>
  <c r="V33" i="6"/>
  <c r="S33" i="6"/>
  <c r="P33" i="6"/>
  <c r="M33" i="6"/>
  <c r="J33" i="6"/>
  <c r="G33" i="6"/>
  <c r="E33" i="6"/>
  <c r="C33" i="6"/>
  <c r="V32" i="6"/>
  <c r="S32" i="6"/>
  <c r="P32" i="6"/>
  <c r="M32" i="6"/>
  <c r="J32" i="6"/>
  <c r="G32" i="6"/>
  <c r="E32" i="6"/>
  <c r="C32" i="6"/>
  <c r="V31" i="6"/>
  <c r="S31" i="6"/>
  <c r="P31" i="6"/>
  <c r="M31" i="6"/>
  <c r="J31" i="6"/>
  <c r="G31" i="6"/>
  <c r="E31" i="6"/>
  <c r="C31" i="6"/>
  <c r="V30" i="6"/>
  <c r="S30" i="6"/>
  <c r="P30" i="6"/>
  <c r="M30" i="6"/>
  <c r="J30" i="6"/>
  <c r="G30" i="6"/>
  <c r="E30" i="6"/>
  <c r="C30" i="6"/>
  <c r="V29" i="6"/>
  <c r="S29" i="6"/>
  <c r="P29" i="6"/>
  <c r="M29" i="6"/>
  <c r="J29" i="6"/>
  <c r="G29" i="6"/>
  <c r="E29" i="6"/>
  <c r="C29" i="6"/>
  <c r="V28" i="6"/>
  <c r="S28" i="6"/>
  <c r="P28" i="6"/>
  <c r="M28" i="6"/>
  <c r="J28" i="6"/>
  <c r="G28" i="6"/>
  <c r="E28" i="6"/>
  <c r="C28" i="6"/>
  <c r="V27" i="6"/>
  <c r="S27" i="6"/>
  <c r="P27" i="6"/>
  <c r="M27" i="6"/>
  <c r="J27" i="6"/>
  <c r="G27" i="6"/>
  <c r="E27" i="6"/>
  <c r="C27" i="6"/>
  <c r="V26" i="6"/>
  <c r="S26" i="6"/>
  <c r="P26" i="6"/>
  <c r="M26" i="6"/>
  <c r="J26" i="6"/>
  <c r="G26" i="6"/>
  <c r="E26" i="6"/>
  <c r="C26" i="6"/>
  <c r="V25" i="6"/>
  <c r="S25" i="6"/>
  <c r="P25" i="6"/>
  <c r="M25" i="6"/>
  <c r="J25" i="6"/>
  <c r="G25" i="6"/>
  <c r="E25" i="6"/>
  <c r="C25" i="6"/>
  <c r="V24" i="6"/>
  <c r="S24" i="6"/>
  <c r="P24" i="6"/>
  <c r="M24" i="6"/>
  <c r="J24" i="6"/>
  <c r="G24" i="6"/>
  <c r="E24" i="6"/>
  <c r="C24" i="6"/>
  <c r="V23" i="6"/>
  <c r="S23" i="6"/>
  <c r="P23" i="6"/>
  <c r="M23" i="6"/>
  <c r="J23" i="6"/>
  <c r="G23" i="6"/>
  <c r="E23" i="6"/>
  <c r="C23" i="6"/>
  <c r="V22" i="6"/>
  <c r="S22" i="6"/>
  <c r="P22" i="6"/>
  <c r="M22" i="6"/>
  <c r="J22" i="6"/>
  <c r="G22" i="6"/>
  <c r="E22" i="6"/>
  <c r="C22" i="6"/>
  <c r="V21" i="6"/>
  <c r="S21" i="6"/>
  <c r="P21" i="6"/>
  <c r="M21" i="6"/>
  <c r="J21" i="6"/>
  <c r="G21" i="6"/>
  <c r="E21" i="6"/>
  <c r="C21" i="6"/>
  <c r="V20" i="6"/>
  <c r="S20" i="6"/>
  <c r="P20" i="6"/>
  <c r="M20" i="6"/>
  <c r="J20" i="6"/>
  <c r="G20" i="6"/>
  <c r="E20" i="6"/>
  <c r="C20" i="6"/>
  <c r="V19" i="6"/>
  <c r="S19" i="6"/>
  <c r="P19" i="6"/>
  <c r="M19" i="6"/>
  <c r="J19" i="6"/>
  <c r="G19" i="6"/>
  <c r="E19" i="6"/>
  <c r="C19" i="6"/>
  <c r="V18" i="6"/>
  <c r="S18" i="6"/>
  <c r="P18" i="6"/>
  <c r="M18" i="6"/>
  <c r="J18" i="6"/>
  <c r="G18" i="6"/>
  <c r="E18" i="6"/>
  <c r="C18" i="6"/>
  <c r="V17" i="6"/>
  <c r="S17" i="6"/>
  <c r="P17" i="6"/>
  <c r="M17" i="6"/>
  <c r="J17" i="6"/>
  <c r="G17" i="6"/>
  <c r="E17" i="6"/>
  <c r="C17" i="6"/>
  <c r="V16" i="6"/>
  <c r="S16" i="6"/>
  <c r="P16" i="6"/>
  <c r="M16" i="6"/>
  <c r="J16" i="6"/>
  <c r="G16" i="6"/>
  <c r="E16" i="6"/>
  <c r="C16" i="6"/>
  <c r="V15" i="6"/>
  <c r="S15" i="6"/>
  <c r="P15" i="6"/>
  <c r="M15" i="6"/>
  <c r="J15" i="6"/>
  <c r="G15" i="6"/>
  <c r="E15" i="6"/>
  <c r="C15" i="6"/>
  <c r="V14" i="6"/>
  <c r="S14" i="6"/>
  <c r="P14" i="6"/>
  <c r="M14" i="6"/>
  <c r="J14" i="6"/>
  <c r="G14" i="6"/>
  <c r="E14" i="6"/>
  <c r="C14" i="6"/>
  <c r="V13" i="6"/>
  <c r="S13" i="6"/>
  <c r="P13" i="6"/>
  <c r="M13" i="6"/>
  <c r="J13" i="6"/>
  <c r="G13" i="6"/>
  <c r="E13" i="6"/>
  <c r="C13" i="6"/>
  <c r="V12" i="6"/>
  <c r="S12" i="6"/>
  <c r="P12" i="6"/>
  <c r="M12" i="6"/>
  <c r="J12" i="6"/>
  <c r="G12" i="6"/>
  <c r="E12" i="6"/>
  <c r="C12" i="6"/>
  <c r="V11" i="6"/>
  <c r="S11" i="6"/>
  <c r="P11" i="6"/>
  <c r="M11" i="6"/>
  <c r="J11" i="6"/>
  <c r="G11" i="6"/>
  <c r="E11" i="6"/>
  <c r="C11" i="6"/>
  <c r="V10" i="6"/>
  <c r="S10" i="6"/>
  <c r="P10" i="6"/>
  <c r="M10" i="6"/>
  <c r="J10" i="6"/>
  <c r="G10" i="6"/>
  <c r="E10" i="6"/>
  <c r="C10" i="6"/>
  <c r="V9" i="6"/>
  <c r="S9" i="6"/>
  <c r="P9" i="6"/>
  <c r="M9" i="6"/>
  <c r="J9" i="6"/>
  <c r="G9" i="6"/>
  <c r="E9" i="6"/>
  <c r="C9" i="6"/>
  <c r="V8" i="6"/>
  <c r="S8" i="6"/>
  <c r="P8" i="6"/>
  <c r="M8" i="6"/>
  <c r="J8" i="6"/>
  <c r="G8" i="6"/>
  <c r="E8" i="6"/>
  <c r="C8" i="6"/>
  <c r="C5" i="5"/>
  <c r="Y203" i="6" l="1"/>
  <c r="AA2" i="6" s="1"/>
  <c r="AA3" i="6" s="1"/>
  <c r="S132" i="6"/>
  <c r="I46" i="7"/>
  <c r="I110" i="7"/>
  <c r="I349" i="7"/>
  <c r="V132" i="6"/>
  <c r="V203" i="6" s="1"/>
  <c r="X2" i="6" s="1"/>
  <c r="X3" i="6" s="1"/>
  <c r="G132" i="6"/>
  <c r="G203" i="6" s="1"/>
  <c r="I2" i="6" s="1"/>
  <c r="I3" i="6" s="1"/>
  <c r="P132" i="6"/>
  <c r="P203" i="6" s="1"/>
  <c r="R2" i="6" s="1"/>
  <c r="R3" i="6" s="1"/>
  <c r="R156" i="6" s="1"/>
  <c r="E203" i="6"/>
  <c r="J132" i="6"/>
  <c r="J203" i="6" s="1"/>
  <c r="L2" i="6" s="1"/>
  <c r="L3" i="6" s="1"/>
  <c r="M132" i="6"/>
  <c r="S203" i="6"/>
  <c r="U2" i="6" s="1"/>
  <c r="U3" i="6" s="1"/>
  <c r="U144" i="6" s="1"/>
  <c r="C203" i="6"/>
  <c r="H43" i="4"/>
  <c r="AA201" i="6" l="1"/>
  <c r="AA197" i="6"/>
  <c r="AA193" i="6"/>
  <c r="AA189" i="6"/>
  <c r="AA185" i="6"/>
  <c r="AA181" i="6"/>
  <c r="AA177" i="6"/>
  <c r="AA173" i="6"/>
  <c r="AA169" i="6"/>
  <c r="AA165" i="6"/>
  <c r="AA161" i="6"/>
  <c r="AA157" i="6"/>
  <c r="AA153" i="6"/>
  <c r="AA149" i="6"/>
  <c r="AA145" i="6"/>
  <c r="AA141" i="6"/>
  <c r="AA137" i="6"/>
  <c r="AA133" i="6"/>
  <c r="AA129" i="6"/>
  <c r="AA125" i="6"/>
  <c r="AA121" i="6"/>
  <c r="AA117" i="6"/>
  <c r="AA113" i="6"/>
  <c r="AA109" i="6"/>
  <c r="AA105" i="6"/>
  <c r="AA101" i="6"/>
  <c r="AA97" i="6"/>
  <c r="AA93" i="6"/>
  <c r="AA89" i="6"/>
  <c r="AA85" i="6"/>
  <c r="AA81" i="6"/>
  <c r="AA77" i="6"/>
  <c r="AA73" i="6"/>
  <c r="AA69" i="6"/>
  <c r="AA202" i="6"/>
  <c r="AA196" i="6"/>
  <c r="AA191" i="6"/>
  <c r="AA186" i="6"/>
  <c r="AA180" i="6"/>
  <c r="AA175" i="6"/>
  <c r="AA164" i="6"/>
  <c r="AA159" i="6"/>
  <c r="AA154" i="6"/>
  <c r="AA148" i="6"/>
  <c r="AA143" i="6"/>
  <c r="AA138" i="6"/>
  <c r="AA132" i="6"/>
  <c r="AA127" i="6"/>
  <c r="AA122" i="6"/>
  <c r="AA116" i="6"/>
  <c r="AA111" i="6"/>
  <c r="AA106" i="6"/>
  <c r="AA100" i="6"/>
  <c r="AA95" i="6"/>
  <c r="AA90" i="6"/>
  <c r="AA84" i="6"/>
  <c r="AA79" i="6"/>
  <c r="AA74" i="6"/>
  <c r="AA68" i="6"/>
  <c r="AA64" i="6"/>
  <c r="AA60" i="6"/>
  <c r="AA56" i="6"/>
  <c r="AA52" i="6"/>
  <c r="AA48" i="6"/>
  <c r="AA44" i="6"/>
  <c r="AA40" i="6"/>
  <c r="AA36" i="6"/>
  <c r="AA32" i="6"/>
  <c r="AA28" i="6"/>
  <c r="AA24" i="6"/>
  <c r="AA20" i="6"/>
  <c r="AA16" i="6"/>
  <c r="AA12" i="6"/>
  <c r="AA8" i="6"/>
  <c r="AA200" i="6"/>
  <c r="AA195" i="6"/>
  <c r="AA190" i="6"/>
  <c r="AA184" i="6"/>
  <c r="AA179" i="6"/>
  <c r="AA174" i="6"/>
  <c r="AA168" i="6"/>
  <c r="AA163" i="6"/>
  <c r="AA158" i="6"/>
  <c r="AA152" i="6"/>
  <c r="AA147" i="6"/>
  <c r="AA142" i="6"/>
  <c r="AA136" i="6"/>
  <c r="AA131" i="6"/>
  <c r="AA126" i="6"/>
  <c r="AA120" i="6"/>
  <c r="AA115" i="6"/>
  <c r="AA110" i="6"/>
  <c r="AA104" i="6"/>
  <c r="AA99" i="6"/>
  <c r="AA94" i="6"/>
  <c r="AA88" i="6"/>
  <c r="AA83" i="6"/>
  <c r="AA78" i="6"/>
  <c r="AA72" i="6"/>
  <c r="AA67" i="6"/>
  <c r="AA63" i="6"/>
  <c r="AA59" i="6"/>
  <c r="AA55" i="6"/>
  <c r="AA51" i="6"/>
  <c r="AA47" i="6"/>
  <c r="AA43" i="6"/>
  <c r="AA39" i="6"/>
  <c r="AA35" i="6"/>
  <c r="AA31" i="6"/>
  <c r="AA27" i="6"/>
  <c r="AA23" i="6"/>
  <c r="AA19" i="6"/>
  <c r="AA15" i="6"/>
  <c r="AA11" i="6"/>
  <c r="AA199" i="6"/>
  <c r="AA194" i="6"/>
  <c r="AA188" i="6"/>
  <c r="AA183" i="6"/>
  <c r="AA178" i="6"/>
  <c r="AA172" i="6"/>
  <c r="AA167" i="6"/>
  <c r="AA162" i="6"/>
  <c r="AA156" i="6"/>
  <c r="AA151" i="6"/>
  <c r="AA146" i="6"/>
  <c r="AA140" i="6"/>
  <c r="AA135" i="6"/>
  <c r="AA130" i="6"/>
  <c r="AA124" i="6"/>
  <c r="AA119" i="6"/>
  <c r="AA114" i="6"/>
  <c r="AA108" i="6"/>
  <c r="AA103" i="6"/>
  <c r="AA98" i="6"/>
  <c r="AA92" i="6"/>
  <c r="AA87" i="6"/>
  <c r="AA82" i="6"/>
  <c r="AA76" i="6"/>
  <c r="AA71" i="6"/>
  <c r="AA66" i="6"/>
  <c r="AA62" i="6"/>
  <c r="AA58" i="6"/>
  <c r="AA54" i="6"/>
  <c r="AA50" i="6"/>
  <c r="AA46" i="6"/>
  <c r="AA42" i="6"/>
  <c r="AA38" i="6"/>
  <c r="AA34" i="6"/>
  <c r="AA30" i="6"/>
  <c r="AA26" i="6"/>
  <c r="AA22" i="6"/>
  <c r="AA18" i="6"/>
  <c r="AA14" i="6"/>
  <c r="AA10" i="6"/>
  <c r="AA187" i="6"/>
  <c r="AA166" i="6"/>
  <c r="AA144" i="6"/>
  <c r="AA123" i="6"/>
  <c r="AA102" i="6"/>
  <c r="AA80" i="6"/>
  <c r="AA61" i="6"/>
  <c r="AA45" i="6"/>
  <c r="AA29" i="6"/>
  <c r="AA13" i="6"/>
  <c r="AA182" i="6"/>
  <c r="AA160" i="6"/>
  <c r="AA139" i="6"/>
  <c r="AA118" i="6"/>
  <c r="AA96" i="6"/>
  <c r="AA75" i="6"/>
  <c r="AA57" i="6"/>
  <c r="AA41" i="6"/>
  <c r="AA25" i="6"/>
  <c r="AA9" i="6"/>
  <c r="AA198" i="6"/>
  <c r="AA176" i="6"/>
  <c r="AA155" i="6"/>
  <c r="AA134" i="6"/>
  <c r="AA112" i="6"/>
  <c r="AA91" i="6"/>
  <c r="AA70" i="6"/>
  <c r="AA53" i="6"/>
  <c r="AA37" i="6"/>
  <c r="AA21" i="6"/>
  <c r="AA192" i="6"/>
  <c r="AA171" i="6"/>
  <c r="AA150" i="6"/>
  <c r="AA128" i="6"/>
  <c r="AA107" i="6"/>
  <c r="AA86" i="6"/>
  <c r="AA65" i="6"/>
  <c r="AA49" i="6"/>
  <c r="AA33" i="6"/>
  <c r="AA17" i="6"/>
  <c r="AA170" i="6"/>
  <c r="X15" i="6"/>
  <c r="X23" i="6"/>
  <c r="X142" i="6"/>
  <c r="X154" i="6"/>
  <c r="X198" i="6"/>
  <c r="X161" i="6"/>
  <c r="X192" i="6"/>
  <c r="X196" i="6"/>
  <c r="X27" i="6"/>
  <c r="X158" i="6"/>
  <c r="X202" i="6"/>
  <c r="X146" i="6"/>
  <c r="X163" i="6"/>
  <c r="X186" i="6"/>
  <c r="X139" i="6"/>
  <c r="X199" i="6"/>
  <c r="X160" i="6"/>
  <c r="X11" i="6"/>
  <c r="X187" i="6"/>
  <c r="X165" i="6"/>
  <c r="X194" i="6"/>
  <c r="X155" i="6"/>
  <c r="X138" i="6"/>
  <c r="X188" i="6"/>
  <c r="X151" i="6"/>
  <c r="X152" i="6"/>
  <c r="X63" i="6"/>
  <c r="X189" i="6"/>
  <c r="X150" i="6"/>
  <c r="X193" i="6"/>
  <c r="X83" i="6"/>
  <c r="X195" i="6"/>
  <c r="X201" i="6"/>
  <c r="I18" i="6"/>
  <c r="I162" i="6"/>
  <c r="I198" i="6"/>
  <c r="I126" i="6"/>
  <c r="I197" i="6"/>
  <c r="I140" i="6"/>
  <c r="I137" i="6"/>
  <c r="I196" i="6"/>
  <c r="I187" i="6"/>
  <c r="I128" i="6"/>
  <c r="I130" i="6"/>
  <c r="I96" i="6"/>
  <c r="I138" i="6"/>
  <c r="I124" i="6"/>
  <c r="L144" i="6"/>
  <c r="L148" i="6"/>
  <c r="L137" i="6"/>
  <c r="R139" i="6"/>
  <c r="R198" i="6"/>
  <c r="U155" i="6"/>
  <c r="R162" i="6"/>
  <c r="R196" i="6"/>
  <c r="R145" i="6"/>
  <c r="U86" i="6"/>
  <c r="I132" i="6"/>
  <c r="R153" i="6"/>
  <c r="R161" i="6"/>
  <c r="R141" i="6"/>
  <c r="R85" i="6"/>
  <c r="U12" i="6"/>
  <c r="U36" i="6"/>
  <c r="U26" i="6"/>
  <c r="U56" i="6"/>
  <c r="U72" i="6"/>
  <c r="U90" i="6"/>
  <c r="U98" i="6"/>
  <c r="U124" i="6"/>
  <c r="U128" i="6"/>
  <c r="U164" i="6"/>
  <c r="U141" i="6"/>
  <c r="U145" i="6"/>
  <c r="U149" i="6"/>
  <c r="U140" i="6"/>
  <c r="U152" i="6"/>
  <c r="U186" i="6"/>
  <c r="U162" i="6"/>
  <c r="U198" i="6"/>
  <c r="U157" i="6"/>
  <c r="U189" i="6"/>
  <c r="U197" i="6"/>
  <c r="U199" i="6"/>
  <c r="U60" i="6"/>
  <c r="U76" i="6"/>
  <c r="U137" i="6"/>
  <c r="U138" i="6"/>
  <c r="U142" i="6"/>
  <c r="U146" i="6"/>
  <c r="U150" i="6"/>
  <c r="U163" i="6"/>
  <c r="U136" i="6"/>
  <c r="U154" i="6"/>
  <c r="U190" i="6"/>
  <c r="U187" i="6"/>
  <c r="U195" i="6"/>
  <c r="U52" i="6"/>
  <c r="U193" i="6"/>
  <c r="U159" i="6"/>
  <c r="U158" i="6"/>
  <c r="U143" i="6"/>
  <c r="U156" i="6"/>
  <c r="U102" i="6"/>
  <c r="U80" i="6"/>
  <c r="U42" i="6"/>
  <c r="R23" i="6"/>
  <c r="R69" i="6"/>
  <c r="R137" i="6"/>
  <c r="R142" i="6"/>
  <c r="R148" i="6"/>
  <c r="R158" i="6"/>
  <c r="R202" i="6"/>
  <c r="R191" i="6"/>
  <c r="R199" i="6"/>
  <c r="R186" i="6"/>
  <c r="R194" i="6"/>
  <c r="R15" i="6"/>
  <c r="R47" i="6"/>
  <c r="R77" i="6"/>
  <c r="R37" i="6"/>
  <c r="R126" i="6"/>
  <c r="R93" i="6"/>
  <c r="R101" i="6"/>
  <c r="R144" i="6"/>
  <c r="R149" i="6"/>
  <c r="R160" i="6"/>
  <c r="R152" i="6"/>
  <c r="R192" i="6"/>
  <c r="R200" i="6"/>
  <c r="U191" i="6"/>
  <c r="R188" i="6"/>
  <c r="U153" i="6"/>
  <c r="R163" i="6"/>
  <c r="U188" i="6"/>
  <c r="U194" i="6"/>
  <c r="R151" i="6"/>
  <c r="U151" i="6"/>
  <c r="U200" i="6"/>
  <c r="U148" i="6"/>
  <c r="R150" i="6"/>
  <c r="U126" i="6"/>
  <c r="R97" i="6"/>
  <c r="R130" i="6"/>
  <c r="U192" i="6"/>
  <c r="U96" i="6"/>
  <c r="U68" i="6"/>
  <c r="R21" i="6"/>
  <c r="R61" i="6"/>
  <c r="R31" i="6"/>
  <c r="U202" i="6"/>
  <c r="R190" i="6"/>
  <c r="U201" i="6"/>
  <c r="U196" i="6"/>
  <c r="R187" i="6"/>
  <c r="U147" i="6"/>
  <c r="R146" i="6"/>
  <c r="U130" i="6"/>
  <c r="L154" i="6"/>
  <c r="L189" i="6"/>
  <c r="L142" i="6"/>
  <c r="L146" i="6"/>
  <c r="L150" i="6"/>
  <c r="L199" i="6"/>
  <c r="L201" i="6"/>
  <c r="L186" i="6"/>
  <c r="L192" i="6"/>
  <c r="U8" i="6"/>
  <c r="U139" i="6"/>
  <c r="R91" i="6"/>
  <c r="U64" i="6"/>
  <c r="U10" i="6"/>
  <c r="R53" i="6"/>
  <c r="U20" i="6"/>
  <c r="X130" i="6"/>
  <c r="X79" i="6"/>
  <c r="X37" i="6"/>
  <c r="X190" i="6"/>
  <c r="I156" i="6"/>
  <c r="X156" i="6"/>
  <c r="X200" i="6"/>
  <c r="X197" i="6"/>
  <c r="X148" i="6"/>
  <c r="X144" i="6"/>
  <c r="X132" i="6"/>
  <c r="X129" i="6"/>
  <c r="X93" i="6"/>
  <c r="X91" i="6"/>
  <c r="X99" i="6"/>
  <c r="X71" i="6"/>
  <c r="X21" i="6"/>
  <c r="X53" i="6"/>
  <c r="L184" i="6"/>
  <c r="L182" i="6"/>
  <c r="L180" i="6"/>
  <c r="L178" i="6"/>
  <c r="L176" i="6"/>
  <c r="L174" i="6"/>
  <c r="L172" i="6"/>
  <c r="L170" i="6"/>
  <c r="L168" i="6"/>
  <c r="L166" i="6"/>
  <c r="L183" i="6"/>
  <c r="L179" i="6"/>
  <c r="L175" i="6"/>
  <c r="L171" i="6"/>
  <c r="L167" i="6"/>
  <c r="L164" i="6"/>
  <c r="L159" i="6"/>
  <c r="L185" i="6"/>
  <c r="L181" i="6"/>
  <c r="L177" i="6"/>
  <c r="L173" i="6"/>
  <c r="L169" i="6"/>
  <c r="L135" i="6"/>
  <c r="L121" i="6"/>
  <c r="L119" i="6"/>
  <c r="L117" i="6"/>
  <c r="L115" i="6"/>
  <c r="L113" i="6"/>
  <c r="L111" i="6"/>
  <c r="L109" i="6"/>
  <c r="L107" i="6"/>
  <c r="L134" i="6"/>
  <c r="L122" i="6"/>
  <c r="L118" i="6"/>
  <c r="L114" i="6"/>
  <c r="L110" i="6"/>
  <c r="L106" i="6"/>
  <c r="L102" i="6"/>
  <c r="L98" i="6"/>
  <c r="L94" i="6"/>
  <c r="L90" i="6"/>
  <c r="L86" i="6"/>
  <c r="L78" i="6"/>
  <c r="L72" i="6"/>
  <c r="L70" i="6"/>
  <c r="L82" i="6"/>
  <c r="L66" i="6"/>
  <c r="L64" i="6"/>
  <c r="L60" i="6"/>
  <c r="L56" i="6"/>
  <c r="L120" i="6"/>
  <c r="L116" i="6"/>
  <c r="L112" i="6"/>
  <c r="L108" i="6"/>
  <c r="L104" i="6"/>
  <c r="L100" i="6"/>
  <c r="L96" i="6"/>
  <c r="L92" i="6"/>
  <c r="L88" i="6"/>
  <c r="L80" i="6"/>
  <c r="L76" i="6"/>
  <c r="L74" i="6"/>
  <c r="L68" i="6"/>
  <c r="L62" i="6"/>
  <c r="L58" i="6"/>
  <c r="L54" i="6"/>
  <c r="L50" i="6"/>
  <c r="L46" i="6"/>
  <c r="L42" i="6"/>
  <c r="L38" i="6"/>
  <c r="L34" i="6"/>
  <c r="L30" i="6"/>
  <c r="L26" i="6"/>
  <c r="L22" i="6"/>
  <c r="L18" i="6"/>
  <c r="L14" i="6"/>
  <c r="L10" i="6"/>
  <c r="L48" i="6"/>
  <c r="L44" i="6"/>
  <c r="L40" i="6"/>
  <c r="L36" i="6"/>
  <c r="L32" i="6"/>
  <c r="L28" i="6"/>
  <c r="L24" i="6"/>
  <c r="L20" i="6"/>
  <c r="L16" i="6"/>
  <c r="L12" i="6"/>
  <c r="L8" i="6"/>
  <c r="L52" i="6"/>
  <c r="L123" i="6"/>
  <c r="L126" i="6"/>
  <c r="I32" i="6"/>
  <c r="L41" i="6"/>
  <c r="L25" i="6"/>
  <c r="L43" i="6"/>
  <c r="L27" i="6"/>
  <c r="I26" i="6"/>
  <c r="I10" i="6"/>
  <c r="L69" i="6"/>
  <c r="L61" i="6"/>
  <c r="I201" i="6"/>
  <c r="L196" i="6"/>
  <c r="I191" i="6"/>
  <c r="L197" i="6"/>
  <c r="I192" i="6"/>
  <c r="L195" i="6"/>
  <c r="L153" i="6"/>
  <c r="L163" i="6"/>
  <c r="L158" i="6"/>
  <c r="I153" i="6"/>
  <c r="L198" i="6"/>
  <c r="X149" i="6"/>
  <c r="X147" i="6"/>
  <c r="X145" i="6"/>
  <c r="X143" i="6"/>
  <c r="X141" i="6"/>
  <c r="I166" i="6"/>
  <c r="L156" i="6"/>
  <c r="I151" i="6"/>
  <c r="I149" i="6"/>
  <c r="I147" i="6"/>
  <c r="I145" i="6"/>
  <c r="I143" i="6"/>
  <c r="L141" i="6"/>
  <c r="X191" i="6"/>
  <c r="R147" i="6"/>
  <c r="R143" i="6"/>
  <c r="L152" i="6"/>
  <c r="X133" i="6"/>
  <c r="U131" i="6"/>
  <c r="U129" i="6"/>
  <c r="U127" i="6"/>
  <c r="U125" i="6"/>
  <c r="U123" i="6"/>
  <c r="I100" i="6"/>
  <c r="U94" i="6"/>
  <c r="R89" i="6"/>
  <c r="I84" i="6"/>
  <c r="L127" i="6"/>
  <c r="X103" i="6"/>
  <c r="X140" i="6"/>
  <c r="U133" i="6"/>
  <c r="R129" i="6"/>
  <c r="R125" i="6"/>
  <c r="L103" i="6"/>
  <c r="X97" i="6"/>
  <c r="L87" i="6"/>
  <c r="X128" i="6"/>
  <c r="X125" i="6"/>
  <c r="X87" i="6"/>
  <c r="R157" i="6"/>
  <c r="I139" i="6"/>
  <c r="R133" i="6"/>
  <c r="U100" i="6"/>
  <c r="R95" i="6"/>
  <c r="I90" i="6"/>
  <c r="U84" i="6"/>
  <c r="X136" i="6"/>
  <c r="L129" i="6"/>
  <c r="L97" i="6"/>
  <c r="U85" i="6"/>
  <c r="I80" i="6"/>
  <c r="I76" i="6"/>
  <c r="I72" i="6"/>
  <c r="I68" i="6"/>
  <c r="I64" i="6"/>
  <c r="I60" i="6"/>
  <c r="I56" i="6"/>
  <c r="X51" i="6"/>
  <c r="U46" i="6"/>
  <c r="R41" i="6"/>
  <c r="I36" i="6"/>
  <c r="U30" i="6"/>
  <c r="R25" i="6"/>
  <c r="I20" i="6"/>
  <c r="U14" i="6"/>
  <c r="R9" i="6"/>
  <c r="X77" i="6"/>
  <c r="X69" i="6"/>
  <c r="X61" i="6"/>
  <c r="L53" i="6"/>
  <c r="L33" i="6"/>
  <c r="L21" i="6"/>
  <c r="R75" i="6"/>
  <c r="R67" i="6"/>
  <c r="R59" i="6"/>
  <c r="I52" i="6"/>
  <c r="L47" i="6"/>
  <c r="X41" i="6"/>
  <c r="L31" i="6"/>
  <c r="X25" i="6"/>
  <c r="L15" i="6"/>
  <c r="X9" i="6"/>
  <c r="R51" i="6"/>
  <c r="I46" i="6"/>
  <c r="U40" i="6"/>
  <c r="R35" i="6"/>
  <c r="I30" i="6"/>
  <c r="U24" i="6"/>
  <c r="R19" i="6"/>
  <c r="I14" i="6"/>
  <c r="L83" i="6"/>
  <c r="L75" i="6"/>
  <c r="L67" i="6"/>
  <c r="L59" i="6"/>
  <c r="L45" i="6"/>
  <c r="L99" i="6"/>
  <c r="L130" i="6"/>
  <c r="I48" i="6"/>
  <c r="I16" i="6"/>
  <c r="I189" i="6"/>
  <c r="L200" i="6"/>
  <c r="I195" i="6"/>
  <c r="I155" i="6"/>
  <c r="I200" i="6"/>
  <c r="L194" i="6"/>
  <c r="L157" i="6"/>
  <c r="I194" i="6"/>
  <c r="I157" i="6"/>
  <c r="L149" i="6"/>
  <c r="L147" i="6"/>
  <c r="L145" i="6"/>
  <c r="L143" i="6"/>
  <c r="L165" i="6"/>
  <c r="L191" i="6"/>
  <c r="L162" i="6"/>
  <c r="L133" i="6"/>
  <c r="I131" i="6"/>
  <c r="I129" i="6"/>
  <c r="I127" i="6"/>
  <c r="I125" i="6"/>
  <c r="I104" i="6"/>
  <c r="I88" i="6"/>
  <c r="X184" i="6"/>
  <c r="X182" i="6"/>
  <c r="X180" i="6"/>
  <c r="X178" i="6"/>
  <c r="X176" i="6"/>
  <c r="X174" i="6"/>
  <c r="X172" i="6"/>
  <c r="X170" i="6"/>
  <c r="X168" i="6"/>
  <c r="X166" i="6"/>
  <c r="X185" i="6"/>
  <c r="X181" i="6"/>
  <c r="X177" i="6"/>
  <c r="X173" i="6"/>
  <c r="X169" i="6"/>
  <c r="X164" i="6"/>
  <c r="X183" i="6"/>
  <c r="X179" i="6"/>
  <c r="X175" i="6"/>
  <c r="X171" i="6"/>
  <c r="X167" i="6"/>
  <c r="X157" i="6"/>
  <c r="X162" i="6"/>
  <c r="X135" i="6"/>
  <c r="X121" i="6"/>
  <c r="X119" i="6"/>
  <c r="X117" i="6"/>
  <c r="X115" i="6"/>
  <c r="X113" i="6"/>
  <c r="X111" i="6"/>
  <c r="X109" i="6"/>
  <c r="X107" i="6"/>
  <c r="X105" i="6"/>
  <c r="X153" i="6"/>
  <c r="X159" i="6"/>
  <c r="X120" i="6"/>
  <c r="X116" i="6"/>
  <c r="X112" i="6"/>
  <c r="X108" i="6"/>
  <c r="X104" i="6"/>
  <c r="X100" i="6"/>
  <c r="X96" i="6"/>
  <c r="X92" i="6"/>
  <c r="X88" i="6"/>
  <c r="X84" i="6"/>
  <c r="X78" i="6"/>
  <c r="X70" i="6"/>
  <c r="X66" i="6"/>
  <c r="X62" i="6"/>
  <c r="X60" i="6"/>
  <c r="X58" i="6"/>
  <c r="X56" i="6"/>
  <c r="X54" i="6"/>
  <c r="X52" i="6"/>
  <c r="X80" i="6"/>
  <c r="X76" i="6"/>
  <c r="X74" i="6"/>
  <c r="X68" i="6"/>
  <c r="X134" i="6"/>
  <c r="X122" i="6"/>
  <c r="X118" i="6"/>
  <c r="X114" i="6"/>
  <c r="X110" i="6"/>
  <c r="X106" i="6"/>
  <c r="X102" i="6"/>
  <c r="X98" i="6"/>
  <c r="X94" i="6"/>
  <c r="X90" i="6"/>
  <c r="X86" i="6"/>
  <c r="X82" i="6"/>
  <c r="X72" i="6"/>
  <c r="X64" i="6"/>
  <c r="X48" i="6"/>
  <c r="X44" i="6"/>
  <c r="X40" i="6"/>
  <c r="X36" i="6"/>
  <c r="X32" i="6"/>
  <c r="X28" i="6"/>
  <c r="X24" i="6"/>
  <c r="X20" i="6"/>
  <c r="X16" i="6"/>
  <c r="X12" i="6"/>
  <c r="X8" i="6"/>
  <c r="X50" i="6"/>
  <c r="X46" i="6"/>
  <c r="X42" i="6"/>
  <c r="X38" i="6"/>
  <c r="X34" i="6"/>
  <c r="X30" i="6"/>
  <c r="X26" i="6"/>
  <c r="X22" i="6"/>
  <c r="X18" i="6"/>
  <c r="X14" i="6"/>
  <c r="X10" i="6"/>
  <c r="X124" i="6"/>
  <c r="L101" i="6"/>
  <c r="L140" i="6"/>
  <c r="I133" i="6"/>
  <c r="R128" i="6"/>
  <c r="R124" i="6"/>
  <c r="X101" i="6"/>
  <c r="L91" i="6"/>
  <c r="X85" i="6"/>
  <c r="I8" i="6"/>
  <c r="L136" i="6"/>
  <c r="L128" i="6"/>
  <c r="X123" i="6"/>
  <c r="L85" i="6"/>
  <c r="R154" i="6"/>
  <c r="L138" i="6"/>
  <c r="U132" i="6"/>
  <c r="U104" i="6"/>
  <c r="R99" i="6"/>
  <c r="I94" i="6"/>
  <c r="U88" i="6"/>
  <c r="R83" i="6"/>
  <c r="X127" i="6"/>
  <c r="U82" i="6"/>
  <c r="U78" i="6"/>
  <c r="U74" i="6"/>
  <c r="U70" i="6"/>
  <c r="U66" i="6"/>
  <c r="U62" i="6"/>
  <c r="U58" i="6"/>
  <c r="U54" i="6"/>
  <c r="U50" i="6"/>
  <c r="R45" i="6"/>
  <c r="I40" i="6"/>
  <c r="U34" i="6"/>
  <c r="R29" i="6"/>
  <c r="I24" i="6"/>
  <c r="U18" i="6"/>
  <c r="R13" i="6"/>
  <c r="L84" i="6"/>
  <c r="X75" i="6"/>
  <c r="X67" i="6"/>
  <c r="X59" i="6"/>
  <c r="X43" i="6"/>
  <c r="L37" i="6"/>
  <c r="L29" i="6"/>
  <c r="X19" i="6"/>
  <c r="R81" i="6"/>
  <c r="R73" i="6"/>
  <c r="R65" i="6"/>
  <c r="R57" i="6"/>
  <c r="L51" i="6"/>
  <c r="X45" i="6"/>
  <c r="L35" i="6"/>
  <c r="X29" i="6"/>
  <c r="L19" i="6"/>
  <c r="X13" i="6"/>
  <c r="I50" i="6"/>
  <c r="U44" i="6"/>
  <c r="R39" i="6"/>
  <c r="I34" i="6"/>
  <c r="U28" i="6"/>
  <c r="L81" i="6"/>
  <c r="L73" i="6"/>
  <c r="L65" i="6"/>
  <c r="X57" i="6"/>
  <c r="L49" i="6"/>
  <c r="X39" i="6"/>
  <c r="L13" i="6"/>
  <c r="I186" i="6"/>
  <c r="I185" i="6"/>
  <c r="I183" i="6"/>
  <c r="I181" i="6"/>
  <c r="I179" i="6"/>
  <c r="I177" i="6"/>
  <c r="I175" i="6"/>
  <c r="I173" i="6"/>
  <c r="I171" i="6"/>
  <c r="I169" i="6"/>
  <c r="I167" i="6"/>
  <c r="I159" i="6"/>
  <c r="I182" i="6"/>
  <c r="I178" i="6"/>
  <c r="I174" i="6"/>
  <c r="I170" i="6"/>
  <c r="I165" i="6"/>
  <c r="I161" i="6"/>
  <c r="I184" i="6"/>
  <c r="I180" i="6"/>
  <c r="I176" i="6"/>
  <c r="I172" i="6"/>
  <c r="I168" i="6"/>
  <c r="I164" i="6"/>
  <c r="I158" i="6"/>
  <c r="I123" i="6"/>
  <c r="I163" i="6"/>
  <c r="I134" i="6"/>
  <c r="I122" i="6"/>
  <c r="I120" i="6"/>
  <c r="I118" i="6"/>
  <c r="I116" i="6"/>
  <c r="I114" i="6"/>
  <c r="I112" i="6"/>
  <c r="I110" i="6"/>
  <c r="I108" i="6"/>
  <c r="I106" i="6"/>
  <c r="I154" i="6"/>
  <c r="I160" i="6"/>
  <c r="I121" i="6"/>
  <c r="I117" i="6"/>
  <c r="I113" i="6"/>
  <c r="I109" i="6"/>
  <c r="I105" i="6"/>
  <c r="I101" i="6"/>
  <c r="I97" i="6"/>
  <c r="I93" i="6"/>
  <c r="I89" i="6"/>
  <c r="I85" i="6"/>
  <c r="I83" i="6"/>
  <c r="I73" i="6"/>
  <c r="I65" i="6"/>
  <c r="I79" i="6"/>
  <c r="I67" i="6"/>
  <c r="I61" i="6"/>
  <c r="I57" i="6"/>
  <c r="I53" i="6"/>
  <c r="I135" i="6"/>
  <c r="I119" i="6"/>
  <c r="I115" i="6"/>
  <c r="I111" i="6"/>
  <c r="I107" i="6"/>
  <c r="I103" i="6"/>
  <c r="I99" i="6"/>
  <c r="I95" i="6"/>
  <c r="I91" i="6"/>
  <c r="I87" i="6"/>
  <c r="I81" i="6"/>
  <c r="I77" i="6"/>
  <c r="I75" i="6"/>
  <c r="I71" i="6"/>
  <c r="I69" i="6"/>
  <c r="I63" i="6"/>
  <c r="I59" i="6"/>
  <c r="I55" i="6"/>
  <c r="I49" i="6"/>
  <c r="I45" i="6"/>
  <c r="I41" i="6"/>
  <c r="I37" i="6"/>
  <c r="I33" i="6"/>
  <c r="I29" i="6"/>
  <c r="I25" i="6"/>
  <c r="I21" i="6"/>
  <c r="I17" i="6"/>
  <c r="I13" i="6"/>
  <c r="I9" i="6"/>
  <c r="I51" i="6"/>
  <c r="I47" i="6"/>
  <c r="I43" i="6"/>
  <c r="I39" i="6"/>
  <c r="I35" i="6"/>
  <c r="I31" i="6"/>
  <c r="I27" i="6"/>
  <c r="I23" i="6"/>
  <c r="I19" i="6"/>
  <c r="I15" i="6"/>
  <c r="I11" i="6"/>
  <c r="L132" i="6"/>
  <c r="I102" i="6"/>
  <c r="I86" i="6"/>
  <c r="L55" i="6"/>
  <c r="L11" i="6"/>
  <c r="I42" i="6"/>
  <c r="L77" i="6"/>
  <c r="I193" i="6"/>
  <c r="L188" i="6"/>
  <c r="I199" i="6"/>
  <c r="L161" i="6"/>
  <c r="I190" i="6"/>
  <c r="I152" i="6"/>
  <c r="L187" i="6"/>
  <c r="L151" i="6"/>
  <c r="L193" i="6"/>
  <c r="I188" i="6"/>
  <c r="L160" i="6"/>
  <c r="L155" i="6"/>
  <c r="I150" i="6"/>
  <c r="I148" i="6"/>
  <c r="I146" i="6"/>
  <c r="I144" i="6"/>
  <c r="I142" i="6"/>
  <c r="L190" i="6"/>
  <c r="I136" i="6"/>
  <c r="I92" i="6"/>
  <c r="R184" i="6"/>
  <c r="R182" i="6"/>
  <c r="R180" i="6"/>
  <c r="R178" i="6"/>
  <c r="R176" i="6"/>
  <c r="R174" i="6"/>
  <c r="R172" i="6"/>
  <c r="R170" i="6"/>
  <c r="R168" i="6"/>
  <c r="R166" i="6"/>
  <c r="R164" i="6"/>
  <c r="R197" i="6"/>
  <c r="R189" i="6"/>
  <c r="R183" i="6"/>
  <c r="R179" i="6"/>
  <c r="R175" i="6"/>
  <c r="R171" i="6"/>
  <c r="R167" i="6"/>
  <c r="R155" i="6"/>
  <c r="R159" i="6"/>
  <c r="R185" i="6"/>
  <c r="R177" i="6"/>
  <c r="R169" i="6"/>
  <c r="R201" i="6"/>
  <c r="R140" i="6"/>
  <c r="R136" i="6"/>
  <c r="R135" i="6"/>
  <c r="R121" i="6"/>
  <c r="R119" i="6"/>
  <c r="R117" i="6"/>
  <c r="R115" i="6"/>
  <c r="R113" i="6"/>
  <c r="R111" i="6"/>
  <c r="R109" i="6"/>
  <c r="R107" i="6"/>
  <c r="R105" i="6"/>
  <c r="R181" i="6"/>
  <c r="R173" i="6"/>
  <c r="R165" i="6"/>
  <c r="R104" i="6"/>
  <c r="R92" i="6"/>
  <c r="R88" i="6"/>
  <c r="R84" i="6"/>
  <c r="R82" i="6"/>
  <c r="R80" i="6"/>
  <c r="R76" i="6"/>
  <c r="R74" i="6"/>
  <c r="R68" i="6"/>
  <c r="R64" i="6"/>
  <c r="R134" i="6"/>
  <c r="R122" i="6"/>
  <c r="R118" i="6"/>
  <c r="R114" i="6"/>
  <c r="R110" i="6"/>
  <c r="R106" i="6"/>
  <c r="R102" i="6"/>
  <c r="R98" i="6"/>
  <c r="R94" i="6"/>
  <c r="R90" i="6"/>
  <c r="R86" i="6"/>
  <c r="R108" i="6"/>
  <c r="R100" i="6"/>
  <c r="R96" i="6"/>
  <c r="R72" i="6"/>
  <c r="R70" i="6"/>
  <c r="R62" i="6"/>
  <c r="R58" i="6"/>
  <c r="R54" i="6"/>
  <c r="R193" i="6"/>
  <c r="R138" i="6"/>
  <c r="R120" i="6"/>
  <c r="R116" i="6"/>
  <c r="R112" i="6"/>
  <c r="R78" i="6"/>
  <c r="R66" i="6"/>
  <c r="R60" i="6"/>
  <c r="R56" i="6"/>
  <c r="R52" i="6"/>
  <c r="R44" i="6"/>
  <c r="R8" i="6"/>
  <c r="R50" i="6"/>
  <c r="R46" i="6"/>
  <c r="R42" i="6"/>
  <c r="R38" i="6"/>
  <c r="R34" i="6"/>
  <c r="R30" i="6"/>
  <c r="R26" i="6"/>
  <c r="R22" i="6"/>
  <c r="R18" i="6"/>
  <c r="R14" i="6"/>
  <c r="R10" i="6"/>
  <c r="R40" i="6"/>
  <c r="R32" i="6"/>
  <c r="R24" i="6"/>
  <c r="R20" i="6"/>
  <c r="R16" i="6"/>
  <c r="R12" i="6"/>
  <c r="R48" i="6"/>
  <c r="R36" i="6"/>
  <c r="R28" i="6"/>
  <c r="L131" i="6"/>
  <c r="L124" i="6"/>
  <c r="X95" i="6"/>
  <c r="L139" i="6"/>
  <c r="R131" i="6"/>
  <c r="R127" i="6"/>
  <c r="R123" i="6"/>
  <c r="L95" i="6"/>
  <c r="X89" i="6"/>
  <c r="U185" i="6"/>
  <c r="U183" i="6"/>
  <c r="U181" i="6"/>
  <c r="U179" i="6"/>
  <c r="U177" i="6"/>
  <c r="U175" i="6"/>
  <c r="U173" i="6"/>
  <c r="U171" i="6"/>
  <c r="U169" i="6"/>
  <c r="U167" i="6"/>
  <c r="U165" i="6"/>
  <c r="U184" i="6"/>
  <c r="U180" i="6"/>
  <c r="U176" i="6"/>
  <c r="U172" i="6"/>
  <c r="U168" i="6"/>
  <c r="U160" i="6"/>
  <c r="U182" i="6"/>
  <c r="U178" i="6"/>
  <c r="U174" i="6"/>
  <c r="U170" i="6"/>
  <c r="U166" i="6"/>
  <c r="U134" i="6"/>
  <c r="U122" i="6"/>
  <c r="U120" i="6"/>
  <c r="U118" i="6"/>
  <c r="U116" i="6"/>
  <c r="U114" i="6"/>
  <c r="U112" i="6"/>
  <c r="U110" i="6"/>
  <c r="U108" i="6"/>
  <c r="U106" i="6"/>
  <c r="U161" i="6"/>
  <c r="U135" i="6"/>
  <c r="U119" i="6"/>
  <c r="U115" i="6"/>
  <c r="U111" i="6"/>
  <c r="U107" i="6"/>
  <c r="U103" i="6"/>
  <c r="U99" i="6"/>
  <c r="U95" i="6"/>
  <c r="U91" i="6"/>
  <c r="U87" i="6"/>
  <c r="U83" i="6"/>
  <c r="U79" i="6"/>
  <c r="U73" i="6"/>
  <c r="U71" i="6"/>
  <c r="U65" i="6"/>
  <c r="U63" i="6"/>
  <c r="U51" i="6"/>
  <c r="U75" i="6"/>
  <c r="U69" i="6"/>
  <c r="U67" i="6"/>
  <c r="U61" i="6"/>
  <c r="U57" i="6"/>
  <c r="U53" i="6"/>
  <c r="U121" i="6"/>
  <c r="U117" i="6"/>
  <c r="U113" i="6"/>
  <c r="U109" i="6"/>
  <c r="U105" i="6"/>
  <c r="U101" i="6"/>
  <c r="U97" i="6"/>
  <c r="U93" i="6"/>
  <c r="U89" i="6"/>
  <c r="U81" i="6"/>
  <c r="U77" i="6"/>
  <c r="U59" i="6"/>
  <c r="U55" i="6"/>
  <c r="U47" i="6"/>
  <c r="U43" i="6"/>
  <c r="U39" i="6"/>
  <c r="U35" i="6"/>
  <c r="U31" i="6"/>
  <c r="U27" i="6"/>
  <c r="U23" i="6"/>
  <c r="U19" i="6"/>
  <c r="U15" i="6"/>
  <c r="U11" i="6"/>
  <c r="U49" i="6"/>
  <c r="U45" i="6"/>
  <c r="U41" i="6"/>
  <c r="U37" i="6"/>
  <c r="U33" i="6"/>
  <c r="U29" i="6"/>
  <c r="U25" i="6"/>
  <c r="U21" i="6"/>
  <c r="U17" i="6"/>
  <c r="U13" i="6"/>
  <c r="U9" i="6"/>
  <c r="X131" i="6"/>
  <c r="X126" i="6"/>
  <c r="L105" i="6"/>
  <c r="L93" i="6"/>
  <c r="R195" i="6"/>
  <c r="I141" i="6"/>
  <c r="X137" i="6"/>
  <c r="R103" i="6"/>
  <c r="I98" i="6"/>
  <c r="U92" i="6"/>
  <c r="R87" i="6"/>
  <c r="M203" i="6"/>
  <c r="O2" i="6" s="1"/>
  <c r="O3" i="6" s="1"/>
  <c r="O132" i="6" s="1"/>
  <c r="R132" i="6"/>
  <c r="L125" i="6"/>
  <c r="L89" i="6"/>
  <c r="I82" i="6"/>
  <c r="I78" i="6"/>
  <c r="I74" i="6"/>
  <c r="I70" i="6"/>
  <c r="I66" i="6"/>
  <c r="I62" i="6"/>
  <c r="I58" i="6"/>
  <c r="I54" i="6"/>
  <c r="R49" i="6"/>
  <c r="I44" i="6"/>
  <c r="U38" i="6"/>
  <c r="R33" i="6"/>
  <c r="I28" i="6"/>
  <c r="U22" i="6"/>
  <c r="R17" i="6"/>
  <c r="I12" i="6"/>
  <c r="X81" i="6"/>
  <c r="X73" i="6"/>
  <c r="X65" i="6"/>
  <c r="L57" i="6"/>
  <c r="X35" i="6"/>
  <c r="L17" i="6"/>
  <c r="R79" i="6"/>
  <c r="R71" i="6"/>
  <c r="R63" i="6"/>
  <c r="R55" i="6"/>
  <c r="X49" i="6"/>
  <c r="L39" i="6"/>
  <c r="X33" i="6"/>
  <c r="L23" i="6"/>
  <c r="X17" i="6"/>
  <c r="U48" i="6"/>
  <c r="R43" i="6"/>
  <c r="I38" i="6"/>
  <c r="U32" i="6"/>
  <c r="R27" i="6"/>
  <c r="I22" i="6"/>
  <c r="U16" i="6"/>
  <c r="R11" i="6"/>
  <c r="L79" i="6"/>
  <c r="L71" i="6"/>
  <c r="L63" i="6"/>
  <c r="X55" i="6"/>
  <c r="X47" i="6"/>
  <c r="X31" i="6"/>
  <c r="L9" i="6"/>
  <c r="B42" i="4"/>
  <c r="I114" i="7" l="1"/>
  <c r="I327" i="7"/>
  <c r="I78" i="7"/>
  <c r="I199" i="7"/>
  <c r="I339" i="7"/>
  <c r="I12" i="7"/>
  <c r="I278" i="7"/>
  <c r="I301" i="7"/>
  <c r="I203" i="7"/>
  <c r="I336" i="7"/>
  <c r="I369" i="7"/>
  <c r="I292" i="7"/>
  <c r="I306" i="7"/>
  <c r="I338" i="7"/>
  <c r="I29" i="7"/>
  <c r="I296" i="7"/>
  <c r="I186" i="7"/>
  <c r="I350" i="7"/>
  <c r="I177" i="7"/>
  <c r="I233" i="7"/>
  <c r="I244" i="7"/>
  <c r="I206" i="7"/>
  <c r="I256" i="7"/>
  <c r="I98" i="7"/>
  <c r="I87" i="7"/>
  <c r="I72" i="7"/>
  <c r="I80" i="7"/>
  <c r="I225" i="7"/>
  <c r="I307" i="7"/>
  <c r="I189" i="7"/>
  <c r="I62" i="7"/>
  <c r="I251" i="7"/>
  <c r="I179" i="7"/>
  <c r="I155" i="7"/>
  <c r="I68" i="7"/>
  <c r="I263" i="7"/>
  <c r="I47" i="7"/>
  <c r="I141" i="7"/>
  <c r="I139" i="7"/>
  <c r="I253" i="7"/>
  <c r="I5" i="7"/>
  <c r="I7" i="7"/>
  <c r="I242" i="7"/>
  <c r="I313" i="7"/>
  <c r="I221" i="7"/>
  <c r="I21" i="7"/>
  <c r="I202" i="7"/>
  <c r="I291" i="7"/>
  <c r="I131" i="7"/>
  <c r="I370" i="7"/>
  <c r="I332" i="7"/>
  <c r="I311" i="7"/>
  <c r="I105" i="7"/>
  <c r="I55" i="7"/>
  <c r="I43" i="7"/>
  <c r="I142" i="7"/>
  <c r="I168" i="7"/>
  <c r="I8" i="7"/>
  <c r="I28" i="7"/>
  <c r="I274" i="7"/>
  <c r="I188" i="7"/>
  <c r="I319" i="7"/>
  <c r="I243" i="7"/>
  <c r="I372" i="7"/>
  <c r="I305" i="7"/>
  <c r="I160" i="7"/>
  <c r="I374" i="7"/>
  <c r="I276" i="7"/>
  <c r="I15" i="7"/>
  <c r="I74" i="7"/>
  <c r="I162" i="7"/>
  <c r="I84" i="7"/>
  <c r="I122" i="7"/>
  <c r="I94" i="7"/>
  <c r="I271" i="7"/>
  <c r="I304" i="7"/>
  <c r="I359" i="7"/>
  <c r="I153" i="7"/>
  <c r="I283" i="7"/>
  <c r="I109" i="7"/>
  <c r="I343" i="7"/>
  <c r="I259" i="7"/>
  <c r="I309" i="7"/>
  <c r="I341" i="7"/>
  <c r="I10" i="7"/>
  <c r="I212" i="7"/>
  <c r="I280" i="7"/>
  <c r="I361" i="7"/>
  <c r="I102" i="7"/>
  <c r="I185" i="7"/>
  <c r="I334" i="7"/>
  <c r="I138" i="7"/>
  <c r="I133" i="7"/>
  <c r="I76" i="7"/>
  <c r="I209" i="7"/>
  <c r="I111" i="7"/>
  <c r="I323" i="7"/>
  <c r="I250" i="7"/>
  <c r="I219" i="7"/>
  <c r="I329" i="7"/>
  <c r="I82" i="7"/>
  <c r="I364" i="7"/>
  <c r="I70" i="7"/>
  <c r="I267" i="7"/>
  <c r="I104" i="7"/>
  <c r="I99" i="7"/>
  <c r="I26" i="7"/>
  <c r="I196" i="7"/>
  <c r="I293" i="7"/>
  <c r="I51" i="7"/>
  <c r="I23" i="7"/>
  <c r="AA203" i="6"/>
  <c r="I246" i="7"/>
  <c r="I129" i="7"/>
  <c r="I172" i="7"/>
  <c r="I176" i="7"/>
  <c r="I241" i="7"/>
  <c r="I183" i="7"/>
  <c r="I213" i="7"/>
  <c r="I181" i="7"/>
  <c r="I40" i="7"/>
  <c r="I75" i="7"/>
  <c r="I325" i="7"/>
  <c r="I288" i="7"/>
  <c r="I224" i="7"/>
  <c r="I66" i="7"/>
  <c r="I355" i="7"/>
  <c r="I367" i="7"/>
  <c r="I170" i="7"/>
  <c r="I348" i="7"/>
  <c r="I272" i="7"/>
  <c r="I298" i="7"/>
  <c r="I239" i="7"/>
  <c r="I158" i="7"/>
  <c r="I19" i="7"/>
  <c r="I49" i="7"/>
  <c r="I92" i="7"/>
  <c r="I235" i="7"/>
  <c r="I17" i="7"/>
  <c r="I77" i="7"/>
  <c r="I107" i="7"/>
  <c r="I205" i="7"/>
  <c r="I302" i="7"/>
  <c r="I64" i="7"/>
  <c r="I174" i="7"/>
  <c r="I320" i="7"/>
  <c r="I317" i="7"/>
  <c r="I231" i="7"/>
  <c r="I31" i="7"/>
  <c r="I14" i="7"/>
  <c r="I116" i="7"/>
  <c r="I352" i="7"/>
  <c r="I149" i="7"/>
  <c r="I217" i="7"/>
  <c r="I164" i="7"/>
  <c r="I381" i="7"/>
  <c r="I321" i="7"/>
  <c r="I254" i="7"/>
  <c r="I90" i="7"/>
  <c r="I124" i="7"/>
  <c r="I290" i="7"/>
  <c r="I136" i="7"/>
  <c r="I286" i="7"/>
  <c r="I248" i="7"/>
  <c r="I113" i="7"/>
  <c r="I315" i="7"/>
  <c r="I270" i="7"/>
  <c r="I135" i="7"/>
  <c r="I215" i="7"/>
  <c r="I282" i="7"/>
  <c r="I120" i="7"/>
  <c r="I137" i="7"/>
  <c r="I53" i="7"/>
  <c r="I60" i="7"/>
  <c r="I333" i="7"/>
  <c r="I345" i="7"/>
  <c r="I86" i="7"/>
  <c r="I96" i="7"/>
  <c r="I237" i="7"/>
  <c r="I166" i="7"/>
  <c r="I261" i="7"/>
  <c r="I230" i="7"/>
  <c r="I194" i="7"/>
  <c r="I144" i="7"/>
  <c r="I363" i="7"/>
  <c r="I356" i="7"/>
  <c r="I126" i="7"/>
  <c r="I269" i="7"/>
  <c r="I151" i="7"/>
  <c r="I103" i="7"/>
  <c r="I161" i="7"/>
  <c r="I73" i="7"/>
  <c r="I45" i="7"/>
  <c r="I238" i="7"/>
  <c r="I193" i="7"/>
  <c r="U203" i="6"/>
  <c r="L203" i="6"/>
  <c r="I203" i="6"/>
  <c r="O185" i="6"/>
  <c r="O183" i="6"/>
  <c r="O181" i="6"/>
  <c r="O179" i="6"/>
  <c r="O177" i="6"/>
  <c r="O175" i="6"/>
  <c r="O173" i="6"/>
  <c r="O171" i="6"/>
  <c r="O169" i="6"/>
  <c r="O167" i="6"/>
  <c r="O165" i="6"/>
  <c r="O160" i="6"/>
  <c r="O158" i="6"/>
  <c r="O154" i="6"/>
  <c r="O200" i="6"/>
  <c r="O192" i="6"/>
  <c r="O182" i="6"/>
  <c r="O178" i="6"/>
  <c r="O174" i="6"/>
  <c r="O170" i="6"/>
  <c r="O180" i="6"/>
  <c r="O172" i="6"/>
  <c r="O188" i="6"/>
  <c r="O139" i="6"/>
  <c r="O134" i="6"/>
  <c r="O122" i="6"/>
  <c r="O120" i="6"/>
  <c r="O118" i="6"/>
  <c r="O116" i="6"/>
  <c r="O114" i="6"/>
  <c r="O112" i="6"/>
  <c r="O110" i="6"/>
  <c r="O108" i="6"/>
  <c r="O106" i="6"/>
  <c r="O184" i="6"/>
  <c r="O176" i="6"/>
  <c r="O168" i="6"/>
  <c r="O151" i="6"/>
  <c r="O119" i="6"/>
  <c r="O107" i="6"/>
  <c r="O99" i="6"/>
  <c r="O91" i="6"/>
  <c r="O77" i="6"/>
  <c r="O69" i="6"/>
  <c r="O137" i="6"/>
  <c r="O121" i="6"/>
  <c r="O117" i="6"/>
  <c r="O113" i="6"/>
  <c r="O109" i="6"/>
  <c r="O105" i="6"/>
  <c r="O101" i="6"/>
  <c r="O97" i="6"/>
  <c r="O93" i="6"/>
  <c r="O89" i="6"/>
  <c r="O135" i="6"/>
  <c r="O115" i="6"/>
  <c r="O111" i="6"/>
  <c r="O83" i="6"/>
  <c r="O81" i="6"/>
  <c r="O71" i="6"/>
  <c r="O65" i="6"/>
  <c r="O63" i="6"/>
  <c r="O59" i="6"/>
  <c r="O55" i="6"/>
  <c r="O196" i="6"/>
  <c r="O141" i="6"/>
  <c r="O103" i="6"/>
  <c r="O95" i="6"/>
  <c r="O87" i="6"/>
  <c r="O79" i="6"/>
  <c r="O75" i="6"/>
  <c r="O73" i="6"/>
  <c r="O67" i="6"/>
  <c r="O61" i="6"/>
  <c r="O57" i="6"/>
  <c r="O53" i="6"/>
  <c r="O51" i="6"/>
  <c r="O47" i="6"/>
  <c r="O39" i="6"/>
  <c r="O31" i="6"/>
  <c r="O27" i="6"/>
  <c r="O23" i="6"/>
  <c r="O15" i="6"/>
  <c r="O49" i="6"/>
  <c r="O45" i="6"/>
  <c r="O41" i="6"/>
  <c r="O37" i="6"/>
  <c r="O33" i="6"/>
  <c r="O29" i="6"/>
  <c r="O25" i="6"/>
  <c r="O21" i="6"/>
  <c r="O17" i="6"/>
  <c r="O13" i="6"/>
  <c r="O9" i="6"/>
  <c r="O35" i="6"/>
  <c r="O43" i="6"/>
  <c r="O19" i="6"/>
  <c r="O11" i="6"/>
  <c r="O54" i="6"/>
  <c r="O62" i="6"/>
  <c r="O70" i="6"/>
  <c r="O78" i="6"/>
  <c r="O14" i="6"/>
  <c r="O30" i="6"/>
  <c r="O12" i="6"/>
  <c r="O28" i="6"/>
  <c r="O44" i="6"/>
  <c r="O26" i="6"/>
  <c r="O42" i="6"/>
  <c r="O143" i="6"/>
  <c r="O148" i="6"/>
  <c r="O125" i="6"/>
  <c r="O129" i="6"/>
  <c r="O84" i="6"/>
  <c r="O100" i="6"/>
  <c r="O140" i="6"/>
  <c r="O161" i="6"/>
  <c r="O138" i="6"/>
  <c r="O156" i="6"/>
  <c r="O198" i="6"/>
  <c r="O157" i="6"/>
  <c r="O186" i="6"/>
  <c r="O195" i="6"/>
  <c r="O193" i="6"/>
  <c r="O46" i="6"/>
  <c r="O52" i="6"/>
  <c r="O60" i="6"/>
  <c r="O68" i="6"/>
  <c r="O85" i="6"/>
  <c r="O147" i="6"/>
  <c r="O124" i="6"/>
  <c r="O164" i="6"/>
  <c r="O194" i="6"/>
  <c r="O197" i="6"/>
  <c r="O56" i="6"/>
  <c r="O64" i="6"/>
  <c r="O72" i="6"/>
  <c r="O80" i="6"/>
  <c r="O18" i="6"/>
  <c r="O24" i="6"/>
  <c r="O40" i="6"/>
  <c r="O90" i="6"/>
  <c r="O133" i="6"/>
  <c r="O145" i="6"/>
  <c r="O149" i="6"/>
  <c r="O126" i="6"/>
  <c r="O130" i="6"/>
  <c r="O94" i="6"/>
  <c r="O96" i="6"/>
  <c r="O190" i="6"/>
  <c r="O199" i="6"/>
  <c r="O153" i="6"/>
  <c r="O159" i="6"/>
  <c r="O187" i="6"/>
  <c r="O162" i="6"/>
  <c r="O189" i="6"/>
  <c r="O16" i="6"/>
  <c r="O48" i="6"/>
  <c r="O34" i="6"/>
  <c r="O166" i="6"/>
  <c r="O88" i="6"/>
  <c r="O104" i="6"/>
  <c r="O86" i="6"/>
  <c r="O155" i="6"/>
  <c r="O50" i="6"/>
  <c r="O58" i="6"/>
  <c r="O66" i="6"/>
  <c r="O74" i="6"/>
  <c r="O82" i="6"/>
  <c r="O22" i="6"/>
  <c r="O20" i="6"/>
  <c r="O36" i="6"/>
  <c r="O10" i="6"/>
  <c r="O38" i="6"/>
  <c r="O146" i="6"/>
  <c r="O150" i="6"/>
  <c r="O123" i="6"/>
  <c r="O127" i="6"/>
  <c r="O131" i="6"/>
  <c r="O98" i="6"/>
  <c r="O144" i="6"/>
  <c r="O8" i="6"/>
  <c r="O92" i="6"/>
  <c r="O152" i="6"/>
  <c r="O191" i="6"/>
  <c r="O163" i="6"/>
  <c r="O202" i="6"/>
  <c r="O201" i="6"/>
  <c r="O76" i="6"/>
  <c r="O32" i="6"/>
  <c r="O142" i="6"/>
  <c r="O128" i="6"/>
  <c r="O136" i="6"/>
  <c r="O102" i="6"/>
  <c r="R203" i="6"/>
  <c r="X203" i="6"/>
  <c r="I3" i="7" l="1"/>
  <c r="I384" i="7" s="1"/>
  <c r="H384" i="7"/>
  <c r="O203" i="6"/>
  <c r="F38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tc={47EEC453-7C20-42E0-817F-4AC55BA363FD}</author>
  </authors>
  <commentList>
    <comment ref="C4" authorId="0" shapeId="0" xr:uid="{47EEC453-7C20-42E0-817F-4AC55BA363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AJUSTE DE 700 X 3MESES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Algoritmo Negocios</author>
  </authors>
  <commentList>
    <comment ref="H7" authorId="0" shapeId="0" xr:uid="{BBE26C16-F37B-4A2F-8483-B90CFCC3A8C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foto final </t>
        </r>
      </text>
    </comment>
    <comment ref="V17" authorId="1" shapeId="0" xr:uid="{E68566E1-2144-4182-86E9-BF87F287001B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Montos muy diferenciados</t>
        </r>
      </text>
    </comment>
    <comment ref="V37" authorId="1" shapeId="0" xr:uid="{65591EDF-35A3-4ACA-A079-B2EC9BECB846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más del doble</t>
        </r>
      </text>
    </comment>
    <comment ref="V52" authorId="1" shapeId="0" xr:uid="{657EF3D7-9963-4CD2-B2C3-E91CC90F3A0D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menos de lo normal</t>
        </r>
      </text>
    </comment>
    <comment ref="V73" authorId="1" shapeId="0" xr:uid="{9A61413A-8352-467D-B046-E453A3D7588A}">
      <text>
        <r>
          <rPr>
            <b/>
            <sz val="9"/>
            <color indexed="81"/>
            <rFont val="Tahoma"/>
            <family val="2"/>
          </rPr>
          <t xml:space="preserve">Algoritmo Negocios:
</t>
        </r>
        <r>
          <rPr>
            <sz val="9"/>
            <color indexed="81"/>
            <rFont val="Tahoma"/>
            <family val="2"/>
          </rPr>
          <t>NOTA: Observar</t>
        </r>
      </text>
    </comment>
    <comment ref="Y90" authorId="1" shapeId="0" xr:uid="{C67A2EF0-7EEA-4511-B84A-92307E0F041B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SUBIO DEMASIADO</t>
        </r>
      </text>
    </comment>
    <comment ref="Y102" authorId="1" shapeId="0" xr:uid="{DFAAD907-45C0-4B6A-9A29-3E3D0C5CC5F3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SALE NEGATIVO
</t>
        </r>
      </text>
    </comment>
    <comment ref="V106" authorId="1" shapeId="0" xr:uid="{23588E75-0C48-4D83-BC5A-C139A5534947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negativo</t>
        </r>
      </text>
    </comment>
    <comment ref="Y106" authorId="1" shapeId="0" xr:uid="{9F6D3EEB-B407-4E8C-AFE3-36CD93E694FF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SALE NEGATIVO</t>
        </r>
      </text>
    </comment>
    <comment ref="V120" authorId="1" shapeId="0" xr:uid="{21269733-51BD-4EB1-86CF-8D0B309E698B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negativo</t>
        </r>
      </text>
    </comment>
    <comment ref="V122" authorId="1" shapeId="0" xr:uid="{62833501-5542-47BB-AE89-1AFBDD9650D2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aumenta el doble
</t>
        </r>
      </text>
    </comment>
    <comment ref="F123" authorId="0" shapeId="0" xr:uid="{F3CEAF03-B4A0-409C-8BD7-37A1B920B65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307
</t>
        </r>
      </text>
    </comment>
    <comment ref="F132" authorId="0" shapeId="0" xr:uid="{CA4010DE-51B6-4E3F-A962-A1B33093A3C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649
</t>
        </r>
      </text>
    </comment>
    <comment ref="V132" authorId="1" shapeId="0" xr:uid="{2977A558-579D-4A3F-B8D3-2F70D2B81BFD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sale negativo</t>
        </r>
      </text>
    </comment>
    <comment ref="Y133" authorId="1" shapeId="0" xr:uid="{DC3EC151-C17F-4156-8105-B5777AC351BD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monto muy alto
</t>
        </r>
      </text>
    </comment>
    <comment ref="F134" authorId="0" shapeId="0" xr:uid="{5428FFC5-B417-4537-9930-66935C49CCA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455</t>
        </r>
      </text>
    </comment>
    <comment ref="Y145" authorId="1" shapeId="0" xr:uid="{63CFB908-FE28-4C5F-AE16-045238EE8D37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monto muy alto</t>
        </r>
      </text>
    </comment>
    <comment ref="F159" authorId="0" shapeId="0" xr:uid="{E3510DCA-8167-4AEE-91DB-A74128A2B42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158</t>
        </r>
      </text>
    </comment>
    <comment ref="F161" authorId="0" shapeId="0" xr:uid="{CDB19E85-8E8E-4F09-8BD9-DD5B0DF976E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101
</t>
        </r>
      </text>
    </comment>
    <comment ref="F164" authorId="0" shapeId="0" xr:uid="{E015864B-1233-4D15-BC4A-312B2AD94CB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143</t>
        </r>
      </text>
    </comment>
    <comment ref="V165" authorId="1" shapeId="0" xr:uid="{BB83E4C5-DA86-4FE6-AB8D-E4288393B245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menos del doble
</t>
        </r>
      </text>
    </comment>
    <comment ref="Y165" authorId="1" shapeId="0" xr:uid="{242A9A43-CE67-445B-AE20-F03C5F12B262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monto negativo</t>
        </r>
      </text>
    </comment>
    <comment ref="V166" authorId="1" shapeId="0" xr:uid="{F7EFCDF8-4BEA-4A32-A0E4-455D98418B90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más del doble
</t>
        </r>
      </text>
    </comment>
    <comment ref="V170" authorId="1" shapeId="0" xr:uid="{4F348D60-809A-4E0E-AA78-68B0CE3D3855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sale negativo</t>
        </r>
      </text>
    </comment>
    <comment ref="V175" authorId="1" shapeId="0" xr:uid="{1262FBC7-A2D3-4C31-B765-F6560FCBEB5E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más del doble</t>
        </r>
      </text>
    </comment>
    <comment ref="V178" authorId="1" shapeId="0" xr:uid="{F35A4809-F436-4BBA-B50C-1E04CA0897A1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más del doble</t>
        </r>
      </text>
    </comment>
    <comment ref="Y178" authorId="1" shapeId="0" xr:uid="{63899911-A321-417E-AC4F-B8AFAD8B5B15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monto casi el doble que el mes anterior</t>
        </r>
      </text>
    </comment>
    <comment ref="F186" authorId="0" shapeId="0" xr:uid="{9274DF34-A916-4235-A8D6-CA8B0631C0F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delhel decia 341</t>
        </r>
      </text>
    </comment>
    <comment ref="V196" authorId="1" shapeId="0" xr:uid="{995AD4A4-509A-436E-AD70-2EAF50915EE2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menos de la mitad?</t>
        </r>
      </text>
    </comment>
    <comment ref="H197" authorId="0" shapeId="0" xr:uid="{39095C4D-A0DE-488F-BA7F-C2534D2BDCD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lo correcto debio ser 62
</t>
        </r>
      </text>
    </comment>
    <comment ref="V197" authorId="1" shapeId="0" xr:uid="{EFD4334A-42B2-40C7-AC60-769B173DF2FF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negativo</t>
        </r>
      </text>
    </comment>
    <comment ref="V200" authorId="1" shapeId="0" xr:uid="{FA689125-CD27-456A-B845-7B44ED1B0450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negativo</t>
        </r>
      </text>
    </comment>
    <comment ref="V202" authorId="1" shapeId="0" xr:uid="{AAFEB9F7-CA1E-4EBC-90B6-577716B5BE29}">
      <text>
        <r>
          <rPr>
            <b/>
            <sz val="9"/>
            <color indexed="81"/>
            <rFont val="Tahoma"/>
            <family val="2"/>
          </rPr>
          <t>Algoritmo Negocios:</t>
        </r>
        <r>
          <rPr>
            <sz val="9"/>
            <color indexed="81"/>
            <rFont val="Tahoma"/>
            <family val="2"/>
          </rPr>
          <t xml:space="preserve">
NOTA: Monto aumenta en 11</t>
        </r>
      </text>
    </comment>
  </commentList>
</comments>
</file>

<file path=xl/sharedStrings.xml><?xml version="1.0" encoding="utf-8"?>
<sst xmlns="http://schemas.openxmlformats.org/spreadsheetml/2006/main" count="4311" uniqueCount="1261">
  <si>
    <t>JUNTA DE PROPIETARIOS DEL EDIFICIO MULTIFAMILIAR "PACIFIK OCEAN TOWER"</t>
  </si>
  <si>
    <t>Av. Bertolotto 850 - San Miguel</t>
  </si>
  <si>
    <t>PP-000</t>
  </si>
  <si>
    <t>SIN IDENTIFICAR</t>
  </si>
  <si>
    <t>E000</t>
  </si>
  <si>
    <t>PP-001</t>
  </si>
  <si>
    <t>AJK ASOCIADOS SAC</t>
  </si>
  <si>
    <t>DEPA-1605</t>
  </si>
  <si>
    <t>PP-002</t>
  </si>
  <si>
    <t>ALBAN MALACHE CHABELI</t>
  </si>
  <si>
    <t>DEPA-612</t>
  </si>
  <si>
    <t>PP-003</t>
  </si>
  <si>
    <t>RUIZ JAVIER ALEJANDRO</t>
  </si>
  <si>
    <t>DEPA-811</t>
  </si>
  <si>
    <t>PP-004</t>
  </si>
  <si>
    <t>ALEXANDER STRAHLE JURGEN</t>
  </si>
  <si>
    <t>DEPA-902</t>
  </si>
  <si>
    <t>PP-005</t>
  </si>
  <si>
    <t>ALVA CUELLAR DUGLAS CONCEPCION</t>
  </si>
  <si>
    <t>DEPA-1205</t>
  </si>
  <si>
    <t>PP-006</t>
  </si>
  <si>
    <t>ALVARADO BRINGAS MILUSKA CARLA</t>
  </si>
  <si>
    <t>DEPA-1001</t>
  </si>
  <si>
    <t>PP-007</t>
  </si>
  <si>
    <t>ANTON ENICE</t>
  </si>
  <si>
    <t>DEPA-610</t>
  </si>
  <si>
    <t>PP-008</t>
  </si>
  <si>
    <t>APARCANA ROSADIO LUIS MIGUEL</t>
  </si>
  <si>
    <t>DEPA-606</t>
  </si>
  <si>
    <t>PP-009</t>
  </si>
  <si>
    <t>ASTO VARGAS HANS PIERRE</t>
  </si>
  <si>
    <t>DEPA-1311</t>
  </si>
  <si>
    <t>PP-010</t>
  </si>
  <si>
    <t>AVENDAÑO SILVA MIRLEY JESUS</t>
  </si>
  <si>
    <t>ESTA-087</t>
  </si>
  <si>
    <t>PP-011</t>
  </si>
  <si>
    <t>AVILA JOEL ANTONIO</t>
  </si>
  <si>
    <t>DEPA-804</t>
  </si>
  <si>
    <t>PP-012</t>
  </si>
  <si>
    <t>AYAQUE LARICO ISAAC ALFREDO</t>
  </si>
  <si>
    <t>DEPA-1602</t>
  </si>
  <si>
    <t>PP-013</t>
  </si>
  <si>
    <t>BADA CARPIO OSCAR</t>
  </si>
  <si>
    <t>DEPA-101</t>
  </si>
  <si>
    <t>PP-014</t>
  </si>
  <si>
    <t xml:space="preserve">HENDRICK OSCAR  / HENDRICKLUISA </t>
  </si>
  <si>
    <t>DEPA-1101</t>
  </si>
  <si>
    <t>PP-015</t>
  </si>
  <si>
    <t>BENITES CERNA CARLOS ENRIQUE</t>
  </si>
  <si>
    <t>DEPA-1006</t>
  </si>
  <si>
    <t>PP-016</t>
  </si>
  <si>
    <t>BERTOLOTTO INVESTMENTS S.A.C</t>
  </si>
  <si>
    <t>DEPA-1703</t>
  </si>
  <si>
    <t>PP-017</t>
  </si>
  <si>
    <t>BLAS OLIVER LIDIA ROSALVA</t>
  </si>
  <si>
    <t>DEPA-1609</t>
  </si>
  <si>
    <t>PP-018</t>
  </si>
  <si>
    <t>CALDERON MINCHOLA JUAN CARLOS</t>
  </si>
  <si>
    <t>DEPA-1401</t>
  </si>
  <si>
    <t>PP-019</t>
  </si>
  <si>
    <t>CANCINO APAZA MARYLIN MARYBEL</t>
  </si>
  <si>
    <t>DEPA-1504</t>
  </si>
  <si>
    <t>PP-020</t>
  </si>
  <si>
    <t>CANEDO TAPIA MANUEL HERNAN</t>
  </si>
  <si>
    <t>DEPA-1710</t>
  </si>
  <si>
    <t>PP-021</t>
  </si>
  <si>
    <t>CAO DACHAO</t>
  </si>
  <si>
    <t>DEPA-1310</t>
  </si>
  <si>
    <t>PP-022</t>
  </si>
  <si>
    <t>CARDENAS MORIANO HEVELYNE HILDA</t>
  </si>
  <si>
    <t>DEPA-1607</t>
  </si>
  <si>
    <t>PP-023</t>
  </si>
  <si>
    <t>CARDENAS MORIANO WOLFGAN ANGEL</t>
  </si>
  <si>
    <t>DEPA-1107</t>
  </si>
  <si>
    <t>PP-024</t>
  </si>
  <si>
    <t>CARMONA DIAZ MERY</t>
  </si>
  <si>
    <t>DEPA-1201</t>
  </si>
  <si>
    <t>PP-025</t>
  </si>
  <si>
    <t>CARRASCO BEAS ALFREDO EDILBERTO</t>
  </si>
  <si>
    <t>DEPA-1306</t>
  </si>
  <si>
    <t>PP-026</t>
  </si>
  <si>
    <t>CARRILLO GALLO EDSON</t>
  </si>
  <si>
    <t>DEPA-611</t>
  </si>
  <si>
    <t>PP-027</t>
  </si>
  <si>
    <t>CARRILLO PINEDA FERNANDO</t>
  </si>
  <si>
    <t>ESTA-140</t>
  </si>
  <si>
    <t>PP-028</t>
  </si>
  <si>
    <t>CASAS JOSE</t>
  </si>
  <si>
    <t>DEPA-1002</t>
  </si>
  <si>
    <t>PP-029</t>
  </si>
  <si>
    <t>CASTILLA PEREZ CARMELA FERMINA</t>
  </si>
  <si>
    <t>DEPA-1204</t>
  </si>
  <si>
    <t>PP-030</t>
  </si>
  <si>
    <t>CASTRO ALMEIDA RAUL ARMANDO</t>
  </si>
  <si>
    <t>DEPA-1403</t>
  </si>
  <si>
    <t>PP-031</t>
  </si>
  <si>
    <t>CASTRO BARRERA ANITA MARITZA</t>
  </si>
  <si>
    <t>DEPA-407</t>
  </si>
  <si>
    <t>PP-032</t>
  </si>
  <si>
    <t>SOLARI ATOCHE MARIA CECILIA</t>
  </si>
  <si>
    <t>DEPA-907</t>
  </si>
  <si>
    <t>PP-033</t>
  </si>
  <si>
    <t>CHAFLOQUE MORENO ALEXIS JHONNY</t>
  </si>
  <si>
    <t>DEPA-1312</t>
  </si>
  <si>
    <t>PP-034</t>
  </si>
  <si>
    <t>CHAVEZ JULCAHUANCA VANESSA</t>
  </si>
  <si>
    <t>DEPA-1111</t>
  </si>
  <si>
    <t>PP-035</t>
  </si>
  <si>
    <t>CHAVEZ TAGLE SISLEY</t>
  </si>
  <si>
    <t>DEPA-609</t>
  </si>
  <si>
    <t>PP-036</t>
  </si>
  <si>
    <t>CHAVEZ MYLADY</t>
  </si>
  <si>
    <t>DEPA-510</t>
  </si>
  <si>
    <t>PP-037</t>
  </si>
  <si>
    <t>CHIA ALEGRE JORGE WILLIAMS</t>
  </si>
  <si>
    <t>DEPA-202</t>
  </si>
  <si>
    <t>PP-038</t>
  </si>
  <si>
    <t>CHIROQUE FLOR LOZANO</t>
  </si>
  <si>
    <t>DEPA-1011</t>
  </si>
  <si>
    <t>PP-039</t>
  </si>
  <si>
    <t>CISNEROS ISLA GLORIA LEONOR</t>
  </si>
  <si>
    <t>DEPO-160</t>
  </si>
  <si>
    <t>PP-040</t>
  </si>
  <si>
    <t>CORDERO VILCA PEDRO LUIS</t>
  </si>
  <si>
    <t>DEPA-1610</t>
  </si>
  <si>
    <t>PP-041</t>
  </si>
  <si>
    <t>CORNEJO JORGE JOSE ADRIAN</t>
  </si>
  <si>
    <t>DEPA-104</t>
  </si>
  <si>
    <t>PP-042</t>
  </si>
  <si>
    <t>CORRECHER DEL TORO GURMENSINDA</t>
  </si>
  <si>
    <t>DEPA-503</t>
  </si>
  <si>
    <t>PP-043</t>
  </si>
  <si>
    <t>CURAHUA SANCHEZ FLOR DE MARIA</t>
  </si>
  <si>
    <t>DEPA-105</t>
  </si>
  <si>
    <t>PP-044</t>
  </si>
  <si>
    <t>DE LA CRUZ DELGADO WALTER</t>
  </si>
  <si>
    <t>DEPA-410</t>
  </si>
  <si>
    <t>PP-045</t>
  </si>
  <si>
    <t>RUIZ  FLOR DE MARIA</t>
  </si>
  <si>
    <t>DEPA-205</t>
  </si>
  <si>
    <t>PP-046</t>
  </si>
  <si>
    <t>DE MATTEIS DANIELE</t>
  </si>
  <si>
    <t>DEPA-1509</t>
  </si>
  <si>
    <t>PP-047</t>
  </si>
  <si>
    <t>DIAZ QUINTANA DAVID ENRIQUE</t>
  </si>
  <si>
    <t>DEPA-304</t>
  </si>
  <si>
    <t>PP-048</t>
  </si>
  <si>
    <t>DURANGO CHAVEZ OLGA KARINA</t>
  </si>
  <si>
    <t>DEPA-1210</t>
  </si>
  <si>
    <t>PP-049</t>
  </si>
  <si>
    <t>HARO CABALLERO CAROL ELIZABETH</t>
  </si>
  <si>
    <t>DEPA-904</t>
  </si>
  <si>
    <t>PP-050</t>
  </si>
  <si>
    <t>ESPINOZA PACHECO ELBIA ELIZABETH</t>
  </si>
  <si>
    <t>DEPA-409</t>
  </si>
  <si>
    <t>PP-051</t>
  </si>
  <si>
    <t>ESTRADA DIANA</t>
  </si>
  <si>
    <t>DEPA-1102</t>
  </si>
  <si>
    <t>PP-052</t>
  </si>
  <si>
    <t>FALCON RAMOS CAROLINA FRANCHESKA</t>
  </si>
  <si>
    <t>DEPA-707</t>
  </si>
  <si>
    <t>PP-053</t>
  </si>
  <si>
    <t>FERRER MILAGROS</t>
  </si>
  <si>
    <t>DEPA-1004</t>
  </si>
  <si>
    <t>PP-054</t>
  </si>
  <si>
    <t>FUENTES ALARCON PERVIS</t>
  </si>
  <si>
    <t>DEPA-604</t>
  </si>
  <si>
    <t>PP-055</t>
  </si>
  <si>
    <t>GAMERO OSCAR</t>
  </si>
  <si>
    <t>DEPA-1612</t>
  </si>
  <si>
    <t>PP-056</t>
  </si>
  <si>
    <t>GARCIA ARCE ANDRES DANIEL</t>
  </si>
  <si>
    <t>DEPA-903</t>
  </si>
  <si>
    <t>PP-057</t>
  </si>
  <si>
    <t>GARCIA TEJADA NORMA YSABEL</t>
  </si>
  <si>
    <t>DEPA-1502</t>
  </si>
  <si>
    <t>PP-058</t>
  </si>
  <si>
    <t>GARCIA JOSE</t>
  </si>
  <si>
    <t>DEPA-501</t>
  </si>
  <si>
    <t>PP-059</t>
  </si>
  <si>
    <t>GARFIAS HURTADO MARISOL</t>
  </si>
  <si>
    <t>DEPA-1402</t>
  </si>
  <si>
    <t>PP-060</t>
  </si>
  <si>
    <t>GAVIDIA DIAZ ROSA TANIA</t>
  </si>
  <si>
    <t>ESTA-106</t>
  </si>
  <si>
    <t>PP-061</t>
  </si>
  <si>
    <t>GHERSI GIURFA DANIEL DAVID</t>
  </si>
  <si>
    <t>DEPA-712</t>
  </si>
  <si>
    <t>PP-062</t>
  </si>
  <si>
    <t>GODOY ACOSTA NORA EULALIA</t>
  </si>
  <si>
    <t>DEPA-1003</t>
  </si>
  <si>
    <t>PP-063</t>
  </si>
  <si>
    <t>GOMEZ BARTRA JOHANNA GORGETE</t>
  </si>
  <si>
    <t>DEPA-602</t>
  </si>
  <si>
    <t>PP-064</t>
  </si>
  <si>
    <t>GOMEZ VILLENA ROLANDO MARTIN</t>
  </si>
  <si>
    <t>DEPA-701</t>
  </si>
  <si>
    <t>PP-065</t>
  </si>
  <si>
    <t>GONZALES VIDAL MIGUEL ANGEL</t>
  </si>
  <si>
    <t>DEPA-404</t>
  </si>
  <si>
    <t>PP-066</t>
  </si>
  <si>
    <t>GONZALES LUIS</t>
  </si>
  <si>
    <t>DEPA-312</t>
  </si>
  <si>
    <t>PP-067</t>
  </si>
  <si>
    <t>LOCK GOVEA JOSE</t>
  </si>
  <si>
    <t>DEPA-406</t>
  </si>
  <si>
    <t>PP-068</t>
  </si>
  <si>
    <t>GUERRERO ABARCA MONICA JULIE</t>
  </si>
  <si>
    <t>DEPA-307</t>
  </si>
  <si>
    <t>PP-069</t>
  </si>
  <si>
    <t>GUERRERO GUERRERO JEAN MARCO</t>
  </si>
  <si>
    <t>DEPA-908</t>
  </si>
  <si>
    <t>PP-070</t>
  </si>
  <si>
    <t>GUERRERO GUERRERO KETY FAGNI</t>
  </si>
  <si>
    <t>DEPA-909</t>
  </si>
  <si>
    <t>PP-071</t>
  </si>
  <si>
    <t>GUERRERO JIMENEZ SERGIO</t>
  </si>
  <si>
    <t>DEPA-302</t>
  </si>
  <si>
    <t>PP-072</t>
  </si>
  <si>
    <t>GUERRERO SERGIO</t>
  </si>
  <si>
    <t>DEPA-403</t>
  </si>
  <si>
    <t>PP-073</t>
  </si>
  <si>
    <t>GUIMARAY RICARDO</t>
  </si>
  <si>
    <t>DEPA-209</t>
  </si>
  <si>
    <t>PP-074</t>
  </si>
  <si>
    <t>GUTIERREZ GUERRERO YEISON MARTIN</t>
  </si>
  <si>
    <t>DEPA-1603</t>
  </si>
  <si>
    <t>PP-075</t>
  </si>
  <si>
    <t>GUTIERREZ PECEROS ALBERTO</t>
  </si>
  <si>
    <t>DEPA-1302</t>
  </si>
  <si>
    <t>PP-076</t>
  </si>
  <si>
    <t>HAYA HIDALGO FERNANDO TEOBALDO</t>
  </si>
  <si>
    <t>DEPA-901</t>
  </si>
  <si>
    <t>PP-077</t>
  </si>
  <si>
    <t>HENOSTROZA DIAZ JULIAN</t>
  </si>
  <si>
    <t>DEPA-910</t>
  </si>
  <si>
    <t>PP-078</t>
  </si>
  <si>
    <t>HERNAN MORALES DIEGO</t>
  </si>
  <si>
    <t>DEPA-810</t>
  </si>
  <si>
    <t>PP-079</t>
  </si>
  <si>
    <t>HERRERA MENDOZA JEAN PIERRE</t>
  </si>
  <si>
    <t>DEPA-1206</t>
  </si>
  <si>
    <t>PP-080</t>
  </si>
  <si>
    <t>HUANAY MARTINEZ FRANZ CESAR</t>
  </si>
  <si>
    <t>DEPA-310</t>
  </si>
  <si>
    <t>PP-081</t>
  </si>
  <si>
    <t>HUANGAL KESSLER JOSEFINA</t>
  </si>
  <si>
    <t>DEPA-1511</t>
  </si>
  <si>
    <t>PP-082</t>
  </si>
  <si>
    <t>HUERTA HUERTA CARLA ALESSANDRA</t>
  </si>
  <si>
    <t>DEPA-1208</t>
  </si>
  <si>
    <t>PP-083</t>
  </si>
  <si>
    <t>INDUSTRIAS GENERALES SAC</t>
  </si>
  <si>
    <t>DEPA-1705</t>
  </si>
  <si>
    <t>PP-084</t>
  </si>
  <si>
    <t>INFANTES JHEYSON</t>
  </si>
  <si>
    <t>DEPA-1303</t>
  </si>
  <si>
    <t>PP-085</t>
  </si>
  <si>
    <t xml:space="preserve">PARI NUÑEZ LEONOR </t>
  </si>
  <si>
    <t>DEPA-512</t>
  </si>
  <si>
    <t>PP-086</t>
  </si>
  <si>
    <t>IZQUIERDO ALATA LIAM JUAN PEDRO</t>
  </si>
  <si>
    <t>DEPA-710</t>
  </si>
  <si>
    <t>PP-087</t>
  </si>
  <si>
    <t>JARA CISNEROS RICHARD</t>
  </si>
  <si>
    <t>DEPA-1604</t>
  </si>
  <si>
    <t>PP-088</t>
  </si>
  <si>
    <t>JIMENEZ CARMEN</t>
  </si>
  <si>
    <t>DEPA-508</t>
  </si>
  <si>
    <t>PP-089</t>
  </si>
  <si>
    <t>JO RENZO</t>
  </si>
  <si>
    <t>DEPA-1212</t>
  </si>
  <si>
    <t>PP-090</t>
  </si>
  <si>
    <t>JURADO PAZ Y MIÑO VICTOR</t>
  </si>
  <si>
    <t>DEPA-703</t>
  </si>
  <si>
    <t>PP-091</t>
  </si>
  <si>
    <t>JUSTO NIETO MILENA KATHERINE</t>
  </si>
  <si>
    <t>DEPA-1309</t>
  </si>
  <si>
    <t>PP-092</t>
  </si>
  <si>
    <t>LA MADRID JOSE</t>
  </si>
  <si>
    <t>DEPA-1007</t>
  </si>
  <si>
    <t>PP-093</t>
  </si>
  <si>
    <t>MENDOZA TERESA LAURA</t>
  </si>
  <si>
    <t>DEPA-1406</t>
  </si>
  <si>
    <t>PP-094</t>
  </si>
  <si>
    <t>LAURA MENDOZA YSELA ROCIO</t>
  </si>
  <si>
    <t>DEPA-1009</t>
  </si>
  <si>
    <t>PP-095</t>
  </si>
  <si>
    <t>LEON PRISCILLA</t>
  </si>
  <si>
    <t>DEPA-1104</t>
  </si>
  <si>
    <t>PP-096</t>
  </si>
  <si>
    <t>LIANG YANQIU</t>
  </si>
  <si>
    <t>DEPA-1505</t>
  </si>
  <si>
    <t>PP-097</t>
  </si>
  <si>
    <t>LIZARZABURU PETROZZI MIKEL ARITZ</t>
  </si>
  <si>
    <t>DEPA-1304</t>
  </si>
  <si>
    <t>PP-098</t>
  </si>
  <si>
    <t>LLANO QUISPE JOSE LUIS</t>
  </si>
  <si>
    <t>DEPA-1712</t>
  </si>
  <si>
    <t>PP-099</t>
  </si>
  <si>
    <t>LOPEZ CORNELIO DAVID</t>
  </si>
  <si>
    <t>DEPA-1103</t>
  </si>
  <si>
    <t>PP-100</t>
  </si>
  <si>
    <t>LOPEZ FORTUNATO</t>
  </si>
  <si>
    <t>DEPA-1301</t>
  </si>
  <si>
    <t>PP-101</t>
  </si>
  <si>
    <t>LOREDO RODRIGUEZ CESAR ANTONIO</t>
  </si>
  <si>
    <t>DEPA-1501</t>
  </si>
  <si>
    <t>PP-102</t>
  </si>
  <si>
    <t>DURAN ZANDRA LUZ</t>
  </si>
  <si>
    <t>DEPA-1711</t>
  </si>
  <si>
    <t>PP-103</t>
  </si>
  <si>
    <t>MADUEÑO MORALES LUCIENNE</t>
  </si>
  <si>
    <t>DEPA-805</t>
  </si>
  <si>
    <t>PP-104</t>
  </si>
  <si>
    <t>MALDONADO DE LA CRUZ NORA TERESA</t>
  </si>
  <si>
    <t>DEPA-1108</t>
  </si>
  <si>
    <t>PP-105</t>
  </si>
  <si>
    <t>SANCHEZ ALLAN ANDY MARCELO</t>
  </si>
  <si>
    <t>DEPA-1709</t>
  </si>
  <si>
    <t>PP-106</t>
  </si>
  <si>
    <t>SPEICHER LUIS</t>
  </si>
  <si>
    <t>DEPA-705</t>
  </si>
  <si>
    <t>PP-107</t>
  </si>
  <si>
    <t xml:space="preserve">MENDIOLA LOPEZ MARIA ELENA </t>
  </si>
  <si>
    <t>ESTA-064</t>
  </si>
  <si>
    <t>PP-108</t>
  </si>
  <si>
    <t>MENDOZA BAZAN SILVIA VERONICA</t>
  </si>
  <si>
    <t>DEPA-102</t>
  </si>
  <si>
    <t>PP-109</t>
  </si>
  <si>
    <t>MERINO BRIONES SUSY</t>
  </si>
  <si>
    <t>DEPA-1209</t>
  </si>
  <si>
    <t>PP-110</t>
  </si>
  <si>
    <t>MESONES DEL RIO MARIA ISABEL</t>
  </si>
  <si>
    <t>DEPA-411</t>
  </si>
  <si>
    <t>PP-111</t>
  </si>
  <si>
    <t>MINIANO GARCIA PABLO ABEL</t>
  </si>
  <si>
    <t>DEPA-601</t>
  </si>
  <si>
    <t>PP-112</t>
  </si>
  <si>
    <t>MONTESINOS JORGE LUIS</t>
  </si>
  <si>
    <t>DEPA-1409</t>
  </si>
  <si>
    <t>PP-113</t>
  </si>
  <si>
    <t>MORALES CORDOVA JUAN ALARICO</t>
  </si>
  <si>
    <t>DEPA-1405</t>
  </si>
  <si>
    <t>PP-114</t>
  </si>
  <si>
    <t>MORALES LANDAURO GERARDO ALBERTO</t>
  </si>
  <si>
    <t>DEPA-1010</t>
  </si>
  <si>
    <t>PP-115</t>
  </si>
  <si>
    <t>MORON JENNY</t>
  </si>
  <si>
    <t>DEPA-208</t>
  </si>
  <si>
    <t>PP-116</t>
  </si>
  <si>
    <t>NAVARRO VILLAVICENCIO JOSE KARLO</t>
  </si>
  <si>
    <t>ESTA-100</t>
  </si>
  <si>
    <t>PP-117</t>
  </si>
  <si>
    <t>NEGRINI WITHER JORGE ENRIQUE</t>
  </si>
  <si>
    <t>DEPA-905</t>
  </si>
  <si>
    <t>PP-118</t>
  </si>
  <si>
    <t>NEIRA UN JAN MILAGROS ANDREA</t>
  </si>
  <si>
    <t>DEPA-912</t>
  </si>
  <si>
    <t>PP-119</t>
  </si>
  <si>
    <t>NUÑEZ ESTRADA YULY CRISTINA</t>
  </si>
  <si>
    <t>DEPA-401</t>
  </si>
  <si>
    <t>PP-120</t>
  </si>
  <si>
    <t>OCHOA CESAR</t>
  </si>
  <si>
    <t>DEPA-607</t>
  </si>
  <si>
    <t>PP-121</t>
  </si>
  <si>
    <t>MOGOLLÓN ANGELES ANGEL GIOVANNI JOSÉ  - GUTIÉRREZ RREZ CÓRDOVA ANGELA PIERINA</t>
  </si>
  <si>
    <t>DEPA-408</t>
  </si>
  <si>
    <t>PP-122</t>
  </si>
  <si>
    <t>OLIVARES SAAVEDRA JAIME ALBERTO</t>
  </si>
  <si>
    <t>DEPA-1608</t>
  </si>
  <si>
    <t>PP-123</t>
  </si>
  <si>
    <t>ORELLANA VARGAS CARMEN ROSA</t>
  </si>
  <si>
    <t>DEPA-709</t>
  </si>
  <si>
    <t>PP-124</t>
  </si>
  <si>
    <t>ORTEGA DELGADILLO EMPERATRIZ</t>
  </si>
  <si>
    <t>DEPA-812</t>
  </si>
  <si>
    <t>PP-125</t>
  </si>
  <si>
    <t>OSORIO MOQUILLAZA JESUS ALFONSO</t>
  </si>
  <si>
    <t>DEPA-1008</t>
  </si>
  <si>
    <t>PP-126</t>
  </si>
  <si>
    <t>PANIAGUA SANDRO</t>
  </si>
  <si>
    <t>DEPA-1512</t>
  </si>
  <si>
    <t>PP-127</t>
  </si>
  <si>
    <t>PAREDES SALAZAR SARITA DEL CARMEN</t>
  </si>
  <si>
    <t>DEPA-1005</t>
  </si>
  <si>
    <t>PP-128</t>
  </si>
  <si>
    <t>PARKER CHAVEZ DIANA MARIA</t>
  </si>
  <si>
    <t>DEPA-210</t>
  </si>
  <si>
    <t>PP-129</t>
  </si>
  <si>
    <t>PASSION FRESH SAC</t>
  </si>
  <si>
    <t>DEPA-1305</t>
  </si>
  <si>
    <t>PP-130</t>
  </si>
  <si>
    <t>PASTOR NICOLAS ROSA MARIA</t>
  </si>
  <si>
    <t>DEPA-1211</t>
  </si>
  <si>
    <t>PP-131</t>
  </si>
  <si>
    <t>PAZ ALATA JUAN DIEGO</t>
  </si>
  <si>
    <t>DEPA-809</t>
  </si>
  <si>
    <t>PP-132</t>
  </si>
  <si>
    <t>PERALTA PARI RUBEN</t>
  </si>
  <si>
    <t>DEPA-507</t>
  </si>
  <si>
    <t>PP-133</t>
  </si>
  <si>
    <t>PONCE DE LEON MARIA</t>
  </si>
  <si>
    <t>DEPA-306</t>
  </si>
  <si>
    <t>PP-134</t>
  </si>
  <si>
    <t xml:space="preserve">MONZON MILAGROS </t>
  </si>
  <si>
    <t>DEPA-509</t>
  </si>
  <si>
    <t>PP-135</t>
  </si>
  <si>
    <t>QUISPE JOSE LUIS</t>
  </si>
  <si>
    <t>DEPA-803</t>
  </si>
  <si>
    <t>PP-136</t>
  </si>
  <si>
    <t>RAMOS GUTTI DANIEL</t>
  </si>
  <si>
    <t>DEPA-708</t>
  </si>
  <si>
    <t>PP-137</t>
  </si>
  <si>
    <t>RAMOS REQUEJO MABEL LICER</t>
  </si>
  <si>
    <t>DEPA-1601</t>
  </si>
  <si>
    <t>PP-138</t>
  </si>
  <si>
    <t>REJAS REYES TEOBALDO ALFREDO</t>
  </si>
  <si>
    <t>DEPO-184</t>
  </si>
  <si>
    <t>PP-139</t>
  </si>
  <si>
    <t>RENTERIA CHIOK MARIA ISABEL</t>
  </si>
  <si>
    <t>DEPA-511</t>
  </si>
  <si>
    <t>PP-140</t>
  </si>
  <si>
    <t>RIOS JULCA NILTON</t>
  </si>
  <si>
    <t>ESTA-074</t>
  </si>
  <si>
    <t>PP-141</t>
  </si>
  <si>
    <t>RIVERA MADARIAGA FIORELLA VANESSA</t>
  </si>
  <si>
    <t>DEPA-806</t>
  </si>
  <si>
    <t>PP-142</t>
  </si>
  <si>
    <t>ROBLEDANO VICTOR</t>
  </si>
  <si>
    <t>DEPA-201</t>
  </si>
  <si>
    <t>PP-143</t>
  </si>
  <si>
    <t>ROBLES SOTELO ERICK EUGENIO</t>
  </si>
  <si>
    <t>DEPA-412</t>
  </si>
  <si>
    <t>PP-144</t>
  </si>
  <si>
    <t>RODRIGUEZ CECILIA</t>
  </si>
  <si>
    <t>DEPA-207</t>
  </si>
  <si>
    <t>PP-145</t>
  </si>
  <si>
    <t>ROJAS VICTOR</t>
  </si>
  <si>
    <t>DEPA-1110</t>
  </si>
  <si>
    <t>PP-146</t>
  </si>
  <si>
    <t>ROSAS JHENIFER</t>
  </si>
  <si>
    <t>DEPA-204</t>
  </si>
  <si>
    <t>PP-147</t>
  </si>
  <si>
    <t>RUBIANO NELSON</t>
  </si>
  <si>
    <t>DEPA-1507</t>
  </si>
  <si>
    <t>PP-148</t>
  </si>
  <si>
    <t>RUIZ GUTIERREZ ROSA</t>
  </si>
  <si>
    <t>DEPA-704</t>
  </si>
  <si>
    <t>PP-149</t>
  </si>
  <si>
    <t>SAAVEDRA MACHUCA DANY ELVIS</t>
  </si>
  <si>
    <t>DEPA-603</t>
  </si>
  <si>
    <t>PP-150</t>
  </si>
  <si>
    <t>SALINAS SOUZA CARLOS ENRIQUE JOSE ALFREDO</t>
  </si>
  <si>
    <t>DEPA-1106</t>
  </si>
  <si>
    <t>PP-151</t>
  </si>
  <si>
    <t>SALVADOR NILS</t>
  </si>
  <si>
    <t>DEPA-1105</t>
  </si>
  <si>
    <t>PP-152</t>
  </si>
  <si>
    <t>SAMANAMUD LOZANO NADIA</t>
  </si>
  <si>
    <t>DEPA-906</t>
  </si>
  <si>
    <t>PP-153</t>
  </si>
  <si>
    <t>SANCHEZ DIAZ RUBEN</t>
  </si>
  <si>
    <t>DEPA-711</t>
  </si>
  <si>
    <t>PP-154</t>
  </si>
  <si>
    <t>SANCHEZ-SALAZAR OLCESE GLADYS MARIELA</t>
  </si>
  <si>
    <t>DEPA-206</t>
  </si>
  <si>
    <t>PP-155</t>
  </si>
  <si>
    <t>SANDOVAL AMASIFUEN EDWARD</t>
  </si>
  <si>
    <t>DEPA-1410</t>
  </si>
  <si>
    <t>PP-156</t>
  </si>
  <si>
    <t>MONTES DE OCA BRAMOSIO MARIA GABY</t>
  </si>
  <si>
    <t>DEPA-1404</t>
  </si>
  <si>
    <t>PP-157</t>
  </si>
  <si>
    <t>BUSTAMANTE EDUARDO  - SARMIENTO INGRID</t>
  </si>
  <si>
    <t>DEPA-405</t>
  </si>
  <si>
    <t>PP-158</t>
  </si>
  <si>
    <t>MEDINA SARMIENTO JAVIER</t>
  </si>
  <si>
    <t>DEPA-311</t>
  </si>
  <si>
    <t>PP-159</t>
  </si>
  <si>
    <t>SAUÑE PACCO JOSE OSWALDO</t>
  </si>
  <si>
    <t>DEPA-1707</t>
  </si>
  <si>
    <t>PP-160</t>
  </si>
  <si>
    <t>SEMINARIO OMAR</t>
  </si>
  <si>
    <t>DEPA-911</t>
  </si>
  <si>
    <t>PP-161</t>
  </si>
  <si>
    <t>SOTO GIANFRANCO</t>
  </si>
  <si>
    <t>DEPA-1109</t>
  </si>
  <si>
    <t>PP-162</t>
  </si>
  <si>
    <t>SULLCAHUAMAN OTERO ORLANDO</t>
  </si>
  <si>
    <t>DEPA-402</t>
  </si>
  <si>
    <t>PP-163</t>
  </si>
  <si>
    <t xml:space="preserve">HERZL THOMAS  - GONZALES MONICA </t>
  </si>
  <si>
    <t>DEPA-1506</t>
  </si>
  <si>
    <t>PP-164</t>
  </si>
  <si>
    <t>TIBURCIO GARCIA LIZETH ALEJANDRA</t>
  </si>
  <si>
    <t>DEPA-807</t>
  </si>
  <si>
    <t>PP-165</t>
  </si>
  <si>
    <t>TINEDO LOPEZ PEDRO LUIS</t>
  </si>
  <si>
    <t>DEPA-1207</t>
  </si>
  <si>
    <t>PP-166</t>
  </si>
  <si>
    <t>TINEO CASTAÑEDA CLAUDIA</t>
  </si>
  <si>
    <t>DEPA-1611</t>
  </si>
  <si>
    <t>PP-167</t>
  </si>
  <si>
    <t>TORANZO RUBEN</t>
  </si>
  <si>
    <t>DEPA-309</t>
  </si>
  <si>
    <t>PP-168</t>
  </si>
  <si>
    <t>TORRES HUANGAL RODRIGO GUILLERMO</t>
  </si>
  <si>
    <t>DEPA-1408</t>
  </si>
  <si>
    <t>PP-169</t>
  </si>
  <si>
    <t>TORRES TORRES GUILLERMO</t>
  </si>
  <si>
    <t>DEPA-1508</t>
  </si>
  <si>
    <t>PP-170</t>
  </si>
  <si>
    <t>TORRES VALLEJOS CLAUDIA MARINA</t>
  </si>
  <si>
    <t>DEPA-107</t>
  </si>
  <si>
    <t>PP-171</t>
  </si>
  <si>
    <t>TORRES VILANTOY SUSAN</t>
  </si>
  <si>
    <t>DEPA-1012</t>
  </si>
  <si>
    <t>PP-172</t>
  </si>
  <si>
    <t>TORRES ANGELICA</t>
  </si>
  <si>
    <t>DEPA-802</t>
  </si>
  <si>
    <t>PP-173</t>
  </si>
  <si>
    <t>TUPAYACHI VALLENAS DENIS ALFREDO</t>
  </si>
  <si>
    <t>DEPA-808</t>
  </si>
  <si>
    <t>PP-174</t>
  </si>
  <si>
    <t>VALDEZ CADENILLAS AGUSTIN</t>
  </si>
  <si>
    <t>DEPA-1606</t>
  </si>
  <si>
    <t>PP-175</t>
  </si>
  <si>
    <t>VALDIVIA OBANDO OSCAR</t>
  </si>
  <si>
    <t>DEPA-608</t>
  </si>
  <si>
    <t>PP-176</t>
  </si>
  <si>
    <t>VALDIVIA PASACHE GEORGE LOUIS ALEXANDER</t>
  </si>
  <si>
    <t>DEPA-1503</t>
  </si>
  <si>
    <t>PP-177</t>
  </si>
  <si>
    <t>FIORELLA NN</t>
  </si>
  <si>
    <t>DEPA-103</t>
  </si>
  <si>
    <t>PP-178</t>
  </si>
  <si>
    <t>VALLEBUONA MAYTA LUIS ALBERTO</t>
  </si>
  <si>
    <t>DEPA-1112</t>
  </si>
  <si>
    <t>PP-179</t>
  </si>
  <si>
    <t>VALVERDE ROJAS MARIA ANTONIETA</t>
  </si>
  <si>
    <t>DEPA-1307</t>
  </si>
  <si>
    <t>PP-180</t>
  </si>
  <si>
    <t>VEGA DAVID VICTOR</t>
  </si>
  <si>
    <t>DEPA-502</t>
  </si>
  <si>
    <t>PP-181</t>
  </si>
  <si>
    <t>VEGA LUIS</t>
  </si>
  <si>
    <t>DEPA-505</t>
  </si>
  <si>
    <t>PP-182</t>
  </si>
  <si>
    <t>VELASQUEZ MATOS KATHERINE SUSEI</t>
  </si>
  <si>
    <t>DEPA-203</t>
  </si>
  <si>
    <t>PP-183</t>
  </si>
  <si>
    <t>VERASTEGUI BUSTAMANTE DAVID</t>
  </si>
  <si>
    <t>DEPA-1701</t>
  </si>
  <si>
    <t>PP-184</t>
  </si>
  <si>
    <t>VERASTEGUI JUSTO</t>
  </si>
  <si>
    <t>DEPA-1708</t>
  </si>
  <si>
    <t>PP-185</t>
  </si>
  <si>
    <t>VILLAVICENCIO CARLOS</t>
  </si>
  <si>
    <t>DEPA-605</t>
  </si>
  <si>
    <t>PP-186</t>
  </si>
  <si>
    <t>VISO TOLEDO JAIME JUAN</t>
  </si>
  <si>
    <t>DEPA-301</t>
  </si>
  <si>
    <t>PP-187</t>
  </si>
  <si>
    <t>WILSON BUENO FRANK ERICK</t>
  </si>
  <si>
    <t>DEPA-1308</t>
  </si>
  <si>
    <t>PP-188</t>
  </si>
  <si>
    <t>YAIPEN PANTOJA ALEXIS</t>
  </si>
  <si>
    <t>DEPA-1702</t>
  </si>
  <si>
    <t>PP-189</t>
  </si>
  <si>
    <t xml:space="preserve">LI XIAN YI </t>
  </si>
  <si>
    <t>DEPA-1510</t>
  </si>
  <si>
    <t>PP-190</t>
  </si>
  <si>
    <t>YOUNG GUERRERO MARIA GISELLA</t>
  </si>
  <si>
    <t>DEPA-1407</t>
  </si>
  <si>
    <t>PP-191</t>
  </si>
  <si>
    <t>ZAMBRANO JUAREZ VALERIA</t>
  </si>
  <si>
    <t>DEPA-1411</t>
  </si>
  <si>
    <t>PP-192</t>
  </si>
  <si>
    <t>ZAPATA ARANA MIRTHA BELINDA</t>
  </si>
  <si>
    <t>DEPA-303</t>
  </si>
  <si>
    <t>PP-193</t>
  </si>
  <si>
    <t>ZAPATA VELASCO ANGELA</t>
  </si>
  <si>
    <t>DEPA-1412</t>
  </si>
  <si>
    <t>PP-194</t>
  </si>
  <si>
    <t>ALVARES PEÑA CARLOS EDUARDO</t>
  </si>
  <si>
    <t>DEPA-1706</t>
  </si>
  <si>
    <t>PP-195</t>
  </si>
  <si>
    <t>GUERRERO BENNER ROLAN</t>
  </si>
  <si>
    <t>DEPA-504</t>
  </si>
  <si>
    <t>PP-196</t>
  </si>
  <si>
    <t>MADUEÑO CHUMPITAZ LOURDES DE LOS ANGELES</t>
  </si>
  <si>
    <t>DEPA-1704</t>
  </si>
  <si>
    <t>PP-197</t>
  </si>
  <si>
    <t>RAMÍREZ PACHECO GIAN PAUL</t>
  </si>
  <si>
    <t>DEPA-106</t>
  </si>
  <si>
    <t>PP-198</t>
  </si>
  <si>
    <t>ROSAS JHENIFER adicional 1</t>
  </si>
  <si>
    <t>ESTA-002</t>
  </si>
  <si>
    <t>PP-199</t>
  </si>
  <si>
    <t>ROSAS JHENIFER adicional 2</t>
  </si>
  <si>
    <t>ESTA-157</t>
  </si>
  <si>
    <t>PP-200</t>
  </si>
  <si>
    <t>VILLAVICENCIO CARLOS adiciona1</t>
  </si>
  <si>
    <t>DEPO-165</t>
  </si>
  <si>
    <t>PP-201</t>
  </si>
  <si>
    <t>AQUIJE MORON HERNAN</t>
  </si>
  <si>
    <t>ESTA-010</t>
  </si>
  <si>
    <t>PP-202</t>
  </si>
  <si>
    <t>PALOMINO CRISTIAN</t>
  </si>
  <si>
    <t>PP-LAV</t>
  </si>
  <si>
    <t>LAVANDERIA PRONTOMATIK</t>
  </si>
  <si>
    <t>codigo</t>
  </si>
  <si>
    <t>propietario</t>
  </si>
  <si>
    <t>predio</t>
  </si>
  <si>
    <t>saldo anterior</t>
  </si>
  <si>
    <t>2026-01</t>
  </si>
  <si>
    <t>ALGORITMO ADMIN</t>
  </si>
  <si>
    <t>Recibo digital elaborado por:</t>
  </si>
  <si>
    <t>periodos ant.</t>
  </si>
  <si>
    <t>saldo por cobrar al mes anterior</t>
  </si>
  <si>
    <t>cuotas emitidas</t>
  </si>
  <si>
    <t>abonos recibidos</t>
  </si>
  <si>
    <t>Informacion historica:</t>
  </si>
  <si>
    <t>Arrendatario</t>
  </si>
  <si>
    <t>Titular 2</t>
  </si>
  <si>
    <t>Titular 1</t>
  </si>
  <si>
    <t>Codigo Propietario</t>
  </si>
  <si>
    <t>Consumo agua (m3)</t>
  </si>
  <si>
    <t>Fecha vencimiento</t>
  </si>
  <si>
    <t>Fecha emisión</t>
  </si>
  <si>
    <t>Periodo</t>
  </si>
  <si>
    <t>cuota del mes</t>
  </si>
  <si>
    <t>RECIBO MANTENIMIENTO</t>
  </si>
  <si>
    <t>2026-febrero</t>
  </si>
  <si>
    <t>PRESUPUESTO X DISTRIBUIR</t>
  </si>
  <si>
    <t>agua potable 2026-01</t>
  </si>
  <si>
    <t>recibo</t>
  </si>
  <si>
    <t>m3 conteo</t>
  </si>
  <si>
    <t>&lt;promedio</t>
  </si>
  <si>
    <t>c.u. x m3</t>
  </si>
  <si>
    <t>JUNTA DE PROPIETARIOS DEL EDIFICIO MULTIFAMILIAR " PACIFIK OCEAN TOWER"</t>
  </si>
  <si>
    <t xml:space="preserve">Historico - consumo de agua </t>
  </si>
  <si>
    <t>DEPAF</t>
  </si>
  <si>
    <t>MAYO</t>
  </si>
  <si>
    <t>consumo&gt;</t>
  </si>
  <si>
    <t>JUNIO</t>
  </si>
  <si>
    <t>JULIO</t>
  </si>
  <si>
    <t>AGOSTO</t>
  </si>
  <si>
    <t>PEN-agua</t>
  </si>
  <si>
    <t>SET</t>
  </si>
  <si>
    <t>OCT</t>
  </si>
  <si>
    <t>NOV</t>
  </si>
  <si>
    <t>DIC</t>
  </si>
  <si>
    <t>*pablo</t>
  </si>
  <si>
    <t>DEPA-305</t>
  </si>
  <si>
    <t>DEPA-308</t>
  </si>
  <si>
    <t>DEPA-506</t>
  </si>
  <si>
    <t>DEPA-706</t>
  </si>
  <si>
    <t>DEPA-801</t>
  </si>
  <si>
    <t>*medidor nuevo val. 25/08/2025</t>
  </si>
  <si>
    <t>CODIGO</t>
  </si>
  <si>
    <t>PROPIETARIO(S)</t>
  </si>
  <si>
    <t>PREDIO</t>
  </si>
  <si>
    <t>ÁREA TECHADA</t>
  </si>
  <si>
    <t>ÁREA OCUPADA</t>
  </si>
  <si>
    <t>% PARTICIPACIÓN</t>
  </si>
  <si>
    <t>VALOR CUOTA</t>
  </si>
  <si>
    <t>AGUA CONSUMO</t>
  </si>
  <si>
    <t>SUMA</t>
  </si>
  <si>
    <t>ESTA-020</t>
  </si>
  <si>
    <t>ESTA-067</t>
  </si>
  <si>
    <t>ESTA-042</t>
  </si>
  <si>
    <t>ESTA-077</t>
  </si>
  <si>
    <t>ESTA-063</t>
  </si>
  <si>
    <t>ESTA-065</t>
  </si>
  <si>
    <t>ESTA-056</t>
  </si>
  <si>
    <t>ESTA-104</t>
  </si>
  <si>
    <t>ESTA-036</t>
  </si>
  <si>
    <t>ESTA-153</t>
  </si>
  <si>
    <t>ESTA-143</t>
  </si>
  <si>
    <t>ESTA-103</t>
  </si>
  <si>
    <t>ESTA-003</t>
  </si>
  <si>
    <t>ESTA-008</t>
  </si>
  <si>
    <t>ESTA-011</t>
  </si>
  <si>
    <t>ESTA-019</t>
  </si>
  <si>
    <t>ESTA-022</t>
  </si>
  <si>
    <t>ESTA-046</t>
  </si>
  <si>
    <t>ESTA-054</t>
  </si>
  <si>
    <t>ESTA-062</t>
  </si>
  <si>
    <t>ESTA-091</t>
  </si>
  <si>
    <t>ESTA-097</t>
  </si>
  <si>
    <t>DEPO-180</t>
  </si>
  <si>
    <t>ESTA-035</t>
  </si>
  <si>
    <t>ESTA-053</t>
  </si>
  <si>
    <t>ESTA-092</t>
  </si>
  <si>
    <t>ESTA-132</t>
  </si>
  <si>
    <t>ESTA-060</t>
  </si>
  <si>
    <t>DEPO-186</t>
  </si>
  <si>
    <t>DEPO-173</t>
  </si>
  <si>
    <t>DEPO-161</t>
  </si>
  <si>
    <t>ESTA-015</t>
  </si>
  <si>
    <t>ESTA-016</t>
  </si>
  <si>
    <t>ESTA-017</t>
  </si>
  <si>
    <t>ESTA-032</t>
  </si>
  <si>
    <t>CASAS PEREA JOSE</t>
  </si>
  <si>
    <t>ESTA-150</t>
  </si>
  <si>
    <t>ESTA-130</t>
  </si>
  <si>
    <t>ESTA-148</t>
  </si>
  <si>
    <t>ESTA-121</t>
  </si>
  <si>
    <t>ESTA-078</t>
  </si>
  <si>
    <t>ESTA-013</t>
  </si>
  <si>
    <t>ESTA-058</t>
  </si>
  <si>
    <t>ESTA-009</t>
  </si>
  <si>
    <t>ESTA-073</t>
  </si>
  <si>
    <t>ESTA-115</t>
  </si>
  <si>
    <t>RUIZ SANDOVAL FLOR DE MARIA</t>
  </si>
  <si>
    <t>ESTA-006</t>
  </si>
  <si>
    <t>ESTA-004</t>
  </si>
  <si>
    <t>ESTA-141</t>
  </si>
  <si>
    <t>DEPO-178</t>
  </si>
  <si>
    <t>ESTA-139</t>
  </si>
  <si>
    <t>ESTA-093</t>
  </si>
  <si>
    <t>ESTA-066</t>
  </si>
  <si>
    <t>ESTA-086</t>
  </si>
  <si>
    <t>ESTA-081</t>
  </si>
  <si>
    <t>ESTA-031</t>
  </si>
  <si>
    <t>ESTA-037</t>
  </si>
  <si>
    <t>ESTA-055</t>
  </si>
  <si>
    <t>ESTA-088</t>
  </si>
  <si>
    <t>ESTA-027</t>
  </si>
  <si>
    <t>ESTA-039</t>
  </si>
  <si>
    <t>DEPO-175</t>
  </si>
  <si>
    <t>ESTA-126</t>
  </si>
  <si>
    <t>ESTA-045</t>
  </si>
  <si>
    <t>ESTA-154</t>
  </si>
  <si>
    <t>ESTA-151</t>
  </si>
  <si>
    <t>GUERRERO JIMENEZ SERGIO adicional 1</t>
  </si>
  <si>
    <t>ESTA-142</t>
  </si>
  <si>
    <t>ESTA-070</t>
  </si>
  <si>
    <t>DEPO-159</t>
  </si>
  <si>
    <t>DEPO-162</t>
  </si>
  <si>
    <t>ESTA-034</t>
  </si>
  <si>
    <t>ESTA-089</t>
  </si>
  <si>
    <t>ESTA-138</t>
  </si>
  <si>
    <t>ESTA-120</t>
  </si>
  <si>
    <t>ESTA-155</t>
  </si>
  <si>
    <t>DEPO-172</t>
  </si>
  <si>
    <t>ESTA-090</t>
  </si>
  <si>
    <t>ESTA-102</t>
  </si>
  <si>
    <t>ESTA-083</t>
  </si>
  <si>
    <t>ESTA-133</t>
  </si>
  <si>
    <t>ESTA-146</t>
  </si>
  <si>
    <t>ESTA-117</t>
  </si>
  <si>
    <t>ESTA-129</t>
  </si>
  <si>
    <t>DEPO-171</t>
  </si>
  <si>
    <t>ESTA-085</t>
  </si>
  <si>
    <t>ESTA-135</t>
  </si>
  <si>
    <t>ESTA-068</t>
  </si>
  <si>
    <t>ESTA-158</t>
  </si>
  <si>
    <t>ESTA-107</t>
  </si>
  <si>
    <t>ESTA-051</t>
  </si>
  <si>
    <t>DEPO-167</t>
  </si>
  <si>
    <t>ESTA-059</t>
  </si>
  <si>
    <t>ESTA-149</t>
  </si>
  <si>
    <t>ESTA-108</t>
  </si>
  <si>
    <t>ESTA-018</t>
  </si>
  <si>
    <t>ESTA-026</t>
  </si>
  <si>
    <t>ESTA-047</t>
  </si>
  <si>
    <t>ESTA-048</t>
  </si>
  <si>
    <t>ESTA-069</t>
  </si>
  <si>
    <t>ESTA-021</t>
  </si>
  <si>
    <t>ESTA-110</t>
  </si>
  <si>
    <t>ESTA-061</t>
  </si>
  <si>
    <t>ESTA-122</t>
  </si>
  <si>
    <t>ESTA-057</t>
  </si>
  <si>
    <t>ESTA-044</t>
  </si>
  <si>
    <t>ESTA-096</t>
  </si>
  <si>
    <t>ESTA-075</t>
  </si>
  <si>
    <t>ESTA-137</t>
  </si>
  <si>
    <t>ESTA-084</t>
  </si>
  <si>
    <t>ESTA-119</t>
  </si>
  <si>
    <t>ESTA-145</t>
  </si>
  <si>
    <t>ESTA-094</t>
  </si>
  <si>
    <t>ESTA-113</t>
  </si>
  <si>
    <t>ESTA-049</t>
  </si>
  <si>
    <t>ESTA-112</t>
  </si>
  <si>
    <t>ESTA-038</t>
  </si>
  <si>
    <t>ESTA-134</t>
  </si>
  <si>
    <t>ESTA-071</t>
  </si>
  <si>
    <t>DEPO-185</t>
  </si>
  <si>
    <t>ESTA-127</t>
  </si>
  <si>
    <t>ESTA-005</t>
  </si>
  <si>
    <t>ESTA-124</t>
  </si>
  <si>
    <t>DEPO-164</t>
  </si>
  <si>
    <t>ESTA-024</t>
  </si>
  <si>
    <t>ESTA-144</t>
  </si>
  <si>
    <t>ESTA-099</t>
  </si>
  <si>
    <t>DEPO-182</t>
  </si>
  <si>
    <t>DEPO-170</t>
  </si>
  <si>
    <t>ESTA-033</t>
  </si>
  <si>
    <t>DEPO-169</t>
  </si>
  <si>
    <t>ESTA-072</t>
  </si>
  <si>
    <t>ESTA-123</t>
  </si>
  <si>
    <t>ESTA-109</t>
  </si>
  <si>
    <t>DEPO-179</t>
  </si>
  <si>
    <t>ESTA-131</t>
  </si>
  <si>
    <t>ESTA-156</t>
  </si>
  <si>
    <t>DEPO-177</t>
  </si>
  <si>
    <t>ESTA-007</t>
  </si>
  <si>
    <t>ESTA-098</t>
  </si>
  <si>
    <t>SOTO CONDORI GIANFRANCO</t>
  </si>
  <si>
    <t>ESTA-076</t>
  </si>
  <si>
    <t>ESTA-029</t>
  </si>
  <si>
    <t>ESTA-095</t>
  </si>
  <si>
    <t>ESTA-043</t>
  </si>
  <si>
    <t>DEPO-174</t>
  </si>
  <si>
    <t>ESTA-116</t>
  </si>
  <si>
    <t>ESTA-111</t>
  </si>
  <si>
    <t>ESTA-105</t>
  </si>
  <si>
    <t>ESTA-101</t>
  </si>
  <si>
    <t>ESTA-125</t>
  </si>
  <si>
    <t>DEPO-181</t>
  </si>
  <si>
    <t>ESTA-030</t>
  </si>
  <si>
    <t xml:space="preserve">VALERA ASPILLAGA FIORELLA VANESSA </t>
  </si>
  <si>
    <t>DEPO-176</t>
  </si>
  <si>
    <t>ESTA-152</t>
  </si>
  <si>
    <t>ESTA-082</t>
  </si>
  <si>
    <t>ESTA-114</t>
  </si>
  <si>
    <t>ESTA-028</t>
  </si>
  <si>
    <t>ESTA-040</t>
  </si>
  <si>
    <t>ESTA-041</t>
  </si>
  <si>
    <t>ESTA-023</t>
  </si>
  <si>
    <t>ESTA-079</t>
  </si>
  <si>
    <t>DEPO-168</t>
  </si>
  <si>
    <t>ESTA-052</t>
  </si>
  <si>
    <t>ESTA-118</t>
  </si>
  <si>
    <t>ESTA-136</t>
  </si>
  <si>
    <t>ESTA-050</t>
  </si>
  <si>
    <t>ESTA-128</t>
  </si>
  <si>
    <t>DEPO-183</t>
  </si>
  <si>
    <t>ESTA-147</t>
  </si>
  <si>
    <t>ESTA-080</t>
  </si>
  <si>
    <t>ESTA-025</t>
  </si>
  <si>
    <t>ESTA-014</t>
  </si>
  <si>
    <t>ESTA-012</t>
  </si>
  <si>
    <t>DEPO-166</t>
  </si>
  <si>
    <t>anexo</t>
  </si>
  <si>
    <t>arcade</t>
  </si>
  <si>
    <t>cine</t>
  </si>
  <si>
    <t>lounge</t>
  </si>
  <si>
    <t>otro 1</t>
  </si>
  <si>
    <t>parrilla</t>
  </si>
  <si>
    <t>sin identificar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</si>
  <si>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</si>
  <si>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</si>
  <si>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</si>
  <si>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</si>
  <si>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</si>
  <si>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</si>
  <si>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</si>
  <si>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</si>
  <si>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</si>
  <si>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</si>
  <si>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</si>
  <si>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Fecha</t>
  </si>
  <si>
    <t>Descripción operación</t>
  </si>
  <si>
    <t>Monto</t>
  </si>
  <si>
    <t>Operación - Número</t>
  </si>
  <si>
    <t>TRANSF.BCO.BBVA</t>
  </si>
  <si>
    <t>02705227</t>
  </si>
  <si>
    <t>GIANELLA LIZETH NEIRA BUSTAMANTE</t>
  </si>
  <si>
    <t>TRAN.CTAS.TERC.BM</t>
  </si>
  <si>
    <t>08573454</t>
  </si>
  <si>
    <t>03617458</t>
  </si>
  <si>
    <t>02928341</t>
  </si>
  <si>
    <t>LIANG NN YANQIU</t>
  </si>
  <si>
    <t>TRANSF.BCO.INTERBANK</t>
  </si>
  <si>
    <t>02847819</t>
  </si>
  <si>
    <t>ALVAREZ-SALAS-CARLOS</t>
  </si>
  <si>
    <t>03209955</t>
  </si>
  <si>
    <t>ROJAS CACERES VITHIA MARCELA</t>
  </si>
  <si>
    <t>02419310</t>
  </si>
  <si>
    <t>ENRIQUEZ-ILLESCAS-LAURA</t>
  </si>
  <si>
    <t>02696269</t>
  </si>
  <si>
    <t>DIEGO HERNAN MORALES X</t>
  </si>
  <si>
    <t>05823344</t>
  </si>
  <si>
    <t>FLORES GARCIA KATIUSKA TERESA</t>
  </si>
  <si>
    <t>05389544</t>
  </si>
  <si>
    <t>VEGA DIESTRA DAVID VICTOR</t>
  </si>
  <si>
    <t>03006094</t>
  </si>
  <si>
    <t>FERRER CODINA MILAGROS DE JESUS</t>
  </si>
  <si>
    <t>00791169</t>
  </si>
  <si>
    <t>04819680</t>
  </si>
  <si>
    <t>00794655</t>
  </si>
  <si>
    <t>MONTESINOS CAMPOS NATALY MAGDALENA</t>
  </si>
  <si>
    <t>04534099</t>
  </si>
  <si>
    <t>CHAVEZ JULCAHUANCA VANESSA ZORAIDA</t>
  </si>
  <si>
    <t>04257108</t>
  </si>
  <si>
    <t>LI NN XIAN YI</t>
  </si>
  <si>
    <t>02799173</t>
  </si>
  <si>
    <t>VICTOR DANIEL DE LA CRUZ SOLO</t>
  </si>
  <si>
    <t>00681111</t>
  </si>
  <si>
    <t>MILAGROS MERCEDES BARRIENTOS FLORES</t>
  </si>
  <si>
    <t>02918078</t>
  </si>
  <si>
    <t>CHUMPITAZ-JORDAN-GIANFRANCO</t>
  </si>
  <si>
    <t>04733331</t>
  </si>
  <si>
    <t>05568200</t>
  </si>
  <si>
    <t>05171425</t>
  </si>
  <si>
    <t>01810104</t>
  </si>
  <si>
    <t>04138284</t>
  </si>
  <si>
    <t>06339795</t>
  </si>
  <si>
    <t>TRANSF.BCO.SCOTIABANK</t>
  </si>
  <si>
    <t>02838839</t>
  </si>
  <si>
    <t>ROSA TUME ZEGARRA</t>
  </si>
  <si>
    <t>01167585</t>
  </si>
  <si>
    <t>TOLOSA ALVAREZ WILKENDRY ANTONIO</t>
  </si>
  <si>
    <t>03385120</t>
  </si>
  <si>
    <t>01049363</t>
  </si>
  <si>
    <t>01158104</t>
  </si>
  <si>
    <t>02314420</t>
  </si>
  <si>
    <t>00142069</t>
  </si>
  <si>
    <t>PAOLA FABIOLA QUI�ONES PONCE DE LEON</t>
  </si>
  <si>
    <t>TRAN.CTAS.TERC.HK</t>
  </si>
  <si>
    <t>06000739</t>
  </si>
  <si>
    <t>02265234</t>
  </si>
  <si>
    <t>CALDERON-MINCHOLA-DENIS</t>
  </si>
  <si>
    <t>03002185</t>
  </si>
  <si>
    <t>DE-LA-CRUZ DELGADO WALTER</t>
  </si>
  <si>
    <t>03018563</t>
  </si>
  <si>
    <t>02292184</t>
  </si>
  <si>
    <t>GUTIERREZ-ESQUICHA-OLIVER</t>
  </si>
  <si>
    <t>02518085</t>
  </si>
  <si>
    <t>RUBEN DARIO TORANZO SILVA</t>
  </si>
  <si>
    <t>04638121</t>
  </si>
  <si>
    <t>MENDOZA SALDANA FRANK ANDRE</t>
  </si>
  <si>
    <t>02904936</t>
  </si>
  <si>
    <t>BELLIDO-GUILLEN-LINO</t>
  </si>
  <si>
    <t>03475750</t>
  </si>
  <si>
    <t>02742386</t>
  </si>
  <si>
    <t>05001722</t>
  </si>
  <si>
    <t>05006175</t>
  </si>
  <si>
    <t>01768841</t>
  </si>
  <si>
    <t>02453927</t>
  </si>
  <si>
    <t>HENDRICK FONG OSCAR ALEJANDRO</t>
  </si>
  <si>
    <t>02487754</t>
  </si>
  <si>
    <t>PUJOL-CORRECHER-EDUARDO</t>
  </si>
  <si>
    <t>02439028</t>
  </si>
  <si>
    <t>ORLANDO SULLCAHUAMAN OTERO</t>
  </si>
  <si>
    <t>02660627</t>
  </si>
  <si>
    <t>00124914</t>
  </si>
  <si>
    <t>02937821</t>
  </si>
  <si>
    <t>FALCON-RAMOS-CAROLINA</t>
  </si>
  <si>
    <t>01494617</t>
  </si>
  <si>
    <t>04726952</t>
  </si>
  <si>
    <t>02184327</t>
  </si>
  <si>
    <t>02200714</t>
  </si>
  <si>
    <t>MORALES-DURAND-DE-DURAN-ZANDRA</t>
  </si>
  <si>
    <t>05245257</t>
  </si>
  <si>
    <t>02934212</t>
  </si>
  <si>
    <t>BERROSPI-SEVILLANOS-SEVILLANOS-JHOJAN KLAUS</t>
  </si>
  <si>
    <t>02175799</t>
  </si>
  <si>
    <t>OCHOA-ALEJOS-CESAR</t>
  </si>
  <si>
    <t>05018010</t>
  </si>
  <si>
    <t>CAO NN DACHAO</t>
  </si>
  <si>
    <t>05791971</t>
  </si>
  <si>
    <t>00730004</t>
  </si>
  <si>
    <t>SILVA OLIVERA IVET JOHANA</t>
  </si>
  <si>
    <t>03836498</t>
  </si>
  <si>
    <t>ROCA ZEGARRA RAQUEL JENIFFER</t>
  </si>
  <si>
    <t>03113512</t>
  </si>
  <si>
    <t>MALDONADO DE-LA-CRUZ NORA TERESA</t>
  </si>
  <si>
    <t>03010975</t>
  </si>
  <si>
    <t>03349699</t>
  </si>
  <si>
    <t>01048107</t>
  </si>
  <si>
    <t>FIGUEROA ALVARADO YNES LUCIA</t>
  </si>
  <si>
    <t>02977641</t>
  </si>
  <si>
    <t>LOPEZ PARI SHEYLA KATHERINE</t>
  </si>
  <si>
    <t>01353408</t>
  </si>
  <si>
    <t>TORRES VILLANTOY SUSAN VICTORIA</t>
  </si>
  <si>
    <t>03064956</t>
  </si>
  <si>
    <t>02836574</t>
  </si>
  <si>
    <t>PARI NUNEZ LEONOR</t>
  </si>
  <si>
    <t>02015232</t>
  </si>
  <si>
    <t>HELEN FRANCESCA HENOSTROZA CRUZ</t>
  </si>
  <si>
    <t>02034068</t>
  </si>
  <si>
    <t>SALINAS SOUZA CARLOS ENRIQUE JOSE ALFR</t>
  </si>
  <si>
    <t>02770423</t>
  </si>
  <si>
    <t>ANGELICA MARIA FLORES TORRES</t>
  </si>
  <si>
    <t>03319508</t>
  </si>
  <si>
    <t>FIGUEROA MARQUEZ ELIZABETH JANETH</t>
  </si>
  <si>
    <t>TRANSF.BCO.NACION</t>
  </si>
  <si>
    <t>02793293</t>
  </si>
  <si>
    <t>CARMEN MALACHE</t>
  </si>
  <si>
    <t>02419849</t>
  </si>
  <si>
    <t>00994572</t>
  </si>
  <si>
    <t>02223428</t>
  </si>
  <si>
    <t>02053837</t>
  </si>
  <si>
    <t>DELGADO-SILVA-LUIS</t>
  </si>
  <si>
    <t>01960247</t>
  </si>
  <si>
    <t>DELGADO SALDANA ALBERTO ALEXANDE</t>
  </si>
  <si>
    <t>02212696</t>
  </si>
  <si>
    <t>MONZON JUAREZ MILAGROS DEL CARMEN</t>
  </si>
  <si>
    <t>02660772</t>
  </si>
  <si>
    <t>M C V dni: 43795888</t>
  </si>
  <si>
    <t>04921090</t>
  </si>
  <si>
    <t>PEREZ SANCHEZ KIRIA JAEL</t>
  </si>
  <si>
    <t>02999153</t>
  </si>
  <si>
    <t>BERMEJO-DE-LA-CRUZ-JOSE</t>
  </si>
  <si>
    <t>04199280</t>
  </si>
  <si>
    <t>02891361</t>
  </si>
  <si>
    <t>01327165</t>
  </si>
  <si>
    <t>02721640</t>
  </si>
  <si>
    <t>03231282</t>
  </si>
  <si>
    <t>02005044</t>
  </si>
  <si>
    <t>GUTIERREZ-PECEROS-ALBERTO</t>
  </si>
  <si>
    <t>DE COMPANIA INCUBADORA</t>
  </si>
  <si>
    <t>01260937</t>
  </si>
  <si>
    <t>03096777</t>
  </si>
  <si>
    <t>ZAPATA VELASCO ANGELA PATRICIA</t>
  </si>
  <si>
    <t>00714353</t>
  </si>
  <si>
    <t>MADUENO CHUMPITAZ LOURDES DE LOS ANGELES</t>
  </si>
  <si>
    <t>02247147</t>
  </si>
  <si>
    <t>RODRIGUEZ-SOSA-TAMARA</t>
  </si>
  <si>
    <t>02772836</t>
  </si>
  <si>
    <t>ANA CLAUDIA ARRESCURENAGA ORIHUELA</t>
  </si>
  <si>
    <t>02589723</t>
  </si>
  <si>
    <t>L V F ce:99999999</t>
  </si>
  <si>
    <t>02926360</t>
  </si>
  <si>
    <t>DE BERTOLOTTO INVESTME</t>
  </si>
  <si>
    <t>02260886</t>
  </si>
  <si>
    <t>BERTOLOTTO INVESTMENTS S.A.C.</t>
  </si>
  <si>
    <t>05404570</t>
  </si>
  <si>
    <t>02109372</t>
  </si>
  <si>
    <t>CHAFLOQUE-MORENO-ALEXIS</t>
  </si>
  <si>
    <t>02909666</t>
  </si>
  <si>
    <t>BLAS-OLIVER-LIDIA</t>
  </si>
  <si>
    <t>ENTR.EFEC. 0389214</t>
  </si>
  <si>
    <t>00389214</t>
  </si>
  <si>
    <t>05414384</t>
  </si>
  <si>
    <t>02622537</t>
  </si>
  <si>
    <t>02413093</t>
  </si>
  <si>
    <t>J S C dni:72859311</t>
  </si>
  <si>
    <t>02137766</t>
  </si>
  <si>
    <t>01073655</t>
  </si>
  <si>
    <t>FLORES MORALES MELISSA</t>
  </si>
  <si>
    <t>ENTR.EFEC. 0594593</t>
  </si>
  <si>
    <t>00594593</t>
  </si>
  <si>
    <t>02123472</t>
  </si>
  <si>
    <t>QUINTO ANCIETA MILAGROS MARILU</t>
  </si>
  <si>
    <t>02592350</t>
  </si>
  <si>
    <t>VENTURA FERREYRA MILAGRITOS DEL PILAR</t>
  </si>
  <si>
    <t>02042651</t>
  </si>
  <si>
    <t>01921338</t>
  </si>
  <si>
    <t>01422349</t>
  </si>
  <si>
    <t>01898334</t>
  </si>
  <si>
    <t>02269822</t>
  </si>
  <si>
    <t>CHAVEZ-TAGLE-SISLEY</t>
  </si>
  <si>
    <t>02877317</t>
  </si>
  <si>
    <t>LOCK GOVEA JOSE EDILBERTO</t>
  </si>
  <si>
    <t>01870746</t>
  </si>
  <si>
    <t>CHAVEZ JULCAHUANCA LUCIA ELIZABETH</t>
  </si>
  <si>
    <t>01880042</t>
  </si>
  <si>
    <t>01472167</t>
  </si>
  <si>
    <t>VALDIVIA OBANDO OSCAR EDMUNDO FRANCISCO</t>
  </si>
  <si>
    <t>01428639</t>
  </si>
  <si>
    <t>01598931</t>
  </si>
  <si>
    <t>VILLACORTA ROCA KATHERINE MISHELL</t>
  </si>
  <si>
    <t>02196642</t>
  </si>
  <si>
    <t>02136168</t>
  </si>
  <si>
    <t>02663644</t>
  </si>
  <si>
    <t>JERSON JULIANO CHUCO PAUCAR</t>
  </si>
  <si>
    <t>02046088</t>
  </si>
  <si>
    <t>05272127</t>
  </si>
  <si>
    <t>01126176</t>
  </si>
  <si>
    <t>03326608</t>
  </si>
  <si>
    <t>MERINO NEGRON PEDRO MANUEL</t>
  </si>
  <si>
    <t>02261310</t>
  </si>
  <si>
    <t>PADILLA-CRUZ-LOURDES</t>
  </si>
  <si>
    <t>02547581</t>
  </si>
  <si>
    <t>TICONA MELGAR OLGER</t>
  </si>
  <si>
    <t>02556623</t>
  </si>
  <si>
    <t>00107531</t>
  </si>
  <si>
    <t>00013544</t>
  </si>
  <si>
    <t>ALIAGA ALVAREZ ZARELLA DENISSE</t>
  </si>
  <si>
    <t>02183582</t>
  </si>
  <si>
    <t>GABANCHO-DAVILA-VALERIA</t>
  </si>
  <si>
    <t>01388012</t>
  </si>
  <si>
    <t>MADUENO MORALES LUCIENNE MARGARETH</t>
  </si>
  <si>
    <t>04418623</t>
  </si>
  <si>
    <t>02540505</t>
  </si>
  <si>
    <t>04058911</t>
  </si>
  <si>
    <t>CUBA REYES ANGIE CONSUELO LESLIE</t>
  </si>
  <si>
    <t>05345088</t>
  </si>
  <si>
    <t>05347015</t>
  </si>
  <si>
    <t>03197117</t>
  </si>
  <si>
    <t>QUISPE TAPIA BERLINNE CLARET</t>
  </si>
  <si>
    <t>02759003</t>
  </si>
  <si>
    <t>FIORELLA TOLEDO MUENTE</t>
  </si>
  <si>
    <t>03711180</t>
  </si>
  <si>
    <t>DELGADO SALDANA ALBERTO ALEXANDER</t>
  </si>
  <si>
    <t>04396217</t>
  </si>
  <si>
    <t>00947515</t>
  </si>
  <si>
    <t>04612679</t>
  </si>
  <si>
    <t>02332610</t>
  </si>
  <si>
    <t>05656945</t>
  </si>
  <si>
    <t>04305401</t>
  </si>
  <si>
    <t>TOMATEO HUARCAYA MARIA ISABEL</t>
  </si>
  <si>
    <t>00786175</t>
  </si>
  <si>
    <t>05681105</t>
  </si>
  <si>
    <t>REGALADO SANTANA MARIA CELINDA</t>
  </si>
  <si>
    <t>05693674</t>
  </si>
  <si>
    <t>CONSORCIO FUENTES EIRL</t>
  </si>
  <si>
    <t>05692729</t>
  </si>
  <si>
    <t>BCO.BBVA99999999999999</t>
  </si>
  <si>
    <t>00001914</t>
  </si>
  <si>
    <t>00001913</t>
  </si>
  <si>
    <t>04238025</t>
  </si>
  <si>
    <t>BALLENA CAPUNAY FELIX ADALBERTO</t>
  </si>
  <si>
    <t>05694206</t>
  </si>
  <si>
    <t>05690032</t>
  </si>
  <si>
    <t>05685493</t>
  </si>
  <si>
    <t>05689334</t>
  </si>
  <si>
    <t>05672276</t>
  </si>
  <si>
    <t>04499905</t>
  </si>
  <si>
    <t>01187243</t>
  </si>
  <si>
    <t>00933065</t>
  </si>
  <si>
    <t>GUTIERREZ CORDOVA ANGELA PIERINA</t>
  </si>
  <si>
    <t>03257548</t>
  </si>
  <si>
    <t>SALVATIERRA TORRES ROGGER DANNY</t>
  </si>
  <si>
    <t>03221458</t>
  </si>
  <si>
    <t>01427006</t>
  </si>
  <si>
    <t>OYOLA LAURENCIO JERSON ALONSO</t>
  </si>
  <si>
    <t>03263590</t>
  </si>
  <si>
    <t>06008876</t>
  </si>
  <si>
    <t>BASTERRECHEA NN JIMMY</t>
  </si>
  <si>
    <t>01317465</t>
  </si>
  <si>
    <t>03829073</t>
  </si>
  <si>
    <t>REZUKHIN NN DMITRII</t>
  </si>
  <si>
    <t>02009331</t>
  </si>
  <si>
    <t>J S C</t>
  </si>
  <si>
    <t>01721245</t>
  </si>
  <si>
    <t>01459577</t>
  </si>
  <si>
    <t>BOZA VILLAVICENCIO ROSA ISABEL</t>
  </si>
  <si>
    <t>06007232</t>
  </si>
  <si>
    <t>01472267</t>
  </si>
  <si>
    <t>DEPOSITO AG 981945</t>
  </si>
  <si>
    <t>00058412</t>
  </si>
  <si>
    <t>CISNEROS CAHUANA JUANA CLENIA</t>
  </si>
  <si>
    <t>ENTR.EFEC. 0285287</t>
  </si>
  <si>
    <t>00285287</t>
  </si>
  <si>
    <t>01206604</t>
  </si>
  <si>
    <t>BUSTAMANTE RUIZ EDUARDO CARLOS</t>
  </si>
  <si>
    <t>03101316</t>
  </si>
  <si>
    <t>01654329</t>
  </si>
  <si>
    <t>02449261</t>
  </si>
  <si>
    <t>06002802</t>
  </si>
  <si>
    <t>GESTORA DE INVERSIONES INMOBILIARIAS S.A.C.</t>
  </si>
  <si>
    <t>06001618</t>
  </si>
  <si>
    <t>04625104</t>
  </si>
  <si>
    <t>02366183</t>
  </si>
  <si>
    <t>RUBIANO BARRERA NELSON RICARDO</t>
  </si>
  <si>
    <t>02344442</t>
  </si>
  <si>
    <t>QUISPE-ANQUISE-JUAN</t>
  </si>
  <si>
    <t>03968716</t>
  </si>
  <si>
    <t>01295541</t>
  </si>
  <si>
    <t>03982180</t>
  </si>
  <si>
    <t>02049110</t>
  </si>
  <si>
    <t>BERPHANO PRINCE OLORTEGUI VELA</t>
  </si>
  <si>
    <t>02357758</t>
  </si>
  <si>
    <t>03921288</t>
  </si>
  <si>
    <t>05464184</t>
  </si>
  <si>
    <t>05459214</t>
  </si>
  <si>
    <t>00220042</t>
  </si>
  <si>
    <t>02852598</t>
  </si>
  <si>
    <t>E V A</t>
  </si>
  <si>
    <t>01697215</t>
  </si>
  <si>
    <t>03956572</t>
  </si>
  <si>
    <t>00616845</t>
  </si>
  <si>
    <t>01722500</t>
  </si>
  <si>
    <t>01718859</t>
  </si>
  <si>
    <t>03485680</t>
  </si>
  <si>
    <t>00868471</t>
  </si>
  <si>
    <t>02197757</t>
  </si>
  <si>
    <t>00010886</t>
  </si>
  <si>
    <t>02371647</t>
  </si>
  <si>
    <t>00012052</t>
  </si>
  <si>
    <t>02419492</t>
  </si>
  <si>
    <t>JOSE AUGUSTO CANDELA ROJAS</t>
  </si>
  <si>
    <t>02721180</t>
  </si>
  <si>
    <t>ERLINDA DAVILA</t>
  </si>
  <si>
    <t>03222311</t>
  </si>
  <si>
    <t>ROSARIO TORRES PATRICIA DEL CARMEN</t>
  </si>
  <si>
    <t>04717173</t>
  </si>
  <si>
    <t>MARIA CECILIA SOLARI ATOCHE</t>
  </si>
  <si>
    <t>04904755</t>
  </si>
  <si>
    <t>DAVILA SANTILLAN ERLINDA MERCEDES</t>
  </si>
  <si>
    <t>02692450</t>
  </si>
  <si>
    <t>PABLO ABEL MINIANO GARCIA</t>
  </si>
  <si>
    <t>02781700</t>
  </si>
  <si>
    <t>CLAUDIA VILLAVICENCIO PONCE DE LEON</t>
  </si>
  <si>
    <t>01281577</t>
  </si>
  <si>
    <t>SAUNE PACCO JOSE OSWALDO</t>
  </si>
  <si>
    <t>02042569</t>
  </si>
  <si>
    <t>LUIS DAVID SULCA CORONADO</t>
  </si>
  <si>
    <t>02721390</t>
  </si>
  <si>
    <t>04109601</t>
  </si>
  <si>
    <t>05416179</t>
  </si>
  <si>
    <t>02042466</t>
  </si>
  <si>
    <t>01127893</t>
  </si>
  <si>
    <t>02355748</t>
  </si>
  <si>
    <t>MARILYN ROXANA VELIZ CACHO</t>
  </si>
  <si>
    <t>01094784</t>
  </si>
  <si>
    <t>02067249</t>
  </si>
  <si>
    <t>04679935</t>
  </si>
  <si>
    <t>02076309</t>
  </si>
  <si>
    <t>LUIS FERNANDO DELGADO SILVA</t>
  </si>
  <si>
    <t>02335219</t>
  </si>
  <si>
    <t>GUIMARAY-HERNANDEZ-RICARDO</t>
  </si>
  <si>
    <t>04329217</t>
  </si>
  <si>
    <t>MENDIOLA LOPEZ MARIA ELENA MARTINA</t>
  </si>
  <si>
    <t>05608596</t>
  </si>
  <si>
    <t>ESTRADA PADILLA DIANA GERALDINE</t>
  </si>
  <si>
    <t>02191271</t>
  </si>
  <si>
    <t>OSORIO MILENA-O-CANDELA ALVARO</t>
  </si>
  <si>
    <t>02619147</t>
  </si>
  <si>
    <t>02185125</t>
  </si>
  <si>
    <t>DIEGO SEGURA MENDEZ</t>
  </si>
  <si>
    <t>02826636</t>
  </si>
  <si>
    <t>04263678</t>
  </si>
  <si>
    <t>02378358</t>
  </si>
  <si>
    <t>03870146</t>
  </si>
  <si>
    <t>07945577</t>
  </si>
  <si>
    <t>00415479</t>
  </si>
  <si>
    <t>01495399</t>
  </si>
  <si>
    <t>HERRERA CASTRO VANESA ZARELA</t>
  </si>
  <si>
    <t>03255221</t>
  </si>
  <si>
    <t>01512170</t>
  </si>
  <si>
    <t>Referencia</t>
  </si>
  <si>
    <t>codigo PP</t>
  </si>
  <si>
    <t>periodo x aplicar</t>
  </si>
  <si>
    <t>periodo anterior</t>
  </si>
  <si>
    <t>Saldo acumulado</t>
  </si>
  <si>
    <t>Débora Dick Mejía Turriate</t>
  </si>
  <si>
    <t>en transito</t>
  </si>
  <si>
    <t>depa 708</t>
  </si>
  <si>
    <t>depa 807</t>
  </si>
  <si>
    <t>sandoval</t>
  </si>
  <si>
    <t>Total general</t>
  </si>
  <si>
    <t>Predio</t>
  </si>
  <si>
    <t xml:space="preserve"> % PARTICIPACIÓN</t>
  </si>
  <si>
    <t xml:space="preserve"> VALOR CUOTA</t>
  </si>
  <si>
    <t xml:space="preserve"> AGUA CONSUMO</t>
  </si>
  <si>
    <t xml:space="preserve"> SUMA</t>
  </si>
  <si>
    <t xml:space="preserve">S/. AGUA CONSUMO </t>
  </si>
  <si>
    <t>fechas</t>
  </si>
  <si>
    <t>Montos</t>
  </si>
  <si>
    <t>PRONTOMATIK</t>
  </si>
  <si>
    <t>Valores</t>
  </si>
  <si>
    <t xml:space="preserve"> PREDIOS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</si>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</sst>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S/&quot;\ * #,##0.00_);_(&quot;S/&quot;\ * \(#,##0.00\);_(&quot;S/&quot;\ * &quot;-&quot;??_);_(@_)"/>
    <numFmt numFmtId="43" formatCode="_(* #,##0.00_);_(* \(#,##0.00\);_(* &quot;-&quot;??_);_(@_)"/>
    <numFmt numFmtId="164" formatCode="_(* #,##0_);_(* \(#,##0\);_(* &quot;-&quot;??_);_(@_)"/>
    <numFmt numFmtId="165" formatCode="_(&quot;S/&quot;\ * #,##0.0000_);_(&quot;S/&quot;\ * \(#,##0.0000\);_(&quot;S/&quot;\ * &quot;-&quot;??_);_(@_)"/>
    <numFmt numFmtId="166" formatCode="0.0000%"/>
    <numFmt numFmtId="167" formatCode="_(* #,##0.00000_);_(* \(#,##0.00000\);_(* &quot;-&quot;??_);_(@_)"/>
    <numFmt numFmtId="168" formatCode="#,##0.0000000000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7"/>
      <color theme="1"/>
      <name val="Aptos"/>
      <family val="2"/>
    </font>
    <font>
      <b/>
      <sz val="26"/>
      <color rgb="FF0070C0"/>
      <name val="Aptos"/>
      <family val="2"/>
    </font>
    <font>
      <b/>
      <sz val="26"/>
      <color theme="1"/>
      <name val="Aptos"/>
      <family val="2"/>
    </font>
    <font>
      <b/>
      <sz val="27"/>
      <color rgb="FFFF0000"/>
      <name val="Aptos"/>
      <family val="2"/>
    </font>
    <font>
      <sz val="27"/>
      <color theme="1"/>
      <name val="Aptos"/>
      <family val="2"/>
    </font>
    <font>
      <i/>
      <u/>
      <sz val="27"/>
      <color theme="1"/>
      <name val="Aptos"/>
      <family val="2"/>
    </font>
    <font>
      <b/>
      <sz val="36"/>
      <color theme="1"/>
      <name val="Aptos"/>
      <family val="2"/>
    </font>
    <font>
      <b/>
      <u/>
      <sz val="48"/>
      <color theme="1"/>
      <name val="Aptos"/>
      <family val="2"/>
    </font>
    <font>
      <sz val="26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12"/>
      <name val="Aptos"/>
      <family val="2"/>
    </font>
    <font>
      <b/>
      <i/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E9F"/>
      </patternFill>
    </fill>
    <fill>
      <patternFill patternType="solid">
        <fgColor rgb="FFFFFFFF"/>
      </patternFill>
    </fill>
    <fill>
      <patternFill patternType="solid">
        <fgColor rgb="FFF4F4FC"/>
      </patternFill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43" fontId="0" fillId="0" borderId="1" xfId="1" applyFont="1" applyBorder="1" applyAlignment="1">
      <alignment horizontal="center"/>
    </xf>
    <xf numFmtId="43" fontId="0" fillId="0" borderId="1" xfId="0" applyNumberFormat="1" applyBorder="1" applyAlignment="1">
      <alignment horizontal="center"/>
    </xf>
    <xf numFmtId="16" fontId="3" fillId="0" borderId="1" xfId="0" applyNumberFormat="1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4" fontId="7" fillId="0" borderId="0" xfId="2" applyFont="1" applyBorder="1" applyAlignment="1">
      <alignment horizontal="center" vertical="center" wrapText="1"/>
    </xf>
    <xf numFmtId="43" fontId="4" fillId="0" borderId="0" xfId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17" fontId="8" fillId="0" borderId="1" xfId="3" applyNumberFormat="1" applyFont="1" applyBorder="1" applyAlignment="1">
      <alignment horizontal="right" vertical="center" wrapText="1"/>
    </xf>
    <xf numFmtId="0" fontId="4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9" fillId="0" borderId="0" xfId="3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8" fillId="0" borderId="0" xfId="3" applyFont="1" applyAlignment="1">
      <alignment vertical="center" wrapText="1"/>
    </xf>
    <xf numFmtId="39" fontId="8" fillId="0" borderId="1" xfId="1" applyNumberFormat="1" applyFont="1" applyBorder="1" applyAlignment="1">
      <alignment horizontal="center" vertical="center" wrapText="1"/>
    </xf>
    <xf numFmtId="14" fontId="4" fillId="0" borderId="1" xfId="3" applyNumberFormat="1" applyFont="1" applyBorder="1" applyAlignment="1">
      <alignment horizontal="center" vertical="center" wrapText="1"/>
    </xf>
    <xf numFmtId="14" fontId="8" fillId="0" borderId="1" xfId="3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2" fillId="0" borderId="0" xfId="0" applyFont="1"/>
    <xf numFmtId="43" fontId="3" fillId="0" borderId="0" xfId="1" applyFont="1"/>
    <xf numFmtId="43" fontId="0" fillId="0" borderId="0" xfId="1" applyFont="1"/>
    <xf numFmtId="43" fontId="13" fillId="0" borderId="0" xfId="1" applyFont="1"/>
    <xf numFmtId="1" fontId="0" fillId="0" borderId="0" xfId="1" applyNumberFormat="1" applyFont="1" applyAlignment="1">
      <alignment horizontal="center"/>
    </xf>
    <xf numFmtId="4" fontId="0" fillId="0" borderId="0" xfId="0" applyNumberFormat="1"/>
    <xf numFmtId="1" fontId="0" fillId="0" borderId="0" xfId="1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37" fontId="0" fillId="0" borderId="0" xfId="0" applyNumberFormat="1"/>
    <xf numFmtId="165" fontId="0" fillId="0" borderId="0" xfId="2" applyNumberFormat="1" applyFont="1"/>
    <xf numFmtId="1" fontId="0" fillId="0" borderId="0" xfId="2" applyNumberFormat="1" applyFont="1" applyAlignment="1">
      <alignment horizontal="center"/>
    </xf>
    <xf numFmtId="165" fontId="0" fillId="0" borderId="0" xfId="2" applyNumberFormat="1" applyFont="1" applyFill="1"/>
    <xf numFmtId="0" fontId="15" fillId="0" borderId="0" xfId="0" applyFont="1"/>
    <xf numFmtId="0" fontId="16" fillId="0" borderId="0" xfId="0" applyFont="1"/>
    <xf numFmtId="37" fontId="0" fillId="0" borderId="1" xfId="1" applyNumberFormat="1" applyFont="1" applyFill="1" applyBorder="1" applyAlignment="1">
      <alignment horizontal="center" vertical="center" wrapText="1"/>
    </xf>
    <xf numFmtId="37" fontId="0" fillId="2" borderId="1" xfId="1" applyNumberFormat="1" applyFont="1" applyFill="1" applyBorder="1" applyAlignment="1">
      <alignment horizontal="center" vertical="center" wrapText="1"/>
    </xf>
    <xf numFmtId="37" fontId="2" fillId="0" borderId="1" xfId="1" applyNumberFormat="1" applyFont="1" applyFill="1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 vertical="center" wrapText="1"/>
    </xf>
    <xf numFmtId="1" fontId="0" fillId="2" borderId="1" xfId="1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43" fontId="0" fillId="4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7" fontId="0" fillId="0" borderId="1" xfId="1" applyNumberFormat="1" applyFont="1" applyFill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43" fontId="0" fillId="0" borderId="1" xfId="1" applyFont="1" applyBorder="1"/>
    <xf numFmtId="1" fontId="0" fillId="0" borderId="1" xfId="1" applyNumberFormat="1" applyFont="1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1" fontId="0" fillId="5" borderId="1" xfId="1" applyNumberFormat="1" applyFont="1" applyFill="1" applyBorder="1" applyAlignment="1">
      <alignment horizontal="center"/>
    </xf>
    <xf numFmtId="0" fontId="3" fillId="5" borderId="0" xfId="0" applyFont="1" applyFill="1"/>
    <xf numFmtId="0" fontId="0" fillId="5" borderId="1" xfId="0" applyFill="1" applyBorder="1"/>
    <xf numFmtId="37" fontId="0" fillId="5" borderId="1" xfId="1" applyNumberFormat="1" applyFont="1" applyFill="1" applyBorder="1" applyAlignment="1">
      <alignment horizontal="center"/>
    </xf>
    <xf numFmtId="0" fontId="17" fillId="0" borderId="0" xfId="0" applyFont="1"/>
    <xf numFmtId="37" fontId="0" fillId="0" borderId="0" xfId="1" applyNumberFormat="1" applyFont="1" applyFill="1" applyBorder="1" applyAlignment="1">
      <alignment horizontal="center"/>
    </xf>
    <xf numFmtId="1" fontId="0" fillId="0" borderId="0" xfId="1" applyNumberFormat="1" applyFont="1" applyBorder="1" applyAlignment="1">
      <alignment horizontal="center"/>
    </xf>
    <xf numFmtId="43" fontId="0" fillId="0" borderId="0" xfId="1" applyFont="1" applyBorder="1"/>
    <xf numFmtId="164" fontId="0" fillId="0" borderId="0" xfId="1" applyNumberFormat="1" applyFont="1"/>
    <xf numFmtId="164" fontId="0" fillId="0" borderId="0" xfId="1" applyNumberFormat="1" applyFont="1" applyFill="1"/>
    <xf numFmtId="43" fontId="0" fillId="0" borderId="0" xfId="1" applyFont="1" applyFill="1"/>
    <xf numFmtId="2" fontId="0" fillId="0" borderId="1" xfId="0" applyNumberFormat="1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166" fontId="0" fillId="0" borderId="1" xfId="4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66" fontId="0" fillId="0" borderId="1" xfId="4" applyNumberFormat="1" applyFont="1" applyBorder="1" applyAlignment="1">
      <alignment horizontal="center"/>
    </xf>
    <xf numFmtId="43" fontId="0" fillId="0" borderId="1" xfId="0" applyNumberFormat="1" applyBorder="1"/>
    <xf numFmtId="2" fontId="0" fillId="5" borderId="1" xfId="0" applyNumberFormat="1" applyFill="1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0" fillId="0" borderId="0" xfId="0" applyFont="1"/>
    <xf numFmtId="1" fontId="0" fillId="0" borderId="1" xfId="0" applyNumberFormat="1" applyBorder="1" applyAlignment="1">
      <alignment horizontal="center"/>
    </xf>
    <xf numFmtId="10" fontId="0" fillId="0" borderId="1" xfId="4" applyNumberFormat="1" applyFont="1" applyBorder="1" applyAlignment="1">
      <alignment horizontal="center"/>
    </xf>
    <xf numFmtId="43" fontId="0" fillId="0" borderId="0" xfId="0" applyNumberFormat="1"/>
    <xf numFmtId="167" fontId="0" fillId="0" borderId="0" xfId="1" applyNumberFormat="1" applyFont="1" applyAlignment="1">
      <alignment horizontal="center"/>
    </xf>
    <xf numFmtId="14" fontId="22" fillId="7" borderId="1" xfId="0" applyNumberFormat="1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4" fontId="22" fillId="7" borderId="1" xfId="0" applyNumberFormat="1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left" vertical="center"/>
    </xf>
    <xf numFmtId="4" fontId="22" fillId="8" borderId="1" xfId="0" applyNumberFormat="1" applyFont="1" applyFill="1" applyBorder="1" applyAlignment="1">
      <alignment horizontal="right" vertical="center"/>
    </xf>
    <xf numFmtId="4" fontId="22" fillId="8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8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5" borderId="1" xfId="0" applyFill="1" applyBorder="1" applyAlignment="1">
      <alignment horizontal="center"/>
    </xf>
    <xf numFmtId="168" fontId="0" fillId="0" borderId="0" xfId="0" applyNumberFormat="1"/>
    <xf numFmtId="0" fontId="22" fillId="11" borderId="1" xfId="0" applyFont="1" applyFill="1" applyBorder="1" applyAlignment="1">
      <alignment horizontal="center" vertical="center"/>
    </xf>
    <xf numFmtId="4" fontId="22" fillId="11" borderId="1" xfId="0" applyNumberFormat="1" applyFont="1" applyFill="1" applyBorder="1" applyAlignment="1">
      <alignment horizontal="center" vertical="center"/>
    </xf>
    <xf numFmtId="43" fontId="22" fillId="7" borderId="1" xfId="1" applyFont="1" applyFill="1" applyBorder="1" applyAlignment="1">
      <alignment horizontal="right" vertical="center"/>
    </xf>
    <xf numFmtId="43" fontId="22" fillId="8" borderId="1" xfId="1" applyFont="1" applyFill="1" applyBorder="1" applyAlignment="1">
      <alignment horizontal="right" vertical="center"/>
    </xf>
    <xf numFmtId="43" fontId="22" fillId="11" borderId="1" xfId="1" applyFont="1" applyFill="1" applyBorder="1" applyAlignment="1">
      <alignment horizontal="right" vertical="center"/>
    </xf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23" fillId="0" borderId="0" xfId="0" pivotButton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43" fontId="23" fillId="0" borderId="0" xfId="1" applyFont="1" applyAlignment="1">
      <alignment horizontal="center" vertical="center" wrapText="1"/>
    </xf>
    <xf numFmtId="43" fontId="23" fillId="0" borderId="0" xfId="0" applyNumberFormat="1" applyFont="1" applyAlignment="1">
      <alignment horizontal="center" vertical="center" wrapText="1"/>
    </xf>
    <xf numFmtId="43" fontId="3" fillId="0" borderId="0" xfId="1" applyFont="1" applyAlignment="1">
      <alignment horizontal="center" vertical="center" wrapText="1"/>
    </xf>
    <xf numFmtId="0" fontId="24" fillId="0" borderId="0" xfId="0" pivotButton="1" applyFont="1" applyAlignment="1">
      <alignment horizontal="center"/>
    </xf>
    <xf numFmtId="0" fontId="24" fillId="0" borderId="0" xfId="0" applyFont="1" applyAlignment="1">
      <alignment horizontal="center"/>
    </xf>
    <xf numFmtId="43" fontId="24" fillId="0" borderId="0" xfId="1" applyFont="1" applyAlignment="1">
      <alignment horizontal="center"/>
    </xf>
    <xf numFmtId="14" fontId="24" fillId="0" borderId="0" xfId="0" applyNumberFormat="1" applyFont="1" applyAlignment="1">
      <alignment horizontal="center"/>
    </xf>
    <xf numFmtId="43" fontId="24" fillId="0" borderId="0" xfId="0" applyNumberFormat="1" applyFont="1" applyAlignment="1">
      <alignment horizontal="center"/>
    </xf>
    <xf numFmtId="0" fontId="10" fillId="4" borderId="1" xfId="3" applyFont="1" applyFill="1" applyBorder="1" applyAlignment="1">
      <alignment horizontal="center" vertical="center" wrapText="1"/>
    </xf>
    <xf numFmtId="44" fontId="10" fillId="4" borderId="1" xfId="2" applyFont="1" applyFill="1" applyBorder="1" applyAlignment="1">
      <alignment horizontal="center" vertical="center" wrapText="1"/>
    </xf>
    <xf numFmtId="166" fontId="23" fillId="0" borderId="0" xfId="0" applyNumberFormat="1" applyFont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5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43" fontId="8" fillId="0" borderId="1" xfId="1" applyFont="1" applyBorder="1" applyAlignment="1">
      <alignment horizontal="left" vertical="center" wrapText="1"/>
    </xf>
    <xf numFmtId="0" fontId="4" fillId="0" borderId="3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</cellXfs>
  <cellStyles count="5">
    <cellStyle name="Millares" xfId="1" builtinId="3"/>
    <cellStyle name="Moneda" xfId="2" builtinId="4"/>
    <cellStyle name="Normal" xfId="0" builtinId="0"/>
    <cellStyle name="Normal 5" xfId="3" xr:uid="{8AC131BC-D7DC-4544-8989-23C04AB73C13}"/>
    <cellStyle name="Porcentaje" xfId="4" builtinId="5"/>
  </cellStyles>
  <dxfs count="70">
    <dxf>
      <numFmt numFmtId="166" formatCode="0.0000%"/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font>
        <sz val="2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Magallanes" id="{65D10A53-13B3-4FB4-B57F-3E70BF33B528}" userId="4eea5a5babdc009e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goritmo Negocios" refreshedDate="46060.681406481483" createdVersion="8" refreshedVersion="8" minRefreshableVersion="3" recordCount="382" xr:uid="{EFDEE5AF-4222-4174-935B-7BD4AE9EFCD9}">
  <cacheSource type="worksheet">
    <worksheetSource ref="A1:I383" sheet="calculo"/>
  </cacheSource>
  <cacheFields count="9">
    <cacheField name="CODIGO" numFmtId="2">
      <sharedItems count="204">
        <s v="PP-000"/>
        <s v="PP-001"/>
        <s v="PP-002"/>
        <s v="PP-003"/>
        <s v="PP-004"/>
        <s v="PP-005"/>
        <s v="PP-006"/>
        <s v="PP-007"/>
        <s v="PP-008"/>
        <s v="PP-009"/>
        <s v="PP-010"/>
        <s v="PP-011"/>
        <s v="PP-012"/>
        <s v="PP-013"/>
        <s v="PP-014"/>
        <s v="PP-015"/>
        <s v="PP-016"/>
        <s v="PP-017"/>
        <s v="PP-018"/>
        <s v="PP-019"/>
        <s v="PP-020"/>
        <s v="PP-021"/>
        <s v="PP-022"/>
        <s v="PP-023"/>
        <s v="PP-024"/>
        <s v="PP-025"/>
        <s v="PP-026"/>
        <s v="PP-027"/>
        <s v="PP-028"/>
        <s v="PP-029"/>
        <s v="PP-030"/>
        <s v="PP-031"/>
        <s v="PP-032"/>
        <s v="PP-033"/>
        <s v="PP-034"/>
        <s v="PP-035"/>
        <s v="PP-036"/>
        <s v="PP-037"/>
        <s v="PP-038"/>
        <s v="PP-039"/>
        <s v="PP-040"/>
        <s v="PP-041"/>
        <s v="PP-042"/>
        <s v="PP-043"/>
        <s v="PP-044"/>
        <s v="PP-045"/>
        <s v="PP-046"/>
        <s v="PP-047"/>
        <s v="PP-048"/>
        <s v="PP-049"/>
        <s v="PP-050"/>
        <s v="PP-051"/>
        <s v="PP-052"/>
        <s v="PP-053"/>
        <s v="PP-054"/>
        <s v="PP-055"/>
        <s v="PP-056"/>
        <s v="PP-057"/>
        <s v="PP-058"/>
        <s v="PP-059"/>
        <s v="PP-060"/>
        <s v="PP-061"/>
        <s v="PP-062"/>
        <s v="PP-063"/>
        <s v="PP-064"/>
        <s v="PP-065"/>
        <s v="PP-066"/>
        <s v="PP-067"/>
        <s v="PP-068"/>
        <s v="PP-069"/>
        <s v="PP-070"/>
        <s v="PP-071"/>
        <s v="PP-072"/>
        <s v="PP-073"/>
        <s v="PP-074"/>
        <s v="PP-075"/>
        <s v="PP-076"/>
        <s v="PP-077"/>
        <s v="PP-078"/>
        <s v="PP-079"/>
        <s v="PP-080"/>
        <s v="PP-081"/>
        <s v="PP-082"/>
        <s v="PP-083"/>
        <s v="PP-084"/>
        <s v="PP-085"/>
        <s v="PP-086"/>
        <s v="PP-087"/>
        <s v="PP-088"/>
        <s v="PP-089"/>
        <s v="PP-090"/>
        <s v="PP-091"/>
        <s v="PP-092"/>
        <s v="PP-093"/>
        <s v="PP-094"/>
        <s v="PP-095"/>
        <s v="PP-096"/>
        <s v="PP-097"/>
        <s v="PP-098"/>
        <s v="PP-099"/>
        <s v="PP-100"/>
        <s v="PP-101"/>
        <s v="PP-102"/>
        <s v="PP-103"/>
        <s v="PP-104"/>
        <s v="PP-105"/>
        <s v="PP-106"/>
        <s v="PP-107"/>
        <s v="PP-108"/>
        <s v="PP-109"/>
        <s v="PP-110"/>
        <s v="PP-111"/>
        <s v="PP-112"/>
        <s v="PP-113"/>
        <s v="PP-114"/>
        <s v="PP-115"/>
        <s v="PP-116"/>
        <s v="PP-117"/>
        <s v="PP-118"/>
        <s v="PP-119"/>
        <s v="PP-120"/>
        <s v="PP-121"/>
        <s v="PP-122"/>
        <s v="PP-123"/>
        <s v="PP-124"/>
        <s v="PP-125"/>
        <s v="PP-126"/>
        <s v="PP-127"/>
        <s v="PP-128"/>
        <s v="PP-129"/>
        <s v="PP-130"/>
        <s v="PP-131"/>
        <s v="PP-132"/>
        <s v="PP-133"/>
        <s v="PP-134"/>
        <s v="PP-135"/>
        <s v="PP-136"/>
        <s v="PP-137"/>
        <s v="PP-138"/>
        <s v="PP-139"/>
        <s v="PP-140"/>
        <s v="PP-141"/>
        <s v="PP-142"/>
        <s v="PP-143"/>
        <s v="PP-144"/>
        <s v="PP-145"/>
        <s v="PP-146"/>
        <s v="PP-147"/>
        <s v="PP-148"/>
        <s v="PP-149"/>
        <s v="PP-150"/>
        <s v="PP-151"/>
        <s v="PP-152"/>
        <s v="PP-153"/>
        <s v="PP-154"/>
        <s v="PP-155"/>
        <s v="PP-156"/>
        <s v="PP-157"/>
        <s v="PP-158"/>
        <s v="PP-159"/>
        <s v="PP-160"/>
        <s v="PP-161"/>
        <s v="PP-162"/>
        <s v="PP-163"/>
        <s v="PP-164"/>
        <s v="PP-165"/>
        <s v="PP-166"/>
        <s v="PP-167"/>
        <s v="PP-168"/>
        <s v="PP-169"/>
        <s v="PP-170"/>
        <s v="PP-171"/>
        <s v="PP-172"/>
        <s v="PP-173"/>
        <s v="PP-174"/>
        <s v="PP-175"/>
        <s v="PP-176"/>
        <s v="PP-177"/>
        <s v="PP-178"/>
        <s v="PP-179"/>
        <s v="PP-180"/>
        <s v="PP-181"/>
        <s v="PP-182"/>
        <s v="PP-183"/>
        <s v="PP-184"/>
        <s v="PP-185"/>
        <s v="PP-186"/>
        <s v="PP-187"/>
        <s v="PP-188"/>
        <s v="PP-189"/>
        <s v="PP-190"/>
        <s v="PP-191"/>
        <s v="PP-192"/>
        <s v="PP-193"/>
        <s v="PP-194"/>
        <s v="PP-195"/>
        <s v="PP-196"/>
        <s v="PP-197"/>
        <s v="PP-198"/>
        <s v="PP-199"/>
        <s v="PP-200"/>
        <s v="PP-201"/>
        <s v="PP-202"/>
        <s v="PP-LAV"/>
      </sharedItems>
    </cacheField>
    <cacheField name="PROPIETARIO(S)" numFmtId="0">
      <sharedItems count="204">
        <s v="SIN IDENTIFICAR"/>
        <s v="AJK ASOCIADOS SAC"/>
        <s v="ALBAN MALACHE CHABELI"/>
        <s v="RUIZ JAVIER ALEJANDRO"/>
        <s v="ALEXANDER STRAHLE JURGEN"/>
        <s v="ALVA CUELLAR DUGLAS CONCEPCION"/>
        <s v="ALVARADO BRINGAS MILUSKA CARLA"/>
        <s v="ANTON ENICE"/>
        <s v="APARCANA ROSADIO LUIS MIGUEL"/>
        <s v="ASTO VARGAS HANS PIERRE"/>
        <s v="AVENDAÑO SILVA MIRLEY JESUS"/>
        <s v="AVILA JOEL ANTONIO"/>
        <s v="AYAQUE LARICO ISAAC ALFREDO"/>
        <s v="BADA CARPIO OSCAR"/>
        <s v="HENDRICK OSCAR  / HENDRICKLUISA "/>
        <s v="BENITES CERNA CARLOS ENRIQUE"/>
        <s v="BERTOLOTTO INVESTMENTS S.A.C"/>
        <s v="BLAS OLIVER LIDIA ROSALVA"/>
        <s v="CALDERON MINCHOLA JUAN CARLOS"/>
        <s v="CANCINO APAZA MARYLIN MARYBEL"/>
        <s v="CANEDO TAPIA MANUEL HERNAN"/>
        <s v="CAO DACHAO"/>
        <s v="CARDENAS MORIANO HEVELYNE HILDA"/>
        <s v="CARDENAS MORIANO WOLFGAN ANGEL"/>
        <s v="CARMONA DIAZ MERY"/>
        <s v="CARRASCO BEAS ALFREDO EDILBERTO"/>
        <s v="CARRILLO GALLO EDSON"/>
        <s v="CARRILLO PINEDA FERNANDO"/>
        <s v="CASAS PEREA JOSE"/>
        <s v="CASTILLA PEREZ CARMELA FERMINA"/>
        <s v="CASTRO ALMEIDA RAUL ARMANDO"/>
        <s v="CASTRO BARRERA ANITA MARITZA"/>
        <s v="SOLARI ATOCHE MARIA CECILIA"/>
        <s v="CHAFLOQUE MORENO ALEXIS JHONNY"/>
        <s v="CHAVEZ JULCAHUANCA VANESSA"/>
        <s v="CHAVEZ TAGLE SISLEY"/>
        <s v="CHAVEZ MYLADY"/>
        <s v="CHIA ALEGRE JORGE WILLIAMS"/>
        <s v="CHIROQUE FLOR LOZANO"/>
        <s v="CISNEROS ISLA GLORIA LEONOR"/>
        <s v="CORDERO VILCA PEDRO LUIS"/>
        <s v="CORNEJO JORGE JOSE ADRIAN"/>
        <s v="CORRECHER DEL TORO GURMENSINDA"/>
        <s v="CURAHUA SANCHEZ FLOR DE MARIA"/>
        <s v="DE LA CRUZ DELGADO WALTER"/>
        <s v="RUIZ SANDOVAL FLOR DE MARIA"/>
        <s v="DE MATTEIS DANIELE"/>
        <s v="DIAZ QUINTANA DAVID ENRIQUE"/>
        <s v="DURANGO CHAVEZ OLGA KARINA"/>
        <s v="HARO CABALLERO CAROL ELIZABETH"/>
        <s v="ESPINOZA PACHECO ELBIA ELIZABETH"/>
        <s v="ESTRADA DIANA"/>
        <s v="FALCON RAMOS CAROLINA FRANCHESKA"/>
        <s v="FERRER MILAGROS"/>
        <s v="FUENTES ALARCON PERVIS"/>
        <s v="GAMERO OSCAR"/>
        <s v="GARCIA ARCE ANDRES DANIEL"/>
        <s v="GARCIA TEJADA NORMA YSABEL"/>
        <s v="GARCIA JOSE"/>
        <s v="GARFIAS HURTADO MARISOL"/>
        <s v="GAVIDIA DIAZ ROSA TANIA"/>
        <s v="GHERSI GIURFA DANIEL DAVID"/>
        <s v="GODOY ACOSTA NORA EULALIA"/>
        <s v="GOMEZ BARTRA JOHANNA GORGETE"/>
        <s v="GOMEZ VILLENA ROLANDO MARTIN"/>
        <s v="GONZALES VIDAL MIGUEL ANGEL"/>
        <s v="GONZALES LUIS"/>
        <s v="LOCK GOVEA JOSE"/>
        <s v="GUERRERO ABARCA MONICA JULIE"/>
        <s v="GUERRERO GUERRERO JEAN MARCO"/>
        <s v="GUERRERO GUERRERO KETY FAGNI"/>
        <s v="GUERRERO JIMENEZ SERGIO"/>
        <s v="GUERRERO JIMENEZ SERGIO adicional 1"/>
        <s v="GUIMARAY RICARDO"/>
        <s v="GUTIERREZ GUERRERO YEISON MARTIN"/>
        <s v="GUTIERREZ PECEROS ALBERTO"/>
        <s v="HAYA HIDALGO FERNANDO TEOBALDO"/>
        <s v="HENOSTROZA DIAZ JULIAN"/>
        <s v="HERNAN MORALES DIEGO"/>
        <s v="HERRERA MENDOZA JEAN PIERRE"/>
        <s v="HUANAY MARTINEZ FRANZ CESAR"/>
        <s v="HUANGAL KESSLER JOSEFINA"/>
        <s v="HUERTA HUERTA CARLA ALESSANDRA"/>
        <s v="INDUSTRIAS GENERALES SAC"/>
        <s v="INFANTES JHEYSON"/>
        <s v="PARI NUÑEZ LEONOR "/>
        <s v="IZQUIERDO ALATA LIAM JUAN PEDRO"/>
        <s v="JARA CISNEROS RICHARD"/>
        <s v="JIMENEZ CARMEN"/>
        <s v="JO RENZO"/>
        <s v="JURADO PAZ Y MIÑO VICTOR"/>
        <s v="JUSTO NIETO MILENA KATHERINE"/>
        <s v="LA MADRID JOSE"/>
        <s v="MENDOZA TERESA LAURA"/>
        <s v="LAURA MENDOZA YSELA ROCIO"/>
        <s v="LEON PRISCILLA"/>
        <s v="LIANG YANQIU"/>
        <s v="LIZARZABURU PETROZZI MIKEL ARITZ"/>
        <s v="LLANO QUISPE JOSE LUIS"/>
        <s v="LOPEZ CORNELIO DAVID"/>
        <s v="LOPEZ FORTUNATO"/>
        <s v="LOREDO RODRIGUEZ CESAR ANTONIO"/>
        <s v="DURAN ZANDRA LUZ"/>
        <s v="MADUEÑO MORALES LUCIENNE"/>
        <s v="MALDONADO DE LA CRUZ NORA TERESA"/>
        <s v="SANCHEZ ALLAN ANDY MARCELO"/>
        <s v="SPEICHER LUIS"/>
        <s v="MENDIOLA LOPEZ MARIA ELENA "/>
        <s v="MENDOZA BAZAN SILVIA VERONICA"/>
        <s v="MERINO BRIONES SUSY"/>
        <s v="MESONES DEL RIO MARIA ISABEL"/>
        <s v="MINIANO GARCIA PABLO ABEL"/>
        <s v="MONTESINOS JORGE LUIS"/>
        <s v="MORALES CORDOVA JUAN ALARICO"/>
        <s v="MORALES LANDAURO GERARDO ALBERTO"/>
        <s v="MORON JENNY"/>
        <s v="NAVARRO VILLAVICENCIO JOSE KARLO"/>
        <s v="NEGRINI WITHER JORGE ENRIQUE"/>
        <s v="NEIRA UN JAN MILAGROS ANDREA"/>
        <s v="NUÑEZ ESTRADA YULY CRISTINA"/>
        <s v="OCHOA CESAR"/>
        <s v="MOGOLLÓN ANGELES ANGEL GIOVANNI JOSÉ  - GUTIÉRREZ RREZ CÓRDOVA ANGELA PIERINA"/>
        <s v="OLIVARES SAAVEDRA JAIME ALBERTO"/>
        <s v="ORELLANA VARGAS CARMEN ROSA"/>
        <s v="ORTEGA DELGADILLO EMPERATRIZ"/>
        <s v="OSORIO MOQUILLAZA JESUS ALFONSO"/>
        <s v="PANIAGUA SANDRO"/>
        <s v="PAREDES SALAZAR SARITA DEL CARMEN"/>
        <s v="PARKER CHAVEZ DIANA MARIA"/>
        <s v="PASSION FRESH SAC"/>
        <s v="PASTOR NICOLAS ROSA MARIA"/>
        <s v="PAZ ALATA JUAN DIEGO"/>
        <s v="PERALTA PARI RUBEN"/>
        <s v="PONCE DE LEON MARIA"/>
        <s v="MONZON MILAGROS "/>
        <s v="QUISPE JOSE LUIS"/>
        <s v="RAMOS GUTTI DANIEL"/>
        <s v="RAMOS REQUEJO MABEL LICER"/>
        <s v="REJAS REYES TEOBALDO ALFREDO"/>
        <s v="RENTERIA CHIOK MARIA ISABEL"/>
        <s v="RIOS JULCA NILTON"/>
        <s v="RIVERA MADARIAGA FIORELLA VANESSA"/>
        <s v="ROBLEDANO VICTOR"/>
        <s v="ROBLES SOTELO ERICK EUGENIO"/>
        <s v="RODRIGUEZ CECILIA"/>
        <s v="ROJAS VICTOR"/>
        <s v="ROSAS JHENIFER"/>
        <s v="RUBIANO NELSON"/>
        <s v="RUIZ GUTIERREZ ROSA"/>
        <s v="SAAVEDRA MACHUCA DANY ELVIS"/>
        <s v="SALINAS SOUZA CARLOS ENRIQUE JOSE ALFREDO"/>
        <s v="SALVADOR NILS"/>
        <s v="SAMANAMUD LOZANO NADIA"/>
        <s v="SANCHEZ DIAZ RUBEN"/>
        <s v="SANCHEZ-SALAZAR OLCESE GLADYS MARIELA"/>
        <s v="SANDOVAL AMASIFUEN EDWARD"/>
        <s v="MONTES DE OCA BRAMOSIO MARIA GABY"/>
        <s v="BUSTAMANTE EDUARDO  - SARMIENTO INGRID"/>
        <s v="MEDINA SARMIENTO JAVIER"/>
        <s v="SAUÑE PACCO JOSE OSWALDO"/>
        <s v="SEMINARIO OMAR"/>
        <s v="SOTO CONDORI GIANFRANCO"/>
        <s v="SULLCAHUAMAN OTERO ORLANDO"/>
        <s v="HERZL THOMAS  - GONZALES MONICA "/>
        <s v="TIBURCIO GARCIA LIZETH ALEJANDRA"/>
        <s v="TINEDO LOPEZ PEDRO LUIS"/>
        <s v="TINEO CASTAÑEDA CLAUDIA"/>
        <s v="TORANZO RUBEN"/>
        <s v="TORRES HUANGAL RODRIGO GUILLERMO"/>
        <s v="TORRES TORRES GUILLERMO"/>
        <s v="TORRES VALLEJOS CLAUDIA MARINA"/>
        <s v="TORRES VILANTOY SUSAN"/>
        <s v="TORRES ANGELICA"/>
        <s v="TUPAYACHI VALLENAS DENIS ALFREDO"/>
        <s v="VALDEZ CADENILLAS AGUSTIN"/>
        <s v="VALDIVIA OBANDO OSCAR"/>
        <s v="VALDIVIA PASACHE GEORGE LOUIS ALEXANDER"/>
        <s v="VALERA ASPILLAGA FIORELLA VANESSA "/>
        <s v="VALLEBUONA MAYTA LUIS ALBERTO"/>
        <s v="VALVERDE ROJAS MARIA ANTONIETA"/>
        <s v="VEGA DAVID VICTOR"/>
        <s v="VEGA LUIS"/>
        <s v="VELASQUEZ MATOS KATHERINE SUSEI"/>
        <s v="VERASTEGUI BUSTAMANTE DAVID"/>
        <s v="VERASTEGUI JUSTO"/>
        <s v="VILLAVICENCIO CARLOS"/>
        <s v="VISO TOLEDO JAIME JUAN"/>
        <s v="WILSON BUENO FRANK ERICK"/>
        <s v="YAIPEN PANTOJA ALEXIS"/>
        <s v="LI XIAN YI "/>
        <s v="YOUNG GUERRERO MARIA GISELLA"/>
        <s v="ZAMBRANO JUAREZ VALERIA"/>
        <s v="ZAPATA ARANA MIRTHA BELINDA"/>
        <s v="ZAPATA VELASCO ANGELA"/>
        <s v="ALVARES PEÑA CARLOS EDUARDO"/>
        <s v="GUERRERO BENNER ROLAN"/>
        <s v="MADUEÑO CHUMPITAZ LOURDES DE LOS ANGELES"/>
        <s v="RAMÍREZ PACHECO GIAN PAUL"/>
        <s v="ROSAS JHENIFER adicional 1"/>
        <s v="ROSAS JHENIFER adicional 2"/>
        <s v="VILLAVICENCIO CARLOS adiciona1"/>
        <s v="AQUIJE MORON HERNAN"/>
        <s v="PALOMINO CRISTIAN"/>
        <s v="LAVANDERIA PRONTOMATIK"/>
      </sharedItems>
    </cacheField>
    <cacheField name="PREDIO" numFmtId="2">
      <sharedItems containsBlank="1" count="381">
        <s v="PP-LAV"/>
        <s v="DEPA-1605"/>
        <s v="ESTA-020"/>
        <s v="DEPA-612"/>
        <s v="ESTA-067"/>
        <s v="DEPA-811"/>
        <s v="DEPA-902"/>
        <s v="ESTA-042"/>
        <s v="DEPA-1205"/>
        <s v="ESTA-077"/>
        <s v="DEPA-1001"/>
        <s v="ESTA-063"/>
        <s v="DEPA-610"/>
        <s v="DEPA-606"/>
        <s v="ESTA-065"/>
        <s v="DEPA-1311"/>
        <s v="ESTA-087"/>
        <s v="DEPA-804"/>
        <s v="ESTA-056"/>
        <s v="DEPA-1602"/>
        <s v="ESTA-104"/>
        <s v="DEPA-101"/>
        <s v="ESTA-036"/>
        <s v="ESTA-153"/>
        <s v="DEPA-1101"/>
        <s v="ESTA-143"/>
        <s v="DEPA-1006"/>
        <s v="DEPA-706"/>
        <s v="ESTA-103"/>
        <s v="DEPA-1703"/>
        <s v="ESTA-003"/>
        <s v="ESTA-008"/>
        <s v="ESTA-011"/>
        <s v="ESTA-019"/>
        <s v="ESTA-022"/>
        <s v="ESTA-054"/>
        <s v="ESTA-091"/>
        <s v="ESTA-097"/>
        <s v="DEPA-1609"/>
        <s v="DEPO-180"/>
        <s v="ESTA-035"/>
        <s v="DEPA-1401"/>
        <s v="ESTA-053"/>
        <s v="DEPA-1504"/>
        <s v="ESTA-092"/>
        <s v="DEPA-1710"/>
        <s v="ESTA-132"/>
        <s v="DEPA-1310"/>
        <s v="ESTA-060"/>
        <s v="DEPA-1607"/>
        <s v="DEPO-186"/>
        <s v="DEPA-1107"/>
        <s v="DEPO-173"/>
        <s v="DEPA-1201"/>
        <s v="DEPO-161"/>
        <s v="ESTA-015"/>
        <s v="ESTA-016"/>
        <s v="ESTA-017"/>
        <s v="DEPA-1306"/>
        <s v="ESTA-032"/>
        <s v="DEPA-611"/>
        <s v="ESTA-140"/>
        <s v="DEPA-1002"/>
        <s v="ESTA-150"/>
        <s v="DEPA-1204"/>
        <s v="ESTA-130"/>
        <s v="DEPA-1403"/>
        <s v="ESTA-148"/>
        <s v="DEPA-407"/>
        <s v="ESTA-121"/>
        <s v="DEPA-907"/>
        <s v="DEPA-1312"/>
        <s v="DEPA-1111"/>
        <s v="DEPA-609"/>
        <s v="DEPA-510"/>
        <s v="DEPA-202"/>
        <s v="DEPA-1011"/>
        <s v="DEPO-160"/>
        <s v="DEPA-1610"/>
        <s v="ESTA-078"/>
        <s v="DEPA-104"/>
        <s v="ESTA-013"/>
        <s v="DEPA-503"/>
        <s v="ESTA-058"/>
        <s v="DEPA-105"/>
        <s v="DEPA-305"/>
        <s v="ESTA-009"/>
        <s v="ESTA-073"/>
        <s v="DEPA-410"/>
        <s v="ESTA-115"/>
        <s v="DEPA-205"/>
        <s v="ESTA-006"/>
        <s v="DEPA-1509"/>
        <s v="ESTA-004"/>
        <s v="DEPA-304"/>
        <s v="ESTA-141"/>
        <s v="DEPA-1210"/>
        <s v="DEPA-904"/>
        <s v="DEPO-178"/>
        <s v="ESTA-139"/>
        <s v="DEPA-409"/>
        <s v="DEPA-1102"/>
        <s v="DEPA-707"/>
        <s v="DEPA-1004"/>
        <s v="ESTA-093"/>
        <s v="DEPA-604"/>
        <s v="ESTA-066"/>
        <s v="DEPA-1612"/>
        <s v="ESTA-086"/>
        <s v="DEPA-903"/>
        <s v="ESTA-081"/>
        <s v="DEPA-1502"/>
        <s v="DEPA-501"/>
        <s v="ESTA-031"/>
        <s v="DEPA-1402"/>
        <s v="ESTA-037"/>
        <s v="ESTA-055"/>
        <s v="ESTA-106"/>
        <s v="DEPA-712"/>
        <s v="ESTA-088"/>
        <s v="DEPA-1003"/>
        <s v="ESTA-027"/>
        <s v="DEPA-602"/>
        <s v="ESTA-039"/>
        <s v="DEPA-701"/>
        <s v="DEPO-175"/>
        <s v="ESTA-126"/>
        <s v="DEPA-404"/>
        <s v="ESTA-045"/>
        <s v="DEPA-312"/>
        <s v="ESTA-154"/>
        <s v="DEPA-406"/>
        <s v="ESTA-151"/>
        <s v="DEPA-307"/>
        <s v="DEPA-908"/>
        <s v="DEPA-909"/>
        <s v="DEPA-302"/>
        <s v="DEPA-403"/>
        <s v="ESTA-142"/>
        <s v="DEPA-209"/>
        <s v="DEPA-1603"/>
        <s v="ESTA-070"/>
        <s v="DEPA-1302"/>
        <s v="DEPO-159"/>
        <s v="DEPO-162"/>
        <s v="ESTA-034"/>
        <s v="ESTA-089"/>
        <s v="DEPA-901"/>
        <s v="ESTA-138"/>
        <s v="DEPA-910"/>
        <s v="ESTA-120"/>
        <s v="DEPA-810"/>
        <s v="ESTA-155"/>
        <s v="DEPA-1206"/>
        <s v="DEPO-172"/>
        <s v="ESTA-090"/>
        <s v="DEPA-310"/>
        <s v="ESTA-102"/>
        <s v="DEPA-1511"/>
        <s v="DEPA-1208"/>
        <s v="DEPA-1705"/>
        <s v="ESTA-083"/>
        <m/>
        <s v="ESTA-133"/>
        <s v="DEPA-512"/>
        <s v="ESTA-146"/>
        <s v="DEPA-710"/>
        <s v="ESTA-117"/>
        <s v="DEPA-1604"/>
        <s v="ESTA-129"/>
        <s v="DEPA-508"/>
        <s v="DEPO-171"/>
        <s v="DEPA-1212"/>
        <s v="ESTA-085"/>
        <s v="DEPA-703"/>
        <s v="DEPA-1309"/>
        <s v="ESTA-135"/>
        <s v="DEPA-1007"/>
        <s v="ESTA-068"/>
        <s v="DEPA-1406"/>
        <s v="ESTA-158"/>
        <s v="DEPA-1009"/>
        <s v="ESTA-107"/>
        <s v="DEPA-1104"/>
        <s v="DEPA-1505"/>
        <s v="ESTA-051"/>
        <s v="DEPA-1304"/>
        <s v="DEPA-506"/>
        <s v="DEPO-167"/>
        <s v="ESTA-059"/>
        <s v="ESTA-149"/>
        <s v="DEPA-1712"/>
        <s v="DEPA-1103"/>
        <s v="ESTA-108"/>
        <s v="DEPA-1301"/>
        <s v="ESTA-018"/>
        <s v="ESTA-026"/>
        <s v="DEPA-1501"/>
        <s v="ESTA-047"/>
        <s v="ESTA-048"/>
        <s v="DEPA-1711"/>
        <s v="DEPA-805"/>
        <s v="ESTA-069"/>
        <s v="DEPA-1108"/>
        <s v="DEPA-1709"/>
        <s v="ESTA-021"/>
        <s v="ESTA-110"/>
        <s v="DEPA-705"/>
        <s v="ESTA-061"/>
        <s v="ESTA-064"/>
        <s v="DEPA-102"/>
        <s v="DEPA-1209"/>
        <s v="ESTA-122"/>
        <s v="DEPA-411"/>
        <s v="ESTA-057"/>
        <s v="DEPA-601"/>
        <s v="ESTA-044"/>
        <s v="DEPA-1409"/>
        <s v="ESTA-096"/>
        <s v="DEPA-1405"/>
        <s v="ESTA-075"/>
        <s v="ESTA-137"/>
        <s v="DEPA-1010"/>
        <s v="DEPA-208"/>
        <s v="ESTA-084"/>
        <s v="ESTA-046"/>
        <s v="ESTA-062"/>
        <s v="ESTA-100"/>
        <s v="DEPA-905"/>
        <s v="DEPA-912"/>
        <s v="ESTA-119"/>
        <s v="DEPA-401"/>
        <s v="ESTA-145"/>
        <s v="DEPA-607"/>
        <s v="ESTA-094"/>
        <s v="DEPA-408"/>
        <s v="DEPA-1608"/>
        <s v="DEPA-709"/>
        <s v="ESTA-113"/>
        <s v="DEPA-812"/>
        <s v="DEPA-1008"/>
        <s v="DEPA-1512"/>
        <s v="DEPA-1005"/>
        <s v="ESTA-049"/>
        <s v="DEPA-210"/>
        <s v="ESTA-112"/>
        <s v="DEPA-1305"/>
        <s v="ESTA-038"/>
        <s v="DEPA-1211"/>
        <s v="DEPA-809"/>
        <s v="ESTA-134"/>
        <s v="DEPA-507"/>
        <s v="DEPA-306"/>
        <s v="ESTA-071"/>
        <s v="DEPA-509"/>
        <s v="DEPO-185"/>
        <s v="ESTA-127"/>
        <s v="DEPA-803"/>
        <s v="ESTA-005"/>
        <s v="DEPA-708"/>
        <s v="ESTA-124"/>
        <s v="DEPA-1601"/>
        <s v="DEPO-164"/>
        <s v="ESTA-024"/>
        <s v="DEPO-184"/>
        <s v="DEPA-511"/>
        <s v="ESTA-074"/>
        <s v="DEPA-806"/>
        <s v="DEPA-201"/>
        <s v="DEPA-412"/>
        <s v="DEPA-207"/>
        <s v="ESTA-144"/>
        <s v="DEPA-1110"/>
        <s v="ESTA-099"/>
        <s v="DEPA-204"/>
        <s v="DEPO-182"/>
        <s v="DEPA-1507"/>
        <s v="DEPO-170"/>
        <s v="DEPA-704"/>
        <s v="ESTA-033"/>
        <s v="DEPA-603"/>
        <s v="DEPA-1106"/>
        <s v="DEPO-169"/>
        <s v="ESTA-072"/>
        <s v="DEPA-1105"/>
        <s v="ESTA-123"/>
        <s v="DEPA-906"/>
        <s v="ESTA-109"/>
        <s v="DEPA-711"/>
        <s v="DEPA-206"/>
        <s v="DEPA-308"/>
        <s v="DEPA-1410"/>
        <s v="DEPO-179"/>
        <s v="ESTA-131"/>
        <s v="DEPA-1404"/>
        <s v="ESTA-156"/>
        <s v="DEPA-405"/>
        <s v="DEPO-177"/>
        <s v="ESTA-007"/>
        <s v="DEPA-311"/>
        <s v="DEPA-1707"/>
        <s v="ESTA-098"/>
        <s v="DEPA-911"/>
        <s v="DEPA-1109"/>
        <s v="DEPA-801"/>
        <s v="DEPA-402"/>
        <s v="ESTA-076"/>
        <s v="DEPA-1506"/>
        <s v="ESTA-029"/>
        <s v="DEPA-807"/>
        <s v="ESTA-095"/>
        <s v="DEPA-1207"/>
        <s v="ESTA-043"/>
        <s v="DEPA-1611"/>
        <s v="DEPO-174"/>
        <s v="DEPA-309"/>
        <s v="ESTA-116"/>
        <s v="DEPA-1408"/>
        <s v="DEPA-1508"/>
        <s v="DEPA-107"/>
        <s v="ESTA-111"/>
        <s v="DEPA-1012"/>
        <s v="ESTA-105"/>
        <s v="DEPA-802"/>
        <s v="ESTA-101"/>
        <s v="DEPA-808"/>
        <s v="ESTA-125"/>
        <s v="DEPA-1606"/>
        <s v="DEPO-181"/>
        <s v="ESTA-030"/>
        <s v="DEPA-608"/>
        <s v="DEPA-1503"/>
        <s v="DEPA-103"/>
        <s v="DEPO-176"/>
        <s v="DEPA-1112"/>
        <s v="ESTA-152"/>
        <s v="DEPA-1307"/>
        <s v="DEPA-502"/>
        <s v="ESTA-082"/>
        <s v="DEPA-505"/>
        <s v="ESTA-114"/>
        <s v="DEPA-203"/>
        <s v="ESTA-028"/>
        <s v="DEPA-1701"/>
        <s v="ESTA-040"/>
        <s v="ESTA-041"/>
        <s v="DEPA-1708"/>
        <s v="ESTA-023"/>
        <s v="DEPA-605"/>
        <s v="ESTA-079"/>
        <s v="DEPA-301"/>
        <s v="DEPO-168"/>
        <s v="ESTA-052"/>
        <s v="DEPA-1308"/>
        <s v="DEPA-1702"/>
        <s v="ESTA-118"/>
        <s v="ESTA-136"/>
        <s v="DEPA-1510"/>
        <s v="ESTA-050"/>
        <s v="DEPA-1407"/>
        <s v="ESTA-128"/>
        <s v="DEPA-1411"/>
        <s v="DEPA-303"/>
        <s v="DEPO-183"/>
        <s v="ESTA-147"/>
        <s v="DEPA-1412"/>
        <s v="ESTA-080"/>
        <s v="DEPA-1706"/>
        <s v="DEPA-504"/>
        <s v="ESTA-025"/>
        <s v="DEPA-1704"/>
        <s v="ESTA-014"/>
        <s v="DEPA-106"/>
        <s v="ESTA-012"/>
        <s v="ESTA-002"/>
        <s v="ESTA-157"/>
        <s v="DEPO-165"/>
        <s v="DEPO-166"/>
        <s v="ESTA-010"/>
        <s v="DEPA-1303"/>
        <s v="PRONTOMATIK"/>
      </sharedItems>
    </cacheField>
    <cacheField name="ÁREA TECHADA" numFmtId="43">
      <sharedItems containsString="0" containsBlank="1" containsNumber="1" minValue="0" maxValue="248.79"/>
    </cacheField>
    <cacheField name="ÁREA OCUPADA" numFmtId="43">
      <sharedItems containsString="0" containsBlank="1" containsNumber="1" minValue="0" maxValue="248.79"/>
    </cacheField>
    <cacheField name="% PARTICIPACIÓN" numFmtId="166">
      <sharedItems containsString="0" containsBlank="1" containsNumber="1" minValue="3.6749999999999999E-4" maxValue="9.9965000000000002E-3"/>
    </cacheField>
    <cacheField name="VALOR CUOTA" numFmtId="43">
      <sharedItems containsString="0" containsBlank="1" containsNumber="1" minValue="0" maxValue="600.95000000000005"/>
    </cacheField>
    <cacheField name="AGUA CONSUMO" numFmtId="43">
      <sharedItems containsString="0" containsBlank="1" containsNumber="1" minValue="0" maxValue="213.82"/>
    </cacheField>
    <cacheField name="SUMA" numFmtId="43">
      <sharedItems containsString="0" containsBlank="1" containsNumber="1" minValue="0" maxValue="669.13000000000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goritmo Negocios" refreshedDate="46060.681407870368" createdVersion="8" refreshedVersion="8" minRefreshableVersion="3" recordCount="252" xr:uid="{33C23EED-E4DD-4BF7-8442-7A0F0D80FFB3}">
  <cacheSource type="worksheet">
    <worksheetSource ref="A5:G257" sheet="ingresos"/>
  </cacheSource>
  <cacheFields count="7">
    <cacheField name="Fecha" numFmtId="14">
      <sharedItems containsSemiMixedTypes="0" containsNonDate="0" containsDate="1" containsString="0" minDate="2026-01-01T00:00:00" maxDate="2026-02-01T00:00:00" count="30">
        <d v="2026-01-01T00:00:00"/>
        <d v="2026-01-02T00:00:00"/>
        <d v="2026-01-03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</sharedItems>
    </cacheField>
    <cacheField name="Descripción operación" numFmtId="0">
      <sharedItems containsBlank="1"/>
    </cacheField>
    <cacheField name="Monto" numFmtId="43">
      <sharedItems containsSemiMixedTypes="0" containsString="0" containsNumber="1" minValue="0" maxValue="2128.87"/>
    </cacheField>
    <cacheField name="Operación - Número" numFmtId="0">
      <sharedItems containsMixedTypes="1" containsNumber="1" containsInteger="1" minValue="0" maxValue="0"/>
    </cacheField>
    <cacheField name="Referencia" numFmtId="0">
      <sharedItems containsBlank="1" containsMixedTypes="1" containsNumber="1" containsInteger="1" minValue="0" maxValue="0"/>
    </cacheField>
    <cacheField name="codigo PP" numFmtId="0">
      <sharedItems containsBlank="1" count="156">
        <s v="PP-000"/>
        <m/>
        <s v="PP-173"/>
        <s v="PP-096"/>
        <s v="PP-127"/>
        <s v="PP-080"/>
        <s v="PP-053"/>
        <s v="PP-180"/>
        <s v="PP-031"/>
        <s v="PP-078"/>
        <s v="PP-089"/>
        <s v="PP-189"/>
        <s v="PP-136"/>
        <s v="PP-067"/>
        <s v="PP-164"/>
        <s v="PP-151"/>
        <s v="PP-182"/>
        <s v="PP-123"/>
        <s v="PP-036"/>
        <s v="PP-154"/>
        <s v="PP-187"/>
        <s v="PP-029"/>
        <s v="PP-085"/>
        <s v="PP-044"/>
        <s v="PP-038"/>
        <s v="PP-167"/>
        <s v="PP-105"/>
        <s v="PP-074"/>
        <s v="PP-018"/>
        <s v="PP-102"/>
        <s v="PP-194"/>
        <s v="PP-026"/>
        <s v="PP-112"/>
        <s v="PP-174"/>
        <s v="PP-052"/>
        <s v="PP-156"/>
        <s v="PP-162"/>
        <s v="PP-042"/>
        <s v="PP-014"/>
        <s v="PP-137"/>
        <s v="PP-006"/>
        <s v="PP-097"/>
        <s v="PP-104"/>
        <s v="PP-062"/>
        <s v="PP-023"/>
        <s v="PP-022"/>
        <s v="PP-021"/>
        <s v="PP-115"/>
        <s v="PP-120"/>
        <s v="PP-055"/>
        <s v="PP-150"/>
        <s v="PP-171"/>
        <s v="PP-077"/>
        <s v="PP-161"/>
        <s v="PP-195"/>
        <s v="PP-139"/>
        <s v="PP-168"/>
        <s v="PP-093"/>
        <s v="PP-134"/>
        <s v="PP-179"/>
        <s v="PP-071"/>
        <s v="PP-190"/>
        <s v="PP-065"/>
        <s v="PP-002"/>
        <s v="PP-181"/>
        <s v="PP-075"/>
        <s v="PP-116"/>
        <s v="PP-037"/>
        <s v="PP-142"/>
        <s v="PP-147"/>
        <s v="PP-196"/>
        <s v="PP-088"/>
        <s v="PP-017"/>
        <s v="PP-033"/>
        <s v="PP-118"/>
        <s v="PP-016"/>
        <s v="PP-070"/>
        <s v="PP-046"/>
        <s v="PP-072"/>
        <s v="PP-175"/>
        <s v="PP-034"/>
        <s v="PP-035"/>
        <s v="PP-025"/>
        <s v="PP-169"/>
        <s v="PP-003"/>
        <s v="PP-109"/>
        <s v="PP-049"/>
        <s v="PP-188"/>
        <s v="PP-050"/>
        <s v="PP-166"/>
        <s v="PP-091"/>
        <s v="PP-090"/>
        <s v="PP-057"/>
        <s v="PP-103"/>
        <s v="PP-197"/>
        <s v="PP-076"/>
        <s v="PP-054"/>
        <s v="PP-184"/>
        <s v="PP-008"/>
        <s v="PP-145"/>
        <s v="PP-040"/>
        <s v="PP-084"/>
        <s v="PP-045"/>
        <s v="PP-155"/>
        <s v="PP-101"/>
        <s v="PP-030"/>
        <s v="PP-146"/>
        <s v="PP-158"/>
        <s v="PP-095"/>
        <s v="PP-172"/>
        <s v="PP-128"/>
        <s v="PP-056"/>
        <s v="PP-191"/>
        <s v="PP-165"/>
        <s v="PP-129"/>
        <s v="PP-157"/>
        <s v="PP-058"/>
        <s v="PP-013"/>
        <s v="PP-012"/>
        <s v="PP-138"/>
        <s v="PP-094"/>
        <s v="PP-083"/>
        <s v="PP-082"/>
        <s v="PP-122"/>
        <s v="PP-170"/>
        <s v="PP-068"/>
        <s v="PP-124"/>
        <s v="PP-061"/>
        <s v="PP-039"/>
        <s v="PP-020"/>
        <s v="PP-198"/>
        <s v="PP-125"/>
        <s v="PP-130"/>
        <s v="PP-193"/>
        <s v="PP-092"/>
        <s v="PP-107"/>
        <s v="PP-073"/>
        <s v="PP-009"/>
        <s v="PP-141"/>
        <s v="PP-051"/>
        <s v="PP-106"/>
        <s v="PP-121"/>
        <s v="PP-011"/>
        <s v="PP-069"/>
        <s v="PP-159"/>
        <s v="PP-185"/>
        <s v="PP-111"/>
        <s v="PP-087"/>
        <s v="PP-064"/>
        <s v="PP-041" u="1"/>
        <s v="PP-178" u="1"/>
        <s v="PP-117" u="1"/>
        <s v="PP-066" u="1"/>
        <s v="PP-176" u="1"/>
        <s v="PP-086" u="1"/>
        <s v="PP-032" u="1"/>
      </sharedItems>
    </cacheField>
    <cacheField name="periodo x aplica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x v="0"/>
    <x v="0"/>
    <x v="0"/>
    <m/>
    <m/>
    <n v="4.4149999999999997E-3"/>
    <n v="265.41000000000003"/>
    <n v="213.82"/>
    <n v="479.23"/>
  </r>
  <r>
    <x v="1"/>
    <x v="1"/>
    <x v="1"/>
    <n v="78.95"/>
    <n v="78.95"/>
    <n v="4.4973999999999995E-3"/>
    <n v="270.37"/>
    <n v="15.49"/>
    <n v="285.86"/>
  </r>
  <r>
    <x v="1"/>
    <x v="1"/>
    <x v="2"/>
    <n v="0"/>
    <n v="0"/>
    <n v="1.2690000000000002E-3"/>
    <n v="76.290000000000006"/>
    <n v="0"/>
    <n v="76.290000000000006"/>
  </r>
  <r>
    <x v="2"/>
    <x v="2"/>
    <x v="3"/>
    <n v="74.599999999999994"/>
    <n v="74.599999999999994"/>
    <n v="4.4973999999999995E-3"/>
    <n v="270.37"/>
    <n v="24.79"/>
    <n v="295.16000000000003"/>
  </r>
  <r>
    <x v="2"/>
    <x v="2"/>
    <x v="4"/>
    <n v="0"/>
    <n v="0"/>
    <n v="1.2690000000000002E-3"/>
    <n v="76.290000000000006"/>
    <n v="0"/>
    <n v="76.290000000000006"/>
  </r>
  <r>
    <x v="3"/>
    <x v="3"/>
    <x v="5"/>
    <n v="33"/>
    <n v="33"/>
    <n v="2.6939000000000004E-3"/>
    <n v="161.94999999999999"/>
    <n v="9.3000000000000007"/>
    <n v="171.25"/>
  </r>
  <r>
    <x v="4"/>
    <x v="4"/>
    <x v="6"/>
    <n v="77.05"/>
    <n v="77.05"/>
    <n v="4.4973999999999995E-3"/>
    <n v="270.37"/>
    <n v="12.4"/>
    <n v="282.77"/>
  </r>
  <r>
    <x v="4"/>
    <x v="4"/>
    <x v="7"/>
    <n v="0"/>
    <n v="0"/>
    <n v="1.2690000000000002E-3"/>
    <n v="76.290000000000006"/>
    <n v="0"/>
    <n v="76.290000000000006"/>
  </r>
  <r>
    <x v="5"/>
    <x v="5"/>
    <x v="8"/>
    <n v="78.95"/>
    <n v="78.95"/>
    <n v="4.4973999999999995E-3"/>
    <n v="270.37"/>
    <n v="55.78"/>
    <n v="326.14999999999998"/>
  </r>
  <r>
    <x v="5"/>
    <x v="5"/>
    <x v="9"/>
    <n v="0"/>
    <n v="0"/>
    <n v="1.2690000000000002E-3"/>
    <n v="76.290000000000006"/>
    <n v="0"/>
    <n v="76.290000000000006"/>
  </r>
  <r>
    <x v="6"/>
    <x v="6"/>
    <x v="10"/>
    <n v="92.5"/>
    <n v="92.5"/>
    <n v="5.6772999999999997E-3"/>
    <n v="341.3"/>
    <n v="3.1"/>
    <n v="344.40000000000003"/>
  </r>
  <r>
    <x v="6"/>
    <x v="6"/>
    <x v="11"/>
    <n v="0"/>
    <n v="0"/>
    <n v="1.2690000000000002E-3"/>
    <n v="76.290000000000006"/>
    <n v="0"/>
    <n v="76.290000000000006"/>
  </r>
  <r>
    <x v="7"/>
    <x v="7"/>
    <x v="12"/>
    <n v="81"/>
    <n v="81"/>
    <n v="4.4973999999999995E-3"/>
    <n v="270.37"/>
    <n v="15.49"/>
    <n v="285.86"/>
  </r>
  <r>
    <x v="8"/>
    <x v="8"/>
    <x v="13"/>
    <n v="43.35"/>
    <n v="43.35"/>
    <n v="2.6939000000000004E-3"/>
    <n v="161.94999999999999"/>
    <n v="15.49"/>
    <n v="177.44"/>
  </r>
  <r>
    <x v="8"/>
    <x v="8"/>
    <x v="14"/>
    <n v="0"/>
    <n v="0"/>
    <n v="1.2690000000000002E-3"/>
    <n v="76.290000000000006"/>
    <n v="0"/>
    <n v="76.290000000000006"/>
  </r>
  <r>
    <x v="9"/>
    <x v="9"/>
    <x v="15"/>
    <n v="33"/>
    <n v="33"/>
    <n v="2.6939000000000004E-3"/>
    <n v="161.94999999999999"/>
    <n v="9.3000000000000007"/>
    <n v="171.25"/>
  </r>
  <r>
    <x v="10"/>
    <x v="10"/>
    <x v="16"/>
    <n v="0"/>
    <n v="0"/>
    <n v="1.2690000000000002E-3"/>
    <n v="76.290000000000006"/>
    <n v="0"/>
    <n v="76.290000000000006"/>
  </r>
  <r>
    <x v="11"/>
    <x v="11"/>
    <x v="17"/>
    <n v="76.150000000000006"/>
    <n v="76.150000000000006"/>
    <n v="4.4973999999999995E-3"/>
    <n v="270.37"/>
    <n v="6.2"/>
    <n v="276.57"/>
  </r>
  <r>
    <x v="11"/>
    <x v="11"/>
    <x v="18"/>
    <n v="0"/>
    <n v="0"/>
    <n v="1.2690000000000002E-3"/>
    <n v="76.290000000000006"/>
    <n v="0"/>
    <n v="76.290000000000006"/>
  </r>
  <r>
    <x v="12"/>
    <x v="12"/>
    <x v="19"/>
    <n v="77.05"/>
    <n v="77.05"/>
    <n v="4.4973999999999995E-3"/>
    <n v="270.37"/>
    <n v="9.3000000000000007"/>
    <n v="279.67"/>
  </r>
  <r>
    <x v="12"/>
    <x v="12"/>
    <x v="20"/>
    <n v="0"/>
    <n v="0"/>
    <n v="1.2690000000000002E-3"/>
    <n v="76.290000000000006"/>
    <n v="0"/>
    <n v="76.290000000000006"/>
  </r>
  <r>
    <x v="13"/>
    <x v="13"/>
    <x v="21"/>
    <n v="138.55000000000001"/>
    <n v="158.86000000000001"/>
    <n v="6.2785000000000002E-3"/>
    <n v="377.44"/>
    <n v="71.27"/>
    <n v="448.71"/>
  </r>
  <r>
    <x v="13"/>
    <x v="13"/>
    <x v="22"/>
    <n v="0"/>
    <n v="0"/>
    <n v="1.2690000000000002E-3"/>
    <n v="76.290000000000006"/>
    <n v="0"/>
    <n v="76.290000000000006"/>
  </r>
  <r>
    <x v="13"/>
    <x v="13"/>
    <x v="23"/>
    <n v="0"/>
    <n v="0"/>
    <n v="1.2690000000000002E-3"/>
    <n v="76.290000000000006"/>
    <n v="0"/>
    <n v="76.290000000000006"/>
  </r>
  <r>
    <x v="14"/>
    <x v="14"/>
    <x v="24"/>
    <n v="92.5"/>
    <n v="92.5"/>
    <n v="5.6772999999999997E-3"/>
    <n v="341.3"/>
    <n v="12.4"/>
    <n v="353.7"/>
  </r>
  <r>
    <x v="14"/>
    <x v="14"/>
    <x v="25"/>
    <n v="0"/>
    <n v="0"/>
    <n v="1.2690000000000002E-3"/>
    <n v="76.290000000000006"/>
    <n v="0"/>
    <n v="76.290000000000006"/>
  </r>
  <r>
    <x v="15"/>
    <x v="15"/>
    <x v="26"/>
    <n v="43.35"/>
    <n v="43.35"/>
    <n v="2.6939000000000004E-3"/>
    <n v="161.94999999999999"/>
    <n v="18.59"/>
    <n v="180.54"/>
  </r>
  <r>
    <x v="15"/>
    <x v="15"/>
    <x v="27"/>
    <n v="43.35"/>
    <n v="43.35"/>
    <n v="2.6939000000000004E-3"/>
    <n v="161.94999999999999"/>
    <n v="27.89"/>
    <n v="189.83999999999997"/>
  </r>
  <r>
    <x v="15"/>
    <x v="15"/>
    <x v="28"/>
    <n v="0"/>
    <n v="0"/>
    <n v="1.2690000000000002E-3"/>
    <n v="76.290000000000006"/>
    <n v="0"/>
    <n v="76.290000000000006"/>
  </r>
  <r>
    <x v="16"/>
    <x v="16"/>
    <x v="29"/>
    <n v="68"/>
    <n v="68"/>
    <n v="4.4973999999999995E-3"/>
    <n v="270.37"/>
    <n v="12.4"/>
    <n v="282.77"/>
  </r>
  <r>
    <x v="16"/>
    <x v="16"/>
    <x v="30"/>
    <n v="0"/>
    <n v="0"/>
    <n v="1.2690000000000002E-3"/>
    <n v="76.290000000000006"/>
    <n v="0"/>
    <n v="76.290000000000006"/>
  </r>
  <r>
    <x v="16"/>
    <x v="16"/>
    <x v="31"/>
    <n v="0"/>
    <n v="0"/>
    <n v="1.2690000000000002E-3"/>
    <n v="76.290000000000006"/>
    <n v="0"/>
    <n v="76.290000000000006"/>
  </r>
  <r>
    <x v="16"/>
    <x v="16"/>
    <x v="32"/>
    <n v="0"/>
    <n v="0"/>
    <n v="1.2690000000000002E-3"/>
    <n v="76.290000000000006"/>
    <n v="0"/>
    <n v="76.290000000000006"/>
  </r>
  <r>
    <x v="16"/>
    <x v="16"/>
    <x v="33"/>
    <n v="0"/>
    <n v="0"/>
    <n v="1.2690000000000002E-3"/>
    <n v="76.290000000000006"/>
    <n v="0"/>
    <n v="76.290000000000006"/>
  </r>
  <r>
    <x v="16"/>
    <x v="16"/>
    <x v="34"/>
    <n v="0"/>
    <n v="0"/>
    <n v="1.2690000000000002E-3"/>
    <n v="76.290000000000006"/>
    <n v="0"/>
    <n v="76.290000000000006"/>
  </r>
  <r>
    <x v="16"/>
    <x v="16"/>
    <x v="35"/>
    <n v="0"/>
    <n v="0"/>
    <n v="1.2690000000000002E-3"/>
    <n v="76.290000000000006"/>
    <n v="0"/>
    <n v="76.290000000000006"/>
  </r>
  <r>
    <x v="16"/>
    <x v="16"/>
    <x v="36"/>
    <n v="0"/>
    <n v="0"/>
    <n v="1.2690000000000002E-3"/>
    <n v="76.290000000000006"/>
    <n v="0"/>
    <n v="76.290000000000006"/>
  </r>
  <r>
    <x v="16"/>
    <x v="16"/>
    <x v="37"/>
    <n v="0"/>
    <n v="0"/>
    <n v="1.2690000000000002E-3"/>
    <n v="76.290000000000006"/>
    <n v="0"/>
    <n v="76.290000000000006"/>
  </r>
  <r>
    <x v="17"/>
    <x v="17"/>
    <x v="38"/>
    <n v="44.45"/>
    <n v="44.45"/>
    <n v="2.6939000000000004E-3"/>
    <n v="161.94999999999999"/>
    <n v="49.58"/>
    <n v="211.52999999999997"/>
  </r>
  <r>
    <x v="17"/>
    <x v="17"/>
    <x v="39"/>
    <n v="0"/>
    <n v="0"/>
    <n v="3.6749999999999999E-4"/>
    <n v="22.09"/>
    <n v="0"/>
    <n v="22.09"/>
  </r>
  <r>
    <x v="17"/>
    <x v="17"/>
    <x v="40"/>
    <n v="0"/>
    <n v="0"/>
    <n v="1.2690000000000002E-3"/>
    <n v="76.290000000000006"/>
    <n v="0"/>
    <n v="76.290000000000006"/>
  </r>
  <r>
    <x v="18"/>
    <x v="18"/>
    <x v="41"/>
    <n v="92.5"/>
    <n v="92.5"/>
    <n v="5.6772999999999997E-3"/>
    <n v="341.3"/>
    <n v="12.4"/>
    <n v="353.7"/>
  </r>
  <r>
    <x v="18"/>
    <x v="18"/>
    <x v="42"/>
    <n v="0"/>
    <n v="0"/>
    <n v="1.2690000000000002E-3"/>
    <n v="76.290000000000006"/>
    <n v="0"/>
    <n v="76.290000000000006"/>
  </r>
  <r>
    <x v="19"/>
    <x v="19"/>
    <x v="43"/>
    <n v="76.150000000000006"/>
    <n v="76.150000000000006"/>
    <n v="4.4973999999999995E-3"/>
    <n v="270.37"/>
    <n v="12.4"/>
    <n v="282.77"/>
  </r>
  <r>
    <x v="19"/>
    <x v="19"/>
    <x v="44"/>
    <n v="0"/>
    <n v="0"/>
    <n v="1.2690000000000002E-3"/>
    <n v="76.290000000000006"/>
    <n v="0"/>
    <n v="76.290000000000006"/>
  </r>
  <r>
    <x v="20"/>
    <x v="20"/>
    <x v="45"/>
    <n v="81"/>
    <n v="81"/>
    <n v="4.4973999999999995E-3"/>
    <n v="270.37"/>
    <n v="58.88"/>
    <n v="329.25"/>
  </r>
  <r>
    <x v="20"/>
    <x v="20"/>
    <x v="46"/>
    <n v="0"/>
    <n v="0"/>
    <n v="1.2690000000000002E-3"/>
    <n v="76.290000000000006"/>
    <n v="0"/>
    <n v="76.290000000000006"/>
  </r>
  <r>
    <x v="21"/>
    <x v="21"/>
    <x v="47"/>
    <n v="81"/>
    <n v="81"/>
    <n v="4.4973999999999995E-3"/>
    <n v="270.37"/>
    <n v="15.49"/>
    <n v="285.86"/>
  </r>
  <r>
    <x v="21"/>
    <x v="21"/>
    <x v="48"/>
    <n v="0"/>
    <n v="0"/>
    <n v="1.2690000000000002E-3"/>
    <n v="76.290000000000006"/>
    <n v="0"/>
    <n v="76.290000000000006"/>
  </r>
  <r>
    <x v="22"/>
    <x v="22"/>
    <x v="49"/>
    <n v="66.45"/>
    <n v="66.45"/>
    <n v="4.4973999999999995E-3"/>
    <n v="270.37"/>
    <n v="21.69"/>
    <n v="292.06"/>
  </r>
  <r>
    <x v="22"/>
    <x v="22"/>
    <x v="50"/>
    <n v="0"/>
    <n v="0"/>
    <n v="3.6749999999999999E-4"/>
    <n v="22.09"/>
    <n v="0"/>
    <n v="22.09"/>
  </r>
  <r>
    <x v="23"/>
    <x v="23"/>
    <x v="51"/>
    <n v="66.45"/>
    <n v="66.45"/>
    <n v="4.4973999999999995E-3"/>
    <n v="270.37"/>
    <n v="34.090000000000003"/>
    <n v="304.46000000000004"/>
  </r>
  <r>
    <x v="23"/>
    <x v="23"/>
    <x v="52"/>
    <n v="0"/>
    <n v="0"/>
    <n v="3.6749999999999999E-4"/>
    <n v="22.09"/>
    <n v="0"/>
    <n v="22.09"/>
  </r>
  <r>
    <x v="24"/>
    <x v="24"/>
    <x v="53"/>
    <n v="248.79"/>
    <n v="248.79"/>
    <n v="9.9965000000000002E-3"/>
    <n v="600.95000000000005"/>
    <n v="68.180000000000007"/>
    <n v="669.13000000000011"/>
  </r>
  <r>
    <x v="24"/>
    <x v="24"/>
    <x v="54"/>
    <n v="0"/>
    <n v="0"/>
    <n v="3.6749999999999999E-4"/>
    <n v="22.09"/>
    <n v="0"/>
    <n v="22.09"/>
  </r>
  <r>
    <x v="24"/>
    <x v="24"/>
    <x v="55"/>
    <n v="0"/>
    <n v="0"/>
    <n v="1.2690000000000002E-3"/>
    <n v="76.290000000000006"/>
    <n v="0"/>
    <n v="76.290000000000006"/>
  </r>
  <r>
    <x v="24"/>
    <x v="24"/>
    <x v="56"/>
    <n v="0"/>
    <n v="0"/>
    <n v="1.2690000000000002E-3"/>
    <n v="76.290000000000006"/>
    <n v="0"/>
    <n v="76.290000000000006"/>
  </r>
  <r>
    <x v="24"/>
    <x v="24"/>
    <x v="57"/>
    <n v="0"/>
    <n v="0"/>
    <n v="1.2690000000000002E-3"/>
    <n v="76.290000000000006"/>
    <n v="0"/>
    <n v="76.290000000000006"/>
  </r>
  <r>
    <x v="25"/>
    <x v="25"/>
    <x v="58"/>
    <n v="43.35"/>
    <n v="43.35"/>
    <n v="2.6939000000000004E-3"/>
    <n v="161.94999999999999"/>
    <n v="0"/>
    <n v="161.94999999999999"/>
  </r>
  <r>
    <x v="25"/>
    <x v="25"/>
    <x v="59"/>
    <n v="0"/>
    <n v="0"/>
    <n v="1.2690000000000002E-3"/>
    <n v="76.290000000000006"/>
    <n v="0"/>
    <n v="76.290000000000006"/>
  </r>
  <r>
    <x v="26"/>
    <x v="26"/>
    <x v="60"/>
    <n v="33"/>
    <n v="33"/>
    <n v="2.6939000000000004E-3"/>
    <n v="161.94999999999999"/>
    <n v="15.49"/>
    <n v="177.44"/>
  </r>
  <r>
    <x v="27"/>
    <x v="27"/>
    <x v="61"/>
    <n v="0"/>
    <n v="0"/>
    <n v="1.2690000000000002E-3"/>
    <n v="76.290000000000006"/>
    <n v="0"/>
    <n v="76.290000000000006"/>
  </r>
  <r>
    <x v="28"/>
    <x v="28"/>
    <x v="62"/>
    <n v="77.05"/>
    <n v="77.05"/>
    <n v="4.4973999999999995E-3"/>
    <n v="270.37"/>
    <n v="30.99"/>
    <n v="301.36"/>
  </r>
  <r>
    <x v="28"/>
    <x v="28"/>
    <x v="63"/>
    <n v="0"/>
    <n v="0"/>
    <n v="1.2690000000000002E-3"/>
    <n v="76.290000000000006"/>
    <n v="0"/>
    <n v="76.290000000000006"/>
  </r>
  <r>
    <x v="29"/>
    <x v="29"/>
    <x v="64"/>
    <n v="76.150000000000006"/>
    <n v="76.150000000000006"/>
    <n v="4.4973999999999995E-3"/>
    <n v="270.37"/>
    <n v="12.4"/>
    <n v="282.77"/>
  </r>
  <r>
    <x v="29"/>
    <x v="29"/>
    <x v="65"/>
    <n v="0"/>
    <n v="0"/>
    <n v="1.2690000000000002E-3"/>
    <n v="76.290000000000006"/>
    <n v="0"/>
    <n v="76.290000000000006"/>
  </r>
  <r>
    <x v="30"/>
    <x v="30"/>
    <x v="66"/>
    <n v="68"/>
    <n v="68"/>
    <n v="4.4973999999999995E-3"/>
    <n v="270.37"/>
    <n v="30.99"/>
    <n v="301.36"/>
  </r>
  <r>
    <x v="30"/>
    <x v="30"/>
    <x v="67"/>
    <n v="0"/>
    <n v="0"/>
    <n v="1.2690000000000002E-3"/>
    <n v="76.290000000000006"/>
    <n v="0"/>
    <n v="76.290000000000006"/>
  </r>
  <r>
    <x v="31"/>
    <x v="31"/>
    <x v="68"/>
    <n v="66.45"/>
    <n v="66.45"/>
    <n v="4.4973999999999995E-3"/>
    <n v="270.37"/>
    <n v="34.090000000000003"/>
    <n v="304.46000000000004"/>
  </r>
  <r>
    <x v="31"/>
    <x v="31"/>
    <x v="69"/>
    <n v="0"/>
    <n v="0"/>
    <n v="1.2690000000000002E-3"/>
    <n v="76.290000000000006"/>
    <n v="0"/>
    <n v="76.290000000000006"/>
  </r>
  <r>
    <x v="32"/>
    <x v="32"/>
    <x v="70"/>
    <n v="66.45"/>
    <n v="66.45"/>
    <n v="4.4973999999999995E-3"/>
    <n v="270.37"/>
    <n v="0"/>
    <n v="270.37"/>
  </r>
  <r>
    <x v="33"/>
    <x v="33"/>
    <x v="71"/>
    <n v="74.599999999999994"/>
    <n v="74.599999999999994"/>
    <n v="4.4973999999999995E-3"/>
    <n v="270.37"/>
    <n v="37.19"/>
    <n v="307.56"/>
  </r>
  <r>
    <x v="34"/>
    <x v="34"/>
    <x v="72"/>
    <n v="33"/>
    <n v="33"/>
    <n v="2.6939000000000004E-3"/>
    <n v="161.94999999999999"/>
    <n v="24.79"/>
    <n v="186.73999999999998"/>
  </r>
  <r>
    <x v="35"/>
    <x v="35"/>
    <x v="73"/>
    <n v="44.45"/>
    <n v="44.45"/>
    <n v="2.6939000000000004E-3"/>
    <n v="161.94999999999999"/>
    <n v="24.79"/>
    <n v="186.73999999999998"/>
  </r>
  <r>
    <x v="36"/>
    <x v="36"/>
    <x v="74"/>
    <n v="81"/>
    <n v="81"/>
    <n v="4.4973999999999995E-3"/>
    <n v="270.37"/>
    <n v="18.59"/>
    <n v="288.95999999999998"/>
  </r>
  <r>
    <x v="37"/>
    <x v="37"/>
    <x v="75"/>
    <n v="68"/>
    <n v="68"/>
    <n v="4.4973999999999995E-3"/>
    <n v="270.37"/>
    <n v="21.69"/>
    <n v="292.06"/>
  </r>
  <r>
    <x v="38"/>
    <x v="38"/>
    <x v="76"/>
    <n v="33"/>
    <n v="33"/>
    <n v="2.6939000000000004E-3"/>
    <n v="161.94999999999999"/>
    <n v="12.4"/>
    <n v="174.35"/>
  </r>
  <r>
    <x v="39"/>
    <x v="39"/>
    <x v="77"/>
    <n v="0"/>
    <n v="0"/>
    <n v="3.6749999999999999E-4"/>
    <n v="22.09"/>
    <n v="0"/>
    <n v="22.09"/>
  </r>
  <r>
    <x v="40"/>
    <x v="40"/>
    <x v="78"/>
    <n v="81"/>
    <n v="81"/>
    <n v="4.4973999999999995E-3"/>
    <n v="270.37"/>
    <n v="24.79"/>
    <n v="295.16000000000003"/>
  </r>
  <r>
    <x v="40"/>
    <x v="40"/>
    <x v="79"/>
    <n v="0"/>
    <n v="0"/>
    <n v="1.2690000000000002E-3"/>
    <n v="76.290000000000006"/>
    <n v="0"/>
    <n v="76.290000000000006"/>
  </r>
  <r>
    <x v="41"/>
    <x v="41"/>
    <x v="80"/>
    <n v="85.5"/>
    <n v="85.5"/>
    <n v="4.4973999999999995E-3"/>
    <n v="270.37"/>
    <n v="37.19"/>
    <n v="307.56"/>
  </r>
  <r>
    <x v="41"/>
    <x v="41"/>
    <x v="81"/>
    <n v="0"/>
    <n v="0"/>
    <n v="1.2690000000000002E-3"/>
    <n v="76.290000000000006"/>
    <n v="0"/>
    <n v="76.290000000000006"/>
  </r>
  <r>
    <x v="42"/>
    <x v="42"/>
    <x v="82"/>
    <n v="68"/>
    <n v="68"/>
    <n v="4.4973999999999995E-3"/>
    <n v="270.37"/>
    <n v="21.69"/>
    <n v="292.06"/>
  </r>
  <r>
    <x v="42"/>
    <x v="42"/>
    <x v="83"/>
    <n v="0"/>
    <n v="0"/>
    <n v="1.2690000000000002E-3"/>
    <n v="76.290000000000006"/>
    <n v="0"/>
    <n v="76.290000000000006"/>
  </r>
  <r>
    <x v="43"/>
    <x v="43"/>
    <x v="84"/>
    <n v="127.96"/>
    <n v="185.73"/>
    <n v="6.2785000000000002E-3"/>
    <n v="377.44"/>
    <n v="43.38"/>
    <n v="420.82"/>
  </r>
  <r>
    <x v="43"/>
    <x v="43"/>
    <x v="85"/>
    <n v="78.95"/>
    <n v="78.95"/>
    <n v="4.4973999999999995E-3"/>
    <n v="270.37"/>
    <n v="21.69"/>
    <n v="292.06"/>
  </r>
  <r>
    <x v="43"/>
    <x v="43"/>
    <x v="86"/>
    <n v="0"/>
    <n v="0"/>
    <n v="1.2690000000000002E-3"/>
    <n v="76.290000000000006"/>
    <n v="0"/>
    <n v="76.290000000000006"/>
  </r>
  <r>
    <x v="43"/>
    <x v="43"/>
    <x v="87"/>
    <n v="0"/>
    <n v="0"/>
    <n v="1.2690000000000002E-3"/>
    <n v="76.290000000000006"/>
    <n v="0"/>
    <n v="76.290000000000006"/>
  </r>
  <r>
    <x v="44"/>
    <x v="44"/>
    <x v="88"/>
    <n v="81"/>
    <n v="81"/>
    <n v="4.4973999999999995E-3"/>
    <n v="270.37"/>
    <n v="34.090000000000003"/>
    <n v="304.46000000000004"/>
  </r>
  <r>
    <x v="44"/>
    <x v="44"/>
    <x v="89"/>
    <n v="0"/>
    <n v="0"/>
    <n v="1.2690000000000002E-3"/>
    <n v="76.290000000000006"/>
    <n v="0"/>
    <n v="76.290000000000006"/>
  </r>
  <r>
    <x v="45"/>
    <x v="45"/>
    <x v="90"/>
    <n v="66.45"/>
    <n v="66.45"/>
    <n v="4.4973999999999995E-3"/>
    <n v="270.37"/>
    <n v="30.99"/>
    <n v="301.36"/>
  </r>
  <r>
    <x v="45"/>
    <x v="45"/>
    <x v="91"/>
    <n v="0"/>
    <n v="0"/>
    <n v="1.2690000000000002E-3"/>
    <n v="76.290000000000006"/>
    <n v="0"/>
    <n v="76.290000000000006"/>
  </r>
  <r>
    <x v="46"/>
    <x v="46"/>
    <x v="92"/>
    <n v="44.45"/>
    <n v="44.45"/>
    <n v="2.6939000000000004E-3"/>
    <n v="161.94999999999999"/>
    <n v="12.4"/>
    <n v="174.35"/>
  </r>
  <r>
    <x v="46"/>
    <x v="46"/>
    <x v="93"/>
    <n v="0"/>
    <n v="0"/>
    <n v="1.2690000000000002E-3"/>
    <n v="76.290000000000006"/>
    <n v="0"/>
    <n v="76.290000000000006"/>
  </r>
  <r>
    <x v="47"/>
    <x v="47"/>
    <x v="94"/>
    <n v="76.150000000000006"/>
    <n v="76.150000000000006"/>
    <n v="4.4973999999999995E-3"/>
    <n v="270.37"/>
    <n v="27.89"/>
    <n v="298.26"/>
  </r>
  <r>
    <x v="47"/>
    <x v="47"/>
    <x v="95"/>
    <n v="0"/>
    <n v="0"/>
    <n v="1.2690000000000002E-3"/>
    <n v="76.290000000000006"/>
    <n v="0"/>
    <n v="76.290000000000006"/>
  </r>
  <r>
    <x v="48"/>
    <x v="48"/>
    <x v="96"/>
    <n v="81"/>
    <n v="81"/>
    <n v="4.4973999999999995E-3"/>
    <n v="270.37"/>
    <n v="55.78"/>
    <n v="326.14999999999998"/>
  </r>
  <r>
    <x v="49"/>
    <x v="49"/>
    <x v="97"/>
    <n v="76.150000000000006"/>
    <n v="76.150000000000006"/>
    <n v="4.4973999999999995E-3"/>
    <n v="270.37"/>
    <n v="30.99"/>
    <n v="301.36"/>
  </r>
  <r>
    <x v="49"/>
    <x v="49"/>
    <x v="98"/>
    <n v="0"/>
    <n v="0"/>
    <n v="3.6749999999999999E-4"/>
    <n v="22.09"/>
    <n v="0"/>
    <n v="22.09"/>
  </r>
  <r>
    <x v="49"/>
    <x v="49"/>
    <x v="99"/>
    <n v="0"/>
    <n v="0"/>
    <n v="1.2690000000000002E-3"/>
    <n v="76.290000000000006"/>
    <n v="0"/>
    <n v="76.290000000000006"/>
  </r>
  <r>
    <x v="50"/>
    <x v="50"/>
    <x v="100"/>
    <n v="44.45"/>
    <n v="44.45"/>
    <n v="2.6939000000000004E-3"/>
    <n v="161.94999999999999"/>
    <n v="0"/>
    <n v="161.94999999999999"/>
  </r>
  <r>
    <x v="51"/>
    <x v="51"/>
    <x v="101"/>
    <n v="77.05"/>
    <n v="77.05"/>
    <n v="4.4973999999999995E-3"/>
    <n v="270.37"/>
    <n v="18.59"/>
    <n v="288.95999999999998"/>
  </r>
  <r>
    <x v="52"/>
    <x v="52"/>
    <x v="102"/>
    <n v="66.45"/>
    <n v="66.45"/>
    <n v="4.4973999999999995E-3"/>
    <n v="270.37"/>
    <n v="40.29"/>
    <n v="310.66000000000003"/>
  </r>
  <r>
    <x v="53"/>
    <x v="53"/>
    <x v="103"/>
    <n v="76.150000000000006"/>
    <n v="76.150000000000006"/>
    <n v="4.4973999999999995E-3"/>
    <n v="270.37"/>
    <n v="34.090000000000003"/>
    <n v="304.46000000000004"/>
  </r>
  <r>
    <x v="53"/>
    <x v="53"/>
    <x v="104"/>
    <n v="0"/>
    <n v="0"/>
    <n v="1.2690000000000002E-3"/>
    <n v="76.290000000000006"/>
    <n v="0"/>
    <n v="76.290000000000006"/>
  </r>
  <r>
    <x v="54"/>
    <x v="54"/>
    <x v="105"/>
    <n v="76.150000000000006"/>
    <n v="76.150000000000006"/>
    <n v="4.4973999999999995E-3"/>
    <n v="270.37"/>
    <n v="21.69"/>
    <n v="292.06"/>
  </r>
  <r>
    <x v="54"/>
    <x v="54"/>
    <x v="106"/>
    <n v="0"/>
    <n v="0"/>
    <n v="1.2690000000000002E-3"/>
    <n v="76.290000000000006"/>
    <n v="0"/>
    <n v="76.290000000000006"/>
  </r>
  <r>
    <x v="55"/>
    <x v="55"/>
    <x v="107"/>
    <n v="74.599999999999994"/>
    <n v="74.599999999999994"/>
    <n v="4.4973999999999995E-3"/>
    <n v="270.37"/>
    <n v="21.69"/>
    <n v="292.06"/>
  </r>
  <r>
    <x v="55"/>
    <x v="55"/>
    <x v="108"/>
    <n v="0"/>
    <n v="0"/>
    <n v="1.2690000000000002E-3"/>
    <n v="76.290000000000006"/>
    <n v="0"/>
    <n v="76.290000000000006"/>
  </r>
  <r>
    <x v="56"/>
    <x v="56"/>
    <x v="109"/>
    <n v="68"/>
    <n v="68"/>
    <n v="4.4973999999999995E-3"/>
    <n v="270.37"/>
    <n v="21.69"/>
    <n v="292.06"/>
  </r>
  <r>
    <x v="56"/>
    <x v="56"/>
    <x v="110"/>
    <n v="0"/>
    <n v="0"/>
    <n v="1.2690000000000002E-3"/>
    <n v="76.290000000000006"/>
    <n v="0"/>
    <n v="76.290000000000006"/>
  </r>
  <r>
    <x v="57"/>
    <x v="57"/>
    <x v="111"/>
    <n v="77.05"/>
    <n v="77.05"/>
    <n v="4.4973999999999995E-3"/>
    <n v="270.37"/>
    <n v="27.89"/>
    <n v="298.26"/>
  </r>
  <r>
    <x v="58"/>
    <x v="58"/>
    <x v="112"/>
    <n v="92.5"/>
    <n v="92.5"/>
    <n v="5.6772999999999997E-3"/>
    <n v="341.3"/>
    <n v="3.1"/>
    <n v="344.40000000000003"/>
  </r>
  <r>
    <x v="58"/>
    <x v="58"/>
    <x v="113"/>
    <n v="0"/>
    <n v="0"/>
    <n v="1.2690000000000002E-3"/>
    <n v="76.290000000000006"/>
    <n v="0"/>
    <n v="76.290000000000006"/>
  </r>
  <r>
    <x v="59"/>
    <x v="59"/>
    <x v="114"/>
    <n v="77.05"/>
    <n v="77.05"/>
    <n v="4.4973999999999995E-3"/>
    <n v="270.37"/>
    <n v="34.090000000000003"/>
    <n v="304.46000000000004"/>
  </r>
  <r>
    <x v="59"/>
    <x v="59"/>
    <x v="115"/>
    <n v="0"/>
    <n v="0"/>
    <n v="1.2690000000000002E-3"/>
    <n v="76.290000000000006"/>
    <n v="0"/>
    <n v="76.290000000000006"/>
  </r>
  <r>
    <x v="59"/>
    <x v="59"/>
    <x v="116"/>
    <n v="0"/>
    <n v="0"/>
    <n v="1.2690000000000002E-3"/>
    <n v="76.290000000000006"/>
    <n v="0"/>
    <n v="76.290000000000006"/>
  </r>
  <r>
    <x v="60"/>
    <x v="60"/>
    <x v="117"/>
    <n v="0"/>
    <n v="0"/>
    <n v="1.2690000000000002E-3"/>
    <n v="76.290000000000006"/>
    <n v="0"/>
    <n v="76.290000000000006"/>
  </r>
  <r>
    <x v="61"/>
    <x v="61"/>
    <x v="118"/>
    <n v="74.599999999999994"/>
    <n v="74.599999999999994"/>
    <n v="4.4973999999999995E-3"/>
    <n v="270.37"/>
    <n v="28.93"/>
    <n v="299.3"/>
  </r>
  <r>
    <x v="61"/>
    <x v="61"/>
    <x v="119"/>
    <n v="0"/>
    <n v="0"/>
    <n v="1.2690000000000002E-3"/>
    <n v="76.290000000000006"/>
    <n v="0"/>
    <n v="76.290000000000006"/>
  </r>
  <r>
    <x v="62"/>
    <x v="62"/>
    <x v="120"/>
    <n v="68"/>
    <n v="68"/>
    <n v="4.4973999999999995E-3"/>
    <n v="270.37"/>
    <n v="18.59"/>
    <n v="288.95999999999998"/>
  </r>
  <r>
    <x v="62"/>
    <x v="62"/>
    <x v="121"/>
    <n v="0"/>
    <n v="0"/>
    <n v="1.2690000000000002E-3"/>
    <n v="76.290000000000006"/>
    <n v="0"/>
    <n v="76.290000000000006"/>
  </r>
  <r>
    <x v="63"/>
    <x v="63"/>
    <x v="122"/>
    <n v="77.05"/>
    <n v="77.05"/>
    <n v="4.4973999999999995E-3"/>
    <n v="270.37"/>
    <n v="6.2"/>
    <n v="276.57"/>
  </r>
  <r>
    <x v="63"/>
    <x v="63"/>
    <x v="123"/>
    <n v="0"/>
    <n v="0"/>
    <n v="1.2690000000000002E-3"/>
    <n v="76.290000000000006"/>
    <n v="0"/>
    <n v="76.290000000000006"/>
  </r>
  <r>
    <x v="64"/>
    <x v="64"/>
    <x v="124"/>
    <n v="178.72"/>
    <n v="178.72"/>
    <n v="9.9965000000000002E-3"/>
    <n v="600.95000000000005"/>
    <n v="34.090000000000003"/>
    <n v="635.04000000000008"/>
  </r>
  <r>
    <x v="64"/>
    <x v="64"/>
    <x v="125"/>
    <n v="0"/>
    <n v="0"/>
    <n v="3.6749999999999999E-4"/>
    <n v="22.09"/>
    <n v="0"/>
    <n v="22.09"/>
  </r>
  <r>
    <x v="64"/>
    <x v="64"/>
    <x v="126"/>
    <n v="0"/>
    <n v="0"/>
    <n v="1.2690000000000002E-3"/>
    <n v="76.290000000000006"/>
    <n v="0"/>
    <n v="76.290000000000006"/>
  </r>
  <r>
    <x v="65"/>
    <x v="65"/>
    <x v="127"/>
    <n v="76.150000000000006"/>
    <n v="76.150000000000006"/>
    <n v="4.4973999999999995E-3"/>
    <n v="270.37"/>
    <n v="21.69"/>
    <n v="292.06"/>
  </r>
  <r>
    <x v="65"/>
    <x v="65"/>
    <x v="128"/>
    <n v="0"/>
    <n v="0"/>
    <n v="1.2690000000000002E-3"/>
    <n v="76.290000000000006"/>
    <n v="0"/>
    <n v="76.290000000000006"/>
  </r>
  <r>
    <x v="66"/>
    <x v="66"/>
    <x v="129"/>
    <n v="74.599999999999994"/>
    <n v="74.599999999999994"/>
    <n v="4.4973999999999995E-3"/>
    <n v="270.37"/>
    <n v="46.48"/>
    <n v="316.85000000000002"/>
  </r>
  <r>
    <x v="66"/>
    <x v="66"/>
    <x v="130"/>
    <n v="0"/>
    <n v="0"/>
    <n v="1.2690000000000002E-3"/>
    <n v="76.290000000000006"/>
    <n v="0"/>
    <n v="76.290000000000006"/>
  </r>
  <r>
    <x v="67"/>
    <x v="67"/>
    <x v="131"/>
    <n v="43.35"/>
    <n v="43.35"/>
    <n v="2.6939000000000004E-3"/>
    <n v="161.94999999999999"/>
    <n v="9.3000000000000007"/>
    <n v="171.25"/>
  </r>
  <r>
    <x v="67"/>
    <x v="67"/>
    <x v="132"/>
    <n v="0"/>
    <n v="0"/>
    <n v="1.2690000000000002E-3"/>
    <n v="76.290000000000006"/>
    <n v="0"/>
    <n v="76.290000000000006"/>
  </r>
  <r>
    <x v="68"/>
    <x v="68"/>
    <x v="133"/>
    <n v="66.45"/>
    <n v="66.45"/>
    <n v="4.4973999999999995E-3"/>
    <n v="270.37"/>
    <n v="30.99"/>
    <n v="301.36"/>
  </r>
  <r>
    <x v="69"/>
    <x v="69"/>
    <x v="134"/>
    <n v="33.200000000000003"/>
    <n v="33.200000000000003"/>
    <n v="2.6939000000000004E-3"/>
    <n v="161.94999999999999"/>
    <n v="9.3000000000000007"/>
    <n v="171.25"/>
  </r>
  <r>
    <x v="70"/>
    <x v="70"/>
    <x v="135"/>
    <n v="44.45"/>
    <n v="44.45"/>
    <n v="2.6939000000000004E-3"/>
    <n v="161.94999999999999"/>
    <n v="15.49"/>
    <n v="177.44"/>
  </r>
  <r>
    <x v="71"/>
    <x v="71"/>
    <x v="136"/>
    <n v="77.05"/>
    <n v="77.05"/>
    <n v="4.4973999999999995E-3"/>
    <n v="270.37"/>
    <n v="34.090000000000003"/>
    <n v="304.46000000000004"/>
  </r>
  <r>
    <x v="72"/>
    <x v="72"/>
    <x v="137"/>
    <n v="68"/>
    <n v="68"/>
    <n v="4.4973999999999995E-3"/>
    <n v="270.37"/>
    <n v="24.79"/>
    <n v="295.16000000000003"/>
  </r>
  <r>
    <x v="72"/>
    <x v="72"/>
    <x v="138"/>
    <n v="0"/>
    <n v="0"/>
    <n v="1.2690000000000002E-3"/>
    <n v="76.290000000000006"/>
    <n v="0"/>
    <n v="76.290000000000006"/>
  </r>
  <r>
    <x v="73"/>
    <x v="73"/>
    <x v="139"/>
    <n v="33"/>
    <n v="33"/>
    <n v="2.6939000000000004E-3"/>
    <n v="161.94999999999999"/>
    <n v="3.1"/>
    <n v="165.04999999999998"/>
  </r>
  <r>
    <x v="74"/>
    <x v="74"/>
    <x v="140"/>
    <n v="68"/>
    <n v="68"/>
    <n v="4.4973999999999995E-3"/>
    <n v="270.37"/>
    <n v="9.3000000000000007"/>
    <n v="279.67"/>
  </r>
  <r>
    <x v="74"/>
    <x v="74"/>
    <x v="141"/>
    <n v="0"/>
    <n v="0"/>
    <n v="1.2690000000000002E-3"/>
    <n v="76.290000000000006"/>
    <n v="0"/>
    <n v="76.290000000000006"/>
  </r>
  <r>
    <x v="75"/>
    <x v="75"/>
    <x v="142"/>
    <n v="77.05"/>
    <n v="77.05"/>
    <n v="4.4973999999999995E-3"/>
    <n v="270.37"/>
    <n v="27.89"/>
    <n v="298.26"/>
  </r>
  <r>
    <x v="75"/>
    <x v="75"/>
    <x v="143"/>
    <n v="0"/>
    <n v="0"/>
    <n v="3.6749999999999999E-4"/>
    <n v="22.09"/>
    <n v="0"/>
    <n v="22.09"/>
  </r>
  <r>
    <x v="75"/>
    <x v="75"/>
    <x v="144"/>
    <n v="0"/>
    <n v="0"/>
    <n v="3.6749999999999999E-4"/>
    <n v="22.09"/>
    <n v="0"/>
    <n v="22.09"/>
  </r>
  <r>
    <x v="75"/>
    <x v="75"/>
    <x v="145"/>
    <n v="0"/>
    <n v="0"/>
    <n v="1.2690000000000002E-3"/>
    <n v="76.290000000000006"/>
    <n v="0"/>
    <n v="76.290000000000006"/>
  </r>
  <r>
    <x v="75"/>
    <x v="75"/>
    <x v="146"/>
    <n v="0"/>
    <n v="0"/>
    <n v="1.2690000000000002E-3"/>
    <n v="76.290000000000006"/>
    <n v="0"/>
    <n v="76.290000000000006"/>
  </r>
  <r>
    <x v="76"/>
    <x v="76"/>
    <x v="147"/>
    <n v="92.5"/>
    <n v="92.5"/>
    <n v="5.6772999999999997E-3"/>
    <n v="341.3"/>
    <n v="52.68"/>
    <n v="393.98"/>
  </r>
  <r>
    <x v="76"/>
    <x v="76"/>
    <x v="148"/>
    <n v="0"/>
    <n v="0"/>
    <n v="1.2690000000000002E-3"/>
    <n v="76.290000000000006"/>
    <n v="0"/>
    <n v="76.290000000000006"/>
  </r>
  <r>
    <x v="77"/>
    <x v="77"/>
    <x v="149"/>
    <n v="81"/>
    <n v="81"/>
    <n v="4.4973999999999995E-3"/>
    <n v="270.37"/>
    <n v="58.88"/>
    <n v="329.25"/>
  </r>
  <r>
    <x v="77"/>
    <x v="77"/>
    <x v="150"/>
    <n v="0"/>
    <n v="0"/>
    <n v="1.2690000000000002E-3"/>
    <n v="76.290000000000006"/>
    <n v="0"/>
    <n v="76.290000000000006"/>
  </r>
  <r>
    <x v="78"/>
    <x v="78"/>
    <x v="151"/>
    <n v="81"/>
    <n v="81"/>
    <n v="4.4973999999999995E-3"/>
    <n v="270.37"/>
    <n v="46.48"/>
    <n v="316.85000000000002"/>
  </r>
  <r>
    <x v="78"/>
    <x v="78"/>
    <x v="152"/>
    <n v="0"/>
    <n v="0"/>
    <n v="1.2690000000000002E-3"/>
    <n v="76.290000000000006"/>
    <n v="0"/>
    <n v="76.290000000000006"/>
  </r>
  <r>
    <x v="79"/>
    <x v="79"/>
    <x v="153"/>
    <n v="43.35"/>
    <n v="43.35"/>
    <n v="2.6939000000000004E-3"/>
    <n v="161.94999999999999"/>
    <n v="0"/>
    <n v="161.94999999999999"/>
  </r>
  <r>
    <x v="79"/>
    <x v="79"/>
    <x v="154"/>
    <n v="0"/>
    <n v="0"/>
    <n v="3.6749999999999999E-4"/>
    <n v="22.09"/>
    <n v="0"/>
    <n v="22.09"/>
  </r>
  <r>
    <x v="79"/>
    <x v="79"/>
    <x v="155"/>
    <n v="0"/>
    <n v="0"/>
    <n v="1.2690000000000002E-3"/>
    <n v="76.290000000000006"/>
    <n v="0"/>
    <n v="76.290000000000006"/>
  </r>
  <r>
    <x v="80"/>
    <x v="80"/>
    <x v="156"/>
    <n v="81"/>
    <n v="81"/>
    <n v="4.4973999999999995E-3"/>
    <n v="270.37"/>
    <n v="12.4"/>
    <n v="282.77"/>
  </r>
  <r>
    <x v="80"/>
    <x v="80"/>
    <x v="157"/>
    <n v="0"/>
    <n v="0"/>
    <n v="1.2690000000000002E-3"/>
    <n v="76.290000000000006"/>
    <n v="0"/>
    <n v="76.290000000000006"/>
  </r>
  <r>
    <x v="81"/>
    <x v="81"/>
    <x v="158"/>
    <n v="33"/>
    <n v="33"/>
    <n v="2.6939000000000004E-3"/>
    <n v="161.94999999999999"/>
    <n v="9.3000000000000007"/>
    <n v="171.25"/>
  </r>
  <r>
    <x v="82"/>
    <x v="82"/>
    <x v="159"/>
    <n v="33.200000000000003"/>
    <n v="33.200000000000003"/>
    <n v="2.6939000000000004E-3"/>
    <n v="161.94999999999999"/>
    <n v="6.2"/>
    <n v="168.14999999999998"/>
  </r>
  <r>
    <x v="83"/>
    <x v="83"/>
    <x v="160"/>
    <n v="78.95"/>
    <n v="78.95"/>
    <n v="4.4973999999999995E-3"/>
    <n v="270.37"/>
    <n v="30.99"/>
    <n v="301.36"/>
  </r>
  <r>
    <x v="83"/>
    <x v="83"/>
    <x v="161"/>
    <n v="0"/>
    <n v="0"/>
    <n v="1.2690000000000002E-3"/>
    <n v="76.290000000000006"/>
    <n v="0"/>
    <n v="76.290000000000006"/>
  </r>
  <r>
    <x v="84"/>
    <x v="84"/>
    <x v="162"/>
    <m/>
    <m/>
    <m/>
    <n v="0"/>
    <n v="0"/>
    <n v="0"/>
  </r>
  <r>
    <x v="84"/>
    <x v="84"/>
    <x v="163"/>
    <n v="0"/>
    <n v="0"/>
    <n v="1.2690000000000002E-3"/>
    <n v="76.290000000000006"/>
    <n v="0"/>
    <n v="76.290000000000006"/>
  </r>
  <r>
    <x v="85"/>
    <x v="85"/>
    <x v="164"/>
    <n v="74.599999999999994"/>
    <n v="74.599999999999994"/>
    <n v="4.4973999999999995E-3"/>
    <n v="270.37"/>
    <n v="58.88"/>
    <n v="329.25"/>
  </r>
  <r>
    <x v="85"/>
    <x v="85"/>
    <x v="165"/>
    <n v="0"/>
    <n v="0"/>
    <n v="1.2690000000000002E-3"/>
    <n v="76.290000000000006"/>
    <n v="0"/>
    <n v="76.290000000000006"/>
  </r>
  <r>
    <x v="86"/>
    <x v="86"/>
    <x v="166"/>
    <n v="81"/>
    <n v="81"/>
    <n v="4.4973999999999995E-3"/>
    <n v="270.37"/>
    <n v="24.79"/>
    <n v="295.16000000000003"/>
  </r>
  <r>
    <x v="86"/>
    <x v="86"/>
    <x v="167"/>
    <n v="0"/>
    <n v="0"/>
    <n v="1.2690000000000002E-3"/>
    <n v="76.290000000000006"/>
    <n v="0"/>
    <n v="76.290000000000006"/>
  </r>
  <r>
    <x v="87"/>
    <x v="87"/>
    <x v="168"/>
    <n v="76.150000000000006"/>
    <n v="76.150000000000006"/>
    <n v="4.4973999999999995E-3"/>
    <n v="270.37"/>
    <n v="9.3000000000000007"/>
    <n v="279.67"/>
  </r>
  <r>
    <x v="87"/>
    <x v="87"/>
    <x v="169"/>
    <n v="0"/>
    <n v="0"/>
    <n v="1.2690000000000002E-3"/>
    <n v="76.290000000000006"/>
    <n v="0"/>
    <n v="76.290000000000006"/>
  </r>
  <r>
    <x v="88"/>
    <x v="88"/>
    <x v="170"/>
    <n v="33.200000000000003"/>
    <n v="33.200000000000003"/>
    <n v="2.6939000000000004E-3"/>
    <n v="161.94999999999999"/>
    <n v="0"/>
    <n v="161.94999999999999"/>
  </r>
  <r>
    <x v="88"/>
    <x v="88"/>
    <x v="171"/>
    <n v="0"/>
    <n v="0"/>
    <n v="3.6749999999999999E-4"/>
    <n v="22.09"/>
    <n v="0"/>
    <n v="22.09"/>
  </r>
  <r>
    <x v="89"/>
    <x v="89"/>
    <x v="172"/>
    <n v="74.599999999999994"/>
    <n v="74.599999999999994"/>
    <n v="4.4973999999999995E-3"/>
    <n v="270.37"/>
    <n v="49.58"/>
    <n v="319.95"/>
  </r>
  <r>
    <x v="89"/>
    <x v="89"/>
    <x v="173"/>
    <n v="0"/>
    <n v="0"/>
    <n v="1.2690000000000002E-3"/>
    <n v="76.290000000000006"/>
    <n v="0"/>
    <n v="76.290000000000006"/>
  </r>
  <r>
    <x v="90"/>
    <x v="90"/>
    <x v="174"/>
    <n v="68"/>
    <n v="68"/>
    <n v="4.4973999999999995E-3"/>
    <n v="270.37"/>
    <n v="0"/>
    <n v="270.37"/>
  </r>
  <r>
    <x v="91"/>
    <x v="91"/>
    <x v="175"/>
    <n v="44.45"/>
    <n v="44.45"/>
    <n v="2.6939000000000004E-3"/>
    <n v="161.94999999999999"/>
    <n v="6.2"/>
    <n v="168.14999999999998"/>
  </r>
  <r>
    <x v="91"/>
    <x v="91"/>
    <x v="176"/>
    <n v="0"/>
    <n v="0"/>
    <n v="1.2690000000000002E-3"/>
    <n v="76.290000000000006"/>
    <n v="0"/>
    <n v="76.290000000000006"/>
  </r>
  <r>
    <x v="92"/>
    <x v="92"/>
    <x v="177"/>
    <n v="66.45"/>
    <n v="66.45"/>
    <n v="4.4973999999999995E-3"/>
    <n v="270.37"/>
    <n v="12.4"/>
    <n v="282.77"/>
  </r>
  <r>
    <x v="92"/>
    <x v="92"/>
    <x v="178"/>
    <n v="0"/>
    <n v="0"/>
    <n v="1.2690000000000002E-3"/>
    <n v="76.290000000000006"/>
    <n v="0"/>
    <n v="76.290000000000006"/>
  </r>
  <r>
    <x v="93"/>
    <x v="93"/>
    <x v="179"/>
    <n v="43.35"/>
    <n v="43.35"/>
    <n v="2.6939000000000004E-3"/>
    <n v="161.94999999999999"/>
    <n v="9.3000000000000007"/>
    <n v="171.25"/>
  </r>
  <r>
    <x v="93"/>
    <x v="93"/>
    <x v="180"/>
    <n v="0"/>
    <n v="0"/>
    <n v="1.2690000000000002E-3"/>
    <n v="76.290000000000006"/>
    <n v="0"/>
    <n v="76.290000000000006"/>
  </r>
  <r>
    <x v="94"/>
    <x v="94"/>
    <x v="181"/>
    <n v="44.45"/>
    <n v="44.45"/>
    <n v="2.6939000000000004E-3"/>
    <n v="161.94999999999999"/>
    <n v="12.4"/>
    <n v="174.35"/>
  </r>
  <r>
    <x v="94"/>
    <x v="94"/>
    <x v="182"/>
    <n v="0"/>
    <n v="0"/>
    <n v="1.2690000000000002E-3"/>
    <n v="76.290000000000006"/>
    <n v="0"/>
    <n v="76.290000000000006"/>
  </r>
  <r>
    <x v="95"/>
    <x v="95"/>
    <x v="183"/>
    <n v="76.150000000000006"/>
    <n v="76.150000000000006"/>
    <n v="4.4973999999999995E-3"/>
    <n v="270.37"/>
    <n v="9.3000000000000007"/>
    <n v="279.67"/>
  </r>
  <r>
    <x v="96"/>
    <x v="96"/>
    <x v="184"/>
    <n v="78.95"/>
    <n v="78.95"/>
    <n v="4.4973999999999995E-3"/>
    <n v="270.37"/>
    <n v="0"/>
    <n v="270.37"/>
  </r>
  <r>
    <x v="96"/>
    <x v="96"/>
    <x v="185"/>
    <n v="0"/>
    <n v="0"/>
    <n v="1.2690000000000002E-3"/>
    <n v="76.290000000000006"/>
    <n v="0"/>
    <n v="76.290000000000006"/>
  </r>
  <r>
    <x v="97"/>
    <x v="97"/>
    <x v="186"/>
    <n v="76.150000000000006"/>
    <n v="76.150000000000006"/>
    <n v="4.4973999999999995E-3"/>
    <n v="270.37"/>
    <n v="176.64"/>
    <n v="447.01"/>
  </r>
  <r>
    <x v="97"/>
    <x v="97"/>
    <x v="187"/>
    <n v="43.35"/>
    <n v="43.35"/>
    <n v="2.6939000000000004E-3"/>
    <n v="161.94999999999999"/>
    <n v="18.59"/>
    <n v="180.54"/>
  </r>
  <r>
    <x v="97"/>
    <x v="97"/>
    <x v="188"/>
    <n v="0"/>
    <n v="0"/>
    <n v="3.6749999999999999E-4"/>
    <n v="22.09"/>
    <n v="0"/>
    <n v="22.09"/>
  </r>
  <r>
    <x v="97"/>
    <x v="97"/>
    <x v="189"/>
    <n v="0"/>
    <n v="0"/>
    <n v="1.2690000000000002E-3"/>
    <n v="76.290000000000006"/>
    <n v="0"/>
    <n v="76.290000000000006"/>
  </r>
  <r>
    <x v="97"/>
    <x v="97"/>
    <x v="190"/>
    <n v="0"/>
    <n v="0"/>
    <n v="1.2690000000000002E-3"/>
    <n v="76.290000000000006"/>
    <n v="0"/>
    <n v="76.290000000000006"/>
  </r>
  <r>
    <x v="98"/>
    <x v="98"/>
    <x v="191"/>
    <n v="74.599999999999994"/>
    <n v="74.599999999999994"/>
    <n v="4.4973999999999995E-3"/>
    <n v="270.37"/>
    <n v="18.59"/>
    <n v="288.95999999999998"/>
  </r>
  <r>
    <x v="99"/>
    <x v="99"/>
    <x v="192"/>
    <n v="68"/>
    <n v="68"/>
    <n v="4.4973999999999995E-3"/>
    <n v="270.37"/>
    <n v="21.69"/>
    <n v="292.06"/>
  </r>
  <r>
    <x v="99"/>
    <x v="99"/>
    <x v="193"/>
    <n v="0"/>
    <n v="0"/>
    <n v="1.2690000000000002E-3"/>
    <n v="76.290000000000006"/>
    <n v="0"/>
    <n v="76.290000000000006"/>
  </r>
  <r>
    <x v="100"/>
    <x v="100"/>
    <x v="194"/>
    <n v="92.5"/>
    <n v="92.5"/>
    <n v="5.6772999999999997E-3"/>
    <n v="341.3"/>
    <n v="3.1"/>
    <n v="344.40000000000003"/>
  </r>
  <r>
    <x v="100"/>
    <x v="100"/>
    <x v="195"/>
    <n v="0"/>
    <n v="0"/>
    <n v="1.2690000000000002E-3"/>
    <n v="76.290000000000006"/>
    <n v="0"/>
    <n v="76.290000000000006"/>
  </r>
  <r>
    <x v="100"/>
    <x v="100"/>
    <x v="196"/>
    <n v="0"/>
    <n v="0"/>
    <n v="1.2690000000000002E-3"/>
    <n v="76.290000000000006"/>
    <n v="0"/>
    <n v="76.290000000000006"/>
  </r>
  <r>
    <x v="101"/>
    <x v="101"/>
    <x v="197"/>
    <n v="92.5"/>
    <n v="92.5"/>
    <n v="5.6772999999999997E-3"/>
    <n v="341.3"/>
    <n v="37.19"/>
    <n v="378.49"/>
  </r>
  <r>
    <x v="101"/>
    <x v="101"/>
    <x v="198"/>
    <n v="0"/>
    <n v="0"/>
    <n v="1.2690000000000002E-3"/>
    <n v="76.290000000000006"/>
    <n v="0"/>
    <n v="76.290000000000006"/>
  </r>
  <r>
    <x v="101"/>
    <x v="101"/>
    <x v="199"/>
    <n v="0"/>
    <n v="0"/>
    <n v="1.2690000000000002E-3"/>
    <n v="76.290000000000006"/>
    <n v="0"/>
    <n v="76.290000000000006"/>
  </r>
  <r>
    <x v="102"/>
    <x v="102"/>
    <x v="200"/>
    <n v="33"/>
    <n v="33"/>
    <n v="2.6939000000000004E-3"/>
    <n v="161.94999999999999"/>
    <n v="0"/>
    <n v="161.94999999999999"/>
  </r>
  <r>
    <x v="103"/>
    <x v="103"/>
    <x v="201"/>
    <n v="78.95"/>
    <n v="78.95"/>
    <n v="4.4973999999999995E-3"/>
    <n v="270.37"/>
    <n v="21.69"/>
    <n v="292.06"/>
  </r>
  <r>
    <x v="103"/>
    <x v="103"/>
    <x v="202"/>
    <n v="0"/>
    <n v="0"/>
    <n v="1.2690000000000002E-3"/>
    <n v="76.290000000000006"/>
    <n v="0"/>
    <n v="76.290000000000006"/>
  </r>
  <r>
    <x v="104"/>
    <x v="104"/>
    <x v="203"/>
    <n v="33.200000000000003"/>
    <n v="33.200000000000003"/>
    <n v="2.6939000000000004E-3"/>
    <n v="161.94999999999999"/>
    <n v="18.59"/>
    <n v="180.54"/>
  </r>
  <r>
    <x v="105"/>
    <x v="105"/>
    <x v="204"/>
    <n v="44.45"/>
    <n v="44.45"/>
    <n v="2.6939000000000004E-3"/>
    <n v="161.94999999999999"/>
    <n v="12.4"/>
    <n v="174.35"/>
  </r>
  <r>
    <x v="105"/>
    <x v="105"/>
    <x v="205"/>
    <n v="0"/>
    <n v="0"/>
    <n v="1.2690000000000002E-3"/>
    <n v="76.290000000000006"/>
    <n v="0"/>
    <n v="76.290000000000006"/>
  </r>
  <r>
    <x v="105"/>
    <x v="105"/>
    <x v="206"/>
    <n v="0"/>
    <n v="0"/>
    <n v="1.2690000000000002E-3"/>
    <n v="76.290000000000006"/>
    <n v="0"/>
    <n v="76.290000000000006"/>
  </r>
  <r>
    <x v="106"/>
    <x v="106"/>
    <x v="207"/>
    <n v="78.95"/>
    <n v="78.95"/>
    <n v="4.4973999999999995E-3"/>
    <n v="270.37"/>
    <n v="40.29"/>
    <n v="310.66000000000003"/>
  </r>
  <r>
    <x v="106"/>
    <x v="106"/>
    <x v="208"/>
    <n v="0"/>
    <n v="0"/>
    <n v="1.2690000000000002E-3"/>
    <n v="76.290000000000006"/>
    <n v="0"/>
    <n v="76.290000000000006"/>
  </r>
  <r>
    <x v="107"/>
    <x v="107"/>
    <x v="209"/>
    <n v="0"/>
    <n v="0"/>
    <n v="1.2690000000000002E-3"/>
    <n v="76.290000000000006"/>
    <n v="0"/>
    <n v="76.290000000000006"/>
  </r>
  <r>
    <x v="108"/>
    <x v="108"/>
    <x v="210"/>
    <n v="64.900000000000006"/>
    <n v="64.900000000000006"/>
    <n v="4.4973999999999995E-3"/>
    <n v="270.37"/>
    <n v="12.4"/>
    <n v="282.77"/>
  </r>
  <r>
    <x v="109"/>
    <x v="109"/>
    <x v="211"/>
    <n v="44.45"/>
    <n v="44.45"/>
    <n v="2.6939000000000004E-3"/>
    <n v="161.94999999999999"/>
    <n v="18.59"/>
    <n v="180.54"/>
  </r>
  <r>
    <x v="109"/>
    <x v="109"/>
    <x v="212"/>
    <n v="0"/>
    <n v="0"/>
    <n v="1.2690000000000002E-3"/>
    <n v="76.290000000000006"/>
    <n v="0"/>
    <n v="76.290000000000006"/>
  </r>
  <r>
    <x v="110"/>
    <x v="110"/>
    <x v="213"/>
    <n v="33"/>
    <n v="33"/>
    <n v="2.6939000000000004E-3"/>
    <n v="161.94999999999999"/>
    <n v="18.59"/>
    <n v="180.54"/>
  </r>
  <r>
    <x v="110"/>
    <x v="110"/>
    <x v="214"/>
    <n v="0"/>
    <n v="0"/>
    <n v="1.2690000000000002E-3"/>
    <n v="76.290000000000006"/>
    <n v="0"/>
    <n v="76.290000000000006"/>
  </r>
  <r>
    <x v="111"/>
    <x v="111"/>
    <x v="215"/>
    <n v="92.5"/>
    <n v="92.5"/>
    <n v="5.6772999999999997E-3"/>
    <n v="341.3"/>
    <n v="65.08"/>
    <n v="406.38"/>
  </r>
  <r>
    <x v="111"/>
    <x v="111"/>
    <x v="216"/>
    <n v="0"/>
    <n v="0"/>
    <n v="1.2690000000000002E-3"/>
    <n v="76.290000000000006"/>
    <n v="0"/>
    <n v="76.290000000000006"/>
  </r>
  <r>
    <x v="112"/>
    <x v="112"/>
    <x v="217"/>
    <n v="44.45"/>
    <n v="44.45"/>
    <n v="2.6939000000000004E-3"/>
    <n v="161.94999999999999"/>
    <n v="27.89"/>
    <n v="189.83999999999997"/>
  </r>
  <r>
    <x v="112"/>
    <x v="112"/>
    <x v="218"/>
    <n v="0"/>
    <n v="0"/>
    <n v="1.2690000000000002E-3"/>
    <n v="76.290000000000006"/>
    <n v="0"/>
    <n v="76.290000000000006"/>
  </r>
  <r>
    <x v="113"/>
    <x v="113"/>
    <x v="219"/>
    <n v="78.95"/>
    <n v="78.95"/>
    <n v="4.4973999999999995E-3"/>
    <n v="270.37"/>
    <n v="3.1"/>
    <n v="273.47000000000003"/>
  </r>
  <r>
    <x v="113"/>
    <x v="113"/>
    <x v="220"/>
    <n v="0"/>
    <n v="0"/>
    <n v="1.2690000000000002E-3"/>
    <n v="76.290000000000006"/>
    <n v="0"/>
    <n v="76.290000000000006"/>
  </r>
  <r>
    <x v="113"/>
    <x v="113"/>
    <x v="221"/>
    <n v="0"/>
    <n v="0"/>
    <n v="1.2690000000000002E-3"/>
    <n v="76.290000000000006"/>
    <n v="0"/>
    <n v="76.290000000000006"/>
  </r>
  <r>
    <x v="114"/>
    <x v="114"/>
    <x v="222"/>
    <n v="81"/>
    <n v="81"/>
    <n v="4.4973999999999995E-3"/>
    <n v="270.37"/>
    <n v="21.69"/>
    <n v="292.06"/>
  </r>
  <r>
    <x v="115"/>
    <x v="115"/>
    <x v="223"/>
    <n v="81"/>
    <n v="81"/>
    <n v="4.4973999999999995E-3"/>
    <n v="270.37"/>
    <n v="40.29"/>
    <n v="310.66000000000003"/>
  </r>
  <r>
    <x v="115"/>
    <x v="115"/>
    <x v="224"/>
    <n v="0"/>
    <n v="0"/>
    <n v="1.2690000000000002E-3"/>
    <n v="76.290000000000006"/>
    <n v="0"/>
    <n v="76.290000000000006"/>
  </r>
  <r>
    <x v="116"/>
    <x v="116"/>
    <x v="225"/>
    <n v="0"/>
    <n v="0"/>
    <n v="1.2690000000000002E-3"/>
    <n v="76.290000000000006"/>
    <n v="0"/>
    <n v="76.290000000000006"/>
  </r>
  <r>
    <x v="116"/>
    <x v="116"/>
    <x v="226"/>
    <n v="0"/>
    <n v="0"/>
    <n v="1.2690000000000002E-3"/>
    <n v="76.290000000000006"/>
    <n v="0"/>
    <n v="76.290000000000006"/>
  </r>
  <r>
    <x v="116"/>
    <x v="116"/>
    <x v="227"/>
    <n v="0"/>
    <n v="0"/>
    <n v="1.2690000000000002E-3"/>
    <n v="76.290000000000006"/>
    <n v="0"/>
    <n v="76.290000000000006"/>
  </r>
  <r>
    <x v="117"/>
    <x v="117"/>
    <x v="228"/>
    <n v="78.95"/>
    <n v="78.95"/>
    <n v="4.4973999999999995E-3"/>
    <n v="270.37"/>
    <n v="43.38"/>
    <n v="313.75"/>
  </r>
  <r>
    <x v="118"/>
    <x v="118"/>
    <x v="229"/>
    <n v="74.599999999999994"/>
    <n v="74.599999999999994"/>
    <n v="4.4973999999999995E-3"/>
    <n v="270.37"/>
    <n v="9.3000000000000007"/>
    <n v="279.67"/>
  </r>
  <r>
    <x v="118"/>
    <x v="118"/>
    <x v="230"/>
    <n v="0"/>
    <n v="0"/>
    <n v="1.2690000000000002E-3"/>
    <n v="76.290000000000006"/>
    <n v="0"/>
    <n v="76.290000000000006"/>
  </r>
  <r>
    <x v="119"/>
    <x v="119"/>
    <x v="231"/>
    <n v="92.5"/>
    <n v="92.5"/>
    <n v="5.6772999999999997E-3"/>
    <n v="341.3"/>
    <n v="34.090000000000003"/>
    <n v="375.39"/>
  </r>
  <r>
    <x v="119"/>
    <x v="119"/>
    <x v="232"/>
    <n v="0"/>
    <n v="0"/>
    <n v="1.2690000000000002E-3"/>
    <n v="76.290000000000006"/>
    <n v="0"/>
    <n v="76.290000000000006"/>
  </r>
  <r>
    <x v="120"/>
    <x v="120"/>
    <x v="233"/>
    <n v="66.45"/>
    <n v="66.45"/>
    <n v="4.4973999999999995E-3"/>
    <n v="270.37"/>
    <n v="24.79"/>
    <n v="295.16000000000003"/>
  </r>
  <r>
    <x v="120"/>
    <x v="120"/>
    <x v="234"/>
    <n v="0"/>
    <n v="0"/>
    <n v="1.2690000000000002E-3"/>
    <n v="76.290000000000006"/>
    <n v="0"/>
    <n v="76.290000000000006"/>
  </r>
  <r>
    <x v="121"/>
    <x v="121"/>
    <x v="235"/>
    <n v="33.200000000000003"/>
    <n v="33.200000000000003"/>
    <n v="2.6939000000000004E-3"/>
    <n v="161.94999999999999"/>
    <n v="9.3000000000000007"/>
    <n v="171.25"/>
  </r>
  <r>
    <x v="122"/>
    <x v="122"/>
    <x v="236"/>
    <n v="33.200000000000003"/>
    <n v="33.200000000000003"/>
    <n v="2.6939000000000004E-3"/>
    <n v="161.94999999999999"/>
    <n v="9.3000000000000007"/>
    <n v="171.25"/>
  </r>
  <r>
    <x v="123"/>
    <x v="123"/>
    <x v="237"/>
    <n v="44.45"/>
    <n v="44.45"/>
    <n v="2.6939000000000004E-3"/>
    <n v="161.94999999999999"/>
    <n v="12.4"/>
    <n v="174.35"/>
  </r>
  <r>
    <x v="123"/>
    <x v="123"/>
    <x v="238"/>
    <n v="0"/>
    <n v="0"/>
    <n v="1.2690000000000002E-3"/>
    <n v="76.290000000000006"/>
    <n v="0"/>
    <n v="76.290000000000006"/>
  </r>
  <r>
    <x v="124"/>
    <x v="124"/>
    <x v="239"/>
    <n v="74.599999999999994"/>
    <n v="74.599999999999994"/>
    <n v="4.4973999999999995E-3"/>
    <n v="270.37"/>
    <n v="24.79"/>
    <n v="295.16000000000003"/>
  </r>
  <r>
    <x v="125"/>
    <x v="125"/>
    <x v="240"/>
    <n v="33.200000000000003"/>
    <n v="33.200000000000003"/>
    <n v="2.6939000000000004E-3"/>
    <n v="161.94999999999999"/>
    <n v="0"/>
    <n v="161.94999999999999"/>
  </r>
  <r>
    <x v="126"/>
    <x v="126"/>
    <x v="241"/>
    <n v="74.599999999999994"/>
    <n v="74.599999999999994"/>
    <n v="4.4973999999999995E-3"/>
    <n v="270.37"/>
    <n v="139.44999999999999"/>
    <n v="409.82"/>
  </r>
  <r>
    <x v="127"/>
    <x v="127"/>
    <x v="242"/>
    <n v="78.95"/>
    <n v="78.95"/>
    <n v="4.4973999999999995E-3"/>
    <n v="270.37"/>
    <n v="12.4"/>
    <n v="282.77"/>
  </r>
  <r>
    <x v="127"/>
    <x v="127"/>
    <x v="243"/>
    <n v="0"/>
    <n v="0"/>
    <n v="1.2690000000000002E-3"/>
    <n v="76.290000000000006"/>
    <n v="0"/>
    <n v="76.290000000000006"/>
  </r>
  <r>
    <x v="128"/>
    <x v="128"/>
    <x v="244"/>
    <n v="74.599999999999994"/>
    <n v="74.599999999999994"/>
    <n v="4.4973999999999995E-3"/>
    <n v="270.37"/>
    <n v="37.19"/>
    <n v="307.56"/>
  </r>
  <r>
    <x v="128"/>
    <x v="128"/>
    <x v="245"/>
    <n v="0"/>
    <n v="0"/>
    <n v="1.2690000000000002E-3"/>
    <n v="76.290000000000006"/>
    <n v="0"/>
    <n v="76.290000000000006"/>
  </r>
  <r>
    <x v="129"/>
    <x v="129"/>
    <x v="246"/>
    <n v="78.95"/>
    <n v="78.95"/>
    <n v="4.4973999999999995E-3"/>
    <n v="270.37"/>
    <n v="46.48"/>
    <n v="316.85000000000002"/>
  </r>
  <r>
    <x v="129"/>
    <x v="129"/>
    <x v="247"/>
    <n v="0"/>
    <n v="0"/>
    <n v="1.2690000000000002E-3"/>
    <n v="76.290000000000006"/>
    <n v="0"/>
    <n v="76.290000000000006"/>
  </r>
  <r>
    <x v="130"/>
    <x v="130"/>
    <x v="248"/>
    <n v="33"/>
    <n v="33"/>
    <n v="2.6939000000000004E-3"/>
    <n v="161.94999999999999"/>
    <n v="9.3000000000000007"/>
    <n v="171.25"/>
  </r>
  <r>
    <x v="131"/>
    <x v="131"/>
    <x v="249"/>
    <n v="44.45"/>
    <n v="44.45"/>
    <n v="2.6939000000000004E-3"/>
    <n v="161.94999999999999"/>
    <n v="24.79"/>
    <n v="186.73999999999998"/>
  </r>
  <r>
    <x v="131"/>
    <x v="131"/>
    <x v="250"/>
    <n v="0"/>
    <n v="0"/>
    <n v="1.2690000000000002E-3"/>
    <n v="76.290000000000006"/>
    <n v="0"/>
    <n v="76.290000000000006"/>
  </r>
  <r>
    <x v="132"/>
    <x v="132"/>
    <x v="251"/>
    <n v="66.45"/>
    <n v="66.45"/>
    <n v="4.4973999999999995E-3"/>
    <n v="270.37"/>
    <n v="49.58"/>
    <n v="319.95"/>
  </r>
  <r>
    <x v="133"/>
    <x v="133"/>
    <x v="252"/>
    <n v="43.35"/>
    <n v="43.35"/>
    <n v="2.6939000000000004E-3"/>
    <n v="161.94999999999999"/>
    <n v="30.99"/>
    <n v="192.94"/>
  </r>
  <r>
    <x v="133"/>
    <x v="133"/>
    <x v="253"/>
    <n v="0"/>
    <n v="0"/>
    <n v="1.2690000000000002E-3"/>
    <n v="76.290000000000006"/>
    <n v="0"/>
    <n v="76.290000000000006"/>
  </r>
  <r>
    <x v="134"/>
    <x v="134"/>
    <x v="254"/>
    <n v="44.45"/>
    <n v="44.45"/>
    <n v="2.6939000000000004E-3"/>
    <n v="161.94999999999999"/>
    <n v="9.3000000000000007"/>
    <n v="171.25"/>
  </r>
  <r>
    <x v="134"/>
    <x v="134"/>
    <x v="255"/>
    <n v="0"/>
    <n v="0"/>
    <n v="3.6749999999999999E-4"/>
    <n v="22.09"/>
    <n v="0"/>
    <n v="22.09"/>
  </r>
  <r>
    <x v="134"/>
    <x v="134"/>
    <x v="256"/>
    <n v="0"/>
    <n v="0"/>
    <n v="1.2690000000000002E-3"/>
    <n v="76.290000000000006"/>
    <n v="0"/>
    <n v="76.290000000000006"/>
  </r>
  <r>
    <x v="135"/>
    <x v="135"/>
    <x v="257"/>
    <n v="68"/>
    <n v="68"/>
    <n v="4.4973999999999995E-3"/>
    <n v="270.37"/>
    <n v="15.49"/>
    <n v="285.86"/>
  </r>
  <r>
    <x v="135"/>
    <x v="135"/>
    <x v="258"/>
    <n v="0"/>
    <n v="0"/>
    <n v="1.2690000000000002E-3"/>
    <n v="76.290000000000006"/>
    <n v="0"/>
    <n v="76.290000000000006"/>
  </r>
  <r>
    <x v="136"/>
    <x v="136"/>
    <x v="259"/>
    <n v="33.200000000000003"/>
    <n v="33.200000000000003"/>
    <n v="2.6939000000000004E-3"/>
    <n v="161.94999999999999"/>
    <n v="6.2"/>
    <n v="168.14999999999998"/>
  </r>
  <r>
    <x v="136"/>
    <x v="136"/>
    <x v="260"/>
    <n v="0"/>
    <n v="0"/>
    <n v="1.2690000000000002E-3"/>
    <n v="76.290000000000006"/>
    <n v="0"/>
    <n v="76.290000000000006"/>
  </r>
  <r>
    <x v="137"/>
    <x v="137"/>
    <x v="261"/>
    <n v="92.5"/>
    <n v="92.5"/>
    <n v="5.6772999999999997E-3"/>
    <n v="341.3"/>
    <n v="74.37"/>
    <n v="415.67"/>
  </r>
  <r>
    <x v="137"/>
    <x v="137"/>
    <x v="262"/>
    <n v="0"/>
    <n v="0"/>
    <n v="3.6749999999999999E-4"/>
    <n v="22.09"/>
    <n v="0"/>
    <n v="22.09"/>
  </r>
  <r>
    <x v="137"/>
    <x v="137"/>
    <x v="263"/>
    <n v="0"/>
    <n v="0"/>
    <n v="1.2690000000000002E-3"/>
    <n v="76.290000000000006"/>
    <n v="0"/>
    <n v="76.290000000000006"/>
  </r>
  <r>
    <x v="138"/>
    <x v="138"/>
    <x v="264"/>
    <n v="0"/>
    <n v="0"/>
    <n v="3.6749999999999999E-4"/>
    <n v="22.09"/>
    <n v="0"/>
    <n v="22.09"/>
  </r>
  <r>
    <x v="139"/>
    <x v="139"/>
    <x v="265"/>
    <n v="33"/>
    <n v="33"/>
    <n v="2.6939000000000004E-3"/>
    <n v="161.94999999999999"/>
    <n v="0"/>
    <n v="161.94999999999999"/>
  </r>
  <r>
    <x v="140"/>
    <x v="140"/>
    <x v="266"/>
    <n v="0"/>
    <n v="0"/>
    <n v="1.2690000000000002E-3"/>
    <n v="76.290000000000006"/>
    <n v="0"/>
    <n v="76.290000000000006"/>
  </r>
  <r>
    <x v="141"/>
    <x v="141"/>
    <x v="267"/>
    <n v="43.35"/>
    <n v="43.35"/>
    <n v="2.6939000000000004E-3"/>
    <n v="161.94999999999999"/>
    <n v="15.49"/>
    <n v="177.44"/>
  </r>
  <r>
    <x v="142"/>
    <x v="142"/>
    <x v="268"/>
    <n v="67.400000000000006"/>
    <n v="67.400000000000006"/>
    <n v="4.4973999999999995E-3"/>
    <n v="270.37"/>
    <n v="27.89"/>
    <n v="298.26"/>
  </r>
  <r>
    <x v="143"/>
    <x v="143"/>
    <x v="269"/>
    <n v="74.599999999999994"/>
    <n v="74.599999999999994"/>
    <n v="4.4973999999999995E-3"/>
    <n v="270.37"/>
    <n v="9.3000000000000007"/>
    <n v="279.67"/>
  </r>
  <r>
    <x v="144"/>
    <x v="144"/>
    <x v="270"/>
    <n v="44.45"/>
    <n v="44.45"/>
    <n v="2.6939000000000004E-3"/>
    <n v="161.94999999999999"/>
    <n v="27.89"/>
    <n v="189.83999999999997"/>
  </r>
  <r>
    <x v="144"/>
    <x v="144"/>
    <x v="271"/>
    <n v="0"/>
    <n v="0"/>
    <n v="1.2690000000000002E-3"/>
    <n v="76.290000000000006"/>
    <n v="0"/>
    <n v="76.290000000000006"/>
  </r>
  <r>
    <x v="145"/>
    <x v="145"/>
    <x v="272"/>
    <n v="81"/>
    <n v="81"/>
    <n v="4.4973999999999995E-3"/>
    <n v="270.37"/>
    <n v="24.79"/>
    <n v="295.16000000000003"/>
  </r>
  <r>
    <x v="145"/>
    <x v="145"/>
    <x v="273"/>
    <n v="0"/>
    <n v="0"/>
    <n v="1.2690000000000002E-3"/>
    <n v="76.290000000000006"/>
    <n v="0"/>
    <n v="76.290000000000006"/>
  </r>
  <r>
    <x v="146"/>
    <x v="146"/>
    <x v="274"/>
    <n v="43.35"/>
    <n v="43.35"/>
    <n v="2.6939000000000004E-3"/>
    <n v="161.94999999999999"/>
    <n v="21.69"/>
    <n v="183.64"/>
  </r>
  <r>
    <x v="146"/>
    <x v="146"/>
    <x v="275"/>
    <n v="0"/>
    <n v="0"/>
    <n v="3.6749999999999999E-4"/>
    <n v="22.09"/>
    <n v="0"/>
    <n v="22.09"/>
  </r>
  <r>
    <x v="147"/>
    <x v="147"/>
    <x v="276"/>
    <n v="66.45"/>
    <n v="66.45"/>
    <n v="4.4973999999999995E-3"/>
    <n v="270.37"/>
    <n v="52.68"/>
    <n v="323.05"/>
  </r>
  <r>
    <x v="147"/>
    <x v="147"/>
    <x v="277"/>
    <n v="0"/>
    <n v="0"/>
    <n v="3.6749999999999999E-4"/>
    <n v="22.09"/>
    <n v="0"/>
    <n v="22.09"/>
  </r>
  <r>
    <x v="148"/>
    <x v="148"/>
    <x v="278"/>
    <n v="76.150000000000006"/>
    <n v="76.150000000000006"/>
    <n v="4.4973999999999995E-3"/>
    <n v="270.37"/>
    <n v="6.2"/>
    <n v="276.57"/>
  </r>
  <r>
    <x v="148"/>
    <x v="148"/>
    <x v="279"/>
    <n v="0"/>
    <n v="0"/>
    <n v="1.2690000000000002E-3"/>
    <n v="76.290000000000006"/>
    <n v="0"/>
    <n v="76.290000000000006"/>
  </r>
  <r>
    <x v="149"/>
    <x v="149"/>
    <x v="280"/>
    <n v="68"/>
    <n v="68"/>
    <n v="4.4973999999999995E-3"/>
    <n v="270.37"/>
    <n v="6.2"/>
    <n v="276.57"/>
  </r>
  <r>
    <x v="150"/>
    <x v="150"/>
    <x v="281"/>
    <n v="43.35"/>
    <n v="43.35"/>
    <n v="2.6939000000000004E-3"/>
    <n v="161.94999999999999"/>
    <n v="3.1"/>
    <n v="165.04999999999998"/>
  </r>
  <r>
    <x v="150"/>
    <x v="150"/>
    <x v="282"/>
    <n v="0"/>
    <n v="0"/>
    <n v="3.6749999999999999E-4"/>
    <n v="22.09"/>
    <n v="0"/>
    <n v="22.09"/>
  </r>
  <r>
    <x v="150"/>
    <x v="150"/>
    <x v="283"/>
    <n v="0"/>
    <n v="0"/>
    <n v="1.2690000000000002E-3"/>
    <n v="76.290000000000006"/>
    <n v="0"/>
    <n v="76.290000000000006"/>
  </r>
  <r>
    <x v="151"/>
    <x v="151"/>
    <x v="284"/>
    <n v="78.95"/>
    <n v="78.95"/>
    <n v="4.4973999999999995E-3"/>
    <n v="270.37"/>
    <n v="30.99"/>
    <n v="301.36"/>
  </r>
  <r>
    <x v="151"/>
    <x v="151"/>
    <x v="285"/>
    <n v="0"/>
    <n v="0"/>
    <n v="1.2690000000000002E-3"/>
    <n v="76.290000000000006"/>
    <n v="0"/>
    <n v="76.290000000000006"/>
  </r>
  <r>
    <x v="152"/>
    <x v="152"/>
    <x v="286"/>
    <n v="43.35"/>
    <n v="43.35"/>
    <n v="2.6939000000000004E-3"/>
    <n v="161.94999999999999"/>
    <n v="0"/>
    <n v="161.94999999999999"/>
  </r>
  <r>
    <x v="152"/>
    <x v="152"/>
    <x v="287"/>
    <n v="0"/>
    <n v="0"/>
    <n v="1.2690000000000002E-3"/>
    <n v="76.290000000000006"/>
    <n v="0"/>
    <n v="76.290000000000006"/>
  </r>
  <r>
    <x v="153"/>
    <x v="153"/>
    <x v="288"/>
    <n v="33"/>
    <n v="33"/>
    <n v="2.6939000000000004E-3"/>
    <n v="161.94999999999999"/>
    <n v="18.59"/>
    <n v="180.54"/>
  </r>
  <r>
    <x v="154"/>
    <x v="154"/>
    <x v="289"/>
    <n v="33.200000000000003"/>
    <n v="33.200000000000003"/>
    <n v="2.6939000000000004E-3"/>
    <n v="161.94999999999999"/>
    <n v="3.1"/>
    <n v="165.04999999999998"/>
  </r>
  <r>
    <x v="154"/>
    <x v="154"/>
    <x v="290"/>
    <n v="33.200000000000003"/>
    <n v="33.200000000000003"/>
    <n v="2.6939000000000004E-3"/>
    <n v="161.94999999999999"/>
    <n v="12.4"/>
    <n v="174.35"/>
  </r>
  <r>
    <x v="155"/>
    <x v="155"/>
    <x v="291"/>
    <n v="81"/>
    <n v="81"/>
    <n v="4.4973999999999995E-3"/>
    <n v="270.37"/>
    <n v="21.69"/>
    <n v="292.06"/>
  </r>
  <r>
    <x v="155"/>
    <x v="155"/>
    <x v="292"/>
    <n v="0"/>
    <n v="0"/>
    <n v="3.6749999999999999E-4"/>
    <n v="22.09"/>
    <n v="0"/>
    <n v="22.09"/>
  </r>
  <r>
    <x v="155"/>
    <x v="155"/>
    <x v="293"/>
    <n v="0"/>
    <n v="0"/>
    <n v="1.2690000000000002E-3"/>
    <n v="76.290000000000006"/>
    <n v="0"/>
    <n v="76.290000000000006"/>
  </r>
  <r>
    <x v="156"/>
    <x v="156"/>
    <x v="294"/>
    <n v="76.150000000000006"/>
    <n v="76.150000000000006"/>
    <n v="4.4973999999999995E-3"/>
    <n v="270.37"/>
    <n v="3.1"/>
    <n v="273.47000000000003"/>
  </r>
  <r>
    <x v="156"/>
    <x v="156"/>
    <x v="295"/>
    <n v="0"/>
    <n v="0"/>
    <n v="1.2690000000000002E-3"/>
    <n v="76.290000000000006"/>
    <n v="0"/>
    <n v="76.290000000000006"/>
  </r>
  <r>
    <x v="157"/>
    <x v="157"/>
    <x v="296"/>
    <n v="78.95"/>
    <n v="78.95"/>
    <n v="4.4973999999999995E-3"/>
    <n v="270.37"/>
    <n v="43.38"/>
    <n v="313.75"/>
  </r>
  <r>
    <x v="157"/>
    <x v="157"/>
    <x v="297"/>
    <n v="0"/>
    <n v="0"/>
    <n v="3.6749999999999999E-4"/>
    <n v="22.09"/>
    <n v="0"/>
    <n v="22.09"/>
  </r>
  <r>
    <x v="157"/>
    <x v="157"/>
    <x v="298"/>
    <n v="0"/>
    <n v="0"/>
    <n v="1.2690000000000002E-3"/>
    <n v="76.290000000000006"/>
    <n v="0"/>
    <n v="76.290000000000006"/>
  </r>
  <r>
    <x v="158"/>
    <x v="158"/>
    <x v="299"/>
    <n v="33"/>
    <n v="33"/>
    <n v="2.6939000000000004E-3"/>
    <n v="161.94999999999999"/>
    <n v="18.59"/>
    <n v="180.54"/>
  </r>
  <r>
    <x v="159"/>
    <x v="159"/>
    <x v="300"/>
    <n v="66.45"/>
    <n v="66.45"/>
    <n v="4.4973999999999995E-3"/>
    <n v="270.37"/>
    <n v="15.49"/>
    <n v="285.86"/>
  </r>
  <r>
    <x v="159"/>
    <x v="159"/>
    <x v="301"/>
    <n v="0"/>
    <n v="0"/>
    <n v="1.2690000000000002E-3"/>
    <n v="76.290000000000006"/>
    <n v="0"/>
    <n v="76.290000000000006"/>
  </r>
  <r>
    <x v="160"/>
    <x v="160"/>
    <x v="302"/>
    <n v="33"/>
    <n v="33"/>
    <n v="2.6939000000000004E-3"/>
    <n v="161.94999999999999"/>
    <n v="0"/>
    <n v="161.94999999999999"/>
  </r>
  <r>
    <x v="161"/>
    <x v="161"/>
    <x v="303"/>
    <n v="44.45"/>
    <n v="44.45"/>
    <n v="2.6939000000000004E-3"/>
    <n v="161.94999999999999"/>
    <n v="9.3000000000000007"/>
    <n v="171.25"/>
  </r>
  <r>
    <x v="161"/>
    <x v="161"/>
    <x v="304"/>
    <n v="92.5"/>
    <n v="92.5"/>
    <n v="5.6772999999999997E-3"/>
    <n v="341.3"/>
    <n v="18.59"/>
    <n v="359.89"/>
  </r>
  <r>
    <x v="162"/>
    <x v="162"/>
    <x v="305"/>
    <n v="77.05"/>
    <n v="77.05"/>
    <n v="4.4973999999999995E-3"/>
    <n v="270.37"/>
    <n v="12.4"/>
    <n v="282.77"/>
  </r>
  <r>
    <x v="162"/>
    <x v="162"/>
    <x v="306"/>
    <n v="0"/>
    <n v="0"/>
    <n v="1.2690000000000002E-3"/>
    <n v="76.290000000000006"/>
    <n v="0"/>
    <n v="76.290000000000006"/>
  </r>
  <r>
    <x v="163"/>
    <x v="163"/>
    <x v="307"/>
    <n v="43.35"/>
    <n v="43.35"/>
    <n v="2.6939000000000004E-3"/>
    <n v="161.94999999999999"/>
    <n v="15.49"/>
    <n v="177.44"/>
  </r>
  <r>
    <x v="163"/>
    <x v="163"/>
    <x v="308"/>
    <n v="0"/>
    <n v="0"/>
    <n v="1.2690000000000002E-3"/>
    <n v="76.290000000000006"/>
    <n v="0"/>
    <n v="76.290000000000006"/>
  </r>
  <r>
    <x v="164"/>
    <x v="164"/>
    <x v="309"/>
    <n v="66.45"/>
    <n v="66.45"/>
    <n v="4.4973999999999995E-3"/>
    <n v="270.37"/>
    <n v="27.89"/>
    <n v="298.26"/>
  </r>
  <r>
    <x v="164"/>
    <x v="164"/>
    <x v="310"/>
    <n v="0"/>
    <n v="0"/>
    <n v="1.2690000000000002E-3"/>
    <n v="76.290000000000006"/>
    <n v="0"/>
    <n v="76.290000000000006"/>
  </r>
  <r>
    <x v="165"/>
    <x v="165"/>
    <x v="311"/>
    <n v="66.45"/>
    <n v="66.45"/>
    <n v="4.4973999999999995E-3"/>
    <n v="270.37"/>
    <n v="21.69"/>
    <n v="292.06"/>
  </r>
  <r>
    <x v="165"/>
    <x v="165"/>
    <x v="312"/>
    <n v="0"/>
    <n v="0"/>
    <n v="1.2690000000000002E-3"/>
    <n v="76.290000000000006"/>
    <n v="0"/>
    <n v="76.290000000000006"/>
  </r>
  <r>
    <x v="166"/>
    <x v="166"/>
    <x v="313"/>
    <n v="33"/>
    <n v="33"/>
    <n v="2.6939000000000004E-3"/>
    <n v="161.94999999999999"/>
    <n v="6.2"/>
    <n v="168.14999999999998"/>
  </r>
  <r>
    <x v="166"/>
    <x v="166"/>
    <x v="314"/>
    <n v="0"/>
    <n v="0"/>
    <n v="3.6749999999999999E-4"/>
    <n v="22.09"/>
    <n v="0"/>
    <n v="22.09"/>
  </r>
  <r>
    <x v="167"/>
    <x v="167"/>
    <x v="315"/>
    <n v="44.45"/>
    <n v="44.45"/>
    <n v="2.6939000000000004E-3"/>
    <n v="161.94999999999999"/>
    <n v="6.2"/>
    <n v="168.14999999999998"/>
  </r>
  <r>
    <x v="167"/>
    <x v="167"/>
    <x v="316"/>
    <n v="0"/>
    <n v="0"/>
    <n v="1.2690000000000002E-3"/>
    <n v="76.290000000000006"/>
    <n v="0"/>
    <n v="76.290000000000006"/>
  </r>
  <r>
    <x v="168"/>
    <x v="168"/>
    <x v="317"/>
    <n v="33.200000000000003"/>
    <n v="33.200000000000003"/>
    <n v="2.6939000000000004E-3"/>
    <n v="161.94999999999999"/>
    <n v="15.49"/>
    <n v="177.44"/>
  </r>
  <r>
    <x v="169"/>
    <x v="169"/>
    <x v="318"/>
    <n v="33.200000000000003"/>
    <n v="33.200000000000003"/>
    <n v="2.6939000000000004E-3"/>
    <n v="161.94999999999999"/>
    <n v="9.3000000000000007"/>
    <n v="171.25"/>
  </r>
  <r>
    <x v="170"/>
    <x v="170"/>
    <x v="319"/>
    <n v="40"/>
    <n v="40"/>
    <n v="2.6939000000000004E-3"/>
    <n v="161.94999999999999"/>
    <n v="0"/>
    <n v="161.94999999999999"/>
  </r>
  <r>
    <x v="170"/>
    <x v="170"/>
    <x v="320"/>
    <n v="0"/>
    <n v="0"/>
    <n v="1.2690000000000002E-3"/>
    <n v="76.290000000000006"/>
    <n v="0"/>
    <n v="76.290000000000006"/>
  </r>
  <r>
    <x v="171"/>
    <x v="171"/>
    <x v="321"/>
    <n v="74.599999999999994"/>
    <n v="74.599999999999994"/>
    <n v="4.4973999999999995E-3"/>
    <n v="270.37"/>
    <n v="24.79"/>
    <n v="295.16000000000003"/>
  </r>
  <r>
    <x v="171"/>
    <x v="171"/>
    <x v="322"/>
    <n v="0"/>
    <n v="0"/>
    <n v="1.2690000000000002E-3"/>
    <n v="76.290000000000006"/>
    <n v="0"/>
    <n v="76.290000000000006"/>
  </r>
  <r>
    <x v="172"/>
    <x v="172"/>
    <x v="323"/>
    <n v="77.05"/>
    <n v="77.05"/>
    <n v="4.4973999999999995E-3"/>
    <n v="270.37"/>
    <n v="12.4"/>
    <n v="282.77"/>
  </r>
  <r>
    <x v="172"/>
    <x v="172"/>
    <x v="324"/>
    <n v="0"/>
    <n v="0"/>
    <n v="1.2690000000000002E-3"/>
    <n v="76.290000000000006"/>
    <n v="0"/>
    <n v="76.290000000000006"/>
  </r>
  <r>
    <x v="173"/>
    <x v="173"/>
    <x v="325"/>
    <n v="33.200000000000003"/>
    <n v="33.200000000000003"/>
    <n v="2.6939000000000004E-3"/>
    <n v="161.94999999999999"/>
    <n v="21.69"/>
    <n v="183.64"/>
  </r>
  <r>
    <x v="173"/>
    <x v="173"/>
    <x v="326"/>
    <n v="0"/>
    <n v="0"/>
    <n v="1.2690000000000002E-3"/>
    <n v="76.290000000000006"/>
    <n v="0"/>
    <n v="76.290000000000006"/>
  </r>
  <r>
    <x v="174"/>
    <x v="174"/>
    <x v="327"/>
    <n v="43.35"/>
    <n v="43.35"/>
    <n v="2.6939000000000004E-3"/>
    <n v="161.94999999999999"/>
    <n v="0"/>
    <n v="161.94999999999999"/>
  </r>
  <r>
    <x v="174"/>
    <x v="174"/>
    <x v="328"/>
    <n v="0"/>
    <n v="0"/>
    <n v="3.6749999999999999E-4"/>
    <n v="22.09"/>
    <n v="0"/>
    <n v="22.09"/>
  </r>
  <r>
    <x v="174"/>
    <x v="174"/>
    <x v="329"/>
    <n v="0"/>
    <n v="0"/>
    <n v="1.2690000000000002E-3"/>
    <n v="76.290000000000006"/>
    <n v="0"/>
    <n v="76.290000000000006"/>
  </r>
  <r>
    <x v="175"/>
    <x v="175"/>
    <x v="330"/>
    <n v="33.200000000000003"/>
    <n v="33.200000000000003"/>
    <n v="2.6939000000000004E-3"/>
    <n v="161.94999999999999"/>
    <n v="18.59"/>
    <n v="180.54"/>
  </r>
  <r>
    <x v="176"/>
    <x v="176"/>
    <x v="331"/>
    <n v="68"/>
    <n v="68"/>
    <n v="4.4973999999999995E-3"/>
    <n v="270.37"/>
    <n v="27.89"/>
    <n v="298.26"/>
  </r>
  <r>
    <x v="177"/>
    <x v="177"/>
    <x v="332"/>
    <n v="43.35"/>
    <n v="43.35"/>
    <n v="2.6939000000000004E-3"/>
    <n v="161.94999999999999"/>
    <n v="0"/>
    <n v="161.94999999999999"/>
  </r>
  <r>
    <x v="177"/>
    <x v="177"/>
    <x v="333"/>
    <n v="0"/>
    <n v="0"/>
    <n v="3.6749999999999999E-4"/>
    <n v="22.09"/>
    <n v="0"/>
    <n v="22.09"/>
  </r>
  <r>
    <x v="178"/>
    <x v="178"/>
    <x v="334"/>
    <n v="74.599999999999994"/>
    <n v="74.599999999999994"/>
    <n v="4.4973999999999995E-3"/>
    <n v="270.37"/>
    <n v="27.89"/>
    <n v="298.26"/>
  </r>
  <r>
    <x v="178"/>
    <x v="178"/>
    <x v="335"/>
    <n v="0"/>
    <n v="0"/>
    <n v="1.2690000000000002E-3"/>
    <n v="76.290000000000006"/>
    <n v="0"/>
    <n v="76.290000000000006"/>
  </r>
  <r>
    <x v="179"/>
    <x v="179"/>
    <x v="336"/>
    <n v="66.45"/>
    <n v="66.45"/>
    <n v="4.4973999999999995E-3"/>
    <n v="270.37"/>
    <n v="9.3000000000000007"/>
    <n v="279.67"/>
  </r>
  <r>
    <x v="180"/>
    <x v="180"/>
    <x v="337"/>
    <n v="77.05"/>
    <n v="77.05"/>
    <n v="4.4973999999999995E-3"/>
    <n v="270.37"/>
    <n v="34.090000000000003"/>
    <n v="304.46000000000004"/>
  </r>
  <r>
    <x v="180"/>
    <x v="180"/>
    <x v="338"/>
    <n v="0"/>
    <n v="0"/>
    <n v="1.2690000000000002E-3"/>
    <n v="76.290000000000006"/>
    <n v="0"/>
    <n v="76.290000000000006"/>
  </r>
  <r>
    <x v="181"/>
    <x v="181"/>
    <x v="339"/>
    <n v="78.95"/>
    <n v="78.95"/>
    <n v="4.4973999999999995E-3"/>
    <n v="270.37"/>
    <n v="37.19"/>
    <n v="307.56"/>
  </r>
  <r>
    <x v="181"/>
    <x v="181"/>
    <x v="340"/>
    <n v="0"/>
    <n v="0"/>
    <n v="1.2690000000000002E-3"/>
    <n v="76.290000000000006"/>
    <n v="0"/>
    <n v="76.290000000000006"/>
  </r>
  <r>
    <x v="182"/>
    <x v="182"/>
    <x v="341"/>
    <n v="76.150000000000006"/>
    <n v="76.150000000000006"/>
    <n v="4.4973999999999995E-3"/>
    <n v="270.37"/>
    <n v="105.36"/>
    <n v="375.73"/>
  </r>
  <r>
    <x v="182"/>
    <x v="182"/>
    <x v="342"/>
    <n v="0"/>
    <n v="0"/>
    <n v="1.2690000000000002E-3"/>
    <n v="76.290000000000006"/>
    <n v="0"/>
    <n v="76.290000000000006"/>
  </r>
  <r>
    <x v="183"/>
    <x v="183"/>
    <x v="343"/>
    <n v="92.5"/>
    <n v="92.5"/>
    <n v="5.6772999999999997E-3"/>
    <n v="341.3"/>
    <n v="12.4"/>
    <n v="353.7"/>
  </r>
  <r>
    <x v="183"/>
    <x v="183"/>
    <x v="344"/>
    <n v="0"/>
    <n v="0"/>
    <n v="1.2690000000000002E-3"/>
    <n v="76.290000000000006"/>
    <n v="0"/>
    <n v="76.290000000000006"/>
  </r>
  <r>
    <x v="183"/>
    <x v="183"/>
    <x v="345"/>
    <n v="0"/>
    <n v="0"/>
    <n v="1.2690000000000002E-3"/>
    <n v="76.290000000000006"/>
    <n v="0"/>
    <n v="76.290000000000006"/>
  </r>
  <r>
    <x v="184"/>
    <x v="184"/>
    <x v="346"/>
    <n v="33.200000000000003"/>
    <n v="33.200000000000003"/>
    <n v="2.6939000000000004E-3"/>
    <n v="161.94999999999999"/>
    <n v="0"/>
    <n v="161.94999999999999"/>
  </r>
  <r>
    <x v="184"/>
    <x v="184"/>
    <x v="347"/>
    <n v="0"/>
    <n v="0"/>
    <n v="1.2690000000000002E-3"/>
    <n v="76.290000000000006"/>
    <n v="0"/>
    <n v="76.290000000000006"/>
  </r>
  <r>
    <x v="185"/>
    <x v="185"/>
    <x v="348"/>
    <n v="78.95"/>
    <n v="78.95"/>
    <n v="4.4973999999999995E-3"/>
    <n v="270.37"/>
    <n v="61.98"/>
    <n v="332.35"/>
  </r>
  <r>
    <x v="185"/>
    <x v="185"/>
    <x v="349"/>
    <n v="0"/>
    <n v="0"/>
    <n v="1.2690000000000002E-3"/>
    <n v="76.290000000000006"/>
    <n v="0"/>
    <n v="76.290000000000006"/>
  </r>
  <r>
    <x v="186"/>
    <x v="186"/>
    <x v="350"/>
    <n v="92.5"/>
    <n v="92.5"/>
    <n v="5.6772999999999997E-3"/>
    <n v="341.3"/>
    <n v="3.1"/>
    <n v="344.40000000000003"/>
  </r>
  <r>
    <x v="186"/>
    <x v="186"/>
    <x v="351"/>
    <n v="0"/>
    <n v="0"/>
    <n v="3.6749999999999999E-4"/>
    <n v="22.09"/>
    <n v="0"/>
    <n v="22.09"/>
  </r>
  <r>
    <x v="186"/>
    <x v="186"/>
    <x v="352"/>
    <n v="0"/>
    <n v="0"/>
    <n v="1.2690000000000002E-3"/>
    <n v="76.290000000000006"/>
    <n v="0"/>
    <n v="76.290000000000006"/>
  </r>
  <r>
    <x v="187"/>
    <x v="187"/>
    <x v="353"/>
    <n v="33.200000000000003"/>
    <n v="33.200000000000003"/>
    <n v="2.6939000000000004E-3"/>
    <n v="161.94999999999999"/>
    <n v="0"/>
    <n v="161.94999999999999"/>
  </r>
  <r>
    <x v="188"/>
    <x v="188"/>
    <x v="354"/>
    <n v="77.05"/>
    <n v="77.05"/>
    <n v="4.4973999999999995E-3"/>
    <n v="270.37"/>
    <n v="24.79"/>
    <n v="295.16000000000003"/>
  </r>
  <r>
    <x v="188"/>
    <x v="188"/>
    <x v="355"/>
    <n v="0"/>
    <n v="0"/>
    <n v="1.2690000000000002E-3"/>
    <n v="76.290000000000006"/>
    <n v="0"/>
    <n v="76.290000000000006"/>
  </r>
  <r>
    <x v="188"/>
    <x v="188"/>
    <x v="356"/>
    <n v="0"/>
    <n v="0"/>
    <n v="1.2690000000000002E-3"/>
    <n v="76.290000000000006"/>
    <n v="0"/>
    <n v="76.290000000000006"/>
  </r>
  <r>
    <x v="189"/>
    <x v="189"/>
    <x v="357"/>
    <n v="81"/>
    <n v="81"/>
    <n v="4.4973999999999995E-3"/>
    <n v="270.37"/>
    <n v="24.79"/>
    <n v="295.16000000000003"/>
  </r>
  <r>
    <x v="189"/>
    <x v="189"/>
    <x v="358"/>
    <n v="0"/>
    <n v="0"/>
    <n v="1.2690000000000002E-3"/>
    <n v="76.290000000000006"/>
    <n v="0"/>
    <n v="76.290000000000006"/>
  </r>
  <r>
    <x v="190"/>
    <x v="190"/>
    <x v="359"/>
    <n v="66.45"/>
    <n v="66.45"/>
    <n v="4.4973999999999995E-3"/>
    <n v="270.37"/>
    <n v="15.49"/>
    <n v="285.86"/>
  </r>
  <r>
    <x v="190"/>
    <x v="190"/>
    <x v="360"/>
    <n v="0"/>
    <n v="0"/>
    <n v="1.2690000000000002E-3"/>
    <n v="76.290000000000006"/>
    <n v="0"/>
    <n v="76.290000000000006"/>
  </r>
  <r>
    <x v="191"/>
    <x v="191"/>
    <x v="361"/>
    <n v="33"/>
    <n v="33"/>
    <n v="2.6939000000000004E-3"/>
    <n v="161.94999999999999"/>
    <n v="12.4"/>
    <n v="174.35"/>
  </r>
  <r>
    <x v="192"/>
    <x v="192"/>
    <x v="362"/>
    <n v="68"/>
    <n v="68"/>
    <n v="4.4973999999999995E-3"/>
    <n v="270.37"/>
    <n v="3.1"/>
    <n v="273.47000000000003"/>
  </r>
  <r>
    <x v="192"/>
    <x v="192"/>
    <x v="363"/>
    <n v="0"/>
    <n v="0"/>
    <n v="3.6749999999999999E-4"/>
    <n v="22.09"/>
    <n v="0"/>
    <n v="22.09"/>
  </r>
  <r>
    <x v="192"/>
    <x v="192"/>
    <x v="364"/>
    <n v="0"/>
    <n v="0"/>
    <n v="1.2690000000000002E-3"/>
    <n v="76.290000000000006"/>
    <n v="0"/>
    <n v="76.290000000000006"/>
  </r>
  <r>
    <x v="193"/>
    <x v="193"/>
    <x v="365"/>
    <n v="74.599999999999994"/>
    <n v="74.599999999999994"/>
    <n v="4.4973999999999995E-3"/>
    <n v="270.37"/>
    <n v="0"/>
    <n v="270.37"/>
  </r>
  <r>
    <x v="193"/>
    <x v="193"/>
    <x v="366"/>
    <n v="0"/>
    <n v="0"/>
    <n v="1.2689999999999999E-3"/>
    <n v="76.290000000000006"/>
    <n v="0"/>
    <n v="76.290000000000006"/>
  </r>
  <r>
    <x v="194"/>
    <x v="194"/>
    <x v="367"/>
    <n v="43.35"/>
    <n v="43.35"/>
    <n v="2.6939000000000004E-3"/>
    <n v="161.94999999999999"/>
    <n v="9.3000000000000007"/>
    <n v="171.25"/>
  </r>
  <r>
    <x v="195"/>
    <x v="195"/>
    <x v="368"/>
    <n v="76.150000000000006"/>
    <n v="76.150000000000006"/>
    <n v="4.4973999999999995E-3"/>
    <n v="270.37"/>
    <n v="86.77"/>
    <n v="357.14"/>
  </r>
  <r>
    <x v="195"/>
    <x v="195"/>
    <x v="369"/>
    <n v="0"/>
    <n v="0"/>
    <n v="1.2690000000000002E-3"/>
    <n v="76.290000000000006"/>
    <n v="0"/>
    <n v="76.290000000000006"/>
  </r>
  <r>
    <x v="196"/>
    <x v="196"/>
    <x v="370"/>
    <n v="76.150000000000006"/>
    <n v="76.150000000000006"/>
    <n v="4.4973999999999995E-3"/>
    <n v="270.37"/>
    <n v="27.89"/>
    <n v="298.26"/>
  </r>
  <r>
    <x v="196"/>
    <x v="196"/>
    <x v="371"/>
    <n v="0"/>
    <n v="0"/>
    <n v="1.2690000000000002E-3"/>
    <n v="76.290000000000006"/>
    <n v="0"/>
    <n v="76.290000000000006"/>
  </r>
  <r>
    <x v="197"/>
    <x v="197"/>
    <x v="372"/>
    <n v="128.6"/>
    <n v="171.1"/>
    <n v="6.2785000000000002E-3"/>
    <n v="377.44"/>
    <n v="27.89"/>
    <n v="405.33"/>
  </r>
  <r>
    <x v="197"/>
    <x v="197"/>
    <x v="373"/>
    <n v="0"/>
    <n v="0"/>
    <n v="1.2690000000000002E-3"/>
    <n v="76.290000000000006"/>
    <n v="0"/>
    <n v="76.290000000000006"/>
  </r>
  <r>
    <x v="198"/>
    <x v="198"/>
    <x v="374"/>
    <n v="0"/>
    <n v="0"/>
    <n v="1.2690000000000002E-3"/>
    <n v="76.290000000000006"/>
    <n v="0"/>
    <n v="76.290000000000006"/>
  </r>
  <r>
    <x v="199"/>
    <x v="199"/>
    <x v="375"/>
    <n v="0"/>
    <n v="0"/>
    <n v="1.2690000000000002E-3"/>
    <n v="76.290000000000006"/>
    <n v="0"/>
    <n v="76.290000000000006"/>
  </r>
  <r>
    <x v="200"/>
    <x v="200"/>
    <x v="376"/>
    <n v="0"/>
    <n v="0"/>
    <n v="3.6749999999999999E-4"/>
    <n v="22.09"/>
    <n v="0"/>
    <n v="22.09"/>
  </r>
  <r>
    <x v="200"/>
    <x v="200"/>
    <x v="377"/>
    <n v="0"/>
    <n v="0"/>
    <n v="3.6749999999999999E-4"/>
    <n v="22.09"/>
    <n v="0"/>
    <n v="22.09"/>
  </r>
  <r>
    <x v="201"/>
    <x v="201"/>
    <x v="378"/>
    <n v="0"/>
    <n v="0"/>
    <n v="1.2690000000000002E-3"/>
    <n v="76.290000000000006"/>
    <n v="0"/>
    <n v="76.290000000000006"/>
  </r>
  <r>
    <x v="202"/>
    <x v="202"/>
    <x v="379"/>
    <n v="68"/>
    <n v="68"/>
    <n v="4.4973999999999995E-3"/>
    <n v="270.37"/>
    <n v="12.4"/>
    <n v="282.77"/>
  </r>
  <r>
    <x v="202"/>
    <x v="202"/>
    <x v="163"/>
    <n v="0"/>
    <n v="0"/>
    <n v="1.2690000000000002E-3"/>
    <n v="76.290000000000006"/>
    <n v="0"/>
    <n v="76.290000000000006"/>
  </r>
  <r>
    <x v="203"/>
    <x v="203"/>
    <x v="380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">
  <r>
    <x v="0"/>
    <m/>
    <n v="0"/>
    <n v="0"/>
    <n v="0"/>
    <x v="0"/>
    <m/>
  </r>
  <r>
    <x v="0"/>
    <s v="TRAN.CTAS.TERC.BM"/>
    <n v="30"/>
    <s v="03209955"/>
    <s v="ROJAS CACERES VITHIA MARCELA"/>
    <x v="1"/>
    <s v="cine"/>
  </r>
  <r>
    <x v="0"/>
    <s v="TRANSF.BCO.INTERBANK"/>
    <n v="100"/>
    <s v="02847819"/>
    <s v="ALVAREZ-SALAS-CARLOS"/>
    <x v="1"/>
    <s v="arcade"/>
  </r>
  <r>
    <x v="0"/>
    <s v="TRAN.CTAS.TERC.BM"/>
    <n v="200"/>
    <s v="02928341"/>
    <s v="LIANG NN YANQIU"/>
    <x v="1"/>
    <s v="arcade"/>
  </r>
  <r>
    <x v="0"/>
    <s v="TRAN.CTAS.TERC.BM"/>
    <n v="269.33"/>
    <s v="03617458"/>
    <s v="TUPAYACHI VALLENAS DENIS ALFREDO"/>
    <x v="2"/>
    <s v="periodo anterior"/>
  </r>
  <r>
    <x v="0"/>
    <s v="TRAN.CTAS.TERC.BM"/>
    <n v="368.33"/>
    <s v="08573454"/>
    <s v="LIANG YANQIU"/>
    <x v="3"/>
    <s v="periodo anterior"/>
  </r>
  <r>
    <x v="0"/>
    <s v="TRANSF.BCO.BBVA"/>
    <n v="372.09"/>
    <s v="02705227"/>
    <s v="GIANELLA LIZETH NEIRA BUSTAMANTE"/>
    <x v="4"/>
    <s v="periodo anterior"/>
  </r>
  <r>
    <x v="1"/>
    <s v="TRAN.CTAS.TERC.BM"/>
    <n v="30"/>
    <s v="00794655"/>
    <s v="MONTESINOS CAMPOS NATALY MAGDALENA"/>
    <x v="1"/>
    <s v="cine"/>
  </r>
  <r>
    <x v="1"/>
    <s v="TRAN.CTAS.TERC.BM"/>
    <n v="30"/>
    <s v="04534099"/>
    <s v="CHAVEZ JULCAHUANCA VANESSA ZORAIDA"/>
    <x v="1"/>
    <s v="cine"/>
  </r>
  <r>
    <x v="1"/>
    <s v="TRAN.CTAS.TERC.BM"/>
    <n v="40"/>
    <s v="04819680"/>
    <s v="VALLEBUONA MAYTA LUIS ALBERTO"/>
    <x v="1"/>
    <s v="parrilla"/>
  </r>
  <r>
    <x v="1"/>
    <s v="TRAN.CTAS.TERC.BM"/>
    <n v="380.25"/>
    <s v="00791169"/>
    <s v="HUANAY MARTINEZ FRANZ CESAR"/>
    <x v="5"/>
    <s v="periodo anterior"/>
  </r>
  <r>
    <x v="1"/>
    <s v="TRAN.CTAS.TERC.BM"/>
    <n v="385.97"/>
    <s v="03006094"/>
    <s v="FERRER CODINA MILAGROS DE JESUS"/>
    <x v="6"/>
    <s v="periodo anterior"/>
  </r>
  <r>
    <x v="1"/>
    <s v="TRAN.CTAS.TERC.BM"/>
    <n v="389.72"/>
    <s v="05389544"/>
    <s v="VEGA DIESTRA DAVID VICTOR"/>
    <x v="7"/>
    <s v="periodo anterior"/>
  </r>
  <r>
    <x v="1"/>
    <s v="TRAN.CTAS.TERC.BM"/>
    <n v="398.66"/>
    <s v="05823344"/>
    <s v="FLORES GARCIA KATIUSKA TERESA"/>
    <x v="8"/>
    <s v="periodo anterior"/>
  </r>
  <r>
    <x v="1"/>
    <s v="TRANSF.BCO.BBVA"/>
    <n v="404.62"/>
    <s v="02696269"/>
    <s v="DIEGO HERNAN MORALES X"/>
    <x v="9"/>
    <s v="periodo anterior"/>
  </r>
  <r>
    <x v="1"/>
    <s v="TRANSF.BCO.INTERBANK"/>
    <n v="410.58"/>
    <s v="02419310"/>
    <s v="ENRIQUEZ-ILLESCAS-LAURA"/>
    <x v="10"/>
    <s v="periodo anterior"/>
  </r>
  <r>
    <x v="2"/>
    <s v="TRANSF.BCO.BBVA"/>
    <n v="30"/>
    <s v="02799173"/>
    <s v="VICTOR DANIEL DE LA CRUZ SOLO"/>
    <x v="1"/>
    <s v="cine"/>
  </r>
  <r>
    <x v="2"/>
    <s v="TRAN.CTAS.TERC.BM"/>
    <n v="30"/>
    <s v="00681111"/>
    <s v="MILAGROS MERCEDES BARRIENTOS FLORES"/>
    <x v="1"/>
    <s v="cine"/>
  </r>
  <r>
    <x v="2"/>
    <s v="TRAN.CTAS.TERC.BM"/>
    <n v="391.13"/>
    <s v="04257108"/>
    <s v="LI NN XIAN YI"/>
    <x v="11"/>
    <s v="periodo anterior"/>
  </r>
  <r>
    <x v="3"/>
    <s v="TRAN.CTAS.TERC.BM"/>
    <n v="254.32"/>
    <s v="04138284"/>
    <s v="depa 708"/>
    <x v="12"/>
    <s v="periodo anterior"/>
  </r>
  <r>
    <x v="3"/>
    <s v="TRAN.CTAS.TERC.BM"/>
    <n v="254.43"/>
    <s v="01810104"/>
    <s v="LOCK GOVEA JOSE EDILBERTO"/>
    <x v="13"/>
    <s v="periodo anterior"/>
  </r>
  <r>
    <x v="3"/>
    <s v="TRAN.CTAS.TERC.BM"/>
    <n v="365.88"/>
    <s v="05568200"/>
    <s v="depa 807"/>
    <x v="14"/>
    <s v="periodo anterior"/>
  </r>
  <r>
    <x v="3"/>
    <s v="TRAN.CTAS.TERC.BM"/>
    <n v="365.88"/>
    <s v="05171425"/>
    <s v="depa 807"/>
    <x v="14"/>
    <s v="periodo anterior"/>
  </r>
  <r>
    <x v="3"/>
    <s v="TRAN.CTAS.TERC.BM"/>
    <n v="403.63"/>
    <s v="04733331"/>
    <s v="TRAN.CTAS.TERC.BM"/>
    <x v="15"/>
    <s v="periodo anterior"/>
  </r>
  <r>
    <x v="3"/>
    <s v="TRANSF.BCO.INTERBANK"/>
    <n v="529.77"/>
    <s v="02918078"/>
    <s v="CHUMPITAZ-JORDAN-GIANFRANCO"/>
    <x v="16"/>
    <s v="periodo anterior"/>
  </r>
  <r>
    <x v="4"/>
    <s v="TRAN.CTAS.TERC.BM"/>
    <n v="40"/>
    <s v="01167585"/>
    <s v="TOLOSA ALVAREZ WILKENDRY ANTONIO"/>
    <x v="1"/>
    <s v="parrilla"/>
  </r>
  <r>
    <x v="4"/>
    <s v="TRANSF.BCO.SCOTIABANK"/>
    <n v="186"/>
    <s v="02838839"/>
    <s v="ROSA TUME ZEGARRA"/>
    <x v="17"/>
    <s v="periodo anterior"/>
  </r>
  <r>
    <x v="4"/>
    <s v="TRAN.CTAS.TERC.BM"/>
    <n v="303.3"/>
    <s v="06339795"/>
    <s v="CHAVEZ MYLADY"/>
    <x v="18"/>
    <s v="periodo anterior"/>
  </r>
  <r>
    <x v="5"/>
    <s v="TRAN.CTAS.TERC.HK"/>
    <n v="77.760000000000005"/>
    <s v="06000739"/>
    <s v="ORELLANA VARGAS CARMEN ROSA"/>
    <x v="17"/>
    <s v="2026-01"/>
  </r>
  <r>
    <x v="5"/>
    <s v="TRANSF.BCO.BBVA"/>
    <n v="170.93"/>
    <s v="02314420"/>
    <s v="SANCHEZ-SALAZAR OLCESE GLADYS MARIELA"/>
    <x v="19"/>
    <s v="periodo anterior"/>
  </r>
  <r>
    <x v="5"/>
    <s v="TRAN.CTAS.TERC.BM"/>
    <n v="170.93"/>
    <s v="00142069"/>
    <s v="PAOLA FABIOLA QUI�ONES PONCE DE LEON"/>
    <x v="20"/>
    <s v="periodo anterior"/>
  </r>
  <r>
    <x v="5"/>
    <s v="TRAN.CTAS.TERC.BM"/>
    <n v="383.1"/>
    <s v="01158104"/>
    <s v="CASTILLA PEREZ CARMELA FERMINA"/>
    <x v="21"/>
    <s v="periodo anterior"/>
  </r>
  <r>
    <x v="5"/>
    <s v="TRAN.CTAS.TERC.BM"/>
    <n v="392.97"/>
    <s v="01049363"/>
    <s v="CASTILLA PEREZ CARMELA FERMINA"/>
    <x v="21"/>
    <s v="periodo anterior"/>
  </r>
  <r>
    <x v="5"/>
    <s v="TRAN.CTAS.TERC.BM"/>
    <n v="393.7"/>
    <s v="03385120"/>
    <s v="TRAN.CTAS.TERC.BM"/>
    <x v="22"/>
    <s v="periodo anterior"/>
  </r>
  <r>
    <x v="6"/>
    <s v="TRAN.CTAS.TERC.BM"/>
    <n v="4.51"/>
    <s v="03475750"/>
    <s v="DE-LA-CRUZ DELGADO WALTER"/>
    <x v="23"/>
    <s v="periodo anterior"/>
  </r>
  <r>
    <x v="6"/>
    <s v="TRANSF.BCO.INTERBANK"/>
    <n v="40"/>
    <s v="02904936"/>
    <s v="BELLIDO-GUILLEN-LINO"/>
    <x v="1"/>
    <s v="parrilla"/>
  </r>
  <r>
    <x v="6"/>
    <s v="TRAN.CTAS.TERC.BM"/>
    <n v="182.5"/>
    <s v="04638121"/>
    <s v="MENDOZA SALDANA FRANK ANDRE"/>
    <x v="24"/>
    <s v="periodo anterior"/>
  </r>
  <r>
    <x v="6"/>
    <s v="TRANSF.BCO.BBVA"/>
    <n v="254.43"/>
    <s v="02518085"/>
    <s v="RUBEN DARIO TORANZO SILVA"/>
    <x v="25"/>
    <s v="periodo anterior"/>
  </r>
  <r>
    <x v="6"/>
    <s v="TRANSF.BCO.INTERBANK"/>
    <n v="340.91"/>
    <s v="02292184"/>
    <s v="GUTIERREZ-ESQUICHA-OLIVER"/>
    <x v="26"/>
    <s v="periodo anterior"/>
  </r>
  <r>
    <x v="6"/>
    <s v="TRAN.CTAS.TERC.BM"/>
    <n v="374.82"/>
    <s v="03018563"/>
    <s v="GUTIERREZ GUERRERO YEISON MARTIN"/>
    <x v="27"/>
    <s v="periodo anterior"/>
  </r>
  <r>
    <x v="6"/>
    <s v="TRAN.CTAS.TERC.BM"/>
    <n v="380.77"/>
    <s v="03002185"/>
    <s v="DE-LA-CRUZ DELGADO WALTER"/>
    <x v="23"/>
    <s v="periodo anterior"/>
  </r>
  <r>
    <x v="6"/>
    <s v="TRANSF.BCO.INTERBANK"/>
    <n v="449.69"/>
    <s v="02265234"/>
    <s v="CALDERON-MINCHOLA-DENIS"/>
    <x v="28"/>
    <s v="periodo anterior"/>
  </r>
  <r>
    <x v="7"/>
    <s v="TRANSF.BCO.INTERBANK"/>
    <n v="162.54"/>
    <s v="02200714"/>
    <s v="MORALES-DURAND-DE-DURAN-ZANDRA"/>
    <x v="29"/>
    <s v="2026-01"/>
  </r>
  <r>
    <x v="7"/>
    <s v="TRANSF.BCO.INTERBANK"/>
    <n v="173.85"/>
    <s v="02660627"/>
    <s v="ALVAREZ-SALAS-CARLOS"/>
    <x v="30"/>
    <s v="2026-01"/>
  </r>
  <r>
    <x v="7"/>
    <s v="TRANSF.BCO.INTERBANK"/>
    <n v="182.85"/>
    <s v="02660627"/>
    <s v="ALVAREZ-SALAS-CARLOS"/>
    <x v="30"/>
    <s v="periodo anterior"/>
  </r>
  <r>
    <x v="7"/>
    <s v="TRANSF.BCO.INTERBANK"/>
    <n v="194.2"/>
    <s v="02184327"/>
    <s v="CARRILLO GALLO EDSON"/>
    <x v="31"/>
    <s v="periodo anterior"/>
  </r>
  <r>
    <x v="7"/>
    <s v="TRAN.CTAS.TERC.BM"/>
    <n v="247.16"/>
    <s v="04726952"/>
    <s v="MONTESINOS CAMPOS NATALY MAGDALENA"/>
    <x v="32"/>
    <s v="2026-01"/>
  </r>
  <r>
    <x v="7"/>
    <s v="TRAN.CTAS.TERC.BM"/>
    <n v="269.25"/>
    <s v="01494617"/>
    <s v="VALDEZ CADENILLAS AGUSTIN"/>
    <x v="33"/>
    <s v="2026-01"/>
  </r>
  <r>
    <x v="7"/>
    <s v="TRANSF.BCO.INTERBANK"/>
    <n v="324.10000000000002"/>
    <s v="02937821"/>
    <s v="FALCON-RAMOS-CAROLINA"/>
    <x v="34"/>
    <s v="periodo anterior"/>
  </r>
  <r>
    <x v="7"/>
    <s v="TRAN.CTAS.TERC.BM"/>
    <n v="346.65"/>
    <s v="00124914"/>
    <s v="MONTES DE OCA BRAMOSIO MARIA GABY"/>
    <x v="35"/>
    <s v="2026-01"/>
  </r>
  <r>
    <x v="7"/>
    <s v="TRANSF.BCO.BBVA"/>
    <n v="358.55"/>
    <s v="02439028"/>
    <s v="ORLANDO SULLCAHUAMAN OTERO"/>
    <x v="36"/>
    <s v="2026-01"/>
  </r>
  <r>
    <x v="7"/>
    <s v="TRANSF.BCO.INTERBANK"/>
    <n v="367.48"/>
    <s v="02487754"/>
    <s v="PUJOL-CORRECHER-EDUARDO"/>
    <x v="37"/>
    <s v="2026-01"/>
  </r>
  <r>
    <x v="7"/>
    <s v="TRAN.CTAS.TERC.BM"/>
    <n v="417.58"/>
    <s v="02453927"/>
    <s v="HENDRICK FONG OSCAR ALEJANDRO"/>
    <x v="38"/>
    <s v="2026-01"/>
  </r>
  <r>
    <x v="7"/>
    <s v="TRAN.CTAS.TERC.BM"/>
    <n v="484.3"/>
    <s v="01768841"/>
    <s v="RAMOS REQUEJO MABEL LICER"/>
    <x v="39"/>
    <s v="2026-01"/>
  </r>
  <r>
    <x v="7"/>
    <s v="TRAN.CTAS.TERC.BM"/>
    <n v="506.22"/>
    <s v="05006175"/>
    <s v="ALVARADO BRINGAS MILUSKA CARLA"/>
    <x v="40"/>
    <s v="2026-01"/>
  </r>
  <r>
    <x v="7"/>
    <s v="TRAN.CTAS.TERC.BM"/>
    <n v="534.14"/>
    <s v="05001722"/>
    <s v="ALVARADO BRINGAS MILUSKA CARLA"/>
    <x v="40"/>
    <s v="periodo anterior"/>
  </r>
  <r>
    <x v="7"/>
    <s v="TRAN.CTAS.TERC.BM"/>
    <n v="633.76"/>
    <s v="02742386"/>
    <s v="LIZARZABURU PETROZZI MIKEL ARITZ"/>
    <x v="41"/>
    <s v="2026-01"/>
  </r>
  <r>
    <x v="8"/>
    <s v="TRAN.CTAS.TERC.BM"/>
    <n v="40"/>
    <s v="03349699"/>
    <s v="GARCIA ARCE ANDRES DANIEL"/>
    <x v="1"/>
    <s v="parrilla"/>
  </r>
  <r>
    <x v="8"/>
    <s v="TRAN.CTAS.TERC.BM"/>
    <n v="40"/>
    <s v="01048107"/>
    <s v="FIGUEROA ALVARADO YNES LUCIA"/>
    <x v="1"/>
    <s v="parrilla"/>
  </r>
  <r>
    <x v="8"/>
    <s v="TRAN.CTAS.TERC.BM"/>
    <n v="100"/>
    <s v="03010975"/>
    <s v="MALDONADO DE-LA-CRUZ NORA TERESA"/>
    <x v="1"/>
    <s v="arcade"/>
  </r>
  <r>
    <x v="8"/>
    <s v="TRAN.CTAS.TERC.BM"/>
    <n v="179.87"/>
    <s v="03113512"/>
    <s v="MALDONADO DE-LA-CRUZ NORA TERESA"/>
    <x v="42"/>
    <s v="periodo anterior"/>
  </r>
  <r>
    <x v="8"/>
    <s v="TRAN.CTAS.TERC.BM"/>
    <n v="303.24"/>
    <s v="03836498"/>
    <s v="ROCA ZEGARRA RAQUEL JENIFFER"/>
    <x v="43"/>
    <s v="periodo anterior"/>
  </r>
  <r>
    <x v="8"/>
    <s v="TRAN.CTAS.TERC.BM"/>
    <n v="327.84"/>
    <s v="00730004"/>
    <s v="SILVA OLIVERA IVET JOHANA"/>
    <x v="44"/>
    <s v="periodo anterior"/>
  </r>
  <r>
    <x v="8"/>
    <s v="TRAN.CTAS.TERC.BM"/>
    <n v="332.52"/>
    <s v="05791971"/>
    <s v="CARDENAS MORIANO HEVELYNE HILDA"/>
    <x v="45"/>
    <s v="periodo anterior"/>
  </r>
  <r>
    <x v="8"/>
    <s v="TRAN.CTAS.TERC.BM"/>
    <n v="359.34"/>
    <s v="05018010"/>
    <s v="CAO NN DACHAO"/>
    <x v="46"/>
    <s v="2026-01"/>
  </r>
  <r>
    <x v="8"/>
    <s v="TRANSF.BCO.INTERBANK"/>
    <n v="373.43"/>
    <s v="02934212"/>
    <s v="BERROSPI-SEVILLANOS-SEVILLANOS-JHOJAN KLAUS"/>
    <x v="47"/>
    <s v="2026-01"/>
  </r>
  <r>
    <x v="8"/>
    <s v="TRANSF.BCO.INTERBANK"/>
    <n v="395.68"/>
    <s v="02175799"/>
    <s v="OCHOA-ALEJOS-CESAR"/>
    <x v="48"/>
    <s v="periodo anterior"/>
  </r>
  <r>
    <x v="8"/>
    <s v="TRANSF.BCO.INTERBANK"/>
    <n v="395.68"/>
    <s v="02934212"/>
    <s v="BERROSPI-SEVILLANOS-SEVILLANOS-JHOJAN KLAUS"/>
    <x v="47"/>
    <s v="periodo anterior"/>
  </r>
  <r>
    <x v="8"/>
    <s v="TRAN.CTAS.TERC.BM"/>
    <n v="1189.03"/>
    <s v="05245257"/>
    <s v="GAMERO OSCAR"/>
    <x v="49"/>
    <s v="periodo anterior"/>
  </r>
  <r>
    <x v="8"/>
    <s v="TRAN.CTAS.TERC.BM"/>
    <n v="373.43"/>
    <s v="05245257"/>
    <s v="GAMERO OSCAR"/>
    <x v="49"/>
    <s v="2026-01"/>
  </r>
  <r>
    <x v="9"/>
    <s v="TRAN.CTAS.TERC.BM"/>
    <n v="30"/>
    <s v="02770423"/>
    <s v="ANGELICA MARIA FLORES TORRES"/>
    <x v="1"/>
    <s v="cine"/>
  </r>
  <r>
    <x v="9"/>
    <s v="TRAN.CTAS.TERC.BM"/>
    <n v="260.33"/>
    <s v="02034068"/>
    <s v="SALINAS SOUZA CARLOS ENRIQUE JOSE ALFR"/>
    <x v="50"/>
    <s v="2026-01"/>
  </r>
  <r>
    <x v="9"/>
    <s v="TRAN.CTAS.TERC.BM"/>
    <n v="366.86"/>
    <s v="01353408"/>
    <s v="TORRES VILLANTOY SUSAN VICTORIA"/>
    <x v="51"/>
    <s v="2026-01"/>
  </r>
  <r>
    <x v="9"/>
    <s v="TRAN.CTAS.TERC.BM"/>
    <n v="387.36"/>
    <s v="01353408"/>
    <s v="TORRES VILLANTOY SUSAN VICTORIA"/>
    <x v="51"/>
    <s v="periodo anterior"/>
  </r>
  <r>
    <x v="9"/>
    <s v="TRANSF.BCO.BBVA"/>
    <n v="418.91"/>
    <s v="02015232"/>
    <s v="HELEN FRANCESCA HENOSTROZA CRUZ"/>
    <x v="52"/>
    <s v="periodo anterior"/>
  </r>
  <r>
    <x v="9"/>
    <s v="TRAN.CTAS.TERC.BM"/>
    <n v="418.99"/>
    <s v="02836574"/>
    <s v="PARI NUNEZ LEONOR"/>
    <x v="22"/>
    <s v="periodo anterior"/>
  </r>
  <r>
    <x v="9"/>
    <s v="TRAN.CTAS.TERC.BM"/>
    <n v="563.94000000000005"/>
    <s v="03064956"/>
    <s v="SOTO CONDORI GIANFRANCO"/>
    <x v="53"/>
    <s v="periodo anterior"/>
  </r>
  <r>
    <x v="9"/>
    <s v="TRAN.CTAS.TERC.BM"/>
    <n v="831.62"/>
    <s v="02977641"/>
    <s v="LOPEZ PARI SHEYLA KATHERINE"/>
    <x v="54"/>
    <s v="periodo anterior"/>
  </r>
  <r>
    <x v="10"/>
    <s v="TRAN.CTAS.TERC.BM"/>
    <n v="40"/>
    <s v="03231282"/>
    <s v="NEGRINI WITHER JORGE ENRIQUE"/>
    <x v="1"/>
    <s v="parrilla"/>
  </r>
  <r>
    <x v="10"/>
    <s v="TRAN.CTAS.TERC.BM"/>
    <n v="40"/>
    <s v="01327165"/>
    <s v="LOPEZ PARI SHEYLA KATHERINE"/>
    <x v="1"/>
    <s v="parrilla"/>
  </r>
  <r>
    <x v="10"/>
    <s v="TRANSF.BCO.BBVA"/>
    <n v="40"/>
    <s v="02891361"/>
    <s v="GIANELLA LIZETH NEIRA BUSTAMANTE"/>
    <x v="1"/>
    <s v="parrilla"/>
  </r>
  <r>
    <x v="10"/>
    <s v="TRANSF.BCO.INTERBANK"/>
    <n v="40"/>
    <s v="02721640"/>
    <s v="DELGADO-SILVA-LUIS"/>
    <x v="1"/>
    <s v="parrilla"/>
  </r>
  <r>
    <x v="10"/>
    <s v="TRAN.CTAS.TERC.BM"/>
    <n v="180.93"/>
    <s v="04199280"/>
    <s v="RENTERIA CHIOK MARIA ISABEL"/>
    <x v="55"/>
    <s v="periodo anterior"/>
  </r>
  <r>
    <x v="10"/>
    <s v="TRANSF.BCO.INTERBANK"/>
    <n v="182.41"/>
    <s v="02999153"/>
    <s v="BERMEJO-DE-LA-CRUZ-JOSE"/>
    <x v="56"/>
    <s v="periodo anterior"/>
  </r>
  <r>
    <x v="10"/>
    <s v="TRAN.CTAS.TERC.BM"/>
    <n v="182.85"/>
    <s v="04921090"/>
    <s v="PEREZ SANCHEZ KIRIA JAEL"/>
    <x v="56"/>
    <s v="periodo anterior"/>
  </r>
  <r>
    <x v="10"/>
    <s v="TRANSF.BCO.SCOTIABANK"/>
    <n v="251.45"/>
    <s v="02660772"/>
    <s v="M C V dni: 43795888"/>
    <x v="57"/>
    <s v="periodo anterior"/>
  </r>
  <r>
    <x v="10"/>
    <s v="TRAN.CTAS.TERC.BM"/>
    <n v="266.27999999999997"/>
    <s v="02212696"/>
    <s v="MONZON JUAREZ MILAGROS DEL CARMEN"/>
    <x v="58"/>
    <s v="2026-01"/>
  </r>
  <r>
    <x v="10"/>
    <s v="TRAN.CTAS.TERC.BM"/>
    <n v="279.29000000000002"/>
    <s v="01960247"/>
    <s v="DELGADO SALDANA ALBERTO ALEXANDE"/>
    <x v="59"/>
    <s v="2026-01"/>
  </r>
  <r>
    <x v="10"/>
    <s v="TRANSF.BCO.INTERBANK"/>
    <n v="311.19"/>
    <s v="02053837"/>
    <s v="DELGADO-SILVA-LUIS"/>
    <x v="60"/>
    <s v="periodo anterior"/>
  </r>
  <r>
    <x v="10"/>
    <s v="TRAN.CTAS.TERC.BM"/>
    <n v="347.19"/>
    <s v="02223428"/>
    <s v="LIANG NN YANQIU"/>
    <x v="3"/>
    <s v="2026-01"/>
  </r>
  <r>
    <x v="10"/>
    <s v="TRAN.CTAS.TERC.BM"/>
    <n v="361.53"/>
    <s v="00994572"/>
    <s v="YOUNG GUERRERO MARIA GISELLA"/>
    <x v="61"/>
    <s v="2026-01"/>
  </r>
  <r>
    <x v="10"/>
    <s v="TRAN.CTAS.TERC.BM"/>
    <n v="383.76"/>
    <s v="02419849"/>
    <s v="GONZALES VIDAL MIGUEL ANGEL"/>
    <x v="62"/>
    <s v="periodo anterior"/>
  </r>
  <r>
    <x v="10"/>
    <s v="TRANSF.BCO.NACION"/>
    <n v="395.44"/>
    <s v="02793293"/>
    <s v="CARMEN MALACHE"/>
    <x v="63"/>
    <s v="periodo anterior"/>
  </r>
  <r>
    <x v="10"/>
    <s v="TRAN.CTAS.TERC.BM"/>
    <n v="395.68"/>
    <s v="03319508"/>
    <s v="FIGUEROA MARQUEZ ELIZABETH JANETH"/>
    <x v="64"/>
    <s v="periodo anterior"/>
  </r>
  <r>
    <x v="11"/>
    <s v="TRANSF.BCO.INTERBANK"/>
    <n v="526.75"/>
    <s v="02005044"/>
    <s v="GUTIERREZ-PECEROS-ALBERTO"/>
    <x v="65"/>
    <s v="periodo anterior"/>
  </r>
  <r>
    <x v="12"/>
    <s v="TRAN.CTAS.TERC.BM"/>
    <n v="40"/>
    <s v="02926360"/>
    <s v="VALLEBUONA MAYTA LUIS ALBERTO"/>
    <x v="1"/>
    <s v="parrilla"/>
  </r>
  <r>
    <x v="12"/>
    <s v="TRANSF.BCO.SCOTIABANK"/>
    <n v="76.290000000000006"/>
    <s v="02589723"/>
    <s v="L V F ce:99999999"/>
    <x v="66"/>
    <s v="2026-01"/>
  </r>
  <r>
    <x v="12"/>
    <s v="TRANSF.BCO.BBVA"/>
    <n v="300.26"/>
    <s v="02772836"/>
    <s v="ANA CLAUDIA ARRESCURENAGA ORIHUELA"/>
    <x v="67"/>
    <s v="periodo anterior"/>
  </r>
  <r>
    <x v="12"/>
    <s v="TRANSF.BCO.INTERBANK"/>
    <n v="303.08999999999997"/>
    <s v="02247147"/>
    <s v="RODRIGUEZ-SOSA-TAMARA"/>
    <x v="68"/>
    <s v="2026-01"/>
  </r>
  <r>
    <x v="12"/>
    <s v="DE COMPANIA INCUBADORA"/>
    <n v="367.18"/>
    <s v="01260937"/>
    <s v="DE COMPANIA INCUBADORA"/>
    <x v="69"/>
    <s v="2026-01"/>
  </r>
  <r>
    <x v="12"/>
    <s v="TRAN.CTAS.TERC.BM"/>
    <n v="373.43"/>
    <s v="00714353"/>
    <s v="MADUENO CHUMPITAZ LOURDES DE LOS ANGELES"/>
    <x v="70"/>
    <s v="2026-01"/>
  </r>
  <r>
    <x v="12"/>
    <s v="TRAN.CTAS.TERC.BM"/>
    <n v="580"/>
    <s v="03096777"/>
    <s v="ZAPATA VELASCO ANGELA PATRICIA"/>
    <x v="1"/>
    <s v="lounge"/>
  </r>
  <r>
    <x v="12"/>
    <s v="DE COMPANIA INCUBADORA"/>
    <n v="2128.87"/>
    <s v="01260937"/>
    <s v="DE COMPANIA INCUBADORA"/>
    <x v="69"/>
    <s v="periodo anterior"/>
  </r>
  <r>
    <x v="13"/>
    <s v="TRANSF.BCO.SCOTIABANK"/>
    <n v="40"/>
    <s v="02413093"/>
    <s v="J S C dni:72859311"/>
    <x v="1"/>
    <s v="parrilla"/>
  </r>
  <r>
    <x v="13"/>
    <s v="TRANSF.BCO.BBVA"/>
    <n v="40"/>
    <s v="02622537"/>
    <s v="HELEN FRANCESCA HENOSTROZA CRUZ"/>
    <x v="1"/>
    <s v="parrilla"/>
  </r>
  <r>
    <x v="13"/>
    <s v="TRANSF.BCO.INTERBANK"/>
    <n v="40"/>
    <s v="02137766"/>
    <s v="CHAFLOQUE-MORENO-ALEXIS"/>
    <x v="1"/>
    <s v="parrilla"/>
  </r>
  <r>
    <x v="13"/>
    <s v="TRAN.CTAS.TERC.BM"/>
    <n v="180.36"/>
    <s v="05414384"/>
    <s v="TOLOSA ALVAREZ WILKENDRY ANTONIO"/>
    <x v="31"/>
    <s v="2026-01"/>
  </r>
  <r>
    <x v="13"/>
    <s v="ENTR.EFEC. 0389214"/>
    <n v="194.25"/>
    <s v="00389214"/>
    <s v="JIMENEZ CARMEN"/>
    <x v="71"/>
    <s v="periodo anterior"/>
  </r>
  <r>
    <x v="13"/>
    <s v="TRANSF.BCO.INTERBANK"/>
    <n v="299"/>
    <s v="02909666"/>
    <s v="BLAS-OLIVER-LIDIA"/>
    <x v="72"/>
    <s v="2026-01"/>
  </r>
  <r>
    <x v="13"/>
    <s v="TRANSF.BCO.INTERBANK"/>
    <n v="330.06"/>
    <s v="02109372"/>
    <s v="CHAFLOQUE-MORENO-ALEXIS"/>
    <x v="73"/>
    <s v="periodo anterior"/>
  </r>
  <r>
    <x v="13"/>
    <s v="TRAN.CTAS.TERC.BM"/>
    <n v="361.53"/>
    <s v="05404570"/>
    <s v="NEIRA UN JAN MILAGROS ANDREA"/>
    <x v="74"/>
    <s v="2026-01"/>
  </r>
  <r>
    <x v="13"/>
    <s v="DE BERTOLOTTO INVESTME"/>
    <n v="738.15"/>
    <s v="02260886"/>
    <s v="BERTOLOTTO INVESTMENTS S.A.C."/>
    <x v="75"/>
    <s v="periodo anterior"/>
  </r>
  <r>
    <x v="14"/>
    <s v="TRANSF.BCO.INTERBANK"/>
    <n v="40"/>
    <s v="02042651"/>
    <s v="RODRIGUEZ-SOSA-TAMARA"/>
    <x v="1"/>
    <s v="parrilla"/>
  </r>
  <r>
    <x v="14"/>
    <s v="TRAN.CTAS.TERC.BM"/>
    <n v="181.79"/>
    <s v="02592350"/>
    <s v="VENTURA FERREYRA MILAGRITOS DEL PILAR"/>
    <x v="76"/>
    <s v="2026-01"/>
  </r>
  <r>
    <x v="14"/>
    <s v="TRAN.CTAS.TERC.BM"/>
    <n v="263.37"/>
    <s v="02123472"/>
    <s v="QUINTO ANCIETA MILAGROS MARILU"/>
    <x v="77"/>
    <s v="periodo anterior"/>
  </r>
  <r>
    <x v="14"/>
    <s v="ENTR.EFEC. 0594593"/>
    <n v="291.2"/>
    <s v="00594593"/>
    <s v="GUERRERO SERGIO"/>
    <x v="78"/>
    <s v="2026-01"/>
  </r>
  <r>
    <x v="14"/>
    <s v="TRAN.CTAS.TERC.BM"/>
    <n v="580"/>
    <s v="01073655"/>
    <s v="FLORES MORALES MELISSA"/>
    <x v="1"/>
    <s v="lounge"/>
  </r>
  <r>
    <x v="15"/>
    <s v="TRANSF.BCO.BBVA"/>
    <n v="30"/>
    <s v="02196642"/>
    <s v="ORLANDO SULLCAHUAMAN OTERO"/>
    <x v="1"/>
    <s v="cine"/>
  </r>
  <r>
    <x v="15"/>
    <s v="TRAN.CTAS.TERC.BM"/>
    <n v="40"/>
    <s v="01598931"/>
    <s v="VILLACORTA ROCA KATHERINE MISHELL"/>
    <x v="1"/>
    <s v="parrilla"/>
  </r>
  <r>
    <x v="15"/>
    <s v="TRAN.CTAS.TERC.BM"/>
    <n v="165.07"/>
    <s v="01428639"/>
    <s v="VALDIVIA OBANDO OSCAR EDMUNDO FRANCISCO"/>
    <x v="79"/>
    <s v="periodo anterior"/>
  </r>
  <r>
    <x v="15"/>
    <s v="TRAN.CTAS.TERC.BM"/>
    <n v="175.08"/>
    <s v="01472167"/>
    <s v="VALDIVIA OBANDO OSCAR EDMUNDO FRANCISCO"/>
    <x v="79"/>
    <s v="periodo anterior"/>
  </r>
  <r>
    <x v="15"/>
    <s v="TRAN.CTAS.TERC.BM"/>
    <n v="181.02"/>
    <s v="01880042"/>
    <s v="CHAVEZ JULCAHUANCA LUCIA ELIZABETH"/>
    <x v="80"/>
    <s v="2026-01"/>
  </r>
  <r>
    <x v="15"/>
    <s v="TRANSF.BCO.INTERBANK"/>
    <n v="182.54"/>
    <s v="02269822"/>
    <s v="CHAVEZ-TAGLE-SISLEY"/>
    <x v="81"/>
    <s v="periodo anterior"/>
  </r>
  <r>
    <x v="15"/>
    <s v="TRANSF.BCO.INTERBANK"/>
    <n v="182.77"/>
    <s v="02269822"/>
    <s v="CHAVEZ-TAGLE-SISLEY"/>
    <x v="81"/>
    <s v="2026-01"/>
  </r>
  <r>
    <x v="15"/>
    <s v="TRAN.CTAS.TERC.BM"/>
    <n v="190.56"/>
    <s v="01870746"/>
    <s v="CHAVEZ JULCAHUANCA LUCIA ELIZABETH"/>
    <x v="80"/>
    <s v="periodo anterior"/>
  </r>
  <r>
    <x v="15"/>
    <s v="TRAN.CTAS.TERC.BM"/>
    <n v="244.18"/>
    <s v="02877317"/>
    <s v="LOCK GOVEA JOSE EDILBERTO"/>
    <x v="13"/>
    <s v="2026-01"/>
  </r>
  <r>
    <x v="15"/>
    <s v="TRAN.CTAS.TERC.BM"/>
    <n v="392.7"/>
    <s v="01898334"/>
    <s v="CASTILLA PEREZ CARMELA FERMINA"/>
    <x v="21"/>
    <s v="periodo anterior"/>
  </r>
  <r>
    <x v="15"/>
    <s v="TRAN.CTAS.TERC.BM"/>
    <n v="502.9"/>
    <s v="01422349"/>
    <s v="CARRASCO BEAS ALFREDO EDILBERTO"/>
    <x v="82"/>
    <s v="periodo anterior"/>
  </r>
  <r>
    <x v="15"/>
    <s v="TRAN.CTAS.TERC.BM"/>
    <n v="580"/>
    <s v="01921338"/>
    <s v="FERRER CODINA MILAGROS DE JESUS"/>
    <x v="1"/>
    <s v="lounge"/>
  </r>
  <r>
    <x v="16"/>
    <s v="TRANSF.BCO.BBVA"/>
    <n v="173.91"/>
    <s v="02663644"/>
    <s v="JERSON JULIANO CHUCO PAUCAR"/>
    <x v="83"/>
    <s v="periodo anterior"/>
  </r>
  <r>
    <x v="16"/>
    <s v="TRANSF.BCO.SCOTIABANK"/>
    <n v="179.63"/>
    <s v="02136168"/>
    <s v="J S C dni:72859311"/>
    <x v="84"/>
    <s v="periodo anterior"/>
  </r>
  <r>
    <x v="17"/>
    <s v="TRAN.CTAS.TERC.BM"/>
    <n v="76.290000000000006"/>
    <s v="00107531"/>
    <s v="GODOY ACOSTA NORA EULALIA"/>
    <x v="43"/>
    <s v="2026-01"/>
  </r>
  <r>
    <x v="17"/>
    <s v="TRAN.CTAS.TERC.BM"/>
    <n v="100"/>
    <s v="02547581"/>
    <s v="TICONA MELGAR OLGER"/>
    <x v="1"/>
    <s v="arcade"/>
  </r>
  <r>
    <x v="17"/>
    <s v="TRAN.CTAS.TERC.BM"/>
    <n v="100"/>
    <s v="02556623"/>
    <s v="TICONA MELGAR OLGER"/>
    <x v="1"/>
    <s v="arcade"/>
  </r>
  <r>
    <x v="17"/>
    <s v="TRANSF.BCO.INTERBANK"/>
    <n v="173.85"/>
    <s v="02261310"/>
    <s v="PADILLA-CRUZ-LOURDES"/>
    <x v="76"/>
    <s v="2026-01"/>
  </r>
  <r>
    <x v="17"/>
    <s v="TRAN.CTAS.TERC.BM"/>
    <n v="250.13"/>
    <s v="03326608"/>
    <s v="MERINO NEGRON PEDRO MANUEL"/>
    <x v="85"/>
    <s v="2026-01"/>
  </r>
  <r>
    <x v="17"/>
    <s v="TRAN.CTAS.TERC.BM"/>
    <n v="389.57"/>
    <s v="01126176"/>
    <s v="HARO CABALLERO CAROL ELIZABETH"/>
    <x v="86"/>
    <s v="2026-01"/>
  </r>
  <r>
    <x v="17"/>
    <s v="TRAN.CTAS.TERC.BM"/>
    <n v="446.4"/>
    <s v="05272127"/>
    <s v="YAIPEN PANTOJA ALEXIS"/>
    <x v="87"/>
    <s v="periodo anterior"/>
  </r>
  <r>
    <x v="17"/>
    <s v="TRAN.CTAS.TERC.BM"/>
    <n v="580"/>
    <s v="02046088"/>
    <s v="VALDIVIA PASACHE GEORGE LOUIS ALEXANDER"/>
    <x v="1"/>
    <s v="lounge"/>
  </r>
  <r>
    <x v="18"/>
    <s v="TRAN.CTAS.TERC.BM"/>
    <n v="40"/>
    <s v="03711180"/>
    <s v="DELGADO SALDANA ALBERTO ALEXANDER"/>
    <x v="1"/>
    <s v="parrilla"/>
  </r>
  <r>
    <x v="18"/>
    <s v="TRANSF.BCO.BBVA"/>
    <n v="164.92"/>
    <s v="02759003"/>
    <s v="FIORELLA TOLEDO MUENTE"/>
    <x v="88"/>
    <s v="2026-01"/>
  </r>
  <r>
    <x v="18"/>
    <s v="TRAN.CTAS.TERC.BM"/>
    <n v="190"/>
    <s v="03197117"/>
    <s v="QUISPE TAPIA BERLINNE CLARET"/>
    <x v="89"/>
    <s v="2026-01"/>
  </r>
  <r>
    <x v="18"/>
    <s v="TRAN.CTAS.TERC.BM"/>
    <n v="244.18"/>
    <s v="05347015"/>
    <s v="JUSTO NIETO MILENA KATHERINE"/>
    <x v="90"/>
    <s v="2026-01"/>
  </r>
  <r>
    <x v="18"/>
    <s v="TRAN.CTAS.TERC.BM"/>
    <n v="257.41000000000003"/>
    <s v="05345088"/>
    <s v="JUSTO NIETO MILENA KATHERINE"/>
    <x v="90"/>
    <s v="periodo anterior"/>
  </r>
  <r>
    <x v="18"/>
    <s v="TRAN.CTAS.TERC.BM"/>
    <n v="285.36"/>
    <s v="04058911"/>
    <s v="CUBA REYES ANGIE CONSUELO LESLIE"/>
    <x v="91"/>
    <s v="2026-01"/>
  </r>
  <r>
    <x v="18"/>
    <s v="TRANSF.BCO.BBVA"/>
    <n v="291.19"/>
    <s v="02540505"/>
    <s v="VICTOR DANIEL DE LA CRUZ SOLO"/>
    <x v="92"/>
    <s v="2026-01"/>
  </r>
  <r>
    <x v="18"/>
    <s v="TRAN.CTAS.TERC.BM"/>
    <n v="362.98"/>
    <s v="04418623"/>
    <s v="DE-LA-CRUZ DELGADO WALTER"/>
    <x v="23"/>
    <s v="2026-01"/>
  </r>
  <r>
    <x v="18"/>
    <s v="TRAN.CTAS.TERC.BM"/>
    <n v="390.85"/>
    <s v="01388012"/>
    <s v="MADUENO MORALES LUCIENNE MARGARETH"/>
    <x v="93"/>
    <s v="periodo anterior"/>
  </r>
  <r>
    <x v="18"/>
    <s v="TRANSF.BCO.INTERBANK"/>
    <n v="477.53"/>
    <s v="02183582"/>
    <s v="GABANCHO-DAVILA-VALERIA"/>
    <x v="94"/>
    <s v="2026-01"/>
  </r>
  <r>
    <x v="18"/>
    <s v="TRAN.CTAS.TERC.BM"/>
    <n v="485.45"/>
    <s v="00013544"/>
    <s v="ALIAGA ALVAREZ ZARELLA DENISSE"/>
    <x v="95"/>
    <s v="periodo anterior"/>
  </r>
  <r>
    <x v="19"/>
    <s v="TRAN.CTAS.TERC.BM"/>
    <n v="30"/>
    <s v="04499905"/>
    <s v="SOTO CONDORI GIANFRANCO"/>
    <x v="1"/>
    <s v="cine"/>
  </r>
  <r>
    <x v="19"/>
    <s v="TRAN.CTAS.TERC.BM"/>
    <n v="77.760000000000005"/>
    <s v="05672276"/>
    <s v="CONSORCIO FUENTES EIRL"/>
    <x v="96"/>
    <s v="periodo anterior"/>
  </r>
  <r>
    <x v="19"/>
    <s v="TRAN.CTAS.TERC.BM"/>
    <n v="80.52"/>
    <s v="05694206"/>
    <s v="CONSORCIO FUENTES EIRL"/>
    <x v="96"/>
    <s v="periodo anterior"/>
  </r>
  <r>
    <x v="19"/>
    <s v="TRAN.CTAS.TERC.BM"/>
    <n v="80.52"/>
    <s v="05690032"/>
    <s v="CONSORCIO FUENTES EIRL"/>
    <x v="96"/>
    <s v="periodo anterior"/>
  </r>
  <r>
    <x v="19"/>
    <s v="TRAN.CTAS.TERC.BM"/>
    <n v="80.52"/>
    <s v="05685493"/>
    <s v="CONSORCIO FUENTES EIRL"/>
    <x v="96"/>
    <s v="periodo anterior"/>
  </r>
  <r>
    <x v="19"/>
    <s v="TRAN.CTAS.TERC.BM"/>
    <n v="80.52"/>
    <s v="05689334"/>
    <s v="CONSORCIO FUENTES EIRL"/>
    <x v="96"/>
    <s v="periodo anterior"/>
  </r>
  <r>
    <x v="19"/>
    <s v="TRAN.CTAS.TERC.BM"/>
    <n v="238.23"/>
    <s v="04238025"/>
    <s v="BALLENA CAPUNAY FELIX ADALBERTO"/>
    <x v="97"/>
    <s v="2026-01"/>
  </r>
  <r>
    <x v="19"/>
    <s v="BCO.BBVA99999999999999"/>
    <n v="244.18"/>
    <s v="00001913"/>
    <s v="BCO.BBVA99999999999999"/>
    <x v="98"/>
    <s v="2026-01"/>
  </r>
  <r>
    <x v="19"/>
    <s v="BCO.BBVA99999999999999"/>
    <n v="251.45"/>
    <s v="00001914"/>
    <s v="BCO.BBVA99999999999999"/>
    <x v="98"/>
    <s v="periodo anterior"/>
  </r>
  <r>
    <x v="19"/>
    <s v="TRAN.CTAS.TERC.BM"/>
    <n v="306.43"/>
    <s v="05692729"/>
    <s v="CONSORCIO FUENTES EIRL"/>
    <x v="96"/>
    <s v="periodo anterior"/>
  </r>
  <r>
    <x v="19"/>
    <s v="TRAN.CTAS.TERC.BM"/>
    <n v="335.22"/>
    <s v="05693674"/>
    <s v="CONSORCIO FUENTES EIRL"/>
    <x v="96"/>
    <s v="periodo anterior"/>
  </r>
  <r>
    <x v="19"/>
    <s v="TRAN.CTAS.TERC.BM"/>
    <n v="360.61"/>
    <s v="05681105"/>
    <s v="REGALADO SANTANA MARIA CELINDA"/>
    <x v="99"/>
    <s v="2026-01"/>
  </r>
  <r>
    <x v="19"/>
    <s v="TRAN.CTAS.TERC.BM"/>
    <n v="366.83"/>
    <s v="00786175"/>
    <s v="CORDERO VILCA PEDRO LUIS"/>
    <x v="100"/>
    <s v="2026-01"/>
  </r>
  <r>
    <x v="19"/>
    <s v="TRAN.CTAS.TERC.BM"/>
    <n v="368.86"/>
    <s v="04305401"/>
    <s v="TOMATEO HUARCAYA MARIA ISABEL"/>
    <x v="101"/>
    <s v="periodo anterior"/>
  </r>
  <r>
    <x v="19"/>
    <s v="TRAN.CTAS.TERC.BM"/>
    <n v="373.43"/>
    <s v="05656945"/>
    <s v="RUIZ SANDOVAL FLOR DE MARIA"/>
    <x v="102"/>
    <s v="2026-01"/>
  </r>
  <r>
    <x v="19"/>
    <s v="TRANSF.BCO.SCOTIABANK"/>
    <n v="412.35"/>
    <s v="02332610"/>
    <s v="sandoval"/>
    <x v="103"/>
    <s v="periodo anterior"/>
  </r>
  <r>
    <x v="19"/>
    <s v="TRAN.CTAS.TERC.BM"/>
    <n v="523.62"/>
    <s v="04612679"/>
    <s v="LOREDO RODRIGUEZ CESAR ANTONIO"/>
    <x v="104"/>
    <s v="2026-01"/>
  </r>
  <r>
    <x v="19"/>
    <s v="TRAN.CTAS.TERC.BM"/>
    <n v="563.94000000000005"/>
    <s v="00947515"/>
    <s v="SOTO CONDORI GIANFRANCO"/>
    <x v="53"/>
    <s v="2026-01"/>
  </r>
  <r>
    <x v="19"/>
    <s v="TRAN.CTAS.TERC.BM"/>
    <n v="1189.1400000000001"/>
    <s v="04396217"/>
    <s v="CASTRO ALMEIDA RAUL ARMANDO"/>
    <x v="105"/>
    <s v="periodo anterior"/>
  </r>
  <r>
    <x v="20"/>
    <s v="TRAN.CTAS.TERC.BM"/>
    <n v="40"/>
    <s v="01721245"/>
    <s v="TORRES VILLANTOY SUSAN VICTORIA"/>
    <x v="1"/>
    <s v="parrilla"/>
  </r>
  <r>
    <x v="20"/>
    <s v="TRANSF.BCO.SCOTIABANK"/>
    <n v="168.13"/>
    <s v="02009331"/>
    <s v="J S C"/>
    <x v="84"/>
    <s v="2026-01"/>
  </r>
  <r>
    <x v="20"/>
    <s v="TRAN.CTAS.TERC.BM"/>
    <n v="176.82"/>
    <s v="03829073"/>
    <s v="REZUKHIN NN DMITRII"/>
    <x v="106"/>
    <s v="periodo anterior"/>
  </r>
  <r>
    <x v="20"/>
    <s v="TRAN.CTAS.TERC.BM"/>
    <n v="182.41"/>
    <s v="01317465"/>
    <s v="MEDINA SARMIENTO JAVIER"/>
    <x v="107"/>
    <s v="periodo anterior"/>
  </r>
  <r>
    <x v="20"/>
    <s v="TRAN.CTAS.TERC.HK"/>
    <n v="306.07"/>
    <s v="06008876"/>
    <s v="BASTERRECHEA NN JIMMY"/>
    <x v="108"/>
    <s v="2026-01"/>
  </r>
  <r>
    <x v="20"/>
    <s v="TRAN.CTAS.TERC.BM"/>
    <n v="358.55"/>
    <s v="03263590"/>
    <s v="SALVATIERRA TORRES ROGGER DANNY"/>
    <x v="109"/>
    <s v="2026-01"/>
  </r>
  <r>
    <x v="20"/>
    <s v="TRAN.CTAS.TERC.BM"/>
    <n v="371.72"/>
    <s v="01427006"/>
    <s v="OYOLA LAURENCIO JERSON ALONSO"/>
    <x v="110"/>
    <s v="2026-01"/>
  </r>
  <r>
    <x v="20"/>
    <s v="TRAN.CTAS.TERC.BM"/>
    <n v="377.8"/>
    <s v="03221458"/>
    <s v="SALVATIERRA TORRES ROGGER DANNY"/>
    <x v="109"/>
    <s v="periodo anterior"/>
  </r>
  <r>
    <x v="20"/>
    <s v="TRAN.CTAS.TERC.BM"/>
    <n v="396.84"/>
    <s v="03257548"/>
    <s v="SALVATIERRA TORRES ROGGER DANNY"/>
    <x v="109"/>
    <s v="periodo anterior"/>
  </r>
  <r>
    <x v="20"/>
    <s v="TRAN.CTAS.TERC.BM"/>
    <n v="580"/>
    <s v="00933065"/>
    <s v="GUTIERREZ CORDOVA ANGELA PIERINA"/>
    <x v="1"/>
    <s v="lounge"/>
  </r>
  <r>
    <x v="20"/>
    <s v="TRAN.CTAS.TERC.BM"/>
    <n v="1257.9000000000001"/>
    <s v="01187243"/>
    <s v="GARCIA ARCE ANDRES DANIEL"/>
    <x v="111"/>
    <s v="periodo anterior"/>
  </r>
  <r>
    <x v="21"/>
    <s v="TRAN.CTAS.TERC.BM"/>
    <n v="30"/>
    <s v="02366183"/>
    <s v="RUBIANO BARRERA NELSON RICARDO"/>
    <x v="1"/>
    <s v="cine"/>
  </r>
  <r>
    <x v="21"/>
    <s v="TRAN.CTAS.TERC.BM"/>
    <n v="40"/>
    <s v="04625104"/>
    <s v="TRAN.CTAS.TERC.BM"/>
    <x v="1"/>
    <s v="parrilla"/>
  </r>
  <r>
    <x v="21"/>
    <s v="TRAN.CTAS.TERC.HK"/>
    <n v="167.21"/>
    <s v="06001618"/>
    <s v="GESTORA DE INVERSIONES INMOBILIARIAS S.A.C."/>
    <x v="112"/>
    <s v="2026-01"/>
  </r>
  <r>
    <x v="21"/>
    <s v="TRAN.CTAS.TERC.HK"/>
    <n v="177.58"/>
    <s v="06002802"/>
    <s v="GESTORA DE INVERSIONES INMOBILIARIAS S.A.C."/>
    <x v="112"/>
    <s v="periodo anterior"/>
  </r>
  <r>
    <x v="21"/>
    <s v="TRAN.CTAS.TERC.BM"/>
    <n v="253.11"/>
    <s v="02449261"/>
    <s v="TUPAYACHI VALLENAS DENIS ALFREDO"/>
    <x v="2"/>
    <s v="2026-01"/>
  </r>
  <r>
    <x v="21"/>
    <s v="TRAN.CTAS.TERC.BM"/>
    <n v="355.58"/>
    <s v="01654329"/>
    <s v="TINEDO LOPEZ PEDRO LUIS"/>
    <x v="113"/>
    <s v="2026-01"/>
  </r>
  <r>
    <x v="21"/>
    <s v="TRAN.CTAS.TERC.BM"/>
    <n v="389.32"/>
    <s v="03101316"/>
    <s v="TRAN.CTAS.TERC.BM"/>
    <x v="114"/>
    <s v="2026-01"/>
  </r>
  <r>
    <x v="21"/>
    <s v="TRAN.CTAS.TERC.BM"/>
    <n v="404.03"/>
    <s v="01206604"/>
    <s v="BUSTAMANTE RUIZ EDUARDO CARLOS"/>
    <x v="115"/>
    <s v="2026-01"/>
  </r>
  <r>
    <x v="21"/>
    <s v="ENTR.EFEC. 0285287"/>
    <n v="423.53"/>
    <s v="00285287"/>
    <s v="CALDERON MINCHOLA JUAN CARLOS"/>
    <x v="28"/>
    <s v="2026-01"/>
  </r>
  <r>
    <x v="21"/>
    <s v="DEPOSITO AG 981945"/>
    <n v="429.5"/>
    <s v="00058412"/>
    <s v="CISNEROS CAHUANA JUANA CLENIA"/>
    <x v="116"/>
    <s v="2026-01"/>
  </r>
  <r>
    <x v="21"/>
    <s v="TRAN.CTAS.TERC.BM"/>
    <n v="580"/>
    <s v="01472267"/>
    <s v="TORRES VILLANTOY SUSAN VICTORIA"/>
    <x v="1"/>
    <s v="lounge"/>
  </r>
  <r>
    <x v="21"/>
    <s v="TRAN.CTAS.TERC.BM"/>
    <n v="601.41999999999996"/>
    <s v="01459577"/>
    <s v="BOZA VILLAVICENCIO ROSA ISABEL"/>
    <x v="117"/>
    <s v="2026-01"/>
  </r>
  <r>
    <x v="21"/>
    <s v="TRAN.CTAS.TERC.BM"/>
    <n v="624.98"/>
    <s v="01459577"/>
    <s v="BOZA VILLAVICENCIO ROSA ISABEL"/>
    <x v="117"/>
    <s v="periodo anterior"/>
  </r>
  <r>
    <x v="21"/>
    <s v="TRAN.CTAS.TERC.HK"/>
    <n v="365.88"/>
    <s v="06007232"/>
    <s v="AYAQUE LARICO ISAAC ALFREDO"/>
    <x v="118"/>
    <s v="periodo anterior"/>
  </r>
  <r>
    <x v="21"/>
    <s v="TRAN.CTAS.TERC.HK"/>
    <n v="355.58"/>
    <s v="06007232"/>
    <s v="AYAQUE LARICO ISAAC ALFREDO"/>
    <x v="118"/>
    <s v="2026-01"/>
  </r>
  <r>
    <x v="22"/>
    <s v="TRAN.CTAS.TERC.BM"/>
    <n v="22.09"/>
    <s v="05459214"/>
    <s v="REJAS REYES TEOBALDO ALFREDO"/>
    <x v="119"/>
    <s v="2026-01"/>
  </r>
  <r>
    <x v="22"/>
    <s v="TRAN.CTAS.TERC.BM"/>
    <n v="23.32"/>
    <s v="05464184"/>
    <s v="REJAS REYES TEOBALDO ALFREDO"/>
    <x v="119"/>
    <s v="2026-02"/>
  </r>
  <r>
    <x v="22"/>
    <s v="TRAN.CTAS.TERC.BM"/>
    <n v="30"/>
    <s v="03921288"/>
    <s v="TRAN.CTAS.TERC.BM"/>
    <x v="1"/>
    <s v="cine"/>
  </r>
  <r>
    <x v="22"/>
    <s v="TRANSF.BCO.BBVA"/>
    <n v="40"/>
    <s v="02357758"/>
    <s v="HELEN FRANCESCA HENOSTROZA CRUZ"/>
    <x v="1"/>
    <s v="parrilla"/>
  </r>
  <r>
    <x v="22"/>
    <s v="TRANSF.BCO.BBVA"/>
    <n v="40"/>
    <s v="02049110"/>
    <s v="BERPHANO PRINCE OLORTEGUI VELA"/>
    <x v="1"/>
    <s v="parrilla"/>
  </r>
  <r>
    <x v="22"/>
    <s v="TRAN.CTAS.TERC.BM"/>
    <n v="80"/>
    <s v="03982180"/>
    <s v="TRAN.CTAS.TERC.BM"/>
    <x v="1"/>
    <s v="lounge"/>
  </r>
  <r>
    <x v="22"/>
    <s v="TRAN.CTAS.TERC.BM"/>
    <n v="244.18"/>
    <s v="01295541"/>
    <s v="Débora Dick Mejía Turriate"/>
    <x v="120"/>
    <s v="2026-01"/>
  </r>
  <r>
    <x v="22"/>
    <s v="TRAN.CTAS.TERC.BM"/>
    <n v="500"/>
    <s v="03968716"/>
    <s v="TRAN.CTAS.TERC.BM"/>
    <x v="1"/>
    <s v="lounge"/>
  </r>
  <r>
    <x v="22"/>
    <s v="TRANSF.BCO.INTERBANK"/>
    <n v="2078.96"/>
    <s v="02344442"/>
    <s v="QUISPE-ANQUISE-JUAN"/>
    <x v="121"/>
    <s v="periodo anterior"/>
  </r>
  <r>
    <x v="23"/>
    <s v="TRAN.CTAS.TERC.BM"/>
    <n v="167.9"/>
    <s v="00220042"/>
    <s v="HUERTA HUERTA CARLA ALESSANDRA"/>
    <x v="122"/>
    <s v="2026-01"/>
  </r>
  <r>
    <x v="24"/>
    <s v="TRAN.CTAS.TERC.BM"/>
    <n v="40"/>
    <s v="00868471"/>
    <s v="TRAN.CTAS.TERC.BM"/>
    <x v="1"/>
    <s v="parrilla"/>
  </r>
  <r>
    <x v="24"/>
    <s v="TRAN.CTAS.TERC.BM"/>
    <n v="164.92"/>
    <s v="03485680"/>
    <s v="TRAN.CTAS.TERC.BM"/>
    <x v="123"/>
    <s v="2026-01"/>
  </r>
  <r>
    <x v="24"/>
    <s v="TRAN.CTAS.TERC.BM"/>
    <n v="241.21"/>
    <s v="01718859"/>
    <s v="TRAN.CTAS.TERC.BM"/>
    <x v="124"/>
    <s v="2026-01"/>
  </r>
  <r>
    <x v="24"/>
    <s v="TRAN.CTAS.TERC.BM"/>
    <n v="251.45"/>
    <s v="01722500"/>
    <s v="TRAN.CTAS.TERC.BM"/>
    <x v="124"/>
    <s v="periodo anterior"/>
  </r>
  <r>
    <x v="24"/>
    <s v="TRAN.CTAS.TERC.BM"/>
    <n v="300.12"/>
    <s v="00616845"/>
    <m/>
    <x v="125"/>
    <s v="2026-01"/>
  </r>
  <r>
    <x v="24"/>
    <s v="TRAN.CTAS.TERC.BM"/>
    <n v="356.11"/>
    <s v="03956572"/>
    <s v="TRAN.CTAS.TERC.BM"/>
    <x v="5"/>
    <s v="2026-01"/>
  </r>
  <r>
    <x v="24"/>
    <s v="TRAN.CTAS.TERC.BM"/>
    <n v="450"/>
    <s v="01697215"/>
    <s v="ORTEGA DELGADILLO EMPERATRIZ"/>
    <x v="126"/>
    <s v="periodo anterior"/>
  </r>
  <r>
    <x v="24"/>
    <s v="TRANSF.BCO.SCOTIABANK"/>
    <n v="1563.43"/>
    <s v="02852598"/>
    <s v="E V A"/>
    <x v="127"/>
    <s v="periodo anterior"/>
  </r>
  <r>
    <x v="25"/>
    <s v="TRANSF.BCO.BBVA"/>
    <n v="23.37"/>
    <s v="02419492"/>
    <s v="JOSE AUGUSTO CANDELA ROJAS"/>
    <x v="128"/>
    <s v="2026-01"/>
  </r>
  <r>
    <x v="25"/>
    <s v="TRANSF.BCO.SCOTIABANK"/>
    <n v="40"/>
    <s v="00012052"/>
    <s v="TRANSF.BCO.SCOTIABANK"/>
    <x v="1"/>
    <s v="parrilla"/>
  </r>
  <r>
    <x v="25"/>
    <s v="TRANSF.BCO.INTERBANK"/>
    <n v="321.12"/>
    <s v="02371647"/>
    <s v="CHAFLOQUE-MORENO-ALEXIS"/>
    <x v="73"/>
    <s v="periodo anterior"/>
  </r>
  <r>
    <x v="25"/>
    <s v="TRANSF.BCO.INTERBANK"/>
    <n v="404.38"/>
    <s v="00010886"/>
    <m/>
    <x v="129"/>
    <s v="2026-01"/>
  </r>
  <r>
    <x v="25"/>
    <s v="TRANSF.BCO.INTERBANK"/>
    <n v="490.93"/>
    <s v="02197757"/>
    <s v="GUTIERREZ-PECEROS-ALBERTO"/>
    <x v="65"/>
    <s v="2026-01"/>
  </r>
  <r>
    <x v="26"/>
    <s v="TRAN.CTAS.TERC.BM"/>
    <n v="76.290000000000006"/>
    <s v="01512170"/>
    <s v="HERRERA CASTRO VANESA ZARELA"/>
    <x v="130"/>
    <s v="2026-01"/>
  </r>
  <r>
    <x v="26"/>
    <s v="TRAN.CTAS.TERC.BM"/>
    <n v="161.94999999999999"/>
    <s v="03255221"/>
    <s v="OSORIO MOQUILLAZA JESUS ALFONSO"/>
    <x v="131"/>
    <s v="2026-01"/>
  </r>
  <r>
    <x v="26"/>
    <s v="TRAN.CTAS.TERC.BM"/>
    <n v="168.26"/>
    <s v="01495399"/>
    <s v="HERRERA CASTRO VANESA ZARELA"/>
    <x v="132"/>
    <s v="2026-01"/>
  </r>
  <r>
    <x v="26"/>
    <s v="TRAN.CTAS.TERC.BM"/>
    <n v="352.6"/>
    <s v="00415479"/>
    <s v="ZAPATA VELASCO ANGELA PATRICIA"/>
    <x v="133"/>
    <s v="2026-01"/>
  </r>
  <r>
    <x v="26"/>
    <s v="DE COMPANIA INCUBADORA"/>
    <n v="360.12"/>
    <s v="07945577"/>
    <s v="DE COMPANIA INCUBADORA"/>
    <x v="134"/>
    <s v="2026-01"/>
  </r>
  <r>
    <x v="27"/>
    <s v="TRANSF.BCO.BBVA"/>
    <n v="40"/>
    <s v="02378358"/>
    <s v="DIEGO HERNAN MORALES X"/>
    <x v="1"/>
    <s v="parrilla"/>
  </r>
  <r>
    <x v="27"/>
    <s v="TRAN.CTAS.TERC.BM"/>
    <n v="40"/>
    <s v="03870146"/>
    <s v="BUSTAMANTE RUIZ EDUARDO CARLOS"/>
    <x v="1"/>
    <s v="parrilla"/>
  </r>
  <r>
    <x v="27"/>
    <s v="TRAN.CTAS.TERC.BM"/>
    <n v="76.290000000000006"/>
    <s v="04263678"/>
    <s v="MENDIOLA LOPEZ MARIA ELENA MARTINA"/>
    <x v="135"/>
    <s v="2026-01"/>
  </r>
  <r>
    <x v="27"/>
    <s v="TRANSF.BCO.INTERBANK"/>
    <n v="161.94999999999999"/>
    <s v="02826636"/>
    <s v="GUIMARAY-HERNANDEZ-RICARDO"/>
    <x v="136"/>
    <s v="2026-01"/>
  </r>
  <r>
    <x v="27"/>
    <s v="TRANSF.BCO.SCOTIABANK"/>
    <n v="165.63"/>
    <s v="02185125"/>
    <s v="DIEGO SEGURA MENDEZ"/>
    <x v="137"/>
    <s v="2026-01"/>
  </r>
  <r>
    <x v="27"/>
    <s v="TRAN.CTAS.TERC.BM"/>
    <n v="183.7"/>
    <s v="02619147"/>
    <s v="VENTURA FERREYRA MILAGRITOS DEL PILAR"/>
    <x v="76"/>
    <s v="2026-01"/>
  </r>
  <r>
    <x v="27"/>
    <s v="TRAN.CTAS.TERC.BM"/>
    <n v="185.83"/>
    <s v="02191271"/>
    <s v="OSORIO MILENA-O-CANDELA ALVARO"/>
    <x v="138"/>
    <s v="periodo anterior"/>
  </r>
  <r>
    <x v="27"/>
    <s v="TRAN.CTAS.TERC.BM"/>
    <n v="301.72000000000003"/>
    <s v="05608596"/>
    <s v="ESTRADA PADILLA DIANA GERALDINE"/>
    <x v="139"/>
    <s v="periodo anterior"/>
  </r>
  <r>
    <x v="27"/>
    <s v="TRAN.CTAS.TERC.BM"/>
    <n v="384.31"/>
    <s v="04329217"/>
    <s v="MENDIOLA LOPEZ MARIA ELENA MARTINA"/>
    <x v="140"/>
    <s v="2026-01"/>
  </r>
  <r>
    <x v="27"/>
    <s v="TRANSF.BCO.INTERBANK"/>
    <n v="858.79"/>
    <s v="02335219"/>
    <s v="GUIMARAY-HERNANDEZ-RICARDO"/>
    <x v="136"/>
    <s v="periodo anterior"/>
  </r>
  <r>
    <x v="28"/>
    <s v="TRANSF.BCO.BBVA"/>
    <n v="40"/>
    <s v="02076309"/>
    <s v="LUIS FERNANDO DELGADO SILVA"/>
    <x v="1"/>
    <s v="parrilla"/>
  </r>
  <r>
    <x v="28"/>
    <s v="TRAN.CTAS.TERC.BM"/>
    <n v="40"/>
    <s v="04679935"/>
    <s v="IZQUIERDO ALATA LIAM JUAN PEDRO"/>
    <x v="1"/>
    <s v="parrilla"/>
  </r>
  <r>
    <x v="28"/>
    <s v="TRANSF.BCO.INTERBANK"/>
    <n v="50"/>
    <s v="02067249"/>
    <s v="BELLIDO-GUILLEN-LINO"/>
    <x v="1"/>
    <s v="2026-01"/>
  </r>
  <r>
    <x v="28"/>
    <s v="TRAN.CTAS.TERC.BM"/>
    <n v="170.87"/>
    <s v="01094784"/>
    <s v="GUTIERREZ CORDOVA ANGELA PIERINA"/>
    <x v="141"/>
    <s v="2026-01"/>
  </r>
  <r>
    <x v="28"/>
    <s v="TRANSF.BCO.BBVA"/>
    <n v="352.6"/>
    <s v="02355748"/>
    <s v="MARILYN ROXANA VELIZ CACHO"/>
    <x v="142"/>
    <s v="2026-01"/>
  </r>
  <r>
    <x v="28"/>
    <s v="TRAN.CTAS.TERC.BM"/>
    <n v="355.58"/>
    <s v="01127893"/>
    <s v="GUTIERREZ GUERRERO YEISON MARTIN"/>
    <x v="27"/>
    <s v="2026-01"/>
  </r>
  <r>
    <x v="28"/>
    <s v="TRANSF.BCO.NACION"/>
    <n v="373.66"/>
    <s v="02042466"/>
    <s v="CARMEN MALACHE"/>
    <x v="63"/>
    <s v="2026-01"/>
  </r>
  <r>
    <x v="28"/>
    <s v="TRAN.CTAS.TERC.BM"/>
    <n v="379.38"/>
    <s v="05416179"/>
    <s v="FLORES GARCIA KATIUSKA TERESA"/>
    <x v="8"/>
    <s v="2026-01"/>
  </r>
  <r>
    <x v="29"/>
    <s v="TRANSF.BCO.BBVA"/>
    <n v="40"/>
    <s v="02721390"/>
    <s v="PABLO ABEL MINIANO GARCIA"/>
    <x v="1"/>
    <s v="parrilla"/>
  </r>
  <r>
    <x v="29"/>
    <s v="TRAN.CTAS.TERC.BM"/>
    <n v="40"/>
    <s v="04109601"/>
    <s v="MARIA CECILIA SOLARI ATOCHE"/>
    <x v="1"/>
    <s v="parrilla"/>
  </r>
  <r>
    <x v="29"/>
    <s v="TRANSF.BCO.BBVA"/>
    <n v="170.87"/>
    <s v="02042569"/>
    <s v="LUIS DAVID SULCA CORONADO"/>
    <x v="143"/>
    <s v="2026-01"/>
  </r>
  <r>
    <x v="29"/>
    <s v="TRANSF.BCO.BBVA"/>
    <n v="172.84"/>
    <s v="02042569"/>
    <s v="LUIS DAVID SULCA CORONADO"/>
    <x v="143"/>
    <s v="periodo anterior"/>
  </r>
  <r>
    <x v="29"/>
    <s v="TRAN.CTAS.TERC.BM"/>
    <n v="352.6"/>
    <s v="01281577"/>
    <s v="SAUNE PACCO JOSE OSWALDO"/>
    <x v="144"/>
    <s v="2026-01"/>
  </r>
  <r>
    <x v="29"/>
    <s v="TRANSF.BCO.SCOTIABANK"/>
    <n v="416.54"/>
    <s v="02781700"/>
    <s v="CLAUDIA VILLAVICENCIO PONCE DE LEON"/>
    <x v="145"/>
    <s v="periodo anterior"/>
  </r>
  <r>
    <x v="29"/>
    <s v="TRANSF.BCO.BBVA"/>
    <n v="471.14"/>
    <s v="02692450"/>
    <s v="PABLO ABEL MINIANO GARCIA"/>
    <x v="146"/>
    <s v="2026-01"/>
  </r>
  <r>
    <x v="29"/>
    <s v="TRAN.CTAS.TERC.BM"/>
    <n v="526.52"/>
    <s v="04904755"/>
    <s v="DAVILA SANTILLAN ERLINDA MERCEDES"/>
    <x v="147"/>
    <s v="periodo anterior"/>
  </r>
  <r>
    <x v="29"/>
    <s v="TRAN.CTAS.TERC.BM"/>
    <n v="540"/>
    <s v="04717173"/>
    <s v="MARIA CECILIA SOLARI ATOCHE"/>
    <x v="1"/>
    <s v="lounge"/>
  </r>
  <r>
    <x v="29"/>
    <s v="TRAN.CTAS.TERC.BM"/>
    <n v="729.08"/>
    <s v="03222311"/>
    <s v="ROSARIO TORRES PATRICIA DEL CARMEN"/>
    <x v="148"/>
    <s v="2026-01"/>
  </r>
  <r>
    <x v="29"/>
    <s v="TRANSF.BCO.NACION"/>
    <n v="1000"/>
    <s v="02721180"/>
    <s v="ERLINDA DAVILA"/>
    <x v="147"/>
    <s v="periodo anteri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56574-12B2-4921-9478-C5656910F13A}" name="TablaDiná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gridDropZones="1" multipleFieldFilters="0">
  <location ref="A3:F209" firstHeaderRow="1" firstDataRow="2" firstDataCol="2"/>
  <pivotFields count="9">
    <pivotField axis="axisRow" compact="0" outline="0" showAll="0" defaultSubtotal="0">
      <items count="20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0"/>
      </items>
    </pivotField>
    <pivotField axis="axisRow" compact="0" outline="0" showAll="0">
      <items count="205">
        <item x="1"/>
        <item x="2"/>
        <item x="4"/>
        <item x="5"/>
        <item x="6"/>
        <item x="194"/>
        <item x="7"/>
        <item x="8"/>
        <item x="201"/>
        <item x="9"/>
        <item x="10"/>
        <item x="11"/>
        <item x="12"/>
        <item x="13"/>
        <item x="15"/>
        <item x="16"/>
        <item x="17"/>
        <item x="15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6"/>
        <item x="35"/>
        <item x="37"/>
        <item x="38"/>
        <item x="39"/>
        <item x="40"/>
        <item x="41"/>
        <item x="42"/>
        <item x="43"/>
        <item x="44"/>
        <item x="46"/>
        <item x="47"/>
        <item x="102"/>
        <item x="48"/>
        <item x="50"/>
        <item x="51"/>
        <item x="52"/>
        <item x="53"/>
        <item x="54"/>
        <item x="55"/>
        <item x="56"/>
        <item x="58"/>
        <item x="57"/>
        <item x="59"/>
        <item x="60"/>
        <item x="61"/>
        <item x="62"/>
        <item x="63"/>
        <item x="64"/>
        <item x="66"/>
        <item x="65"/>
        <item x="68"/>
        <item x="195"/>
        <item x="69"/>
        <item x="70"/>
        <item x="71"/>
        <item x="72"/>
        <item x="73"/>
        <item x="74"/>
        <item x="75"/>
        <item x="49"/>
        <item x="76"/>
        <item x="14"/>
        <item x="77"/>
        <item x="78"/>
        <item x="79"/>
        <item x="163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4"/>
        <item x="203"/>
        <item x="95"/>
        <item x="189"/>
        <item x="96"/>
        <item x="97"/>
        <item x="98"/>
        <item x="67"/>
        <item x="99"/>
        <item x="100"/>
        <item x="101"/>
        <item x="196"/>
        <item x="103"/>
        <item x="104"/>
        <item x="158"/>
        <item x="107"/>
        <item x="108"/>
        <item x="93"/>
        <item x="109"/>
        <item x="110"/>
        <item x="111"/>
        <item x="121"/>
        <item x="156"/>
        <item x="112"/>
        <item x="134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202"/>
        <item x="126"/>
        <item x="127"/>
        <item x="85"/>
        <item x="128"/>
        <item x="129"/>
        <item x="130"/>
        <item x="131"/>
        <item x="132"/>
        <item x="133"/>
        <item x="135"/>
        <item x="197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98"/>
        <item x="199"/>
        <item x="147"/>
        <item x="148"/>
        <item x="3"/>
        <item x="45"/>
        <item x="149"/>
        <item x="150"/>
        <item x="151"/>
        <item x="152"/>
        <item x="105"/>
        <item x="153"/>
        <item x="154"/>
        <item x="155"/>
        <item x="159"/>
        <item x="160"/>
        <item x="32"/>
        <item x="161"/>
        <item x="106"/>
        <item x="162"/>
        <item x="164"/>
        <item x="165"/>
        <item x="166"/>
        <item x="167"/>
        <item x="172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200"/>
        <item x="186"/>
        <item x="187"/>
        <item x="188"/>
        <item x="190"/>
        <item x="191"/>
        <item x="192"/>
        <item x="193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dataField="1" compact="0" numFmtId="43" outline="0" showAll="0"/>
    <pivotField dataField="1" compact="0" outline="0" showAll="0"/>
  </pivotFields>
  <rowFields count="2">
    <field x="0"/>
    <field x="1"/>
  </rowFields>
  <rowItems count="205">
    <i>
      <x/>
      <x/>
    </i>
    <i>
      <x v="1"/>
      <x v="1"/>
    </i>
    <i>
      <x v="2"/>
      <x v="157"/>
    </i>
    <i>
      <x v="3"/>
      <x v="2"/>
    </i>
    <i>
      <x v="4"/>
      <x v="3"/>
    </i>
    <i>
      <x v="5"/>
      <x v="4"/>
    </i>
    <i>
      <x v="6"/>
      <x v="6"/>
    </i>
    <i>
      <x v="7"/>
      <x v="7"/>
    </i>
    <i>
      <x v="8"/>
      <x v="9"/>
    </i>
    <i>
      <x v="9"/>
      <x v="10"/>
    </i>
    <i>
      <x v="10"/>
      <x v="11"/>
    </i>
    <i>
      <x v="11"/>
      <x v="12"/>
    </i>
    <i>
      <x v="12"/>
      <x v="13"/>
    </i>
    <i>
      <x v="13"/>
      <x v="76"/>
    </i>
    <i>
      <x v="14"/>
      <x v="14"/>
    </i>
    <i>
      <x v="15"/>
      <x v="15"/>
    </i>
    <i>
      <x v="16"/>
      <x v="16"/>
    </i>
    <i>
      <x v="17"/>
      <x v="18"/>
    </i>
    <i>
      <x v="18"/>
      <x v="19"/>
    </i>
    <i>
      <x v="19"/>
      <x v="20"/>
    </i>
    <i>
      <x v="20"/>
      <x v="21"/>
    </i>
    <i>
      <x v="21"/>
      <x v="22"/>
    </i>
    <i>
      <x v="22"/>
      <x v="23"/>
    </i>
    <i>
      <x v="23"/>
      <x v="24"/>
    </i>
    <i>
      <x v="24"/>
      <x v="25"/>
    </i>
    <i>
      <x v="25"/>
      <x v="26"/>
    </i>
    <i>
      <x v="26"/>
      <x v="27"/>
    </i>
    <i>
      <x v="27"/>
      <x v="28"/>
    </i>
    <i>
      <x v="28"/>
      <x v="29"/>
    </i>
    <i>
      <x v="29"/>
      <x v="30"/>
    </i>
    <i>
      <x v="30"/>
      <x v="31"/>
    </i>
    <i>
      <x v="31"/>
      <x v="169"/>
    </i>
    <i>
      <x v="32"/>
      <x v="32"/>
    </i>
    <i>
      <x v="33"/>
      <x v="33"/>
    </i>
    <i>
      <x v="34"/>
      <x v="35"/>
    </i>
    <i>
      <x v="35"/>
      <x v="34"/>
    </i>
    <i>
      <x v="36"/>
      <x v="36"/>
    </i>
    <i>
      <x v="37"/>
      <x v="37"/>
    </i>
    <i>
      <x v="38"/>
      <x v="38"/>
    </i>
    <i>
      <x v="39"/>
      <x v="39"/>
    </i>
    <i>
      <x v="40"/>
      <x v="40"/>
    </i>
    <i>
      <x v="41"/>
      <x v="41"/>
    </i>
    <i>
      <x v="42"/>
      <x v="42"/>
    </i>
    <i>
      <x v="43"/>
      <x v="43"/>
    </i>
    <i>
      <x v="44"/>
      <x v="158"/>
    </i>
    <i>
      <x v="45"/>
      <x v="44"/>
    </i>
    <i>
      <x v="46"/>
      <x v="45"/>
    </i>
    <i>
      <x v="47"/>
      <x v="47"/>
    </i>
    <i>
      <x v="48"/>
      <x v="74"/>
    </i>
    <i>
      <x v="49"/>
      <x v="48"/>
    </i>
    <i>
      <x v="50"/>
      <x v="49"/>
    </i>
    <i>
      <x v="51"/>
      <x v="50"/>
    </i>
    <i>
      <x v="52"/>
      <x v="51"/>
    </i>
    <i>
      <x v="53"/>
      <x v="52"/>
    </i>
    <i>
      <x v="54"/>
      <x v="53"/>
    </i>
    <i>
      <x v="55"/>
      <x v="54"/>
    </i>
    <i>
      <x v="56"/>
      <x v="56"/>
    </i>
    <i>
      <x v="57"/>
      <x v="55"/>
    </i>
    <i>
      <x v="58"/>
      <x v="57"/>
    </i>
    <i>
      <x v="59"/>
      <x v="58"/>
    </i>
    <i>
      <x v="60"/>
      <x v="59"/>
    </i>
    <i>
      <x v="61"/>
      <x v="60"/>
    </i>
    <i>
      <x v="62"/>
      <x v="61"/>
    </i>
    <i>
      <x v="63"/>
      <x v="62"/>
    </i>
    <i>
      <x v="64"/>
      <x v="64"/>
    </i>
    <i>
      <x v="65"/>
      <x v="63"/>
    </i>
    <i>
      <x v="66"/>
      <x v="100"/>
    </i>
    <i>
      <x v="67"/>
      <x v="65"/>
    </i>
    <i>
      <x v="68"/>
      <x v="67"/>
    </i>
    <i>
      <x v="69"/>
      <x v="68"/>
    </i>
    <i>
      <x v="70"/>
      <x v="69"/>
    </i>
    <i>
      <x v="71"/>
      <x v="70"/>
    </i>
    <i>
      <x v="72"/>
      <x v="71"/>
    </i>
    <i>
      <x v="73"/>
      <x v="72"/>
    </i>
    <i>
      <x v="74"/>
      <x v="73"/>
    </i>
    <i>
      <x v="75"/>
      <x v="75"/>
    </i>
    <i>
      <x v="76"/>
      <x v="77"/>
    </i>
    <i>
      <x v="77"/>
      <x v="78"/>
    </i>
    <i>
      <x v="78"/>
      <x v="79"/>
    </i>
    <i>
      <x v="79"/>
      <x v="81"/>
    </i>
    <i>
      <x v="80"/>
      <x v="82"/>
    </i>
    <i>
      <x v="81"/>
      <x v="83"/>
    </i>
    <i>
      <x v="82"/>
      <x v="84"/>
    </i>
    <i>
      <x v="83"/>
      <x v="85"/>
    </i>
    <i>
      <x v="84"/>
      <x v="133"/>
    </i>
    <i>
      <x v="85"/>
      <x v="86"/>
    </i>
    <i>
      <x v="86"/>
      <x v="87"/>
    </i>
    <i>
      <x v="87"/>
      <x v="88"/>
    </i>
    <i>
      <x v="88"/>
      <x v="89"/>
    </i>
    <i>
      <x v="89"/>
      <x v="90"/>
    </i>
    <i>
      <x v="90"/>
      <x v="91"/>
    </i>
    <i>
      <x v="91"/>
      <x v="92"/>
    </i>
    <i>
      <x v="92"/>
      <x v="110"/>
    </i>
    <i>
      <x v="93"/>
      <x v="93"/>
    </i>
    <i>
      <x v="94"/>
      <x v="95"/>
    </i>
    <i>
      <x v="95"/>
      <x v="97"/>
    </i>
    <i>
      <x v="96"/>
      <x v="98"/>
    </i>
    <i>
      <x v="97"/>
      <x v="99"/>
    </i>
    <i>
      <x v="98"/>
      <x v="101"/>
    </i>
    <i>
      <x v="99"/>
      <x v="102"/>
    </i>
    <i>
      <x v="100"/>
      <x v="103"/>
    </i>
    <i>
      <x v="101"/>
      <x v="46"/>
    </i>
    <i>
      <x v="102"/>
      <x v="105"/>
    </i>
    <i>
      <x v="103"/>
      <x v="106"/>
    </i>
    <i>
      <x v="104"/>
      <x v="163"/>
    </i>
    <i>
      <x v="105"/>
      <x v="171"/>
    </i>
    <i>
      <x v="106"/>
      <x v="108"/>
    </i>
    <i>
      <x v="107"/>
      <x v="109"/>
    </i>
    <i>
      <x v="108"/>
      <x v="111"/>
    </i>
    <i>
      <x v="109"/>
      <x v="112"/>
    </i>
    <i>
      <x v="110"/>
      <x v="113"/>
    </i>
    <i>
      <x v="111"/>
      <x v="116"/>
    </i>
    <i>
      <x v="112"/>
      <x v="118"/>
    </i>
    <i>
      <x v="113"/>
      <x v="119"/>
    </i>
    <i>
      <x v="114"/>
      <x v="120"/>
    </i>
    <i>
      <x v="115"/>
      <x v="121"/>
    </i>
    <i>
      <x v="116"/>
      <x v="122"/>
    </i>
    <i>
      <x v="117"/>
      <x v="123"/>
    </i>
    <i>
      <x v="118"/>
      <x v="124"/>
    </i>
    <i>
      <x v="119"/>
      <x v="125"/>
    </i>
    <i>
      <x v="120"/>
      <x v="114"/>
    </i>
    <i>
      <x v="121"/>
      <x v="126"/>
    </i>
    <i>
      <x v="122"/>
      <x v="127"/>
    </i>
    <i>
      <x v="123"/>
      <x v="128"/>
    </i>
    <i>
      <x v="124"/>
      <x v="129"/>
    </i>
    <i>
      <x v="125"/>
      <x v="131"/>
    </i>
    <i>
      <x v="126"/>
      <x v="132"/>
    </i>
    <i>
      <x v="127"/>
      <x v="134"/>
    </i>
    <i>
      <x v="128"/>
      <x v="135"/>
    </i>
    <i>
      <x v="129"/>
      <x v="136"/>
    </i>
    <i>
      <x v="130"/>
      <x v="137"/>
    </i>
    <i>
      <x v="131"/>
      <x v="138"/>
    </i>
    <i>
      <x v="132"/>
      <x v="139"/>
    </i>
    <i>
      <x v="133"/>
      <x v="117"/>
    </i>
    <i>
      <x v="134"/>
      <x v="140"/>
    </i>
    <i>
      <x v="135"/>
      <x v="142"/>
    </i>
    <i>
      <x v="136"/>
      <x v="143"/>
    </i>
    <i>
      <x v="137"/>
      <x v="144"/>
    </i>
    <i>
      <x v="138"/>
      <x v="145"/>
    </i>
    <i>
      <x v="139"/>
      <x v="146"/>
    </i>
    <i>
      <x v="140"/>
      <x v="147"/>
    </i>
    <i>
      <x v="141"/>
      <x v="148"/>
    </i>
    <i>
      <x v="142"/>
      <x v="149"/>
    </i>
    <i>
      <x v="143"/>
      <x v="150"/>
    </i>
    <i>
      <x v="144"/>
      <x v="151"/>
    </i>
    <i>
      <x v="145"/>
      <x v="152"/>
    </i>
    <i>
      <x v="146"/>
      <x v="155"/>
    </i>
    <i>
      <x v="147"/>
      <x v="156"/>
    </i>
    <i>
      <x v="148"/>
      <x v="159"/>
    </i>
    <i>
      <x v="149"/>
      <x v="160"/>
    </i>
    <i>
      <x v="150"/>
      <x v="161"/>
    </i>
    <i>
      <x v="151"/>
      <x v="162"/>
    </i>
    <i>
      <x v="152"/>
      <x v="164"/>
    </i>
    <i>
      <x v="153"/>
      <x v="165"/>
    </i>
    <i>
      <x v="154"/>
      <x v="166"/>
    </i>
    <i>
      <x v="155"/>
      <x v="115"/>
    </i>
    <i>
      <x v="156"/>
      <x v="17"/>
    </i>
    <i>
      <x v="157"/>
      <x v="107"/>
    </i>
    <i>
      <x v="158"/>
      <x v="167"/>
    </i>
    <i>
      <x v="159"/>
      <x v="168"/>
    </i>
    <i>
      <x v="160"/>
      <x v="170"/>
    </i>
    <i>
      <x v="161"/>
      <x v="172"/>
    </i>
    <i>
      <x v="162"/>
      <x v="80"/>
    </i>
    <i>
      <x v="163"/>
      <x v="173"/>
    </i>
    <i>
      <x v="164"/>
      <x v="174"/>
    </i>
    <i>
      <x v="165"/>
      <x v="175"/>
    </i>
    <i>
      <x v="166"/>
      <x v="176"/>
    </i>
    <i>
      <x v="167"/>
      <x v="178"/>
    </i>
    <i>
      <x v="168"/>
      <x v="179"/>
    </i>
    <i>
      <x v="169"/>
      <x v="180"/>
    </i>
    <i>
      <x v="170"/>
      <x v="181"/>
    </i>
    <i>
      <x v="171"/>
      <x v="177"/>
    </i>
    <i>
      <x v="172"/>
      <x v="182"/>
    </i>
    <i>
      <x v="173"/>
      <x v="183"/>
    </i>
    <i>
      <x v="174"/>
      <x v="184"/>
    </i>
    <i>
      <x v="175"/>
      <x v="185"/>
    </i>
    <i>
      <x v="176"/>
      <x v="186"/>
    </i>
    <i>
      <x v="177"/>
      <x v="187"/>
    </i>
    <i>
      <x v="178"/>
      <x v="188"/>
    </i>
    <i>
      <x v="179"/>
      <x v="189"/>
    </i>
    <i>
      <x v="180"/>
      <x v="190"/>
    </i>
    <i>
      <x v="181"/>
      <x v="191"/>
    </i>
    <i>
      <x v="182"/>
      <x v="192"/>
    </i>
    <i>
      <x v="183"/>
      <x v="193"/>
    </i>
    <i>
      <x v="184"/>
      <x v="194"/>
    </i>
    <i>
      <x v="185"/>
      <x v="196"/>
    </i>
    <i>
      <x v="186"/>
      <x v="197"/>
    </i>
    <i>
      <x v="187"/>
      <x v="198"/>
    </i>
    <i>
      <x v="188"/>
      <x v="96"/>
    </i>
    <i>
      <x v="189"/>
      <x v="199"/>
    </i>
    <i>
      <x v="190"/>
      <x v="200"/>
    </i>
    <i>
      <x v="191"/>
      <x v="201"/>
    </i>
    <i>
      <x v="192"/>
      <x v="202"/>
    </i>
    <i>
      <x v="193"/>
      <x v="5"/>
    </i>
    <i>
      <x v="194"/>
      <x v="66"/>
    </i>
    <i>
      <x v="195"/>
      <x v="104"/>
    </i>
    <i>
      <x v="196"/>
      <x v="141"/>
    </i>
    <i>
      <x v="197"/>
      <x v="153"/>
    </i>
    <i>
      <x v="198"/>
      <x v="154"/>
    </i>
    <i>
      <x v="199"/>
      <x v="195"/>
    </i>
    <i>
      <x v="200"/>
      <x v="8"/>
    </i>
    <i>
      <x v="201"/>
      <x v="130"/>
    </i>
    <i>
      <x v="202"/>
      <x v="94"/>
    </i>
    <i>
      <x v="203"/>
      <x v="20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PREDIOS" fld="2" subtotal="count" baseField="0" baseItem="0"/>
    <dataField name=" VALOR CUOTA" fld="6" baseField="0" baseItem="0" numFmtId="43"/>
    <dataField name=" AGUA CONSUMO" fld="7" baseField="0" baseItem="0" numFmtId="43"/>
    <dataField name=" SUMA" fld="8" baseField="0" baseItem="0"/>
  </dataFields>
  <formats count="12">
    <format dxfId="69">
      <pivotArea field="0" type="button" dataOnly="0" labelOnly="1" outline="0" axis="axisRow" fieldPosition="0"/>
    </format>
    <format dxfId="68">
      <pivotArea field="1" type="button" dataOnly="0" labelOnly="1" outline="0" axis="axisRow" fieldPosition="1"/>
    </format>
    <format dxfId="6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6">
      <pivotArea field="0" type="button" dataOnly="0" labelOnly="1" outline="0" axis="axisRow" fieldPosition="0"/>
    </format>
    <format dxfId="65">
      <pivotArea field="1" type="button" dataOnly="0" labelOnly="1" outline="0" axis="axisRow" fieldPosition="1"/>
    </format>
    <format dxfId="6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3">
      <pivotArea field="0" type="button" dataOnly="0" labelOnly="1" outline="0" axis="axisRow" fieldPosition="0"/>
    </format>
    <format dxfId="62">
      <pivotArea field="1" type="button" dataOnly="0" labelOnly="1" outline="0" axis="axisRow" fieldPosition="1"/>
    </format>
    <format dxfId="6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0">
      <pivotArea outline="0" fieldPosition="0">
        <references count="1">
          <reference field="4294967294" count="1" selected="0">
            <x v="0"/>
          </reference>
        </references>
      </pivotArea>
    </format>
    <format dxfId="59">
      <pivotArea field="-2" type="button" dataOnly="0" labelOnly="1" outline="0" axis="axisCol" fieldPosition="0"/>
    </format>
    <format dxfId="5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48BE8-9876-4207-9DDE-302061FA5C1A}" name="TablaDiná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Predio">
  <location ref="C21:G23" firstHeaderRow="0" firstDataRow="1" firstDataCol="1" rowPageCount="1" colPageCount="1"/>
  <pivotFields count="9">
    <pivotField axis="axisPage" showAll="0">
      <items count="20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0"/>
        <item t="default"/>
      </items>
    </pivotField>
    <pivotField showAll="0"/>
    <pivotField axis="axisRow" showAll="0">
      <items count="382">
        <item x="10"/>
        <item x="62"/>
        <item x="120"/>
        <item x="103"/>
        <item x="242"/>
        <item x="26"/>
        <item x="177"/>
        <item x="240"/>
        <item x="181"/>
        <item x="21"/>
        <item x="222"/>
        <item x="76"/>
        <item x="321"/>
        <item x="210"/>
        <item x="332"/>
        <item x="80"/>
        <item x="84"/>
        <item x="372"/>
        <item x="319"/>
        <item x="24"/>
        <item x="101"/>
        <item x="192"/>
        <item x="183"/>
        <item x="284"/>
        <item x="281"/>
        <item x="51"/>
        <item x="203"/>
        <item x="303"/>
        <item x="272"/>
        <item x="72"/>
        <item x="334"/>
        <item x="53"/>
        <item x="64"/>
        <item x="8"/>
        <item x="153"/>
        <item x="311"/>
        <item x="159"/>
        <item x="211"/>
        <item x="96"/>
        <item x="248"/>
        <item x="172"/>
        <item x="194"/>
        <item x="142"/>
        <item x="379"/>
        <item x="186"/>
        <item x="246"/>
        <item x="58"/>
        <item x="336"/>
        <item x="353"/>
        <item x="175"/>
        <item x="47"/>
        <item x="15"/>
        <item x="71"/>
        <item x="41"/>
        <item x="114"/>
        <item x="66"/>
        <item x="294"/>
        <item x="219"/>
        <item x="179"/>
        <item x="359"/>
        <item x="317"/>
        <item x="217"/>
        <item x="291"/>
        <item x="361"/>
        <item x="365"/>
        <item x="197"/>
        <item x="111"/>
        <item x="331"/>
        <item x="43"/>
        <item x="184"/>
        <item x="307"/>
        <item x="276"/>
        <item x="318"/>
        <item x="92"/>
        <item x="357"/>
        <item x="158"/>
        <item x="241"/>
        <item x="261"/>
        <item x="19"/>
        <item x="140"/>
        <item x="168"/>
        <item x="1"/>
        <item x="327"/>
        <item x="49"/>
        <item x="236"/>
        <item x="38"/>
        <item x="78"/>
        <item x="313"/>
        <item x="107"/>
        <item x="343"/>
        <item x="354"/>
        <item x="29"/>
        <item x="370"/>
        <item x="160"/>
        <item x="367"/>
        <item x="300"/>
        <item x="346"/>
        <item x="204"/>
        <item x="45"/>
        <item x="200"/>
        <item x="191"/>
        <item x="268"/>
        <item x="75"/>
        <item x="341"/>
        <item x="274"/>
        <item x="90"/>
        <item x="289"/>
        <item x="270"/>
        <item x="223"/>
        <item x="139"/>
        <item x="244"/>
        <item x="350"/>
        <item x="136"/>
        <item x="362"/>
        <item x="94"/>
        <item x="85"/>
        <item x="252"/>
        <item x="133"/>
        <item x="290"/>
        <item x="315"/>
        <item x="156"/>
        <item x="299"/>
        <item x="129"/>
        <item x="231"/>
        <item x="305"/>
        <item x="137"/>
        <item x="127"/>
        <item x="296"/>
        <item x="131"/>
        <item x="68"/>
        <item x="235"/>
        <item x="100"/>
        <item x="88"/>
        <item x="213"/>
        <item x="269"/>
        <item x="112"/>
        <item x="337"/>
        <item x="82"/>
        <item x="368"/>
        <item x="339"/>
        <item x="187"/>
        <item x="251"/>
        <item x="170"/>
        <item x="254"/>
        <item x="74"/>
        <item x="265"/>
        <item x="164"/>
        <item x="215"/>
        <item x="122"/>
        <item x="280"/>
        <item x="105"/>
        <item x="348"/>
        <item x="13"/>
        <item x="233"/>
        <item x="330"/>
        <item x="73"/>
        <item x="12"/>
        <item x="60"/>
        <item x="3"/>
        <item x="124"/>
        <item x="174"/>
        <item x="278"/>
        <item x="207"/>
        <item x="27"/>
        <item x="102"/>
        <item x="259"/>
        <item x="237"/>
        <item x="166"/>
        <item x="288"/>
        <item x="118"/>
        <item x="304"/>
        <item x="323"/>
        <item x="257"/>
        <item x="17"/>
        <item x="201"/>
        <item x="267"/>
        <item x="309"/>
        <item x="325"/>
        <item x="249"/>
        <item x="151"/>
        <item x="5"/>
        <item x="239"/>
        <item x="147"/>
        <item x="6"/>
        <item x="109"/>
        <item x="97"/>
        <item x="228"/>
        <item x="286"/>
        <item x="70"/>
        <item x="134"/>
        <item x="135"/>
        <item x="149"/>
        <item x="302"/>
        <item x="229"/>
        <item x="143"/>
        <item x="77"/>
        <item x="54"/>
        <item x="144"/>
        <item x="262"/>
        <item x="376"/>
        <item x="377"/>
        <item x="188"/>
        <item x="351"/>
        <item x="282"/>
        <item x="277"/>
        <item x="171"/>
        <item x="154"/>
        <item x="52"/>
        <item x="314"/>
        <item x="125"/>
        <item x="333"/>
        <item x="297"/>
        <item x="98"/>
        <item x="292"/>
        <item x="39"/>
        <item x="328"/>
        <item x="275"/>
        <item x="363"/>
        <item x="264"/>
        <item x="255"/>
        <item x="50"/>
        <item x="374"/>
        <item x="30"/>
        <item x="93"/>
        <item x="258"/>
        <item x="91"/>
        <item x="298"/>
        <item x="31"/>
        <item x="86"/>
        <item x="378"/>
        <item x="32"/>
        <item x="373"/>
        <item x="81"/>
        <item x="371"/>
        <item x="55"/>
        <item x="56"/>
        <item x="57"/>
        <item x="195"/>
        <item x="33"/>
        <item x="2"/>
        <item x="205"/>
        <item x="34"/>
        <item x="347"/>
        <item x="263"/>
        <item x="369"/>
        <item x="196"/>
        <item x="121"/>
        <item x="342"/>
        <item x="308"/>
        <item x="329"/>
        <item x="113"/>
        <item x="59"/>
        <item x="279"/>
        <item x="145"/>
        <item x="40"/>
        <item x="22"/>
        <item x="115"/>
        <item x="247"/>
        <item x="123"/>
        <item x="344"/>
        <item x="345"/>
        <item x="7"/>
        <item x="312"/>
        <item x="216"/>
        <item x="128"/>
        <item x="225"/>
        <item x="198"/>
        <item x="199"/>
        <item x="243"/>
        <item x="358"/>
        <item x="185"/>
        <item x="352"/>
        <item x="42"/>
        <item x="35"/>
        <item x="116"/>
        <item x="18"/>
        <item x="214"/>
        <item x="83"/>
        <item x="189"/>
        <item x="48"/>
        <item x="208"/>
        <item x="226"/>
        <item x="11"/>
        <item x="209"/>
        <item x="14"/>
        <item x="106"/>
        <item x="4"/>
        <item x="178"/>
        <item x="202"/>
        <item x="141"/>
        <item x="253"/>
        <item x="283"/>
        <item x="87"/>
        <item x="266"/>
        <item x="220"/>
        <item x="306"/>
        <item x="9"/>
        <item x="79"/>
        <item x="349"/>
        <item x="366"/>
        <item x="110"/>
        <item x="338"/>
        <item x="161"/>
        <item x="224"/>
        <item x="173"/>
        <item x="108"/>
        <item x="16"/>
        <item x="119"/>
        <item x="146"/>
        <item x="155"/>
        <item x="36"/>
        <item x="44"/>
        <item x="104"/>
        <item x="234"/>
        <item x="310"/>
        <item x="218"/>
        <item x="37"/>
        <item x="301"/>
        <item x="273"/>
        <item x="227"/>
        <item x="324"/>
        <item x="157"/>
        <item x="28"/>
        <item x="20"/>
        <item x="322"/>
        <item x="117"/>
        <item x="182"/>
        <item x="193"/>
        <item x="287"/>
        <item x="206"/>
        <item x="320"/>
        <item x="245"/>
        <item x="238"/>
        <item x="340"/>
        <item x="89"/>
        <item x="316"/>
        <item x="167"/>
        <item x="355"/>
        <item x="230"/>
        <item x="150"/>
        <item x="69"/>
        <item x="212"/>
        <item x="285"/>
        <item x="260"/>
        <item x="326"/>
        <item x="126"/>
        <item x="256"/>
        <item x="360"/>
        <item x="169"/>
        <item x="65"/>
        <item x="293"/>
        <item x="46"/>
        <item x="163"/>
        <item x="250"/>
        <item x="176"/>
        <item x="356"/>
        <item x="221"/>
        <item x="148"/>
        <item x="99"/>
        <item x="61"/>
        <item x="95"/>
        <item x="138"/>
        <item x="25"/>
        <item x="271"/>
        <item x="232"/>
        <item x="165"/>
        <item x="364"/>
        <item x="67"/>
        <item x="190"/>
        <item x="63"/>
        <item x="132"/>
        <item x="335"/>
        <item x="23"/>
        <item x="130"/>
        <item x="152"/>
        <item x="295"/>
        <item x="375"/>
        <item x="180"/>
        <item x="0"/>
        <item x="162"/>
        <item x="380"/>
        <item t="default"/>
      </items>
    </pivotField>
    <pivotField showAll="0"/>
    <pivotField showAll="0"/>
    <pivotField dataField="1" showAll="0"/>
    <pivotField dataField="1" numFmtId="43" showAll="0"/>
    <pivotField dataField="1" numFmtId="43" showAll="0"/>
    <pivotField dataField="1" showAll="0"/>
  </pivotFields>
  <rowFields count="1">
    <field x="2"/>
  </rowFields>
  <rowItems count="2"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item="37" hier="-1"/>
  </pageFields>
  <dataFields count="4">
    <dataField name=" % PARTICIPACIÓN" fld="5" baseField="2" baseItem="85" numFmtId="166"/>
    <dataField name=" VALOR CUOTA" fld="6" baseField="0" baseItem="0" numFmtId="43"/>
    <dataField name="S/. AGUA CONSUMO " fld="7" baseField="0" baseItem="0" numFmtId="43"/>
    <dataField name=" SUMA" fld="8" baseField="0" baseItem="0"/>
  </dataFields>
  <formats count="4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" type="button" dataOnly="0" labelOnly="1" outline="0" axis="axisRow" fieldPosition="0"/>
    </format>
    <format dxfId="42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1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0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9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8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7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6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5">
      <pivotArea dataOnly="0" labelOnly="1" fieldPosition="0">
        <references count="1">
          <reference field="2" count="3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" type="button" dataOnly="0" labelOnly="1" outline="0" axis="axisRow" fieldPosition="0"/>
    </format>
    <format dxfId="29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7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26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25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24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23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22">
      <pivotArea dataOnly="0" labelOnly="1" fieldPosition="0">
        <references count="1">
          <reference field="2" count="3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</reference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4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3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2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1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0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9">
      <pivotArea dataOnly="0" labelOnly="1" fieldPosition="0">
        <references count="1">
          <reference field="2" count="3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9">
            <x v="91"/>
            <x v="222"/>
            <x v="227"/>
            <x v="230"/>
            <x v="238"/>
            <x v="241"/>
            <x v="273"/>
            <x v="310"/>
            <x v="316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B281A-87A1-468F-9E3B-B6B696DE36A2}" name="TablaDinámica4" cacheId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fechas">
  <location ref="D41:E43" firstHeaderRow="1" firstDataRow="1" firstDataCol="1" rowPageCount="1" colPageCount="1"/>
  <pivotFields count="7">
    <pivotField axis="axisRow" numFmtId="14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dataField="1" numFmtId="43" showAll="0"/>
    <pivotField showAll="0"/>
    <pivotField showAll="0"/>
    <pivotField axis="axisPage" showAll="0">
      <items count="157">
        <item x="63"/>
        <item x="84"/>
        <item x="40"/>
        <item x="98"/>
        <item x="137"/>
        <item x="142"/>
        <item x="118"/>
        <item x="117"/>
        <item x="38"/>
        <item x="75"/>
        <item x="72"/>
        <item x="28"/>
        <item x="129"/>
        <item x="46"/>
        <item x="45"/>
        <item x="44"/>
        <item x="82"/>
        <item x="31"/>
        <item x="21"/>
        <item x="105"/>
        <item x="8"/>
        <item m="1" x="155"/>
        <item x="73"/>
        <item x="80"/>
        <item x="81"/>
        <item x="18"/>
        <item x="67"/>
        <item x="24"/>
        <item x="128"/>
        <item x="100"/>
        <item m="1" x="149"/>
        <item x="37"/>
        <item x="23"/>
        <item x="102"/>
        <item x="77"/>
        <item x="86"/>
        <item x="88"/>
        <item x="139"/>
        <item x="34"/>
        <item x="6"/>
        <item x="96"/>
        <item x="49"/>
        <item x="111"/>
        <item x="92"/>
        <item x="116"/>
        <item x="127"/>
        <item x="43"/>
        <item x="148"/>
        <item x="62"/>
        <item m="1" x="152"/>
        <item x="13"/>
        <item x="125"/>
        <item x="143"/>
        <item x="76"/>
        <item x="60"/>
        <item x="78"/>
        <item x="136"/>
        <item x="27"/>
        <item x="65"/>
        <item x="95"/>
        <item x="52"/>
        <item x="9"/>
        <item x="5"/>
        <item x="122"/>
        <item x="121"/>
        <item x="101"/>
        <item x="22"/>
        <item m="1" x="154"/>
        <item x="147"/>
        <item x="71"/>
        <item x="10"/>
        <item x="91"/>
        <item x="90"/>
        <item x="134"/>
        <item x="57"/>
        <item x="120"/>
        <item x="108"/>
        <item x="3"/>
        <item x="41"/>
        <item x="104"/>
        <item x="29"/>
        <item x="93"/>
        <item x="42"/>
        <item x="26"/>
        <item x="135"/>
        <item x="85"/>
        <item x="146"/>
        <item x="32"/>
        <item x="47"/>
        <item x="66"/>
        <item m="1" x="151"/>
        <item x="74"/>
        <item x="48"/>
        <item x="141"/>
        <item x="123"/>
        <item x="17"/>
        <item x="126"/>
        <item x="131"/>
        <item x="4"/>
        <item x="110"/>
        <item x="114"/>
        <item x="132"/>
        <item x="58"/>
        <item x="12"/>
        <item x="39"/>
        <item x="119"/>
        <item x="55"/>
        <item x="138"/>
        <item x="68"/>
        <item x="99"/>
        <item x="106"/>
        <item x="69"/>
        <item x="50"/>
        <item x="15"/>
        <item x="19"/>
        <item x="103"/>
        <item x="35"/>
        <item x="115"/>
        <item x="107"/>
        <item x="144"/>
        <item x="53"/>
        <item x="36"/>
        <item x="14"/>
        <item x="113"/>
        <item x="89"/>
        <item x="25"/>
        <item x="56"/>
        <item x="83"/>
        <item x="124"/>
        <item x="51"/>
        <item x="109"/>
        <item x="2"/>
        <item x="33"/>
        <item x="79"/>
        <item m="1" x="153"/>
        <item m="1" x="150"/>
        <item x="59"/>
        <item x="7"/>
        <item x="64"/>
        <item x="16"/>
        <item x="97"/>
        <item x="145"/>
        <item x="20"/>
        <item x="87"/>
        <item x="11"/>
        <item x="61"/>
        <item x="112"/>
        <item x="133"/>
        <item x="30"/>
        <item x="54"/>
        <item x="70"/>
        <item x="94"/>
        <item x="130"/>
        <item x="1"/>
        <item x="0"/>
        <item x="140"/>
        <item t="default"/>
      </items>
    </pivotField>
    <pivotField showAll="0"/>
  </pivotFields>
  <rowFields count="1">
    <field x="0"/>
  </rowFields>
  <rowItems count="2">
    <i>
      <x v="6"/>
    </i>
    <i t="grand">
      <x/>
    </i>
  </rowItems>
  <colItems count="1">
    <i/>
  </colItems>
  <pageFields count="1">
    <pageField fld="5" item="27" hier="-1"/>
  </pageFields>
  <dataFields count="1">
    <dataField name="Montos" fld="2" baseField="0" baseItem="0" numFmtId="43"/>
  </dataFields>
  <formats count="12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0" count="1">
            <x v="0"/>
          </reference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1">
            <x v="0"/>
          </reference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5-11-12T04:35:15.24" personId="{65D10A53-13B3-4FB4-B57F-3E70BF33B528}" id="{47EEC453-7C20-42E0-817F-4AC55BA363FD}">
    <text>AJUSTE DE 700 X 3MESES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B9143-51F1-4C95-A9E7-C1061D2E82E7}">
  <sheetPr codeName="Hoja1">
    <pageSetUpPr fitToPage="1"/>
  </sheetPr>
  <dimension ref="A1:A20"/>
  <sheetViews>
    <sheetView showGridLines="0" workbookViewId="0"/>
  </sheetViews>
  <sheetFormatPr baseColWidth="10" defaultRowHeight="15" x14ac:dyDescent="0.25"/>
  <cols>
    <col min="1" max="1" width="25.140625" customWidth="1"/>
  </cols>
  <sheetData>
    <row r="1" spans="1:1" x14ac:dyDescent="0.25">
      <c r="A1" s="79" t="s">
        <v>847</v>
      </c>
    </row>
    <row r="2" spans="1:1" x14ac:dyDescent="0.25">
      <c r="A2" s="2" t="s">
        <v>616</v>
      </c>
    </row>
    <row r="3" spans="1:1" x14ac:dyDescent="0.25">
      <c r="A3" s="2" t="s">
        <v>854</v>
      </c>
    </row>
    <row r="4" spans="1:1" x14ac:dyDescent="0.25">
      <c r="A4" s="2" t="s">
        <v>855</v>
      </c>
    </row>
    <row r="5" spans="1:1" x14ac:dyDescent="0.25">
      <c r="A5" s="2" t="s">
        <v>856</v>
      </c>
    </row>
    <row r="6" spans="1:1" x14ac:dyDescent="0.25">
      <c r="A6" s="2" t="s">
        <v>857</v>
      </c>
    </row>
    <row r="7" spans="1:1" x14ac:dyDescent="0.25">
      <c r="A7" s="2" t="s">
        <v>858</v>
      </c>
    </row>
    <row r="8" spans="1:1" x14ac:dyDescent="0.25">
      <c r="A8" s="2" t="s">
        <v>859</v>
      </c>
    </row>
    <row r="9" spans="1:1" x14ac:dyDescent="0.25">
      <c r="A9" s="2" t="s">
        <v>860</v>
      </c>
    </row>
    <row r="10" spans="1:1" x14ac:dyDescent="0.25">
      <c r="A10" s="2" t="s">
        <v>861</v>
      </c>
    </row>
    <row r="11" spans="1:1" x14ac:dyDescent="0.25">
      <c r="A11" s="2" t="s">
        <v>862</v>
      </c>
    </row>
    <row r="12" spans="1:1" x14ac:dyDescent="0.25">
      <c r="A12" s="2" t="s">
        <v>863</v>
      </c>
    </row>
    <row r="13" spans="1:1" x14ac:dyDescent="0.25">
      <c r="A13" s="2" t="s">
        <v>864</v>
      </c>
    </row>
    <row r="14" spans="1:1" x14ac:dyDescent="0.25">
      <c r="A14" s="2" t="s">
        <v>848</v>
      </c>
    </row>
    <row r="15" spans="1:1" x14ac:dyDescent="0.25">
      <c r="A15" s="2" t="s">
        <v>849</v>
      </c>
    </row>
    <row r="16" spans="1:1" x14ac:dyDescent="0.25">
      <c r="A16" s="2" t="s">
        <v>850</v>
      </c>
    </row>
    <row r="17" spans="1:1" x14ac:dyDescent="0.25">
      <c r="A17" s="2" t="s">
        <v>851</v>
      </c>
    </row>
    <row r="18" spans="1:1" x14ac:dyDescent="0.25">
      <c r="A18" s="2" t="s">
        <v>852</v>
      </c>
    </row>
    <row r="19" spans="1:1" x14ac:dyDescent="0.25">
      <c r="A19" s="2" t="s">
        <v>1241</v>
      </c>
    </row>
    <row r="20" spans="1:1" x14ac:dyDescent="0.25">
      <c r="A20" s="2" t="s">
        <v>853</v>
      </c>
    </row>
  </sheetData>
  <phoneticPr fontId="19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B424-582D-48B3-8526-11722BD5BCBE}">
  <sheetPr codeName="Hoja2"/>
  <dimension ref="B2:C5"/>
  <sheetViews>
    <sheetView workbookViewId="0"/>
  </sheetViews>
  <sheetFormatPr baseColWidth="10" defaultRowHeight="15" x14ac:dyDescent="0.25"/>
  <cols>
    <col min="2" max="2" width="30.140625" customWidth="1"/>
  </cols>
  <sheetData>
    <row r="2" spans="2:3" x14ac:dyDescent="0.25">
      <c r="B2" t="s">
        <v>635</v>
      </c>
      <c r="C2" s="28">
        <v>60116</v>
      </c>
    </row>
    <row r="3" spans="2:3" x14ac:dyDescent="0.25">
      <c r="C3" s="29"/>
    </row>
    <row r="4" spans="2:3" ht="17.25" x14ac:dyDescent="0.4">
      <c r="B4" t="s">
        <v>636</v>
      </c>
      <c r="C4" s="30">
        <f>5908.3-1200</f>
        <v>4708.3</v>
      </c>
    </row>
    <row r="5" spans="2:3" x14ac:dyDescent="0.25">
      <c r="C5" s="28">
        <f>SUM(C2:C4)</f>
        <v>64824.3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0912-0C61-40BE-86B2-A226848CE497}">
  <sheetPr codeName="Hoja3">
    <pageSetUpPr fitToPage="1"/>
  </sheetPr>
  <dimension ref="A1:AD204"/>
  <sheetViews>
    <sheetView showGridLines="0" zoomScaleNormal="100" workbookViewId="0">
      <pane xSplit="1" ySplit="7" topLeftCell="B8" activePane="bottomRight" state="frozen"/>
      <selection pane="topRight" activeCell="C1" sqref="C1"/>
      <selection pane="bottomLeft" activeCell="A3" sqref="A3"/>
      <selection pane="bottomRight" activeCell="B8" sqref="B8"/>
    </sheetView>
  </sheetViews>
  <sheetFormatPr baseColWidth="10" defaultRowHeight="15" x14ac:dyDescent="0.25"/>
  <cols>
    <col min="2" max="5" width="11.42578125" customWidth="1"/>
    <col min="7" max="7" width="10.85546875" customWidth="1"/>
    <col min="8" max="8" width="11.42578125" style="29"/>
    <col min="9" max="9" width="13.140625" customWidth="1"/>
    <col min="11" max="11" width="11.42578125" style="31"/>
    <col min="12" max="12" width="11.42578125" customWidth="1"/>
    <col min="13" max="14" width="11" customWidth="1"/>
    <col min="15" max="18" width="11.42578125" customWidth="1"/>
    <col min="19" max="19" width="11.42578125" style="33" customWidth="1"/>
    <col min="20" max="20" width="11.42578125" style="34" customWidth="1"/>
    <col min="21" max="24" width="11.42578125" customWidth="1"/>
    <col min="25" max="26" width="11.42578125" style="34" customWidth="1"/>
    <col min="27" max="29" width="11.42578125" customWidth="1"/>
  </cols>
  <sheetData>
    <row r="1" spans="1:30" x14ac:dyDescent="0.25">
      <c r="H1" s="29" t="s">
        <v>637</v>
      </c>
      <c r="I1" s="29">
        <v>4713.3999999999996</v>
      </c>
      <c r="L1" s="32">
        <v>4636.5</v>
      </c>
      <c r="O1" s="32">
        <v>5266.7</v>
      </c>
      <c r="R1" s="32">
        <v>2972.3999999999996</v>
      </c>
      <c r="U1" s="32">
        <v>3793.1000000000004</v>
      </c>
      <c r="V1" s="32"/>
      <c r="W1" s="32"/>
      <c r="X1" s="32">
        <v>3876.3999999999996</v>
      </c>
      <c r="AA1" s="32">
        <v>4708.3</v>
      </c>
    </row>
    <row r="2" spans="1:30" x14ac:dyDescent="0.25">
      <c r="H2" t="s">
        <v>638</v>
      </c>
      <c r="I2" s="35">
        <f>$G$203</f>
        <v>1262.2289999999998</v>
      </c>
      <c r="J2" t="s">
        <v>639</v>
      </c>
      <c r="L2" s="36">
        <f>J203</f>
        <v>1115.9609999999998</v>
      </c>
      <c r="M2" t="s">
        <v>639</v>
      </c>
      <c r="O2" s="36">
        <f>M203</f>
        <v>824.77900000000022</v>
      </c>
      <c r="P2" t="s">
        <v>639</v>
      </c>
      <c r="R2" s="36">
        <f>P203</f>
        <v>1035.538</v>
      </c>
      <c r="U2" s="36">
        <f>S203</f>
        <v>1272.95</v>
      </c>
      <c r="V2" s="36"/>
      <c r="W2" s="36"/>
      <c r="X2" s="36">
        <f>V203</f>
        <v>1302.895</v>
      </c>
      <c r="AA2" s="36">
        <f>Y203</f>
        <v>1519.337</v>
      </c>
    </row>
    <row r="3" spans="1:30" x14ac:dyDescent="0.25">
      <c r="H3" s="29" t="s">
        <v>640</v>
      </c>
      <c r="I3" s="37">
        <f>ROUND(I1/I2,4)</f>
        <v>3.7342</v>
      </c>
      <c r="L3" s="37">
        <f>ROUND(L1/L2,4)</f>
        <v>4.1547000000000001</v>
      </c>
      <c r="O3" s="37">
        <f>ROUND(O1/O2,4)</f>
        <v>6.3856000000000002</v>
      </c>
      <c r="R3" s="37">
        <f>ROUND(R1/R2,4)</f>
        <v>2.8704000000000001</v>
      </c>
      <c r="T3" s="38"/>
      <c r="U3" s="37">
        <f>ROUND(U1/U2,4)</f>
        <v>2.9798</v>
      </c>
      <c r="V3" s="39"/>
      <c r="W3" s="39"/>
      <c r="X3" s="37">
        <f>ROUND(X1/X2,4)</f>
        <v>2.9752000000000001</v>
      </c>
      <c r="AA3" s="37">
        <f>ROUND(AA1/AA2,4)</f>
        <v>3.0989</v>
      </c>
    </row>
    <row r="4" spans="1:30" ht="15.75" x14ac:dyDescent="0.25">
      <c r="A4" s="40" t="s">
        <v>641</v>
      </c>
      <c r="I4" s="37"/>
      <c r="L4" s="37"/>
      <c r="O4" s="37"/>
      <c r="R4" s="37"/>
      <c r="T4" s="38"/>
      <c r="U4" s="37"/>
      <c r="V4" s="39"/>
      <c r="W4" s="39"/>
      <c r="X4" s="39"/>
    </row>
    <row r="5" spans="1:30" ht="21" x14ac:dyDescent="0.35">
      <c r="A5" s="41" t="s">
        <v>642</v>
      </c>
      <c r="I5" s="37"/>
      <c r="L5" s="37"/>
      <c r="O5" s="37"/>
      <c r="R5" s="37"/>
      <c r="T5" s="38"/>
      <c r="U5" s="37"/>
      <c r="V5" s="39"/>
      <c r="W5" s="39"/>
      <c r="X5" s="39"/>
    </row>
    <row r="7" spans="1:30" s="51" customFormat="1" ht="43.5" customHeight="1" x14ac:dyDescent="0.25">
      <c r="A7" s="3" t="s">
        <v>643</v>
      </c>
      <c r="B7" s="42" t="s">
        <v>644</v>
      </c>
      <c r="C7" s="43" t="s">
        <v>645</v>
      </c>
      <c r="D7" s="42" t="s">
        <v>646</v>
      </c>
      <c r="E7" s="43" t="s">
        <v>645</v>
      </c>
      <c r="F7" s="44" t="s">
        <v>647</v>
      </c>
      <c r="G7" s="43" t="s">
        <v>645</v>
      </c>
      <c r="H7" s="45" t="s">
        <v>648</v>
      </c>
      <c r="I7" s="46" t="s">
        <v>649</v>
      </c>
      <c r="J7" s="47" t="s">
        <v>645</v>
      </c>
      <c r="K7" s="3" t="s">
        <v>650</v>
      </c>
      <c r="L7" s="46" t="s">
        <v>649</v>
      </c>
      <c r="M7" s="47" t="s">
        <v>645</v>
      </c>
      <c r="N7" s="3" t="s">
        <v>651</v>
      </c>
      <c r="O7" s="46" t="s">
        <v>649</v>
      </c>
      <c r="P7" s="47" t="s">
        <v>645</v>
      </c>
      <c r="Q7" s="3" t="s">
        <v>652</v>
      </c>
      <c r="R7" s="46" t="s">
        <v>649</v>
      </c>
      <c r="S7" s="47" t="s">
        <v>645</v>
      </c>
      <c r="T7" s="48" t="s">
        <v>653</v>
      </c>
      <c r="U7" s="46" t="s">
        <v>649</v>
      </c>
      <c r="V7" s="47" t="s">
        <v>645</v>
      </c>
      <c r="W7" s="49">
        <v>46023</v>
      </c>
      <c r="X7" s="50" t="s">
        <v>649</v>
      </c>
      <c r="Y7" s="47" t="s">
        <v>645</v>
      </c>
      <c r="Z7" s="49">
        <v>46054</v>
      </c>
      <c r="AA7" s="50" t="s">
        <v>649</v>
      </c>
      <c r="AB7"/>
      <c r="AC7" s="4"/>
    </row>
    <row r="8" spans="1:30" x14ac:dyDescent="0.25">
      <c r="A8" s="7" t="s">
        <v>43</v>
      </c>
      <c r="B8" s="52">
        <v>800</v>
      </c>
      <c r="C8" s="52">
        <f>D8-B8</f>
        <v>21</v>
      </c>
      <c r="D8" s="52">
        <v>821</v>
      </c>
      <c r="E8" s="52">
        <f>F8-D8</f>
        <v>22</v>
      </c>
      <c r="F8" s="52">
        <v>843</v>
      </c>
      <c r="G8" s="52">
        <f>H8-F8</f>
        <v>27</v>
      </c>
      <c r="H8" s="53">
        <v>870</v>
      </c>
      <c r="I8" s="54">
        <f>ROUND(G8*$I$3,2)</f>
        <v>100.82</v>
      </c>
      <c r="J8" s="52">
        <f>K8-H8</f>
        <v>23</v>
      </c>
      <c r="K8" s="53">
        <v>893</v>
      </c>
      <c r="L8" s="54">
        <f>ROUND(J8*$L$3,2)</f>
        <v>95.56</v>
      </c>
      <c r="M8" s="52">
        <f>N8-K8</f>
        <v>18</v>
      </c>
      <c r="N8" s="53">
        <v>911</v>
      </c>
      <c r="O8" s="54">
        <f>ROUND(M8*$O$3,2)</f>
        <v>114.94</v>
      </c>
      <c r="P8" s="52">
        <f>Q8-N8</f>
        <v>19</v>
      </c>
      <c r="Q8" s="53">
        <v>930</v>
      </c>
      <c r="R8" s="54">
        <f>ROUND(P8*$R$3,2)</f>
        <v>54.54</v>
      </c>
      <c r="S8" s="55">
        <f>+T8-Q8</f>
        <v>22</v>
      </c>
      <c r="T8" s="53">
        <v>952</v>
      </c>
      <c r="U8" s="54">
        <f>ROUND(S8*$U$3,2)</f>
        <v>65.56</v>
      </c>
      <c r="V8" s="55">
        <f>+W8-T8</f>
        <v>24</v>
      </c>
      <c r="W8" s="56">
        <v>976</v>
      </c>
      <c r="X8" s="54">
        <f>V8*$X$3</f>
        <v>71.404799999999994</v>
      </c>
      <c r="Y8" s="81">
        <f>+Z8-W8</f>
        <v>23</v>
      </c>
      <c r="Z8" s="81">
        <v>999</v>
      </c>
      <c r="AA8" s="54">
        <f>ROUND(Y8*$AA$3,2)</f>
        <v>71.27</v>
      </c>
      <c r="AD8" s="36"/>
    </row>
    <row r="9" spans="1:30" x14ac:dyDescent="0.25">
      <c r="A9" s="7" t="s">
        <v>328</v>
      </c>
      <c r="B9" s="52">
        <v>287</v>
      </c>
      <c r="C9" s="52">
        <f t="shared" ref="C9:C72" si="0">D9-B9</f>
        <v>7</v>
      </c>
      <c r="D9" s="52">
        <v>294</v>
      </c>
      <c r="E9" s="52">
        <f t="shared" ref="E9:E72" si="1">F9-D9</f>
        <v>4</v>
      </c>
      <c r="F9" s="52">
        <v>298</v>
      </c>
      <c r="G9" s="52">
        <f t="shared" ref="G9:G72" si="2">H9-F9</f>
        <v>7</v>
      </c>
      <c r="H9" s="53">
        <v>305</v>
      </c>
      <c r="I9" s="54">
        <f t="shared" ref="I9:I72" si="3">ROUND(G9*$I$3,2)</f>
        <v>26.14</v>
      </c>
      <c r="J9" s="52">
        <f t="shared" ref="J9:J72" si="4">K9-H9</f>
        <v>4</v>
      </c>
      <c r="K9" s="53">
        <v>309</v>
      </c>
      <c r="L9" s="54">
        <f t="shared" ref="L9:L72" si="5">ROUND(J9*$L$3,2)</f>
        <v>16.62</v>
      </c>
      <c r="M9" s="52">
        <f t="shared" ref="M9:M72" si="6">N9-K9</f>
        <v>3</v>
      </c>
      <c r="N9" s="53">
        <v>312</v>
      </c>
      <c r="O9" s="54">
        <f t="shared" ref="O9:O72" si="7">ROUND(M9*$O$3,2)</f>
        <v>19.16</v>
      </c>
      <c r="P9" s="52">
        <f t="shared" ref="P9:P72" si="8">Q9-N9</f>
        <v>3</v>
      </c>
      <c r="Q9" s="53">
        <v>315</v>
      </c>
      <c r="R9" s="54">
        <f t="shared" ref="R9:R72" si="9">ROUND(P9*$R$3,2)</f>
        <v>8.61</v>
      </c>
      <c r="S9" s="55">
        <f t="shared" ref="S9:S72" si="10">+T9-Q9</f>
        <v>2</v>
      </c>
      <c r="T9" s="53">
        <v>317</v>
      </c>
      <c r="U9" s="54">
        <f t="shared" ref="U9:U72" si="11">ROUND(S9*$U$3,2)</f>
        <v>5.96</v>
      </c>
      <c r="V9" s="55">
        <f t="shared" ref="V9:V72" si="12">+W9-T9</f>
        <v>2</v>
      </c>
      <c r="W9" s="56">
        <v>319</v>
      </c>
      <c r="X9" s="54">
        <f t="shared" ref="X9:X72" si="13">V9*$X$3</f>
        <v>5.9504000000000001</v>
      </c>
      <c r="Y9" s="81">
        <f t="shared" ref="Y9:Y72" si="14">+Z9-W9</f>
        <v>4</v>
      </c>
      <c r="Z9" s="81">
        <v>323</v>
      </c>
      <c r="AA9" s="54">
        <f t="shared" ref="AA9:AA72" si="15">ROUND(Y9*$AA$3,2)</f>
        <v>12.4</v>
      </c>
    </row>
    <row r="10" spans="1:30" x14ac:dyDescent="0.25">
      <c r="A10" s="7" t="s">
        <v>535</v>
      </c>
      <c r="B10" s="52">
        <v>51</v>
      </c>
      <c r="C10" s="52">
        <f t="shared" si="0"/>
        <v>0</v>
      </c>
      <c r="D10" s="52">
        <v>51</v>
      </c>
      <c r="E10" s="52">
        <f t="shared" si="1"/>
        <v>0</v>
      </c>
      <c r="F10" s="52">
        <v>51</v>
      </c>
      <c r="G10" s="52">
        <f t="shared" si="2"/>
        <v>0</v>
      </c>
      <c r="H10" s="53">
        <v>51</v>
      </c>
      <c r="I10" s="54">
        <f t="shared" si="3"/>
        <v>0</v>
      </c>
      <c r="J10" s="52">
        <f t="shared" si="4"/>
        <v>0</v>
      </c>
      <c r="K10" s="53">
        <v>51</v>
      </c>
      <c r="L10" s="54">
        <f t="shared" si="5"/>
        <v>0</v>
      </c>
      <c r="M10" s="52">
        <f t="shared" si="6"/>
        <v>0</v>
      </c>
      <c r="N10" s="53">
        <v>51</v>
      </c>
      <c r="O10" s="54">
        <f t="shared" si="7"/>
        <v>0</v>
      </c>
      <c r="P10" s="52">
        <f t="shared" si="8"/>
        <v>0</v>
      </c>
      <c r="Q10" s="53">
        <v>51</v>
      </c>
      <c r="R10" s="54">
        <f t="shared" si="9"/>
        <v>0</v>
      </c>
      <c r="S10" s="55">
        <f t="shared" si="10"/>
        <v>0</v>
      </c>
      <c r="T10" s="53">
        <v>51</v>
      </c>
      <c r="U10" s="54">
        <f t="shared" si="11"/>
        <v>0</v>
      </c>
      <c r="V10" s="55">
        <f t="shared" si="12"/>
        <v>0</v>
      </c>
      <c r="W10" s="56">
        <v>51</v>
      </c>
      <c r="X10" s="54">
        <f t="shared" si="13"/>
        <v>0</v>
      </c>
      <c r="Y10" s="81">
        <f t="shared" si="14"/>
        <v>0</v>
      </c>
      <c r="Z10" s="81">
        <v>51</v>
      </c>
      <c r="AA10" s="54">
        <f t="shared" si="15"/>
        <v>0</v>
      </c>
    </row>
    <row r="11" spans="1:30" x14ac:dyDescent="0.25">
      <c r="A11" s="7" t="s">
        <v>127</v>
      </c>
      <c r="B11" s="52">
        <v>327</v>
      </c>
      <c r="C11" s="52">
        <f t="shared" si="0"/>
        <v>5</v>
      </c>
      <c r="D11" s="52">
        <v>332</v>
      </c>
      <c r="E11" s="52">
        <f t="shared" si="1"/>
        <v>6</v>
      </c>
      <c r="F11" s="52">
        <v>338</v>
      </c>
      <c r="G11" s="52">
        <f t="shared" si="2"/>
        <v>7</v>
      </c>
      <c r="H11" s="53">
        <v>345</v>
      </c>
      <c r="I11" s="54">
        <f t="shared" si="3"/>
        <v>26.14</v>
      </c>
      <c r="J11" s="52">
        <f t="shared" si="4"/>
        <v>5</v>
      </c>
      <c r="K11" s="53">
        <v>350</v>
      </c>
      <c r="L11" s="54">
        <f t="shared" si="5"/>
        <v>20.77</v>
      </c>
      <c r="M11" s="52">
        <f t="shared" si="6"/>
        <v>5</v>
      </c>
      <c r="N11" s="53">
        <v>355</v>
      </c>
      <c r="O11" s="54">
        <f t="shared" si="7"/>
        <v>31.93</v>
      </c>
      <c r="P11" s="52">
        <f t="shared" si="8"/>
        <v>9</v>
      </c>
      <c r="Q11" s="53">
        <v>364</v>
      </c>
      <c r="R11" s="54">
        <f t="shared" si="9"/>
        <v>25.83</v>
      </c>
      <c r="S11" s="55">
        <f t="shared" si="10"/>
        <v>8</v>
      </c>
      <c r="T11" s="53">
        <v>372</v>
      </c>
      <c r="U11" s="54">
        <f t="shared" si="11"/>
        <v>23.84</v>
      </c>
      <c r="V11" s="55">
        <f t="shared" si="12"/>
        <v>12</v>
      </c>
      <c r="W11" s="56">
        <v>384</v>
      </c>
      <c r="X11" s="54">
        <f t="shared" si="13"/>
        <v>35.702399999999997</v>
      </c>
      <c r="Y11" s="81">
        <f t="shared" si="14"/>
        <v>12</v>
      </c>
      <c r="Z11" s="81">
        <v>396</v>
      </c>
      <c r="AA11" s="54">
        <f t="shared" si="15"/>
        <v>37.19</v>
      </c>
    </row>
    <row r="12" spans="1:30" x14ac:dyDescent="0.25">
      <c r="A12" s="7" t="s">
        <v>133</v>
      </c>
      <c r="B12" s="52">
        <v>532</v>
      </c>
      <c r="C12" s="52">
        <f t="shared" si="0"/>
        <v>10</v>
      </c>
      <c r="D12" s="52">
        <v>542</v>
      </c>
      <c r="E12" s="52">
        <f t="shared" si="1"/>
        <v>12</v>
      </c>
      <c r="F12" s="52">
        <v>554</v>
      </c>
      <c r="G12" s="52">
        <f t="shared" si="2"/>
        <v>8</v>
      </c>
      <c r="H12" s="53">
        <v>562</v>
      </c>
      <c r="I12" s="54">
        <f t="shared" si="3"/>
        <v>29.87</v>
      </c>
      <c r="J12" s="52">
        <f t="shared" si="4"/>
        <v>13</v>
      </c>
      <c r="K12" s="53">
        <v>575</v>
      </c>
      <c r="L12" s="54">
        <f t="shared" si="5"/>
        <v>54.01</v>
      </c>
      <c r="M12" s="52">
        <f t="shared" si="6"/>
        <v>10</v>
      </c>
      <c r="N12" s="53">
        <v>585</v>
      </c>
      <c r="O12" s="54">
        <f t="shared" si="7"/>
        <v>63.86</v>
      </c>
      <c r="P12" s="52">
        <f t="shared" si="8"/>
        <v>14</v>
      </c>
      <c r="Q12" s="53">
        <v>599</v>
      </c>
      <c r="R12" s="54">
        <f t="shared" si="9"/>
        <v>40.19</v>
      </c>
      <c r="S12" s="55">
        <f t="shared" si="10"/>
        <v>13</v>
      </c>
      <c r="T12" s="53">
        <v>612</v>
      </c>
      <c r="U12" s="54">
        <f t="shared" si="11"/>
        <v>38.74</v>
      </c>
      <c r="V12" s="55">
        <f t="shared" si="12"/>
        <v>22</v>
      </c>
      <c r="W12" s="56">
        <v>634</v>
      </c>
      <c r="X12" s="54">
        <f t="shared" si="13"/>
        <v>65.454400000000007</v>
      </c>
      <c r="Y12" s="81">
        <f t="shared" si="14"/>
        <v>14</v>
      </c>
      <c r="Z12" s="81">
        <v>648</v>
      </c>
      <c r="AA12" s="54">
        <f t="shared" si="15"/>
        <v>43.38</v>
      </c>
    </row>
    <row r="13" spans="1:30" x14ac:dyDescent="0.25">
      <c r="A13" s="7" t="s">
        <v>595</v>
      </c>
      <c r="B13" s="52">
        <v>396</v>
      </c>
      <c r="C13" s="52">
        <f t="shared" si="0"/>
        <v>0</v>
      </c>
      <c r="D13" s="52">
        <v>396</v>
      </c>
      <c r="E13" s="52">
        <f t="shared" si="1"/>
        <v>0</v>
      </c>
      <c r="F13" s="52">
        <v>396</v>
      </c>
      <c r="G13" s="52">
        <f t="shared" si="2"/>
        <v>1</v>
      </c>
      <c r="H13" s="53">
        <v>397</v>
      </c>
      <c r="I13" s="54">
        <f t="shared" si="3"/>
        <v>3.73</v>
      </c>
      <c r="J13" s="52">
        <f t="shared" si="4"/>
        <v>2</v>
      </c>
      <c r="K13" s="53">
        <v>399</v>
      </c>
      <c r="L13" s="54">
        <f t="shared" si="5"/>
        <v>8.31</v>
      </c>
      <c r="M13" s="52">
        <f t="shared" si="6"/>
        <v>5</v>
      </c>
      <c r="N13" s="53">
        <v>404</v>
      </c>
      <c r="O13" s="54">
        <f t="shared" si="7"/>
        <v>31.93</v>
      </c>
      <c r="P13" s="52">
        <f t="shared" si="8"/>
        <v>8</v>
      </c>
      <c r="Q13" s="53">
        <v>412</v>
      </c>
      <c r="R13" s="54">
        <f t="shared" si="9"/>
        <v>22.96</v>
      </c>
      <c r="S13" s="55">
        <f t="shared" si="10"/>
        <v>9</v>
      </c>
      <c r="T13" s="53">
        <v>421</v>
      </c>
      <c r="U13" s="54">
        <f t="shared" si="11"/>
        <v>26.82</v>
      </c>
      <c r="V13" s="55">
        <f t="shared" si="12"/>
        <v>8</v>
      </c>
      <c r="W13" s="56">
        <v>429</v>
      </c>
      <c r="X13" s="54">
        <f t="shared" si="13"/>
        <v>23.801600000000001</v>
      </c>
      <c r="Y13" s="81">
        <f t="shared" si="14"/>
        <v>9</v>
      </c>
      <c r="Z13" s="81">
        <v>438</v>
      </c>
      <c r="AA13" s="54">
        <f t="shared" si="15"/>
        <v>27.89</v>
      </c>
    </row>
    <row r="14" spans="1:30" x14ac:dyDescent="0.25">
      <c r="A14" s="7" t="s">
        <v>514</v>
      </c>
      <c r="B14" s="52">
        <v>25</v>
      </c>
      <c r="C14" s="52">
        <f t="shared" si="0"/>
        <v>0</v>
      </c>
      <c r="D14" s="52">
        <v>25</v>
      </c>
      <c r="E14" s="52">
        <f t="shared" si="1"/>
        <v>1</v>
      </c>
      <c r="F14" s="52">
        <v>26</v>
      </c>
      <c r="G14" s="52">
        <f t="shared" si="2"/>
        <v>0</v>
      </c>
      <c r="H14" s="53">
        <v>26</v>
      </c>
      <c r="I14" s="54">
        <f t="shared" si="3"/>
        <v>0</v>
      </c>
      <c r="J14" s="52">
        <f t="shared" si="4"/>
        <v>0</v>
      </c>
      <c r="K14" s="57">
        <v>26</v>
      </c>
      <c r="L14" s="54">
        <f t="shared" si="5"/>
        <v>0</v>
      </c>
      <c r="M14" s="52">
        <f t="shared" si="6"/>
        <v>1</v>
      </c>
      <c r="N14" s="57">
        <v>27</v>
      </c>
      <c r="O14" s="54">
        <f t="shared" si="7"/>
        <v>6.39</v>
      </c>
      <c r="P14" s="52">
        <f t="shared" si="8"/>
        <v>1</v>
      </c>
      <c r="Q14" s="57">
        <v>28</v>
      </c>
      <c r="R14" s="54">
        <f t="shared" si="9"/>
        <v>2.87</v>
      </c>
      <c r="S14" s="55">
        <f t="shared" si="10"/>
        <v>0</v>
      </c>
      <c r="T14" s="53">
        <v>28</v>
      </c>
      <c r="U14" s="54">
        <f t="shared" si="11"/>
        <v>0</v>
      </c>
      <c r="V14" s="55">
        <f t="shared" si="12"/>
        <v>1</v>
      </c>
      <c r="W14" s="56">
        <v>29</v>
      </c>
      <c r="X14" s="54">
        <f t="shared" si="13"/>
        <v>2.9752000000000001</v>
      </c>
      <c r="Y14" s="81">
        <f t="shared" si="14"/>
        <v>0</v>
      </c>
      <c r="Z14" s="81">
        <v>29</v>
      </c>
      <c r="AA14" s="54">
        <f t="shared" si="15"/>
        <v>0</v>
      </c>
    </row>
    <row r="15" spans="1:30" x14ac:dyDescent="0.25">
      <c r="A15" s="7" t="s">
        <v>430</v>
      </c>
      <c r="B15" s="52">
        <v>128</v>
      </c>
      <c r="C15" s="52">
        <f t="shared" si="0"/>
        <v>8</v>
      </c>
      <c r="D15" s="52">
        <v>136</v>
      </c>
      <c r="E15" s="52">
        <f t="shared" si="1"/>
        <v>6</v>
      </c>
      <c r="F15" s="52">
        <v>142</v>
      </c>
      <c r="G15" s="52">
        <f t="shared" si="2"/>
        <v>11</v>
      </c>
      <c r="H15" s="53">
        <v>153</v>
      </c>
      <c r="I15" s="54">
        <f t="shared" si="3"/>
        <v>41.08</v>
      </c>
      <c r="J15" s="52">
        <f t="shared" si="4"/>
        <v>8</v>
      </c>
      <c r="K15" s="53">
        <v>161</v>
      </c>
      <c r="L15" s="54">
        <f t="shared" si="5"/>
        <v>33.24</v>
      </c>
      <c r="M15" s="52">
        <f t="shared" si="6"/>
        <v>4</v>
      </c>
      <c r="N15" s="53">
        <v>165</v>
      </c>
      <c r="O15" s="54">
        <f t="shared" si="7"/>
        <v>25.54</v>
      </c>
      <c r="P15" s="52">
        <f t="shared" si="8"/>
        <v>6</v>
      </c>
      <c r="Q15" s="53">
        <v>171</v>
      </c>
      <c r="R15" s="54">
        <f t="shared" si="9"/>
        <v>17.22</v>
      </c>
      <c r="S15" s="55">
        <f t="shared" si="10"/>
        <v>9</v>
      </c>
      <c r="T15" s="53">
        <v>180</v>
      </c>
      <c r="U15" s="54">
        <f t="shared" si="11"/>
        <v>26.82</v>
      </c>
      <c r="V15" s="55">
        <f t="shared" si="12"/>
        <v>11</v>
      </c>
      <c r="W15" s="56">
        <v>191</v>
      </c>
      <c r="X15" s="54">
        <f t="shared" si="13"/>
        <v>32.727200000000003</v>
      </c>
      <c r="Y15" s="81">
        <f t="shared" si="14"/>
        <v>9</v>
      </c>
      <c r="Z15" s="81">
        <v>200</v>
      </c>
      <c r="AA15" s="54">
        <f t="shared" si="15"/>
        <v>27.89</v>
      </c>
    </row>
    <row r="16" spans="1:30" x14ac:dyDescent="0.25">
      <c r="A16" s="7" t="s">
        <v>115</v>
      </c>
      <c r="B16" s="52">
        <v>95</v>
      </c>
      <c r="C16" s="52">
        <f t="shared" si="0"/>
        <v>6</v>
      </c>
      <c r="D16" s="52">
        <v>101</v>
      </c>
      <c r="E16" s="52">
        <f t="shared" si="1"/>
        <v>4</v>
      </c>
      <c r="F16" s="52">
        <v>105</v>
      </c>
      <c r="G16" s="52">
        <f t="shared" si="2"/>
        <v>6</v>
      </c>
      <c r="H16" s="53">
        <v>111</v>
      </c>
      <c r="I16" s="54">
        <f t="shared" si="3"/>
        <v>22.41</v>
      </c>
      <c r="J16" s="52">
        <f t="shared" si="4"/>
        <v>3</v>
      </c>
      <c r="K16" s="53">
        <v>114</v>
      </c>
      <c r="L16" s="54">
        <f t="shared" si="5"/>
        <v>12.46</v>
      </c>
      <c r="M16" s="52">
        <f t="shared" si="6"/>
        <v>4</v>
      </c>
      <c r="N16" s="53">
        <v>118</v>
      </c>
      <c r="O16" s="54">
        <f t="shared" si="7"/>
        <v>25.54</v>
      </c>
      <c r="P16" s="52">
        <f t="shared" si="8"/>
        <v>4</v>
      </c>
      <c r="Q16" s="53">
        <v>122</v>
      </c>
      <c r="R16" s="54">
        <f t="shared" si="9"/>
        <v>11.48</v>
      </c>
      <c r="S16" s="55">
        <f t="shared" si="10"/>
        <v>5</v>
      </c>
      <c r="T16" s="53">
        <v>127</v>
      </c>
      <c r="U16" s="54">
        <f t="shared" si="11"/>
        <v>14.9</v>
      </c>
      <c r="V16" s="55">
        <f t="shared" si="12"/>
        <v>6</v>
      </c>
      <c r="W16" s="56">
        <v>133</v>
      </c>
      <c r="X16" s="54">
        <f t="shared" si="13"/>
        <v>17.851199999999999</v>
      </c>
      <c r="Y16" s="81">
        <f t="shared" si="14"/>
        <v>7</v>
      </c>
      <c r="Z16" s="81">
        <v>140</v>
      </c>
      <c r="AA16" s="54">
        <f t="shared" si="15"/>
        <v>21.69</v>
      </c>
    </row>
    <row r="17" spans="1:29" x14ac:dyDescent="0.25">
      <c r="A17" s="7" t="s">
        <v>550</v>
      </c>
      <c r="B17" s="52">
        <v>234</v>
      </c>
      <c r="C17" s="52">
        <f t="shared" si="0"/>
        <v>4</v>
      </c>
      <c r="D17" s="52">
        <v>238</v>
      </c>
      <c r="E17" s="52">
        <f t="shared" si="1"/>
        <v>4</v>
      </c>
      <c r="F17" s="52">
        <v>242</v>
      </c>
      <c r="G17" s="52">
        <f t="shared" si="2"/>
        <v>8</v>
      </c>
      <c r="H17" s="53">
        <v>250</v>
      </c>
      <c r="I17" s="54">
        <f t="shared" si="3"/>
        <v>29.87</v>
      </c>
      <c r="J17" s="52">
        <f t="shared" si="4"/>
        <v>3</v>
      </c>
      <c r="K17" s="53">
        <v>253</v>
      </c>
      <c r="L17" s="54">
        <f t="shared" si="5"/>
        <v>12.46</v>
      </c>
      <c r="M17" s="52">
        <f t="shared" si="6"/>
        <v>4</v>
      </c>
      <c r="N17" s="53">
        <v>257</v>
      </c>
      <c r="O17" s="54">
        <f t="shared" si="7"/>
        <v>25.54</v>
      </c>
      <c r="P17" s="52">
        <f t="shared" si="8"/>
        <v>8</v>
      </c>
      <c r="Q17" s="53">
        <v>265</v>
      </c>
      <c r="R17" s="54">
        <f t="shared" si="9"/>
        <v>22.96</v>
      </c>
      <c r="S17" s="55">
        <f t="shared" si="10"/>
        <v>55</v>
      </c>
      <c r="T17" s="53">
        <v>320</v>
      </c>
      <c r="U17" s="54">
        <f t="shared" si="11"/>
        <v>163.89</v>
      </c>
      <c r="V17" s="55">
        <f t="shared" si="12"/>
        <v>29</v>
      </c>
      <c r="W17" s="56">
        <v>349</v>
      </c>
      <c r="X17" s="54">
        <f t="shared" si="13"/>
        <v>86.280799999999999</v>
      </c>
      <c r="Y17" s="81">
        <f t="shared" si="14"/>
        <v>34</v>
      </c>
      <c r="Z17" s="81">
        <v>383</v>
      </c>
      <c r="AA17" s="54">
        <f t="shared" si="15"/>
        <v>105.36</v>
      </c>
      <c r="AC17" s="58" t="s">
        <v>654</v>
      </c>
    </row>
    <row r="18" spans="1:29" x14ac:dyDescent="0.25">
      <c r="A18" s="7" t="s">
        <v>442</v>
      </c>
      <c r="B18" s="52">
        <v>145</v>
      </c>
      <c r="C18" s="52">
        <f t="shared" si="0"/>
        <v>4</v>
      </c>
      <c r="D18" s="52">
        <v>149</v>
      </c>
      <c r="E18" s="52">
        <f t="shared" si="1"/>
        <v>5</v>
      </c>
      <c r="F18" s="52">
        <v>154</v>
      </c>
      <c r="G18" s="52">
        <f t="shared" si="2"/>
        <v>7</v>
      </c>
      <c r="H18" s="53">
        <v>161</v>
      </c>
      <c r="I18" s="54">
        <f t="shared" si="3"/>
        <v>26.14</v>
      </c>
      <c r="J18" s="52">
        <f t="shared" si="4"/>
        <v>5</v>
      </c>
      <c r="K18" s="53">
        <v>166</v>
      </c>
      <c r="L18" s="54">
        <f t="shared" si="5"/>
        <v>20.77</v>
      </c>
      <c r="M18" s="52">
        <f t="shared" si="6"/>
        <v>4</v>
      </c>
      <c r="N18" s="53">
        <v>170</v>
      </c>
      <c r="O18" s="54">
        <f t="shared" si="7"/>
        <v>25.54</v>
      </c>
      <c r="P18" s="52">
        <f t="shared" si="8"/>
        <v>4</v>
      </c>
      <c r="Q18" s="53">
        <v>174</v>
      </c>
      <c r="R18" s="54">
        <f t="shared" si="9"/>
        <v>11.48</v>
      </c>
      <c r="S18" s="55">
        <f t="shared" si="10"/>
        <v>6</v>
      </c>
      <c r="T18" s="53">
        <v>180</v>
      </c>
      <c r="U18" s="54">
        <f t="shared" si="11"/>
        <v>17.88</v>
      </c>
      <c r="V18" s="55">
        <f t="shared" si="12"/>
        <v>5</v>
      </c>
      <c r="W18" s="56">
        <v>185</v>
      </c>
      <c r="X18" s="54">
        <f t="shared" si="13"/>
        <v>14.876000000000001</v>
      </c>
      <c r="Y18" s="81">
        <f t="shared" si="14"/>
        <v>7</v>
      </c>
      <c r="Z18" s="81">
        <v>192</v>
      </c>
      <c r="AA18" s="54">
        <f t="shared" si="15"/>
        <v>21.69</v>
      </c>
    </row>
    <row r="19" spans="1:29" x14ac:dyDescent="0.25">
      <c r="A19" s="7" t="s">
        <v>139</v>
      </c>
      <c r="B19" s="52">
        <v>157</v>
      </c>
      <c r="C19" s="52">
        <f t="shared" si="0"/>
        <v>8</v>
      </c>
      <c r="D19" s="52">
        <v>165</v>
      </c>
      <c r="E19" s="52">
        <f t="shared" si="1"/>
        <v>7</v>
      </c>
      <c r="F19" s="52">
        <v>172</v>
      </c>
      <c r="G19" s="52">
        <f t="shared" si="2"/>
        <v>7</v>
      </c>
      <c r="H19" s="53">
        <v>179</v>
      </c>
      <c r="I19" s="54">
        <f t="shared" si="3"/>
        <v>26.14</v>
      </c>
      <c r="J19" s="52">
        <f t="shared" si="4"/>
        <v>7</v>
      </c>
      <c r="K19" s="53">
        <v>186</v>
      </c>
      <c r="L19" s="54">
        <f t="shared" si="5"/>
        <v>29.08</v>
      </c>
      <c r="M19" s="52">
        <f t="shared" si="6"/>
        <v>5</v>
      </c>
      <c r="N19" s="53">
        <v>191</v>
      </c>
      <c r="O19" s="54">
        <f t="shared" si="7"/>
        <v>31.93</v>
      </c>
      <c r="P19" s="52">
        <f t="shared" si="8"/>
        <v>3</v>
      </c>
      <c r="Q19" s="53">
        <v>194</v>
      </c>
      <c r="R19" s="54">
        <f t="shared" si="9"/>
        <v>8.61</v>
      </c>
      <c r="S19" s="55">
        <f t="shared" si="10"/>
        <v>8</v>
      </c>
      <c r="T19" s="53">
        <v>202</v>
      </c>
      <c r="U19" s="54">
        <f t="shared" si="11"/>
        <v>23.84</v>
      </c>
      <c r="V19" s="55">
        <f t="shared" si="12"/>
        <v>9</v>
      </c>
      <c r="W19" s="56">
        <v>211</v>
      </c>
      <c r="X19" s="54">
        <f t="shared" si="13"/>
        <v>26.776800000000001</v>
      </c>
      <c r="Y19" s="81">
        <f t="shared" si="14"/>
        <v>10</v>
      </c>
      <c r="Z19" s="81">
        <v>221</v>
      </c>
      <c r="AA19" s="54">
        <f t="shared" si="15"/>
        <v>30.99</v>
      </c>
    </row>
    <row r="20" spans="1:29" x14ac:dyDescent="0.25">
      <c r="A20" s="7" t="s">
        <v>466</v>
      </c>
      <c r="B20" s="52">
        <v>131</v>
      </c>
      <c r="C20" s="52">
        <f t="shared" si="0"/>
        <v>4</v>
      </c>
      <c r="D20" s="52">
        <v>135</v>
      </c>
      <c r="E20" s="52">
        <f t="shared" si="1"/>
        <v>4</v>
      </c>
      <c r="F20" s="52">
        <v>139</v>
      </c>
      <c r="G20" s="52">
        <f t="shared" si="2"/>
        <v>7</v>
      </c>
      <c r="H20" s="53">
        <v>146</v>
      </c>
      <c r="I20" s="54">
        <f t="shared" si="3"/>
        <v>26.14</v>
      </c>
      <c r="J20" s="52">
        <f t="shared" si="4"/>
        <v>5</v>
      </c>
      <c r="K20" s="53">
        <v>151</v>
      </c>
      <c r="L20" s="54">
        <f t="shared" si="5"/>
        <v>20.77</v>
      </c>
      <c r="M20" s="52">
        <f t="shared" si="6"/>
        <v>3</v>
      </c>
      <c r="N20" s="53">
        <v>154</v>
      </c>
      <c r="O20" s="54">
        <f t="shared" si="7"/>
        <v>19.16</v>
      </c>
      <c r="P20" s="52">
        <f t="shared" si="8"/>
        <v>2</v>
      </c>
      <c r="Q20" s="53">
        <v>156</v>
      </c>
      <c r="R20" s="54">
        <f t="shared" si="9"/>
        <v>5.74</v>
      </c>
      <c r="S20" s="55">
        <f t="shared" si="10"/>
        <v>0</v>
      </c>
      <c r="T20" s="53">
        <v>156</v>
      </c>
      <c r="U20" s="54">
        <f t="shared" si="11"/>
        <v>0</v>
      </c>
      <c r="V20" s="55">
        <f t="shared" si="12"/>
        <v>1</v>
      </c>
      <c r="W20" s="56">
        <v>157</v>
      </c>
      <c r="X20" s="54">
        <f t="shared" si="13"/>
        <v>2.9752000000000001</v>
      </c>
      <c r="Y20" s="81">
        <f t="shared" si="14"/>
        <v>1</v>
      </c>
      <c r="Z20" s="81">
        <v>158</v>
      </c>
      <c r="AA20" s="54">
        <f t="shared" si="15"/>
        <v>3.1</v>
      </c>
    </row>
    <row r="21" spans="1:29" x14ac:dyDescent="0.25">
      <c r="A21" s="7" t="s">
        <v>436</v>
      </c>
      <c r="B21" s="52">
        <v>196</v>
      </c>
      <c r="C21" s="52">
        <f t="shared" si="0"/>
        <v>4</v>
      </c>
      <c r="D21" s="52">
        <v>200</v>
      </c>
      <c r="E21" s="52">
        <f t="shared" si="1"/>
        <v>4</v>
      </c>
      <c r="F21" s="52">
        <v>204</v>
      </c>
      <c r="G21" s="52">
        <f t="shared" si="2"/>
        <v>5</v>
      </c>
      <c r="H21" s="53">
        <v>209</v>
      </c>
      <c r="I21" s="54">
        <f t="shared" si="3"/>
        <v>18.670000000000002</v>
      </c>
      <c r="J21" s="52">
        <f t="shared" si="4"/>
        <v>4</v>
      </c>
      <c r="K21" s="53">
        <v>213</v>
      </c>
      <c r="L21" s="54">
        <f t="shared" si="5"/>
        <v>16.62</v>
      </c>
      <c r="M21" s="52">
        <f t="shared" si="6"/>
        <v>3</v>
      </c>
      <c r="N21" s="53">
        <v>216</v>
      </c>
      <c r="O21" s="54">
        <f t="shared" si="7"/>
        <v>19.16</v>
      </c>
      <c r="P21" s="52">
        <f t="shared" si="8"/>
        <v>5</v>
      </c>
      <c r="Q21" s="53">
        <v>221</v>
      </c>
      <c r="R21" s="54">
        <f t="shared" si="9"/>
        <v>14.35</v>
      </c>
      <c r="S21" s="55">
        <f t="shared" si="10"/>
        <v>0</v>
      </c>
      <c r="T21" s="53">
        <v>221</v>
      </c>
      <c r="U21" s="54">
        <f t="shared" si="11"/>
        <v>0</v>
      </c>
      <c r="V21" s="55">
        <f t="shared" si="12"/>
        <v>7</v>
      </c>
      <c r="W21" s="56">
        <v>228</v>
      </c>
      <c r="X21" s="54">
        <f t="shared" si="13"/>
        <v>20.8264</v>
      </c>
      <c r="Y21" s="81">
        <f t="shared" si="14"/>
        <v>9</v>
      </c>
      <c r="Z21" s="81">
        <v>237</v>
      </c>
      <c r="AA21" s="54">
        <f t="shared" si="15"/>
        <v>27.89</v>
      </c>
    </row>
    <row r="22" spans="1:29" x14ac:dyDescent="0.25">
      <c r="A22" s="7" t="s">
        <v>349</v>
      </c>
      <c r="B22" s="52">
        <v>258</v>
      </c>
      <c r="C22" s="52">
        <f t="shared" si="0"/>
        <v>9</v>
      </c>
      <c r="D22" s="52">
        <v>267</v>
      </c>
      <c r="E22" s="52">
        <f t="shared" si="1"/>
        <v>9</v>
      </c>
      <c r="F22" s="52">
        <v>276</v>
      </c>
      <c r="G22" s="52">
        <f t="shared" si="2"/>
        <v>5</v>
      </c>
      <c r="H22" s="53">
        <v>281</v>
      </c>
      <c r="I22" s="54">
        <f t="shared" si="3"/>
        <v>18.670000000000002</v>
      </c>
      <c r="J22" s="52">
        <f t="shared" si="4"/>
        <v>12</v>
      </c>
      <c r="K22" s="53">
        <v>293</v>
      </c>
      <c r="L22" s="54">
        <f t="shared" si="5"/>
        <v>49.86</v>
      </c>
      <c r="M22" s="52">
        <f t="shared" si="6"/>
        <v>5</v>
      </c>
      <c r="N22" s="53">
        <v>298</v>
      </c>
      <c r="O22" s="54">
        <f t="shared" si="7"/>
        <v>31.93</v>
      </c>
      <c r="P22" s="52">
        <f t="shared" si="8"/>
        <v>8</v>
      </c>
      <c r="Q22" s="53">
        <v>306</v>
      </c>
      <c r="R22" s="54">
        <f t="shared" si="9"/>
        <v>22.96</v>
      </c>
      <c r="S22" s="55">
        <f t="shared" si="10"/>
        <v>10</v>
      </c>
      <c r="T22" s="53">
        <v>316</v>
      </c>
      <c r="U22" s="54">
        <f t="shared" si="11"/>
        <v>29.8</v>
      </c>
      <c r="V22" s="55">
        <f t="shared" si="12"/>
        <v>9</v>
      </c>
      <c r="W22" s="56">
        <v>325</v>
      </c>
      <c r="X22" s="54">
        <f t="shared" si="13"/>
        <v>26.776800000000001</v>
      </c>
      <c r="Y22" s="81">
        <f t="shared" si="14"/>
        <v>13</v>
      </c>
      <c r="Z22" s="81">
        <v>338</v>
      </c>
      <c r="AA22" s="54">
        <f t="shared" si="15"/>
        <v>40.29</v>
      </c>
    </row>
    <row r="23" spans="1:29" x14ac:dyDescent="0.25">
      <c r="A23" s="7" t="s">
        <v>223</v>
      </c>
      <c r="B23" s="52">
        <v>14</v>
      </c>
      <c r="C23" s="52">
        <f t="shared" si="0"/>
        <v>1</v>
      </c>
      <c r="D23" s="52">
        <v>15</v>
      </c>
      <c r="E23" s="52">
        <f t="shared" si="1"/>
        <v>1</v>
      </c>
      <c r="F23" s="52">
        <v>16</v>
      </c>
      <c r="G23" s="52">
        <f t="shared" si="2"/>
        <v>0</v>
      </c>
      <c r="H23" s="53">
        <v>16</v>
      </c>
      <c r="I23" s="54">
        <f t="shared" si="3"/>
        <v>0</v>
      </c>
      <c r="J23" s="52">
        <f t="shared" si="4"/>
        <v>1</v>
      </c>
      <c r="K23" s="53">
        <v>17</v>
      </c>
      <c r="L23" s="54">
        <f t="shared" si="5"/>
        <v>4.1500000000000004</v>
      </c>
      <c r="M23" s="52">
        <f t="shared" si="6"/>
        <v>0</v>
      </c>
      <c r="N23" s="53">
        <v>17</v>
      </c>
      <c r="O23" s="54">
        <f t="shared" si="7"/>
        <v>0</v>
      </c>
      <c r="P23" s="52">
        <f t="shared" si="8"/>
        <v>1</v>
      </c>
      <c r="Q23" s="53">
        <v>18</v>
      </c>
      <c r="R23" s="54">
        <f t="shared" si="9"/>
        <v>2.87</v>
      </c>
      <c r="S23" s="55">
        <f t="shared" si="10"/>
        <v>1</v>
      </c>
      <c r="T23" s="53">
        <v>19</v>
      </c>
      <c r="U23" s="54">
        <f t="shared" si="11"/>
        <v>2.98</v>
      </c>
      <c r="V23" s="55">
        <f t="shared" si="12"/>
        <v>0</v>
      </c>
      <c r="W23" s="56">
        <v>19</v>
      </c>
      <c r="X23" s="54">
        <f t="shared" si="13"/>
        <v>0</v>
      </c>
      <c r="Y23" s="81">
        <f t="shared" si="14"/>
        <v>1</v>
      </c>
      <c r="Z23" s="81">
        <v>20</v>
      </c>
      <c r="AA23" s="54">
        <f t="shared" si="15"/>
        <v>3.1</v>
      </c>
    </row>
    <row r="24" spans="1:29" x14ac:dyDescent="0.25">
      <c r="A24" s="7" t="s">
        <v>388</v>
      </c>
      <c r="B24" s="52">
        <v>332.49</v>
      </c>
      <c r="C24" s="52">
        <f t="shared" si="0"/>
        <v>16.860000000000014</v>
      </c>
      <c r="D24" s="52">
        <v>349.35</v>
      </c>
      <c r="E24" s="52">
        <f t="shared" si="1"/>
        <v>18.17999999999995</v>
      </c>
      <c r="F24" s="52">
        <v>367.53</v>
      </c>
      <c r="G24" s="52">
        <f t="shared" si="2"/>
        <v>15.545000000000016</v>
      </c>
      <c r="H24" s="53">
        <v>383.07499999999999</v>
      </c>
      <c r="I24" s="54">
        <f t="shared" si="3"/>
        <v>58.05</v>
      </c>
      <c r="J24" s="52">
        <f t="shared" si="4"/>
        <v>16.925000000000011</v>
      </c>
      <c r="K24" s="53">
        <v>400</v>
      </c>
      <c r="L24" s="54">
        <f t="shared" si="5"/>
        <v>70.319999999999993</v>
      </c>
      <c r="M24" s="52">
        <f t="shared" si="6"/>
        <v>13.081999999999994</v>
      </c>
      <c r="N24" s="53">
        <v>413.08199999999999</v>
      </c>
      <c r="O24" s="54">
        <f t="shared" si="7"/>
        <v>83.54</v>
      </c>
      <c r="P24" s="52">
        <f t="shared" si="8"/>
        <v>14.925999999999988</v>
      </c>
      <c r="Q24" s="53">
        <v>428.00799999999998</v>
      </c>
      <c r="R24" s="54">
        <f t="shared" si="9"/>
        <v>42.84</v>
      </c>
      <c r="S24" s="55">
        <f t="shared" si="10"/>
        <v>3.5670000000000073</v>
      </c>
      <c r="T24" s="53">
        <v>431.57499999999999</v>
      </c>
      <c r="U24" s="54">
        <f t="shared" si="11"/>
        <v>10.63</v>
      </c>
      <c r="V24" s="55">
        <f t="shared" si="12"/>
        <v>8.4250000000000114</v>
      </c>
      <c r="W24" s="56">
        <v>440</v>
      </c>
      <c r="X24" s="54">
        <f t="shared" si="13"/>
        <v>25.066060000000036</v>
      </c>
      <c r="Y24" s="81">
        <f t="shared" si="14"/>
        <v>12</v>
      </c>
      <c r="Z24" s="81">
        <v>452</v>
      </c>
      <c r="AA24" s="54">
        <f t="shared" si="15"/>
        <v>37.19</v>
      </c>
    </row>
    <row r="25" spans="1:29" x14ac:dyDescent="0.25">
      <c r="A25" s="7" t="s">
        <v>562</v>
      </c>
      <c r="B25" s="52">
        <v>72</v>
      </c>
      <c r="C25" s="52">
        <f t="shared" si="0"/>
        <v>1</v>
      </c>
      <c r="D25" s="52">
        <v>73</v>
      </c>
      <c r="E25" s="52">
        <f t="shared" si="1"/>
        <v>1</v>
      </c>
      <c r="F25" s="52">
        <v>74</v>
      </c>
      <c r="G25" s="52">
        <f t="shared" si="2"/>
        <v>2</v>
      </c>
      <c r="H25" s="53">
        <v>76</v>
      </c>
      <c r="I25" s="54">
        <f t="shared" si="3"/>
        <v>7.47</v>
      </c>
      <c r="J25" s="52">
        <f t="shared" si="4"/>
        <v>1</v>
      </c>
      <c r="K25" s="53">
        <v>77</v>
      </c>
      <c r="L25" s="54">
        <f t="shared" si="5"/>
        <v>4.1500000000000004</v>
      </c>
      <c r="M25" s="52">
        <f t="shared" si="6"/>
        <v>0</v>
      </c>
      <c r="N25" s="53">
        <v>77</v>
      </c>
      <c r="O25" s="54">
        <f t="shared" si="7"/>
        <v>0</v>
      </c>
      <c r="P25" s="52">
        <f t="shared" si="8"/>
        <v>1</v>
      </c>
      <c r="Q25" s="53">
        <v>78</v>
      </c>
      <c r="R25" s="54">
        <f t="shared" si="9"/>
        <v>2.87</v>
      </c>
      <c r="S25" s="55">
        <f t="shared" si="10"/>
        <v>0</v>
      </c>
      <c r="T25" s="53">
        <v>78</v>
      </c>
      <c r="U25" s="54">
        <f t="shared" si="11"/>
        <v>0</v>
      </c>
      <c r="V25" s="55">
        <f t="shared" si="12"/>
        <v>0</v>
      </c>
      <c r="W25" s="56">
        <v>78</v>
      </c>
      <c r="X25" s="54">
        <f t="shared" si="13"/>
        <v>0</v>
      </c>
      <c r="Y25" s="81">
        <f t="shared" si="14"/>
        <v>1</v>
      </c>
      <c r="Z25" s="81">
        <v>79</v>
      </c>
      <c r="AA25" s="54">
        <f t="shared" si="15"/>
        <v>3.1</v>
      </c>
    </row>
    <row r="26" spans="1:29" x14ac:dyDescent="0.25">
      <c r="A26" s="7" t="s">
        <v>217</v>
      </c>
      <c r="B26" s="52">
        <v>12</v>
      </c>
      <c r="C26" s="52">
        <f t="shared" si="0"/>
        <v>6</v>
      </c>
      <c r="D26" s="52">
        <v>18</v>
      </c>
      <c r="E26" s="52">
        <f t="shared" si="1"/>
        <v>4</v>
      </c>
      <c r="F26" s="52">
        <v>22</v>
      </c>
      <c r="G26" s="52">
        <f t="shared" si="2"/>
        <v>5</v>
      </c>
      <c r="H26" s="53">
        <v>27</v>
      </c>
      <c r="I26" s="54">
        <f t="shared" si="3"/>
        <v>18.670000000000002</v>
      </c>
      <c r="J26" s="52">
        <f t="shared" si="4"/>
        <v>5</v>
      </c>
      <c r="K26" s="53">
        <v>32</v>
      </c>
      <c r="L26" s="54">
        <f t="shared" si="5"/>
        <v>20.77</v>
      </c>
      <c r="M26" s="52">
        <f t="shared" si="6"/>
        <v>5</v>
      </c>
      <c r="N26" s="53">
        <v>37</v>
      </c>
      <c r="O26" s="54">
        <f t="shared" si="7"/>
        <v>31.93</v>
      </c>
      <c r="P26" s="52">
        <f t="shared" si="8"/>
        <v>9</v>
      </c>
      <c r="Q26" s="53">
        <v>46</v>
      </c>
      <c r="R26" s="54">
        <f t="shared" si="9"/>
        <v>25.83</v>
      </c>
      <c r="S26" s="55">
        <f t="shared" si="10"/>
        <v>12</v>
      </c>
      <c r="T26" s="53">
        <v>58</v>
      </c>
      <c r="U26" s="54">
        <f t="shared" si="11"/>
        <v>35.76</v>
      </c>
      <c r="V26" s="55">
        <f t="shared" si="12"/>
        <v>11</v>
      </c>
      <c r="W26" s="56">
        <v>69</v>
      </c>
      <c r="X26" s="54">
        <f t="shared" si="13"/>
        <v>32.727200000000003</v>
      </c>
      <c r="Y26" s="81">
        <f t="shared" si="14"/>
        <v>11</v>
      </c>
      <c r="Z26" s="81">
        <v>80</v>
      </c>
      <c r="AA26" s="54">
        <f t="shared" si="15"/>
        <v>34.090000000000003</v>
      </c>
    </row>
    <row r="27" spans="1:29" x14ac:dyDescent="0.25">
      <c r="A27" s="7" t="s">
        <v>580</v>
      </c>
      <c r="B27" s="52">
        <v>58</v>
      </c>
      <c r="C27" s="52">
        <f t="shared" si="0"/>
        <v>0</v>
      </c>
      <c r="D27" s="52">
        <v>58</v>
      </c>
      <c r="E27" s="52">
        <f t="shared" si="1"/>
        <v>0</v>
      </c>
      <c r="F27" s="52">
        <v>58</v>
      </c>
      <c r="G27" s="52">
        <f t="shared" si="2"/>
        <v>3</v>
      </c>
      <c r="H27" s="53">
        <v>61</v>
      </c>
      <c r="I27" s="54">
        <f t="shared" si="3"/>
        <v>11.2</v>
      </c>
      <c r="J27" s="52">
        <f t="shared" si="4"/>
        <v>0</v>
      </c>
      <c r="K27" s="53">
        <v>61</v>
      </c>
      <c r="L27" s="54">
        <f t="shared" si="5"/>
        <v>0</v>
      </c>
      <c r="M27" s="52">
        <f t="shared" si="6"/>
        <v>0</v>
      </c>
      <c r="N27" s="53">
        <v>61</v>
      </c>
      <c r="O27" s="54">
        <f t="shared" si="7"/>
        <v>0</v>
      </c>
      <c r="P27" s="52">
        <f t="shared" si="8"/>
        <v>1</v>
      </c>
      <c r="Q27" s="53">
        <v>62</v>
      </c>
      <c r="R27" s="54">
        <f t="shared" si="9"/>
        <v>2.87</v>
      </c>
      <c r="S27" s="55">
        <f t="shared" si="10"/>
        <v>0</v>
      </c>
      <c r="T27" s="53">
        <v>62</v>
      </c>
      <c r="U27" s="54">
        <f t="shared" si="11"/>
        <v>0</v>
      </c>
      <c r="V27" s="55">
        <f t="shared" si="12"/>
        <v>1</v>
      </c>
      <c r="W27" s="56">
        <v>63</v>
      </c>
      <c r="X27" s="54">
        <f t="shared" si="13"/>
        <v>2.9752000000000001</v>
      </c>
      <c r="Y27" s="81">
        <f t="shared" si="14"/>
        <v>1</v>
      </c>
      <c r="Z27" s="81">
        <v>64</v>
      </c>
      <c r="AA27" s="54">
        <f t="shared" si="15"/>
        <v>3.1</v>
      </c>
    </row>
    <row r="28" spans="1:29" x14ac:dyDescent="0.25">
      <c r="A28" s="7" t="s">
        <v>145</v>
      </c>
      <c r="B28" s="52">
        <v>434</v>
      </c>
      <c r="C28" s="52">
        <f t="shared" si="0"/>
        <v>13</v>
      </c>
      <c r="D28" s="52">
        <v>447</v>
      </c>
      <c r="E28" s="52">
        <f t="shared" si="1"/>
        <v>13</v>
      </c>
      <c r="F28" s="52">
        <v>460</v>
      </c>
      <c r="G28" s="52">
        <f t="shared" si="2"/>
        <v>13</v>
      </c>
      <c r="H28" s="53">
        <v>473</v>
      </c>
      <c r="I28" s="54">
        <f t="shared" si="3"/>
        <v>48.54</v>
      </c>
      <c r="J28" s="52">
        <f t="shared" si="4"/>
        <v>12</v>
      </c>
      <c r="K28" s="53">
        <v>485</v>
      </c>
      <c r="L28" s="54">
        <f t="shared" si="5"/>
        <v>49.86</v>
      </c>
      <c r="M28" s="52">
        <f t="shared" si="6"/>
        <v>7</v>
      </c>
      <c r="N28" s="53">
        <v>492</v>
      </c>
      <c r="O28" s="54">
        <f t="shared" si="7"/>
        <v>44.7</v>
      </c>
      <c r="P28" s="52">
        <f t="shared" si="8"/>
        <v>6</v>
      </c>
      <c r="Q28" s="53">
        <v>498</v>
      </c>
      <c r="R28" s="54">
        <f t="shared" si="9"/>
        <v>17.22</v>
      </c>
      <c r="S28" s="55">
        <f t="shared" si="10"/>
        <v>2</v>
      </c>
      <c r="T28" s="53">
        <v>500</v>
      </c>
      <c r="U28" s="54">
        <f t="shared" si="11"/>
        <v>5.96</v>
      </c>
      <c r="V28" s="55">
        <f t="shared" si="12"/>
        <v>4</v>
      </c>
      <c r="W28" s="56">
        <v>504</v>
      </c>
      <c r="X28" s="54">
        <f t="shared" si="13"/>
        <v>11.9008</v>
      </c>
      <c r="Y28" s="81">
        <f t="shared" si="14"/>
        <v>9</v>
      </c>
      <c r="Z28" s="81">
        <v>513</v>
      </c>
      <c r="AA28" s="54">
        <f t="shared" si="15"/>
        <v>27.89</v>
      </c>
    </row>
    <row r="29" spans="1:29" x14ac:dyDescent="0.25">
      <c r="A29" s="7" t="s">
        <v>655</v>
      </c>
      <c r="B29" s="52">
        <v>60.11</v>
      </c>
      <c r="C29" s="52">
        <f t="shared" si="0"/>
        <v>4.2800000000000011</v>
      </c>
      <c r="D29" s="52">
        <v>64.39</v>
      </c>
      <c r="E29" s="52">
        <f t="shared" si="1"/>
        <v>4.769999999999996</v>
      </c>
      <c r="F29" s="52">
        <v>69.16</v>
      </c>
      <c r="G29" s="52">
        <f t="shared" si="2"/>
        <v>5.7349999999999994</v>
      </c>
      <c r="H29" s="53">
        <v>74.894999999999996</v>
      </c>
      <c r="I29" s="54">
        <f t="shared" si="3"/>
        <v>21.42</v>
      </c>
      <c r="J29" s="52">
        <f t="shared" si="4"/>
        <v>2.5810000000000031</v>
      </c>
      <c r="K29" s="53">
        <v>77.475999999999999</v>
      </c>
      <c r="L29" s="54">
        <f t="shared" si="5"/>
        <v>10.72</v>
      </c>
      <c r="M29" s="52">
        <f t="shared" si="6"/>
        <v>2.9350000000000023</v>
      </c>
      <c r="N29" s="53">
        <v>80.411000000000001</v>
      </c>
      <c r="O29" s="54">
        <f t="shared" si="7"/>
        <v>18.739999999999998</v>
      </c>
      <c r="P29" s="52">
        <f t="shared" si="8"/>
        <v>4.5889999999999986</v>
      </c>
      <c r="Q29" s="53">
        <v>85</v>
      </c>
      <c r="R29" s="54">
        <f t="shared" si="9"/>
        <v>13.17</v>
      </c>
      <c r="S29" s="55">
        <f t="shared" si="10"/>
        <v>5.0480000000000018</v>
      </c>
      <c r="T29" s="53">
        <v>90.048000000000002</v>
      </c>
      <c r="U29" s="54">
        <f t="shared" si="11"/>
        <v>15.04</v>
      </c>
      <c r="V29" s="55">
        <f t="shared" si="12"/>
        <v>5.9519999999999982</v>
      </c>
      <c r="W29" s="56">
        <v>96</v>
      </c>
      <c r="X29" s="54">
        <f t="shared" si="13"/>
        <v>17.708390399999995</v>
      </c>
      <c r="Y29" s="81">
        <f t="shared" si="14"/>
        <v>7</v>
      </c>
      <c r="Z29" s="81">
        <v>103</v>
      </c>
      <c r="AA29" s="54">
        <f t="shared" si="15"/>
        <v>21.69</v>
      </c>
    </row>
    <row r="30" spans="1:29" x14ac:dyDescent="0.25">
      <c r="A30" s="7" t="s">
        <v>403</v>
      </c>
      <c r="B30" s="52">
        <v>238</v>
      </c>
      <c r="C30" s="52">
        <f t="shared" si="0"/>
        <v>6</v>
      </c>
      <c r="D30" s="52">
        <v>244</v>
      </c>
      <c r="E30" s="52">
        <f t="shared" si="1"/>
        <v>4</v>
      </c>
      <c r="F30" s="52">
        <v>248</v>
      </c>
      <c r="G30" s="52">
        <f t="shared" si="2"/>
        <v>7</v>
      </c>
      <c r="H30" s="53">
        <v>255</v>
      </c>
      <c r="I30" s="54">
        <f t="shared" si="3"/>
        <v>26.14</v>
      </c>
      <c r="J30" s="52">
        <f t="shared" si="4"/>
        <v>9</v>
      </c>
      <c r="K30" s="53">
        <v>264</v>
      </c>
      <c r="L30" s="54">
        <f t="shared" si="5"/>
        <v>37.39</v>
      </c>
      <c r="M30" s="52">
        <f t="shared" si="6"/>
        <v>5</v>
      </c>
      <c r="N30" s="53">
        <v>269</v>
      </c>
      <c r="O30" s="54">
        <f t="shared" si="7"/>
        <v>31.93</v>
      </c>
      <c r="P30" s="52">
        <f t="shared" si="8"/>
        <v>6</v>
      </c>
      <c r="Q30" s="53">
        <v>275</v>
      </c>
      <c r="R30" s="54">
        <f t="shared" si="9"/>
        <v>17.22</v>
      </c>
      <c r="S30" s="55">
        <f t="shared" si="10"/>
        <v>9</v>
      </c>
      <c r="T30" s="53">
        <v>284</v>
      </c>
      <c r="U30" s="54">
        <f t="shared" si="11"/>
        <v>26.82</v>
      </c>
      <c r="V30" s="55">
        <f t="shared" si="12"/>
        <v>9</v>
      </c>
      <c r="W30" s="56">
        <v>293</v>
      </c>
      <c r="X30" s="54">
        <f t="shared" si="13"/>
        <v>26.776800000000001</v>
      </c>
      <c r="Y30" s="81">
        <f t="shared" si="14"/>
        <v>10</v>
      </c>
      <c r="Z30" s="81">
        <v>303</v>
      </c>
      <c r="AA30" s="54">
        <f t="shared" si="15"/>
        <v>30.99</v>
      </c>
    </row>
    <row r="31" spans="1:29" x14ac:dyDescent="0.25">
      <c r="A31" s="7" t="s">
        <v>208</v>
      </c>
      <c r="B31" s="52">
        <v>244</v>
      </c>
      <c r="C31" s="52">
        <f t="shared" si="0"/>
        <v>9</v>
      </c>
      <c r="D31" s="52">
        <v>253</v>
      </c>
      <c r="E31" s="52">
        <f t="shared" si="1"/>
        <v>8</v>
      </c>
      <c r="F31" s="52">
        <v>261</v>
      </c>
      <c r="G31" s="52">
        <f t="shared" si="2"/>
        <v>10</v>
      </c>
      <c r="H31" s="53">
        <v>271</v>
      </c>
      <c r="I31" s="54">
        <f t="shared" si="3"/>
        <v>37.340000000000003</v>
      </c>
      <c r="J31" s="52">
        <f t="shared" si="4"/>
        <v>8</v>
      </c>
      <c r="K31" s="53">
        <v>279</v>
      </c>
      <c r="L31" s="54">
        <f t="shared" si="5"/>
        <v>33.24</v>
      </c>
      <c r="M31" s="52">
        <f t="shared" si="6"/>
        <v>5</v>
      </c>
      <c r="N31" s="53">
        <v>284</v>
      </c>
      <c r="O31" s="54">
        <f t="shared" si="7"/>
        <v>31.93</v>
      </c>
      <c r="P31" s="52">
        <f t="shared" si="8"/>
        <v>8</v>
      </c>
      <c r="Q31" s="53">
        <v>292</v>
      </c>
      <c r="R31" s="54">
        <f t="shared" si="9"/>
        <v>22.96</v>
      </c>
      <c r="S31" s="55">
        <f t="shared" si="10"/>
        <v>9</v>
      </c>
      <c r="T31" s="53">
        <v>301</v>
      </c>
      <c r="U31" s="54">
        <f t="shared" si="11"/>
        <v>26.82</v>
      </c>
      <c r="V31" s="55">
        <f t="shared" si="12"/>
        <v>10</v>
      </c>
      <c r="W31" s="56">
        <v>311</v>
      </c>
      <c r="X31" s="54">
        <f t="shared" si="13"/>
        <v>29.752000000000002</v>
      </c>
      <c r="Y31" s="81">
        <f t="shared" si="14"/>
        <v>10</v>
      </c>
      <c r="Z31" s="81">
        <v>321</v>
      </c>
      <c r="AA31" s="54">
        <f t="shared" si="15"/>
        <v>30.99</v>
      </c>
    </row>
    <row r="32" spans="1:29" x14ac:dyDescent="0.25">
      <c r="A32" s="7" t="s">
        <v>656</v>
      </c>
      <c r="B32" s="52">
        <v>123</v>
      </c>
      <c r="C32" s="52">
        <f t="shared" si="0"/>
        <v>5</v>
      </c>
      <c r="D32" s="52">
        <v>128</v>
      </c>
      <c r="E32" s="52">
        <f t="shared" si="1"/>
        <v>3</v>
      </c>
      <c r="F32" s="52">
        <v>131</v>
      </c>
      <c r="G32" s="52">
        <f t="shared" si="2"/>
        <v>4</v>
      </c>
      <c r="H32" s="53">
        <v>135</v>
      </c>
      <c r="I32" s="54">
        <f t="shared" si="3"/>
        <v>14.94</v>
      </c>
      <c r="J32" s="52">
        <f t="shared" si="4"/>
        <v>3</v>
      </c>
      <c r="K32" s="53">
        <v>138</v>
      </c>
      <c r="L32" s="54">
        <f t="shared" si="5"/>
        <v>12.46</v>
      </c>
      <c r="M32" s="52">
        <f t="shared" si="6"/>
        <v>3</v>
      </c>
      <c r="N32" s="53">
        <v>141</v>
      </c>
      <c r="O32" s="54">
        <f t="shared" si="7"/>
        <v>19.16</v>
      </c>
      <c r="P32" s="52">
        <f t="shared" si="8"/>
        <v>3</v>
      </c>
      <c r="Q32" s="53">
        <v>144</v>
      </c>
      <c r="R32" s="54">
        <f t="shared" si="9"/>
        <v>8.61</v>
      </c>
      <c r="S32" s="55">
        <f t="shared" si="10"/>
        <v>3</v>
      </c>
      <c r="T32" s="53">
        <v>147</v>
      </c>
      <c r="U32" s="54">
        <f t="shared" si="11"/>
        <v>8.94</v>
      </c>
      <c r="V32" s="55">
        <f t="shared" si="12"/>
        <v>4</v>
      </c>
      <c r="W32" s="56">
        <v>151</v>
      </c>
      <c r="X32" s="54">
        <f t="shared" si="13"/>
        <v>11.9008</v>
      </c>
      <c r="Y32" s="81">
        <f t="shared" si="14"/>
        <v>4</v>
      </c>
      <c r="Z32" s="81">
        <v>155</v>
      </c>
      <c r="AA32" s="54">
        <f t="shared" si="15"/>
        <v>12.4</v>
      </c>
    </row>
    <row r="33" spans="1:27" x14ac:dyDescent="0.25">
      <c r="A33" s="7" t="s">
        <v>505</v>
      </c>
      <c r="B33" s="52">
        <v>93</v>
      </c>
      <c r="C33" s="52">
        <f t="shared" si="0"/>
        <v>1</v>
      </c>
      <c r="D33" s="52">
        <v>94</v>
      </c>
      <c r="E33" s="52">
        <f t="shared" si="1"/>
        <v>0</v>
      </c>
      <c r="F33" s="52">
        <v>94</v>
      </c>
      <c r="G33" s="52">
        <f t="shared" si="2"/>
        <v>0</v>
      </c>
      <c r="H33" s="53">
        <v>94</v>
      </c>
      <c r="I33" s="54">
        <f t="shared" si="3"/>
        <v>0</v>
      </c>
      <c r="J33" s="52">
        <f t="shared" si="4"/>
        <v>1</v>
      </c>
      <c r="K33" s="53">
        <v>95</v>
      </c>
      <c r="L33" s="54">
        <f t="shared" si="5"/>
        <v>4.1500000000000004</v>
      </c>
      <c r="M33" s="52">
        <f t="shared" si="6"/>
        <v>0</v>
      </c>
      <c r="N33" s="53">
        <v>95</v>
      </c>
      <c r="O33" s="54">
        <f t="shared" si="7"/>
        <v>0</v>
      </c>
      <c r="P33" s="52">
        <f t="shared" si="8"/>
        <v>0</v>
      </c>
      <c r="Q33" s="53">
        <v>95</v>
      </c>
      <c r="R33" s="54">
        <f t="shared" si="9"/>
        <v>0</v>
      </c>
      <c r="S33" s="55">
        <f t="shared" si="10"/>
        <v>1</v>
      </c>
      <c r="T33" s="53">
        <v>96</v>
      </c>
      <c r="U33" s="54">
        <f t="shared" si="11"/>
        <v>2.98</v>
      </c>
      <c r="V33" s="55">
        <f t="shared" si="12"/>
        <v>1</v>
      </c>
      <c r="W33" s="56">
        <v>97</v>
      </c>
      <c r="X33" s="54">
        <f t="shared" si="13"/>
        <v>2.9752000000000001</v>
      </c>
      <c r="Y33" s="81">
        <f t="shared" si="14"/>
        <v>2</v>
      </c>
      <c r="Z33" s="81">
        <v>99</v>
      </c>
      <c r="AA33" s="54">
        <f t="shared" si="15"/>
        <v>6.2</v>
      </c>
    </row>
    <row r="34" spans="1:27" x14ac:dyDescent="0.25">
      <c r="A34" s="7" t="s">
        <v>244</v>
      </c>
      <c r="B34" s="52">
        <v>138.91</v>
      </c>
      <c r="C34" s="52">
        <f t="shared" si="0"/>
        <v>4.3700000000000045</v>
      </c>
      <c r="D34" s="52">
        <v>143.28</v>
      </c>
      <c r="E34" s="52">
        <f t="shared" si="1"/>
        <v>3.4199999999999875</v>
      </c>
      <c r="F34" s="52">
        <v>146.69999999999999</v>
      </c>
      <c r="G34" s="52">
        <f t="shared" si="2"/>
        <v>3.3370000000000175</v>
      </c>
      <c r="H34" s="53">
        <v>150.03700000000001</v>
      </c>
      <c r="I34" s="54">
        <f t="shared" si="3"/>
        <v>12.46</v>
      </c>
      <c r="J34" s="52">
        <f t="shared" si="4"/>
        <v>3.9739999999999895</v>
      </c>
      <c r="K34" s="53">
        <v>154.011</v>
      </c>
      <c r="L34" s="54">
        <f t="shared" si="5"/>
        <v>16.510000000000002</v>
      </c>
      <c r="M34" s="52">
        <f t="shared" si="6"/>
        <v>2.4339999999999975</v>
      </c>
      <c r="N34" s="53">
        <v>156.44499999999999</v>
      </c>
      <c r="O34" s="54">
        <f t="shared" si="7"/>
        <v>15.54</v>
      </c>
      <c r="P34" s="52">
        <f t="shared" si="8"/>
        <v>2.5550000000000068</v>
      </c>
      <c r="Q34" s="53">
        <v>159</v>
      </c>
      <c r="R34" s="54">
        <f t="shared" si="9"/>
        <v>7.33</v>
      </c>
      <c r="S34" s="55">
        <f t="shared" si="10"/>
        <v>4.8230000000000075</v>
      </c>
      <c r="T34" s="53">
        <v>163.82300000000001</v>
      </c>
      <c r="U34" s="54">
        <f t="shared" si="11"/>
        <v>14.37</v>
      </c>
      <c r="V34" s="55">
        <f t="shared" si="12"/>
        <v>3.1769999999999925</v>
      </c>
      <c r="W34" s="56">
        <v>167</v>
      </c>
      <c r="X34" s="54">
        <f t="shared" si="13"/>
        <v>9.4522103999999771</v>
      </c>
      <c r="Y34" s="81">
        <f t="shared" si="14"/>
        <v>4</v>
      </c>
      <c r="Z34" s="81">
        <v>171</v>
      </c>
      <c r="AA34" s="54">
        <f t="shared" si="15"/>
        <v>12.4</v>
      </c>
    </row>
    <row r="35" spans="1:27" x14ac:dyDescent="0.25">
      <c r="A35" s="7" t="s">
        <v>478</v>
      </c>
      <c r="B35" s="52">
        <v>236</v>
      </c>
      <c r="C35" s="52">
        <f t="shared" si="0"/>
        <v>4</v>
      </c>
      <c r="D35" s="52">
        <v>240</v>
      </c>
      <c r="E35" s="52">
        <f t="shared" si="1"/>
        <v>6</v>
      </c>
      <c r="F35" s="52">
        <v>246</v>
      </c>
      <c r="G35" s="52">
        <f t="shared" si="2"/>
        <v>10</v>
      </c>
      <c r="H35" s="53">
        <v>256</v>
      </c>
      <c r="I35" s="54">
        <f t="shared" si="3"/>
        <v>37.340000000000003</v>
      </c>
      <c r="J35" s="52">
        <f t="shared" si="4"/>
        <v>6</v>
      </c>
      <c r="K35" s="53">
        <v>262</v>
      </c>
      <c r="L35" s="54">
        <f t="shared" si="5"/>
        <v>24.93</v>
      </c>
      <c r="M35" s="52">
        <f t="shared" si="6"/>
        <v>4</v>
      </c>
      <c r="N35" s="53">
        <v>266</v>
      </c>
      <c r="O35" s="54">
        <f t="shared" si="7"/>
        <v>25.54</v>
      </c>
      <c r="P35" s="52">
        <f t="shared" si="8"/>
        <v>4</v>
      </c>
      <c r="Q35" s="53">
        <v>270</v>
      </c>
      <c r="R35" s="54">
        <f t="shared" si="9"/>
        <v>11.48</v>
      </c>
      <c r="S35" s="55">
        <f t="shared" si="10"/>
        <v>8</v>
      </c>
      <c r="T35" s="53">
        <v>278</v>
      </c>
      <c r="U35" s="54">
        <f t="shared" si="11"/>
        <v>23.84</v>
      </c>
      <c r="V35" s="55">
        <f t="shared" si="12"/>
        <v>6</v>
      </c>
      <c r="W35" s="56">
        <v>284</v>
      </c>
      <c r="X35" s="54">
        <f t="shared" si="13"/>
        <v>17.851199999999999</v>
      </c>
      <c r="Y35" s="81">
        <f t="shared" si="14"/>
        <v>6</v>
      </c>
      <c r="Z35" s="81">
        <v>290</v>
      </c>
      <c r="AA35" s="54">
        <f t="shared" si="15"/>
        <v>18.59</v>
      </c>
    </row>
    <row r="36" spans="1:27" x14ac:dyDescent="0.25">
      <c r="A36" s="7" t="s">
        <v>202</v>
      </c>
      <c r="B36" s="52">
        <v>361.59</v>
      </c>
      <c r="C36" s="52">
        <f t="shared" si="0"/>
        <v>13.710000000000036</v>
      </c>
      <c r="D36" s="52">
        <v>375.3</v>
      </c>
      <c r="E36" s="52">
        <f t="shared" si="1"/>
        <v>12.819999999999993</v>
      </c>
      <c r="F36" s="52">
        <v>388.12</v>
      </c>
      <c r="G36" s="52">
        <f t="shared" si="2"/>
        <v>13.100999999999999</v>
      </c>
      <c r="H36" s="53">
        <v>401.221</v>
      </c>
      <c r="I36" s="54">
        <f t="shared" si="3"/>
        <v>48.92</v>
      </c>
      <c r="J36" s="52">
        <f t="shared" si="4"/>
        <v>12.512</v>
      </c>
      <c r="K36" s="53">
        <v>413.733</v>
      </c>
      <c r="L36" s="54">
        <f t="shared" si="5"/>
        <v>51.98</v>
      </c>
      <c r="M36" s="52">
        <f t="shared" si="6"/>
        <v>9.2350000000000136</v>
      </c>
      <c r="N36" s="53">
        <v>422.96800000000002</v>
      </c>
      <c r="O36" s="54">
        <f t="shared" si="7"/>
        <v>58.97</v>
      </c>
      <c r="P36" s="52">
        <f t="shared" si="8"/>
        <v>10.031999999999982</v>
      </c>
      <c r="Q36" s="53">
        <v>433</v>
      </c>
      <c r="R36" s="54">
        <f t="shared" si="9"/>
        <v>28.8</v>
      </c>
      <c r="S36" s="55">
        <f t="shared" si="10"/>
        <v>15.637</v>
      </c>
      <c r="T36" s="53">
        <v>448.637</v>
      </c>
      <c r="U36" s="54">
        <f t="shared" si="11"/>
        <v>46.6</v>
      </c>
      <c r="V36" s="55">
        <f t="shared" si="12"/>
        <v>13.363</v>
      </c>
      <c r="W36" s="56">
        <v>462</v>
      </c>
      <c r="X36" s="54">
        <f t="shared" si="13"/>
        <v>39.757597599999997</v>
      </c>
      <c r="Y36" s="81">
        <f t="shared" si="14"/>
        <v>15</v>
      </c>
      <c r="Z36" s="81">
        <v>477</v>
      </c>
      <c r="AA36" s="54">
        <f t="shared" si="15"/>
        <v>46.48</v>
      </c>
    </row>
    <row r="37" spans="1:27" x14ac:dyDescent="0.25">
      <c r="A37" s="7" t="s">
        <v>361</v>
      </c>
      <c r="B37" s="52">
        <v>260</v>
      </c>
      <c r="C37" s="52">
        <f t="shared" si="0"/>
        <v>13</v>
      </c>
      <c r="D37" s="52">
        <v>273</v>
      </c>
      <c r="E37" s="52">
        <f t="shared" si="1"/>
        <v>4</v>
      </c>
      <c r="F37" s="52">
        <v>277</v>
      </c>
      <c r="G37" s="52">
        <f t="shared" si="2"/>
        <v>8</v>
      </c>
      <c r="H37" s="53">
        <v>285</v>
      </c>
      <c r="I37" s="54">
        <f t="shared" si="3"/>
        <v>29.87</v>
      </c>
      <c r="J37" s="52">
        <f t="shared" si="4"/>
        <v>5</v>
      </c>
      <c r="K37" s="53">
        <v>290</v>
      </c>
      <c r="L37" s="54">
        <f t="shared" si="5"/>
        <v>20.77</v>
      </c>
      <c r="M37" s="52">
        <f t="shared" si="6"/>
        <v>1</v>
      </c>
      <c r="N37" s="53">
        <v>291</v>
      </c>
      <c r="O37" s="54">
        <f t="shared" si="7"/>
        <v>6.39</v>
      </c>
      <c r="P37" s="52">
        <f t="shared" si="8"/>
        <v>6</v>
      </c>
      <c r="Q37" s="53">
        <v>297</v>
      </c>
      <c r="R37" s="54">
        <f t="shared" si="9"/>
        <v>17.22</v>
      </c>
      <c r="S37" s="55">
        <f t="shared" si="10"/>
        <v>2</v>
      </c>
      <c r="T37" s="53">
        <v>299</v>
      </c>
      <c r="U37" s="54">
        <f t="shared" si="11"/>
        <v>5.96</v>
      </c>
      <c r="V37" s="55">
        <f t="shared" si="12"/>
        <v>16</v>
      </c>
      <c r="W37" s="56">
        <v>315</v>
      </c>
      <c r="X37" s="54">
        <f t="shared" si="13"/>
        <v>47.603200000000001</v>
      </c>
      <c r="Y37" s="81">
        <f t="shared" si="14"/>
        <v>11</v>
      </c>
      <c r="Z37" s="81">
        <v>326</v>
      </c>
      <c r="AA37" s="54">
        <f t="shared" si="15"/>
        <v>34.090000000000003</v>
      </c>
    </row>
    <row r="38" spans="1:27" x14ac:dyDescent="0.25">
      <c r="A38" s="7" t="s">
        <v>490</v>
      </c>
      <c r="B38" s="52">
        <v>337</v>
      </c>
      <c r="C38" s="52">
        <f t="shared" si="0"/>
        <v>4</v>
      </c>
      <c r="D38" s="52">
        <v>341</v>
      </c>
      <c r="E38" s="52">
        <f t="shared" si="1"/>
        <v>4</v>
      </c>
      <c r="F38" s="52">
        <v>345</v>
      </c>
      <c r="G38" s="52">
        <f t="shared" si="2"/>
        <v>3</v>
      </c>
      <c r="H38" s="53">
        <v>348</v>
      </c>
      <c r="I38" s="54">
        <f t="shared" si="3"/>
        <v>11.2</v>
      </c>
      <c r="J38" s="52">
        <f t="shared" si="4"/>
        <v>3</v>
      </c>
      <c r="K38" s="53">
        <v>351</v>
      </c>
      <c r="L38" s="54">
        <f t="shared" si="5"/>
        <v>12.46</v>
      </c>
      <c r="M38" s="52">
        <f t="shared" si="6"/>
        <v>3</v>
      </c>
      <c r="N38" s="53">
        <v>354</v>
      </c>
      <c r="O38" s="54">
        <f t="shared" si="7"/>
        <v>19.16</v>
      </c>
      <c r="P38" s="52">
        <f t="shared" si="8"/>
        <v>3</v>
      </c>
      <c r="Q38" s="53">
        <v>357</v>
      </c>
      <c r="R38" s="54">
        <f t="shared" si="9"/>
        <v>8.61</v>
      </c>
      <c r="S38" s="55">
        <f t="shared" si="10"/>
        <v>4</v>
      </c>
      <c r="T38" s="53">
        <v>361</v>
      </c>
      <c r="U38" s="54">
        <f t="shared" si="11"/>
        <v>11.92</v>
      </c>
      <c r="V38" s="55">
        <f t="shared" si="12"/>
        <v>4</v>
      </c>
      <c r="W38" s="56">
        <v>365</v>
      </c>
      <c r="X38" s="54">
        <f t="shared" si="13"/>
        <v>11.9008</v>
      </c>
      <c r="Y38" s="81">
        <f t="shared" si="14"/>
        <v>4</v>
      </c>
      <c r="Z38" s="81">
        <v>369</v>
      </c>
      <c r="AA38" s="54">
        <f t="shared" si="15"/>
        <v>12.4</v>
      </c>
    </row>
    <row r="39" spans="1:27" x14ac:dyDescent="0.25">
      <c r="A39" s="7" t="s">
        <v>220</v>
      </c>
      <c r="B39" s="52">
        <v>345</v>
      </c>
      <c r="C39" s="52">
        <f t="shared" si="0"/>
        <v>10</v>
      </c>
      <c r="D39" s="52">
        <v>355</v>
      </c>
      <c r="E39" s="52">
        <f t="shared" si="1"/>
        <v>9</v>
      </c>
      <c r="F39" s="52">
        <v>364</v>
      </c>
      <c r="G39" s="52">
        <f t="shared" si="2"/>
        <v>8</v>
      </c>
      <c r="H39" s="53">
        <v>372</v>
      </c>
      <c r="I39" s="54">
        <f t="shared" si="3"/>
        <v>29.87</v>
      </c>
      <c r="J39" s="52">
        <f t="shared" si="4"/>
        <v>11</v>
      </c>
      <c r="K39" s="53">
        <v>383</v>
      </c>
      <c r="L39" s="54">
        <f t="shared" si="5"/>
        <v>45.7</v>
      </c>
      <c r="M39" s="52">
        <f t="shared" si="6"/>
        <v>6</v>
      </c>
      <c r="N39" s="53">
        <v>389</v>
      </c>
      <c r="O39" s="54">
        <f t="shared" si="7"/>
        <v>38.31</v>
      </c>
      <c r="P39" s="52">
        <f t="shared" si="8"/>
        <v>9</v>
      </c>
      <c r="Q39" s="53">
        <v>398</v>
      </c>
      <c r="R39" s="54">
        <f t="shared" si="9"/>
        <v>25.83</v>
      </c>
      <c r="S39" s="55">
        <f t="shared" si="10"/>
        <v>9</v>
      </c>
      <c r="T39" s="53">
        <v>407</v>
      </c>
      <c r="U39" s="54">
        <f t="shared" si="11"/>
        <v>26.82</v>
      </c>
      <c r="V39" s="55">
        <f t="shared" si="12"/>
        <v>7</v>
      </c>
      <c r="W39" s="56">
        <v>414</v>
      </c>
      <c r="X39" s="54">
        <f t="shared" si="13"/>
        <v>20.8264</v>
      </c>
      <c r="Y39" s="81">
        <f t="shared" si="14"/>
        <v>8</v>
      </c>
      <c r="Z39" s="81">
        <v>422</v>
      </c>
      <c r="AA39" s="54">
        <f t="shared" si="15"/>
        <v>24.79</v>
      </c>
    </row>
    <row r="40" spans="1:27" x14ac:dyDescent="0.25">
      <c r="A40" s="7" t="s">
        <v>199</v>
      </c>
      <c r="B40" s="52">
        <v>54</v>
      </c>
      <c r="C40" s="52">
        <f t="shared" si="0"/>
        <v>6</v>
      </c>
      <c r="D40" s="52">
        <v>60</v>
      </c>
      <c r="E40" s="52">
        <f t="shared" si="1"/>
        <v>3</v>
      </c>
      <c r="F40" s="52">
        <v>63</v>
      </c>
      <c r="G40" s="52">
        <f t="shared" si="2"/>
        <v>7</v>
      </c>
      <c r="H40" s="53">
        <v>70</v>
      </c>
      <c r="I40" s="54">
        <f t="shared" si="3"/>
        <v>26.14</v>
      </c>
      <c r="J40" s="52">
        <f t="shared" si="4"/>
        <v>5</v>
      </c>
      <c r="K40" s="53">
        <v>75</v>
      </c>
      <c r="L40" s="54">
        <f t="shared" si="5"/>
        <v>20.77</v>
      </c>
      <c r="M40" s="52">
        <f t="shared" si="6"/>
        <v>4</v>
      </c>
      <c r="N40" s="53">
        <v>79</v>
      </c>
      <c r="O40" s="54">
        <f t="shared" si="7"/>
        <v>25.54</v>
      </c>
      <c r="P40" s="52">
        <f t="shared" si="8"/>
        <v>4</v>
      </c>
      <c r="Q40" s="53">
        <v>83</v>
      </c>
      <c r="R40" s="54">
        <f t="shared" si="9"/>
        <v>11.48</v>
      </c>
      <c r="S40" s="55">
        <f t="shared" si="10"/>
        <v>6</v>
      </c>
      <c r="T40" s="53">
        <v>89</v>
      </c>
      <c r="U40" s="54">
        <f t="shared" si="11"/>
        <v>17.88</v>
      </c>
      <c r="V40" s="55">
        <f t="shared" si="12"/>
        <v>5</v>
      </c>
      <c r="W40" s="56">
        <v>94</v>
      </c>
      <c r="X40" s="54">
        <f t="shared" si="13"/>
        <v>14.876000000000001</v>
      </c>
      <c r="Y40" s="81">
        <f t="shared" si="14"/>
        <v>7</v>
      </c>
      <c r="Z40" s="81">
        <v>101</v>
      </c>
      <c r="AA40" s="54">
        <f t="shared" si="15"/>
        <v>21.69</v>
      </c>
    </row>
    <row r="41" spans="1:27" x14ac:dyDescent="0.25">
      <c r="A41" s="7" t="s">
        <v>475</v>
      </c>
      <c r="B41" s="52">
        <v>367.34</v>
      </c>
      <c r="C41" s="52">
        <f t="shared" si="0"/>
        <v>18.53000000000003</v>
      </c>
      <c r="D41" s="52">
        <v>385.87</v>
      </c>
      <c r="E41" s="52">
        <f t="shared" si="1"/>
        <v>17.019999999999982</v>
      </c>
      <c r="F41" s="52">
        <v>402.89</v>
      </c>
      <c r="G41" s="52">
        <f t="shared" si="2"/>
        <v>20.235000000000014</v>
      </c>
      <c r="H41" s="53">
        <v>423.125</v>
      </c>
      <c r="I41" s="54">
        <f t="shared" si="3"/>
        <v>75.56</v>
      </c>
      <c r="J41" s="52">
        <f t="shared" si="4"/>
        <v>17.375</v>
      </c>
      <c r="K41" s="53">
        <v>440.5</v>
      </c>
      <c r="L41" s="54">
        <f t="shared" si="5"/>
        <v>72.19</v>
      </c>
      <c r="M41" s="52">
        <f t="shared" si="6"/>
        <v>11.533000000000015</v>
      </c>
      <c r="N41" s="53">
        <v>452.03300000000002</v>
      </c>
      <c r="O41" s="54">
        <f t="shared" si="7"/>
        <v>73.650000000000006</v>
      </c>
      <c r="P41" s="52">
        <f t="shared" si="8"/>
        <v>13.966999999999985</v>
      </c>
      <c r="Q41" s="53">
        <v>466</v>
      </c>
      <c r="R41" s="54">
        <f t="shared" si="9"/>
        <v>40.090000000000003</v>
      </c>
      <c r="S41" s="55">
        <f t="shared" si="10"/>
        <v>19.141999999999996</v>
      </c>
      <c r="T41" s="53">
        <v>485.142</v>
      </c>
      <c r="U41" s="54">
        <f t="shared" si="11"/>
        <v>57.04</v>
      </c>
      <c r="V41" s="55">
        <f t="shared" si="12"/>
        <v>11.858000000000004</v>
      </c>
      <c r="W41" s="56">
        <v>497</v>
      </c>
      <c r="X41" s="54">
        <f t="shared" si="13"/>
        <v>35.279921600000016</v>
      </c>
      <c r="Y41" s="81">
        <f t="shared" si="14"/>
        <v>14</v>
      </c>
      <c r="Z41" s="81">
        <v>511</v>
      </c>
      <c r="AA41" s="54">
        <f t="shared" si="15"/>
        <v>43.38</v>
      </c>
    </row>
    <row r="42" spans="1:27" x14ac:dyDescent="0.25">
      <c r="A42" s="7" t="s">
        <v>205</v>
      </c>
      <c r="B42" s="52">
        <v>242</v>
      </c>
      <c r="C42" s="52">
        <f t="shared" si="0"/>
        <v>1</v>
      </c>
      <c r="D42" s="52">
        <v>243</v>
      </c>
      <c r="E42" s="52">
        <f t="shared" si="1"/>
        <v>6</v>
      </c>
      <c r="F42" s="52">
        <v>249</v>
      </c>
      <c r="G42" s="52">
        <f t="shared" si="2"/>
        <v>0</v>
      </c>
      <c r="H42" s="53">
        <v>249</v>
      </c>
      <c r="I42" s="54">
        <f t="shared" si="3"/>
        <v>0</v>
      </c>
      <c r="J42" s="52">
        <f t="shared" si="4"/>
        <v>0</v>
      </c>
      <c r="K42" s="53">
        <v>249</v>
      </c>
      <c r="L42" s="54">
        <f t="shared" si="5"/>
        <v>0</v>
      </c>
      <c r="M42" s="52">
        <f t="shared" si="6"/>
        <v>0</v>
      </c>
      <c r="N42" s="53">
        <v>249</v>
      </c>
      <c r="O42" s="54">
        <f t="shared" si="7"/>
        <v>0</v>
      </c>
      <c r="P42" s="52">
        <f t="shared" si="8"/>
        <v>1</v>
      </c>
      <c r="Q42" s="53">
        <v>250</v>
      </c>
      <c r="R42" s="54">
        <f t="shared" si="9"/>
        <v>2.87</v>
      </c>
      <c r="S42" s="55">
        <f t="shared" si="10"/>
        <v>1</v>
      </c>
      <c r="T42" s="53">
        <v>251</v>
      </c>
      <c r="U42" s="54">
        <f t="shared" si="11"/>
        <v>2.98</v>
      </c>
      <c r="V42" s="55">
        <f t="shared" si="12"/>
        <v>2</v>
      </c>
      <c r="W42" s="56">
        <v>253</v>
      </c>
      <c r="X42" s="54">
        <f t="shared" si="13"/>
        <v>5.9504000000000001</v>
      </c>
      <c r="Y42" s="81">
        <f t="shared" si="14"/>
        <v>3</v>
      </c>
      <c r="Z42" s="81">
        <v>256</v>
      </c>
      <c r="AA42" s="54">
        <f t="shared" si="15"/>
        <v>9.3000000000000007</v>
      </c>
    </row>
    <row r="43" spans="1:27" x14ac:dyDescent="0.25">
      <c r="A43" s="7" t="s">
        <v>97</v>
      </c>
      <c r="B43" s="52">
        <v>266</v>
      </c>
      <c r="C43" s="52">
        <f t="shared" si="0"/>
        <v>4</v>
      </c>
      <c r="D43" s="52">
        <v>270</v>
      </c>
      <c r="E43" s="52">
        <f t="shared" si="1"/>
        <v>17</v>
      </c>
      <c r="F43" s="52">
        <v>287</v>
      </c>
      <c r="G43" s="52">
        <f t="shared" si="2"/>
        <v>13</v>
      </c>
      <c r="H43" s="53">
        <v>300</v>
      </c>
      <c r="I43" s="54">
        <f t="shared" si="3"/>
        <v>48.54</v>
      </c>
      <c r="J43" s="52">
        <f t="shared" si="4"/>
        <v>12</v>
      </c>
      <c r="K43" s="53">
        <v>312</v>
      </c>
      <c r="L43" s="54">
        <f t="shared" si="5"/>
        <v>49.86</v>
      </c>
      <c r="M43" s="52">
        <f t="shared" si="6"/>
        <v>10</v>
      </c>
      <c r="N43" s="53">
        <v>322</v>
      </c>
      <c r="O43" s="54">
        <f t="shared" si="7"/>
        <v>63.86</v>
      </c>
      <c r="P43" s="52">
        <f t="shared" si="8"/>
        <v>10</v>
      </c>
      <c r="Q43" s="53">
        <v>332</v>
      </c>
      <c r="R43" s="54">
        <f t="shared" si="9"/>
        <v>28.7</v>
      </c>
      <c r="S43" s="55">
        <f t="shared" si="10"/>
        <v>11</v>
      </c>
      <c r="T43" s="53">
        <v>343</v>
      </c>
      <c r="U43" s="54">
        <f t="shared" si="11"/>
        <v>32.78</v>
      </c>
      <c r="V43" s="55">
        <f t="shared" si="12"/>
        <v>11</v>
      </c>
      <c r="W43" s="56">
        <v>354</v>
      </c>
      <c r="X43" s="54">
        <f t="shared" si="13"/>
        <v>32.727200000000003</v>
      </c>
      <c r="Y43" s="81">
        <f t="shared" si="14"/>
        <v>11</v>
      </c>
      <c r="Z43" s="81">
        <v>365</v>
      </c>
      <c r="AA43" s="54">
        <f t="shared" si="15"/>
        <v>34.090000000000003</v>
      </c>
    </row>
    <row r="44" spans="1:27" x14ac:dyDescent="0.25">
      <c r="A44" s="7" t="s">
        <v>367</v>
      </c>
      <c r="B44" s="52">
        <v>86</v>
      </c>
      <c r="C44" s="52">
        <f t="shared" si="0"/>
        <v>1</v>
      </c>
      <c r="D44" s="52">
        <v>87</v>
      </c>
      <c r="E44" s="52">
        <f t="shared" si="1"/>
        <v>0</v>
      </c>
      <c r="F44" s="52">
        <v>87</v>
      </c>
      <c r="G44" s="52">
        <f t="shared" si="2"/>
        <v>5</v>
      </c>
      <c r="H44" s="53">
        <v>92</v>
      </c>
      <c r="I44" s="54">
        <f t="shared" si="3"/>
        <v>18.670000000000002</v>
      </c>
      <c r="J44" s="52">
        <f t="shared" si="4"/>
        <v>4</v>
      </c>
      <c r="K44" s="53">
        <v>96</v>
      </c>
      <c r="L44" s="54">
        <f t="shared" si="5"/>
        <v>16.62</v>
      </c>
      <c r="M44" s="52">
        <f t="shared" si="6"/>
        <v>2</v>
      </c>
      <c r="N44" s="53">
        <v>98</v>
      </c>
      <c r="O44" s="54">
        <f t="shared" si="7"/>
        <v>12.77</v>
      </c>
      <c r="P44" s="52">
        <f t="shared" si="8"/>
        <v>4</v>
      </c>
      <c r="Q44" s="53">
        <v>102</v>
      </c>
      <c r="R44" s="54">
        <f t="shared" si="9"/>
        <v>11.48</v>
      </c>
      <c r="S44" s="55">
        <f t="shared" si="10"/>
        <v>3</v>
      </c>
      <c r="T44" s="53">
        <v>105</v>
      </c>
      <c r="U44" s="54">
        <f t="shared" si="11"/>
        <v>8.94</v>
      </c>
      <c r="V44" s="55">
        <f t="shared" si="12"/>
        <v>3</v>
      </c>
      <c r="W44" s="56">
        <v>108</v>
      </c>
      <c r="X44" s="54">
        <f t="shared" si="13"/>
        <v>8.9255999999999993</v>
      </c>
      <c r="Y44" s="81">
        <f t="shared" si="14"/>
        <v>3</v>
      </c>
      <c r="Z44" s="81">
        <v>111</v>
      </c>
      <c r="AA44" s="54">
        <f t="shared" si="15"/>
        <v>9.3000000000000007</v>
      </c>
    </row>
    <row r="45" spans="1:27" x14ac:dyDescent="0.25">
      <c r="A45" s="7" t="s">
        <v>154</v>
      </c>
      <c r="B45" s="52">
        <v>7</v>
      </c>
      <c r="C45" s="52">
        <f t="shared" si="0"/>
        <v>1</v>
      </c>
      <c r="D45" s="52">
        <v>8</v>
      </c>
      <c r="E45" s="52">
        <f t="shared" si="1"/>
        <v>2</v>
      </c>
      <c r="F45" s="52">
        <v>10</v>
      </c>
      <c r="G45" s="52">
        <f t="shared" si="2"/>
        <v>2</v>
      </c>
      <c r="H45" s="53">
        <v>12</v>
      </c>
      <c r="I45" s="54">
        <f t="shared" si="3"/>
        <v>7.47</v>
      </c>
      <c r="J45" s="52">
        <f t="shared" si="4"/>
        <v>1</v>
      </c>
      <c r="K45" s="53">
        <v>13</v>
      </c>
      <c r="L45" s="54">
        <f t="shared" si="5"/>
        <v>4.1500000000000004</v>
      </c>
      <c r="M45" s="52">
        <f t="shared" si="6"/>
        <v>2</v>
      </c>
      <c r="N45" s="53">
        <v>15</v>
      </c>
      <c r="O45" s="54">
        <f t="shared" si="7"/>
        <v>12.77</v>
      </c>
      <c r="P45" s="52">
        <f t="shared" si="8"/>
        <v>1</v>
      </c>
      <c r="Q45" s="53">
        <v>16</v>
      </c>
      <c r="R45" s="54">
        <f t="shared" si="9"/>
        <v>2.87</v>
      </c>
      <c r="S45" s="55">
        <f t="shared" si="10"/>
        <v>1</v>
      </c>
      <c r="T45" s="53">
        <v>17</v>
      </c>
      <c r="U45" s="54">
        <f t="shared" si="11"/>
        <v>2.98</v>
      </c>
      <c r="V45" s="55">
        <f t="shared" si="12"/>
        <v>1</v>
      </c>
      <c r="W45" s="56">
        <v>18</v>
      </c>
      <c r="X45" s="54">
        <f t="shared" si="13"/>
        <v>2.9752000000000001</v>
      </c>
      <c r="Y45" s="81">
        <f t="shared" si="14"/>
        <v>0</v>
      </c>
      <c r="Z45" s="81">
        <v>18</v>
      </c>
      <c r="AA45" s="54">
        <f t="shared" si="15"/>
        <v>0</v>
      </c>
    </row>
    <row r="46" spans="1:27" x14ac:dyDescent="0.25">
      <c r="A46" s="7" t="s">
        <v>136</v>
      </c>
      <c r="B46" s="52">
        <v>216.65</v>
      </c>
      <c r="C46" s="52">
        <f t="shared" si="0"/>
        <v>6.1699999999999875</v>
      </c>
      <c r="D46" s="52">
        <v>222.82</v>
      </c>
      <c r="E46" s="52">
        <f t="shared" si="1"/>
        <v>4.960000000000008</v>
      </c>
      <c r="F46" s="52">
        <v>227.78</v>
      </c>
      <c r="G46" s="52">
        <f t="shared" si="2"/>
        <v>8.0200000000000102</v>
      </c>
      <c r="H46" s="53">
        <v>235.8</v>
      </c>
      <c r="I46" s="54">
        <f t="shared" si="3"/>
        <v>29.95</v>
      </c>
      <c r="J46" s="52">
        <f t="shared" si="4"/>
        <v>5.7329999999999757</v>
      </c>
      <c r="K46" s="53">
        <v>241.53299999999999</v>
      </c>
      <c r="L46" s="54">
        <f t="shared" si="5"/>
        <v>23.82</v>
      </c>
      <c r="M46" s="52">
        <f t="shared" si="6"/>
        <v>4.2800000000000011</v>
      </c>
      <c r="N46" s="53">
        <v>245.81299999999999</v>
      </c>
      <c r="O46" s="54">
        <f t="shared" si="7"/>
        <v>27.33</v>
      </c>
      <c r="P46" s="52">
        <f t="shared" si="8"/>
        <v>5.1870000000000118</v>
      </c>
      <c r="Q46" s="53">
        <v>251</v>
      </c>
      <c r="R46" s="54">
        <f t="shared" si="9"/>
        <v>14.89</v>
      </c>
      <c r="S46" s="55">
        <f t="shared" si="10"/>
        <v>6.5110000000000241</v>
      </c>
      <c r="T46" s="53">
        <v>257.51100000000002</v>
      </c>
      <c r="U46" s="54">
        <f t="shared" si="11"/>
        <v>19.399999999999999</v>
      </c>
      <c r="V46" s="55">
        <f t="shared" si="12"/>
        <v>5.4889999999999759</v>
      </c>
      <c r="W46" s="56">
        <v>263</v>
      </c>
      <c r="X46" s="54">
        <f t="shared" si="13"/>
        <v>16.330872799999927</v>
      </c>
      <c r="Y46" s="81">
        <f t="shared" si="14"/>
        <v>11</v>
      </c>
      <c r="Z46" s="81">
        <v>274</v>
      </c>
      <c r="AA46" s="54">
        <f t="shared" si="15"/>
        <v>34.090000000000003</v>
      </c>
    </row>
    <row r="47" spans="1:27" x14ac:dyDescent="0.25">
      <c r="A47" s="7" t="s">
        <v>334</v>
      </c>
      <c r="B47" s="52">
        <v>185</v>
      </c>
      <c r="C47" s="52">
        <f t="shared" si="0"/>
        <v>3</v>
      </c>
      <c r="D47" s="52">
        <v>188</v>
      </c>
      <c r="E47" s="52">
        <f t="shared" si="1"/>
        <v>4</v>
      </c>
      <c r="F47" s="52">
        <v>192</v>
      </c>
      <c r="G47" s="52">
        <f t="shared" si="2"/>
        <v>5</v>
      </c>
      <c r="H47" s="53">
        <v>197</v>
      </c>
      <c r="I47" s="54">
        <f t="shared" si="3"/>
        <v>18.670000000000002</v>
      </c>
      <c r="J47" s="52">
        <f t="shared" si="4"/>
        <v>5</v>
      </c>
      <c r="K47" s="53">
        <v>202</v>
      </c>
      <c r="L47" s="54">
        <f t="shared" si="5"/>
        <v>20.77</v>
      </c>
      <c r="M47" s="52">
        <f t="shared" si="6"/>
        <v>3</v>
      </c>
      <c r="N47" s="53">
        <v>205</v>
      </c>
      <c r="O47" s="54">
        <f t="shared" si="7"/>
        <v>19.16</v>
      </c>
      <c r="P47" s="52">
        <f t="shared" si="8"/>
        <v>5</v>
      </c>
      <c r="Q47" s="53">
        <v>210</v>
      </c>
      <c r="R47" s="54">
        <f t="shared" si="9"/>
        <v>14.35</v>
      </c>
      <c r="S47" s="55">
        <f t="shared" si="10"/>
        <v>6</v>
      </c>
      <c r="T47" s="53">
        <v>216</v>
      </c>
      <c r="U47" s="54">
        <f t="shared" si="11"/>
        <v>17.88</v>
      </c>
      <c r="V47" s="55">
        <f t="shared" si="12"/>
        <v>5</v>
      </c>
      <c r="W47" s="56">
        <v>221</v>
      </c>
      <c r="X47" s="54">
        <f t="shared" si="13"/>
        <v>14.876000000000001</v>
      </c>
      <c r="Y47" s="81">
        <f t="shared" si="14"/>
        <v>6</v>
      </c>
      <c r="Z47" s="81">
        <v>227</v>
      </c>
      <c r="AA47" s="54">
        <f t="shared" si="15"/>
        <v>18.59</v>
      </c>
    </row>
    <row r="48" spans="1:27" x14ac:dyDescent="0.25">
      <c r="A48" s="7" t="s">
        <v>433</v>
      </c>
      <c r="B48" s="52">
        <v>78.34</v>
      </c>
      <c r="C48" s="52">
        <f t="shared" si="0"/>
        <v>0.70000000000000284</v>
      </c>
      <c r="D48" s="52">
        <v>79.040000000000006</v>
      </c>
      <c r="E48" s="52">
        <f t="shared" si="1"/>
        <v>0.35999999999999943</v>
      </c>
      <c r="F48" s="52">
        <v>79.400000000000006</v>
      </c>
      <c r="G48" s="52">
        <f t="shared" si="2"/>
        <v>0.2879999999999967</v>
      </c>
      <c r="H48" s="53">
        <v>79.688000000000002</v>
      </c>
      <c r="I48" s="54">
        <f t="shared" si="3"/>
        <v>1.08</v>
      </c>
      <c r="J48" s="52">
        <f t="shared" si="4"/>
        <v>2.1189999999999998</v>
      </c>
      <c r="K48" s="53">
        <v>81.807000000000002</v>
      </c>
      <c r="L48" s="54">
        <f t="shared" si="5"/>
        <v>8.8000000000000007</v>
      </c>
      <c r="M48" s="52">
        <f t="shared" si="6"/>
        <v>0.95199999999999818</v>
      </c>
      <c r="N48" s="53">
        <v>82.759</v>
      </c>
      <c r="O48" s="54">
        <f t="shared" si="7"/>
        <v>6.08</v>
      </c>
      <c r="P48" s="52">
        <f t="shared" si="8"/>
        <v>0.24099999999999966</v>
      </c>
      <c r="Q48" s="53">
        <v>83</v>
      </c>
      <c r="R48" s="54">
        <f t="shared" si="9"/>
        <v>0.69</v>
      </c>
      <c r="S48" s="55">
        <f t="shared" si="10"/>
        <v>1.9879999999999995</v>
      </c>
      <c r="T48" s="53">
        <v>84.988</v>
      </c>
      <c r="U48" s="54">
        <f t="shared" si="11"/>
        <v>5.92</v>
      </c>
      <c r="V48" s="55">
        <f t="shared" si="12"/>
        <v>1.0120000000000005</v>
      </c>
      <c r="W48" s="56">
        <v>86</v>
      </c>
      <c r="X48" s="54">
        <f t="shared" si="13"/>
        <v>3.0109024000000013</v>
      </c>
      <c r="Y48" s="81">
        <f t="shared" si="14"/>
        <v>3</v>
      </c>
      <c r="Z48" s="81">
        <v>89</v>
      </c>
      <c r="AA48" s="54">
        <f t="shared" si="15"/>
        <v>9.3000000000000007</v>
      </c>
    </row>
    <row r="49" spans="1:27" x14ac:dyDescent="0.25">
      <c r="A49" s="7" t="s">
        <v>178</v>
      </c>
      <c r="B49" s="52">
        <v>137</v>
      </c>
      <c r="C49" s="52">
        <f t="shared" si="0"/>
        <v>2</v>
      </c>
      <c r="D49" s="52">
        <v>139</v>
      </c>
      <c r="E49" s="52">
        <f t="shared" si="1"/>
        <v>0</v>
      </c>
      <c r="F49" s="52">
        <v>139</v>
      </c>
      <c r="G49" s="52">
        <f t="shared" si="2"/>
        <v>1</v>
      </c>
      <c r="H49" s="53">
        <v>140</v>
      </c>
      <c r="I49" s="54">
        <f t="shared" si="3"/>
        <v>3.73</v>
      </c>
      <c r="J49" s="52">
        <f t="shared" si="4"/>
        <v>1</v>
      </c>
      <c r="K49" s="53">
        <v>141</v>
      </c>
      <c r="L49" s="54">
        <f t="shared" si="5"/>
        <v>4.1500000000000004</v>
      </c>
      <c r="M49" s="52">
        <f t="shared" si="6"/>
        <v>1</v>
      </c>
      <c r="N49" s="53">
        <v>142</v>
      </c>
      <c r="O49" s="54">
        <f t="shared" si="7"/>
        <v>6.39</v>
      </c>
      <c r="P49" s="52">
        <f t="shared" si="8"/>
        <v>0</v>
      </c>
      <c r="Q49" s="53">
        <v>142</v>
      </c>
      <c r="R49" s="54">
        <f t="shared" si="9"/>
        <v>0</v>
      </c>
      <c r="S49" s="55">
        <f t="shared" si="10"/>
        <v>3</v>
      </c>
      <c r="T49" s="53">
        <v>145</v>
      </c>
      <c r="U49" s="54">
        <f t="shared" si="11"/>
        <v>8.94</v>
      </c>
      <c r="V49" s="55">
        <f t="shared" si="12"/>
        <v>4</v>
      </c>
      <c r="W49" s="56">
        <v>149</v>
      </c>
      <c r="X49" s="54">
        <f t="shared" si="13"/>
        <v>11.9008</v>
      </c>
      <c r="Y49" s="81">
        <f t="shared" si="14"/>
        <v>1</v>
      </c>
      <c r="Z49" s="81">
        <v>150</v>
      </c>
      <c r="AA49" s="54">
        <f t="shared" si="15"/>
        <v>3.1</v>
      </c>
    </row>
    <row r="50" spans="1:27" x14ac:dyDescent="0.25">
      <c r="A50" s="7" t="s">
        <v>544</v>
      </c>
      <c r="B50" s="52">
        <v>297</v>
      </c>
      <c r="C50" s="52">
        <f t="shared" si="0"/>
        <v>6</v>
      </c>
      <c r="D50" s="52">
        <v>303</v>
      </c>
      <c r="E50" s="52">
        <f t="shared" si="1"/>
        <v>8</v>
      </c>
      <c r="F50" s="52">
        <v>311</v>
      </c>
      <c r="G50" s="52">
        <f t="shared" si="2"/>
        <v>8</v>
      </c>
      <c r="H50" s="53">
        <v>319</v>
      </c>
      <c r="I50" s="54">
        <f t="shared" si="3"/>
        <v>29.87</v>
      </c>
      <c r="J50" s="52">
        <f t="shared" si="4"/>
        <v>7</v>
      </c>
      <c r="K50" s="53">
        <v>326</v>
      </c>
      <c r="L50" s="54">
        <f t="shared" si="5"/>
        <v>29.08</v>
      </c>
      <c r="M50" s="52">
        <f t="shared" si="6"/>
        <v>5</v>
      </c>
      <c r="N50" s="53">
        <v>331</v>
      </c>
      <c r="O50" s="54">
        <f t="shared" si="7"/>
        <v>31.93</v>
      </c>
      <c r="P50" s="52">
        <f t="shared" si="8"/>
        <v>8</v>
      </c>
      <c r="Q50" s="53">
        <v>339</v>
      </c>
      <c r="R50" s="54">
        <f t="shared" si="9"/>
        <v>22.96</v>
      </c>
      <c r="S50" s="55">
        <f t="shared" si="10"/>
        <v>8</v>
      </c>
      <c r="T50" s="53">
        <v>347</v>
      </c>
      <c r="U50" s="54">
        <f t="shared" si="11"/>
        <v>23.84</v>
      </c>
      <c r="V50" s="55">
        <f t="shared" si="12"/>
        <v>8</v>
      </c>
      <c r="W50" s="56">
        <v>355</v>
      </c>
      <c r="X50" s="54">
        <f t="shared" si="13"/>
        <v>23.801600000000001</v>
      </c>
      <c r="Y50" s="81">
        <f t="shared" si="14"/>
        <v>11</v>
      </c>
      <c r="Z50" s="81">
        <v>366</v>
      </c>
      <c r="AA50" s="54">
        <f t="shared" si="15"/>
        <v>34.090000000000003</v>
      </c>
    </row>
    <row r="51" spans="1:27" x14ac:dyDescent="0.25">
      <c r="A51" s="7" t="s">
        <v>130</v>
      </c>
      <c r="B51" s="52">
        <v>209</v>
      </c>
      <c r="C51" s="52">
        <f t="shared" si="0"/>
        <v>7</v>
      </c>
      <c r="D51" s="52">
        <v>216</v>
      </c>
      <c r="E51" s="52">
        <f t="shared" si="1"/>
        <v>6</v>
      </c>
      <c r="F51" s="52">
        <v>222</v>
      </c>
      <c r="G51" s="52">
        <f t="shared" si="2"/>
        <v>8</v>
      </c>
      <c r="H51" s="53">
        <v>230</v>
      </c>
      <c r="I51" s="54">
        <f t="shared" si="3"/>
        <v>29.87</v>
      </c>
      <c r="J51" s="52">
        <f t="shared" si="4"/>
        <v>6</v>
      </c>
      <c r="K51" s="53">
        <v>236</v>
      </c>
      <c r="L51" s="54">
        <f t="shared" si="5"/>
        <v>24.93</v>
      </c>
      <c r="M51" s="52">
        <f t="shared" si="6"/>
        <v>4</v>
      </c>
      <c r="N51" s="53">
        <v>240</v>
      </c>
      <c r="O51" s="54">
        <f t="shared" si="7"/>
        <v>25.54</v>
      </c>
      <c r="P51" s="52">
        <f t="shared" si="8"/>
        <v>5</v>
      </c>
      <c r="Q51" s="53">
        <v>245</v>
      </c>
      <c r="R51" s="54">
        <f t="shared" si="9"/>
        <v>14.35</v>
      </c>
      <c r="S51" s="55">
        <f t="shared" si="10"/>
        <v>7</v>
      </c>
      <c r="T51" s="53">
        <v>252</v>
      </c>
      <c r="U51" s="54">
        <f t="shared" si="11"/>
        <v>20.86</v>
      </c>
      <c r="V51" s="55">
        <f t="shared" si="12"/>
        <v>7</v>
      </c>
      <c r="W51" s="56">
        <v>259</v>
      </c>
      <c r="X51" s="54">
        <f t="shared" si="13"/>
        <v>20.8264</v>
      </c>
      <c r="Y51" s="81">
        <f t="shared" si="14"/>
        <v>7</v>
      </c>
      <c r="Z51" s="81">
        <v>266</v>
      </c>
      <c r="AA51" s="54">
        <f t="shared" si="15"/>
        <v>21.69</v>
      </c>
    </row>
    <row r="52" spans="1:27" x14ac:dyDescent="0.25">
      <c r="A52" s="7" t="s">
        <v>589</v>
      </c>
      <c r="B52" s="52">
        <v>37</v>
      </c>
      <c r="C52" s="52">
        <f t="shared" si="0"/>
        <v>1</v>
      </c>
      <c r="D52" s="52">
        <v>38</v>
      </c>
      <c r="E52" s="52">
        <f t="shared" si="1"/>
        <v>0</v>
      </c>
      <c r="F52" s="52">
        <v>38</v>
      </c>
      <c r="G52" s="52">
        <f t="shared" si="2"/>
        <v>1</v>
      </c>
      <c r="H52" s="53">
        <v>39</v>
      </c>
      <c r="I52" s="54">
        <f t="shared" si="3"/>
        <v>3.73</v>
      </c>
      <c r="J52" s="52">
        <f t="shared" si="4"/>
        <v>0</v>
      </c>
      <c r="K52" s="53">
        <v>39</v>
      </c>
      <c r="L52" s="54">
        <f t="shared" si="5"/>
        <v>0</v>
      </c>
      <c r="M52" s="52">
        <f t="shared" si="6"/>
        <v>1</v>
      </c>
      <c r="N52" s="53">
        <v>40</v>
      </c>
      <c r="O52" s="54">
        <f t="shared" si="7"/>
        <v>6.39</v>
      </c>
      <c r="P52" s="52">
        <f t="shared" si="8"/>
        <v>1</v>
      </c>
      <c r="Q52" s="53">
        <v>41</v>
      </c>
      <c r="R52" s="54">
        <f t="shared" si="9"/>
        <v>2.87</v>
      </c>
      <c r="S52" s="55">
        <f t="shared" si="10"/>
        <v>17</v>
      </c>
      <c r="T52" s="53">
        <v>58</v>
      </c>
      <c r="U52" s="54">
        <f t="shared" si="11"/>
        <v>50.66</v>
      </c>
      <c r="V52" s="55">
        <f t="shared" si="12"/>
        <v>23</v>
      </c>
      <c r="W52" s="56">
        <v>81</v>
      </c>
      <c r="X52" s="54">
        <f t="shared" si="13"/>
        <v>68.429600000000008</v>
      </c>
      <c r="Y52" s="81">
        <f t="shared" si="14"/>
        <v>28</v>
      </c>
      <c r="Z52" s="81">
        <v>109</v>
      </c>
      <c r="AA52" s="54">
        <f t="shared" si="15"/>
        <v>86.77</v>
      </c>
    </row>
    <row r="53" spans="1:27" x14ac:dyDescent="0.25">
      <c r="A53" s="7" t="s">
        <v>547</v>
      </c>
      <c r="B53" s="52">
        <v>289</v>
      </c>
      <c r="C53" s="52">
        <f t="shared" si="0"/>
        <v>12</v>
      </c>
      <c r="D53" s="52">
        <v>301</v>
      </c>
      <c r="E53" s="52">
        <f t="shared" si="1"/>
        <v>11</v>
      </c>
      <c r="F53" s="52">
        <v>312</v>
      </c>
      <c r="G53" s="52">
        <f t="shared" si="2"/>
        <v>11</v>
      </c>
      <c r="H53" s="53">
        <v>323</v>
      </c>
      <c r="I53" s="54">
        <f t="shared" si="3"/>
        <v>41.08</v>
      </c>
      <c r="J53" s="52">
        <f t="shared" si="4"/>
        <v>10</v>
      </c>
      <c r="K53" s="53">
        <v>333</v>
      </c>
      <c r="L53" s="54">
        <f t="shared" si="5"/>
        <v>41.55</v>
      </c>
      <c r="M53" s="52">
        <f t="shared" si="6"/>
        <v>6</v>
      </c>
      <c r="N53" s="53">
        <v>339</v>
      </c>
      <c r="O53" s="54">
        <f t="shared" si="7"/>
        <v>38.31</v>
      </c>
      <c r="P53" s="52">
        <f t="shared" si="8"/>
        <v>8</v>
      </c>
      <c r="Q53" s="53">
        <v>347</v>
      </c>
      <c r="R53" s="54">
        <f t="shared" si="9"/>
        <v>22.96</v>
      </c>
      <c r="S53" s="55">
        <f t="shared" si="10"/>
        <v>10</v>
      </c>
      <c r="T53" s="53">
        <v>357</v>
      </c>
      <c r="U53" s="54">
        <f t="shared" si="11"/>
        <v>29.8</v>
      </c>
      <c r="V53" s="55">
        <f t="shared" si="12"/>
        <v>11</v>
      </c>
      <c r="W53" s="56">
        <v>368</v>
      </c>
      <c r="X53" s="54">
        <f t="shared" si="13"/>
        <v>32.727200000000003</v>
      </c>
      <c r="Y53" s="81">
        <f t="shared" si="14"/>
        <v>12</v>
      </c>
      <c r="Z53" s="81">
        <v>380</v>
      </c>
      <c r="AA53" s="54">
        <f t="shared" si="15"/>
        <v>37.19</v>
      </c>
    </row>
    <row r="54" spans="1:27" x14ac:dyDescent="0.25">
      <c r="A54" s="7" t="s">
        <v>657</v>
      </c>
      <c r="B54" s="52">
        <v>92</v>
      </c>
      <c r="C54" s="52">
        <f t="shared" si="0"/>
        <v>2</v>
      </c>
      <c r="D54" s="52">
        <v>94</v>
      </c>
      <c r="E54" s="52">
        <f t="shared" si="1"/>
        <v>1</v>
      </c>
      <c r="F54" s="52">
        <v>95</v>
      </c>
      <c r="G54" s="52">
        <f t="shared" si="2"/>
        <v>6</v>
      </c>
      <c r="H54" s="53">
        <v>101</v>
      </c>
      <c r="I54" s="54">
        <f t="shared" si="3"/>
        <v>22.41</v>
      </c>
      <c r="J54" s="52">
        <f t="shared" si="4"/>
        <v>2</v>
      </c>
      <c r="K54" s="53">
        <v>103</v>
      </c>
      <c r="L54" s="54">
        <f t="shared" si="5"/>
        <v>8.31</v>
      </c>
      <c r="M54" s="52">
        <f t="shared" si="6"/>
        <v>1</v>
      </c>
      <c r="N54" s="53">
        <v>104</v>
      </c>
      <c r="O54" s="54">
        <f t="shared" si="7"/>
        <v>6.39</v>
      </c>
      <c r="P54" s="52">
        <f t="shared" si="8"/>
        <v>2</v>
      </c>
      <c r="Q54" s="53">
        <v>106</v>
      </c>
      <c r="R54" s="54">
        <f t="shared" si="9"/>
        <v>5.74</v>
      </c>
      <c r="S54" s="55">
        <f t="shared" si="10"/>
        <v>1</v>
      </c>
      <c r="T54" s="53">
        <v>107</v>
      </c>
      <c r="U54" s="54">
        <f t="shared" si="11"/>
        <v>2.98</v>
      </c>
      <c r="V54" s="55">
        <f t="shared" si="12"/>
        <v>4</v>
      </c>
      <c r="W54" s="56">
        <v>111</v>
      </c>
      <c r="X54" s="54">
        <f t="shared" si="13"/>
        <v>11.9008</v>
      </c>
      <c r="Y54" s="81">
        <f t="shared" si="14"/>
        <v>6</v>
      </c>
      <c r="Z54" s="81">
        <v>117</v>
      </c>
      <c r="AA54" s="54">
        <f t="shared" si="15"/>
        <v>18.59</v>
      </c>
    </row>
    <row r="55" spans="1:27" x14ac:dyDescent="0.25">
      <c r="A55" s="7" t="s">
        <v>400</v>
      </c>
      <c r="B55" s="52">
        <v>350</v>
      </c>
      <c r="C55" s="52">
        <f t="shared" si="0"/>
        <v>18</v>
      </c>
      <c r="D55" s="52">
        <v>368</v>
      </c>
      <c r="E55" s="52">
        <f t="shared" si="1"/>
        <v>11</v>
      </c>
      <c r="F55" s="52">
        <v>379</v>
      </c>
      <c r="G55" s="52">
        <f t="shared" si="2"/>
        <v>13</v>
      </c>
      <c r="H55" s="53">
        <v>392</v>
      </c>
      <c r="I55" s="54">
        <f t="shared" si="3"/>
        <v>48.54</v>
      </c>
      <c r="J55" s="52">
        <f t="shared" si="4"/>
        <v>13</v>
      </c>
      <c r="K55" s="53">
        <v>405</v>
      </c>
      <c r="L55" s="54">
        <f t="shared" si="5"/>
        <v>54.01</v>
      </c>
      <c r="M55" s="52">
        <f t="shared" si="6"/>
        <v>10</v>
      </c>
      <c r="N55" s="53">
        <v>415</v>
      </c>
      <c r="O55" s="54">
        <f t="shared" si="7"/>
        <v>63.86</v>
      </c>
      <c r="P55" s="52">
        <f t="shared" si="8"/>
        <v>10</v>
      </c>
      <c r="Q55" s="53">
        <v>425</v>
      </c>
      <c r="R55" s="54">
        <f t="shared" si="9"/>
        <v>28.7</v>
      </c>
      <c r="S55" s="55">
        <f t="shared" si="10"/>
        <v>19</v>
      </c>
      <c r="T55" s="53">
        <v>444</v>
      </c>
      <c r="U55" s="54">
        <f t="shared" si="11"/>
        <v>56.62</v>
      </c>
      <c r="V55" s="55">
        <f t="shared" si="12"/>
        <v>13</v>
      </c>
      <c r="W55" s="56">
        <v>457</v>
      </c>
      <c r="X55" s="54">
        <f t="shared" si="13"/>
        <v>38.677599999999998</v>
      </c>
      <c r="Y55" s="81">
        <f t="shared" si="14"/>
        <v>16</v>
      </c>
      <c r="Z55" s="81">
        <v>473</v>
      </c>
      <c r="AA55" s="54">
        <f t="shared" si="15"/>
        <v>49.58</v>
      </c>
    </row>
    <row r="56" spans="1:27" x14ac:dyDescent="0.25">
      <c r="A56" s="7" t="s">
        <v>268</v>
      </c>
      <c r="B56" s="52">
        <v>5</v>
      </c>
      <c r="C56" s="52">
        <f t="shared" si="0"/>
        <v>0</v>
      </c>
      <c r="D56" s="52">
        <v>5</v>
      </c>
      <c r="E56" s="52">
        <f t="shared" si="1"/>
        <v>0</v>
      </c>
      <c r="F56" s="52">
        <v>5</v>
      </c>
      <c r="G56" s="52">
        <f t="shared" si="2"/>
        <v>0</v>
      </c>
      <c r="H56" s="53">
        <v>5</v>
      </c>
      <c r="I56" s="54">
        <f t="shared" si="3"/>
        <v>0</v>
      </c>
      <c r="J56" s="52">
        <f t="shared" si="4"/>
        <v>0</v>
      </c>
      <c r="K56" s="53">
        <v>5</v>
      </c>
      <c r="L56" s="54">
        <f t="shared" si="5"/>
        <v>0</v>
      </c>
      <c r="M56" s="52">
        <f t="shared" si="6"/>
        <v>0</v>
      </c>
      <c r="N56" s="53">
        <v>5</v>
      </c>
      <c r="O56" s="54">
        <f t="shared" si="7"/>
        <v>0</v>
      </c>
      <c r="P56" s="52">
        <f t="shared" si="8"/>
        <v>2</v>
      </c>
      <c r="Q56" s="53">
        <v>7</v>
      </c>
      <c r="R56" s="54">
        <f t="shared" si="9"/>
        <v>5.74</v>
      </c>
      <c r="S56" s="55">
        <f t="shared" si="10"/>
        <v>0</v>
      </c>
      <c r="T56" s="53">
        <v>7</v>
      </c>
      <c r="U56" s="54">
        <f t="shared" si="11"/>
        <v>0</v>
      </c>
      <c r="V56" s="55">
        <f t="shared" si="12"/>
        <v>0</v>
      </c>
      <c r="W56" s="56">
        <v>7</v>
      </c>
      <c r="X56" s="54">
        <f t="shared" si="13"/>
        <v>0</v>
      </c>
      <c r="Y56" s="81">
        <f t="shared" si="14"/>
        <v>0</v>
      </c>
      <c r="Z56" s="81">
        <v>7</v>
      </c>
      <c r="AA56" s="54">
        <f t="shared" si="15"/>
        <v>0</v>
      </c>
    </row>
    <row r="57" spans="1:27" x14ac:dyDescent="0.25">
      <c r="A57" s="7" t="s">
        <v>406</v>
      </c>
      <c r="B57" s="52">
        <v>81</v>
      </c>
      <c r="C57" s="52">
        <f t="shared" si="0"/>
        <v>3</v>
      </c>
      <c r="D57" s="52">
        <v>84</v>
      </c>
      <c r="E57" s="52">
        <f t="shared" si="1"/>
        <v>3</v>
      </c>
      <c r="F57" s="52">
        <v>87</v>
      </c>
      <c r="G57" s="52">
        <f t="shared" si="2"/>
        <v>2</v>
      </c>
      <c r="H57" s="53">
        <v>89</v>
      </c>
      <c r="I57" s="54">
        <f t="shared" si="3"/>
        <v>7.47</v>
      </c>
      <c r="J57" s="52">
        <f t="shared" si="4"/>
        <v>3</v>
      </c>
      <c r="K57" s="53">
        <v>92</v>
      </c>
      <c r="L57" s="54">
        <f t="shared" si="5"/>
        <v>12.46</v>
      </c>
      <c r="M57" s="52">
        <f t="shared" si="6"/>
        <v>2</v>
      </c>
      <c r="N57" s="53">
        <v>94</v>
      </c>
      <c r="O57" s="54">
        <f t="shared" si="7"/>
        <v>12.77</v>
      </c>
      <c r="P57" s="52">
        <f t="shared" si="8"/>
        <v>2</v>
      </c>
      <c r="Q57" s="53">
        <v>96</v>
      </c>
      <c r="R57" s="54">
        <f t="shared" si="9"/>
        <v>5.74</v>
      </c>
      <c r="S57" s="55">
        <f t="shared" si="10"/>
        <v>3</v>
      </c>
      <c r="T57" s="53">
        <v>99</v>
      </c>
      <c r="U57" s="54">
        <f t="shared" si="11"/>
        <v>8.94</v>
      </c>
      <c r="V57" s="55">
        <f t="shared" si="12"/>
        <v>2</v>
      </c>
      <c r="W57" s="56">
        <v>101</v>
      </c>
      <c r="X57" s="54">
        <f t="shared" si="13"/>
        <v>5.9504000000000001</v>
      </c>
      <c r="Y57" s="81">
        <f t="shared" si="14"/>
        <v>3</v>
      </c>
      <c r="Z57" s="81">
        <v>104</v>
      </c>
      <c r="AA57" s="54">
        <f t="shared" si="15"/>
        <v>9.3000000000000007</v>
      </c>
    </row>
    <row r="58" spans="1:27" x14ac:dyDescent="0.25">
      <c r="A58" s="7" t="s">
        <v>112</v>
      </c>
      <c r="B58" s="52">
        <v>201.23</v>
      </c>
      <c r="C58" s="52">
        <f t="shared" si="0"/>
        <v>5.8200000000000216</v>
      </c>
      <c r="D58" s="52">
        <v>207.05</v>
      </c>
      <c r="E58" s="52">
        <f t="shared" si="1"/>
        <v>6.3100000000000023</v>
      </c>
      <c r="F58" s="52">
        <v>213.36</v>
      </c>
      <c r="G58" s="52">
        <f t="shared" si="2"/>
        <v>0</v>
      </c>
      <c r="H58" s="53">
        <v>213.36</v>
      </c>
      <c r="I58" s="54">
        <f t="shared" si="3"/>
        <v>0</v>
      </c>
      <c r="J58" s="52">
        <f t="shared" si="4"/>
        <v>12.056999999999988</v>
      </c>
      <c r="K58" s="53">
        <v>225.417</v>
      </c>
      <c r="L58" s="54">
        <f t="shared" si="5"/>
        <v>50.09</v>
      </c>
      <c r="M58" s="52">
        <f t="shared" si="6"/>
        <v>4.4370000000000118</v>
      </c>
      <c r="N58" s="53">
        <v>229.85400000000001</v>
      </c>
      <c r="O58" s="54">
        <f t="shared" si="7"/>
        <v>28.33</v>
      </c>
      <c r="P58" s="52">
        <f t="shared" si="8"/>
        <v>5.1459999999999866</v>
      </c>
      <c r="Q58" s="53">
        <v>235</v>
      </c>
      <c r="R58" s="54">
        <f t="shared" si="9"/>
        <v>14.77</v>
      </c>
      <c r="S58" s="55">
        <f t="shared" si="10"/>
        <v>6.0219999999999914</v>
      </c>
      <c r="T58" s="53">
        <v>241.02199999999999</v>
      </c>
      <c r="U58" s="54">
        <f t="shared" si="11"/>
        <v>17.940000000000001</v>
      </c>
      <c r="V58" s="55">
        <f t="shared" si="12"/>
        <v>2.9780000000000086</v>
      </c>
      <c r="W58" s="56">
        <v>244</v>
      </c>
      <c r="X58" s="54">
        <f t="shared" si="13"/>
        <v>8.8601456000000258</v>
      </c>
      <c r="Y58" s="81">
        <f t="shared" si="14"/>
        <v>6</v>
      </c>
      <c r="Z58" s="81">
        <v>250</v>
      </c>
      <c r="AA58" s="54">
        <f t="shared" si="15"/>
        <v>18.59</v>
      </c>
    </row>
    <row r="59" spans="1:27" x14ac:dyDescent="0.25">
      <c r="A59" s="7" t="s">
        <v>421</v>
      </c>
      <c r="B59" s="52">
        <v>1.0900000000000001</v>
      </c>
      <c r="C59" s="52">
        <f t="shared" si="0"/>
        <v>0</v>
      </c>
      <c r="D59" s="52">
        <v>1.0900000000000001</v>
      </c>
      <c r="E59" s="52">
        <f t="shared" si="1"/>
        <v>0</v>
      </c>
      <c r="F59" s="52">
        <v>1.0900000000000001</v>
      </c>
      <c r="G59" s="52">
        <f t="shared" si="2"/>
        <v>0</v>
      </c>
      <c r="H59" s="53">
        <v>1.0900000000000001</v>
      </c>
      <c r="I59" s="54">
        <f t="shared" si="3"/>
        <v>0</v>
      </c>
      <c r="J59" s="52">
        <f t="shared" si="4"/>
        <v>0</v>
      </c>
      <c r="K59" s="53">
        <v>1.0900000000000001</v>
      </c>
      <c r="L59" s="54">
        <f t="shared" si="5"/>
        <v>0</v>
      </c>
      <c r="M59" s="52">
        <f t="shared" si="6"/>
        <v>0</v>
      </c>
      <c r="N59" s="53">
        <v>1.0900000000000001</v>
      </c>
      <c r="O59" s="54">
        <f t="shared" si="7"/>
        <v>0</v>
      </c>
      <c r="P59" s="52">
        <f t="shared" si="8"/>
        <v>0</v>
      </c>
      <c r="Q59" s="53">
        <v>1.0900000000000001</v>
      </c>
      <c r="R59" s="54">
        <f t="shared" si="9"/>
        <v>0</v>
      </c>
      <c r="S59" s="55">
        <f t="shared" si="10"/>
        <v>0</v>
      </c>
      <c r="T59" s="53">
        <v>1.0900000000000001</v>
      </c>
      <c r="U59" s="54">
        <f t="shared" si="11"/>
        <v>0</v>
      </c>
      <c r="V59" s="55">
        <f t="shared" si="12"/>
        <v>-9.000000000000008E-2</v>
      </c>
      <c r="W59" s="56">
        <v>1</v>
      </c>
      <c r="X59" s="54">
        <f t="shared" si="13"/>
        <v>-0.26776800000000023</v>
      </c>
      <c r="Y59" s="81">
        <f t="shared" si="14"/>
        <v>0</v>
      </c>
      <c r="Z59" s="81">
        <v>1</v>
      </c>
      <c r="AA59" s="54">
        <f t="shared" si="15"/>
        <v>0</v>
      </c>
    </row>
    <row r="60" spans="1:27" x14ac:dyDescent="0.25">
      <c r="A60" s="7" t="s">
        <v>259</v>
      </c>
      <c r="B60" s="52">
        <v>378.97</v>
      </c>
      <c r="C60" s="52">
        <f t="shared" si="0"/>
        <v>11.979999999999961</v>
      </c>
      <c r="D60" s="52">
        <v>390.95</v>
      </c>
      <c r="E60" s="52">
        <f t="shared" si="1"/>
        <v>11.629999999999995</v>
      </c>
      <c r="F60" s="52">
        <v>402.58</v>
      </c>
      <c r="G60" s="52">
        <f t="shared" si="2"/>
        <v>14.38900000000001</v>
      </c>
      <c r="H60" s="53">
        <v>416.96899999999999</v>
      </c>
      <c r="I60" s="54">
        <f t="shared" si="3"/>
        <v>53.73</v>
      </c>
      <c r="J60" s="52">
        <f t="shared" si="4"/>
        <v>13.48599999999999</v>
      </c>
      <c r="K60" s="53">
        <v>430.45499999999998</v>
      </c>
      <c r="L60" s="54">
        <f t="shared" si="5"/>
        <v>56.03</v>
      </c>
      <c r="M60" s="52">
        <f t="shared" si="6"/>
        <v>8.8530000000000086</v>
      </c>
      <c r="N60" s="53">
        <v>439.30799999999999</v>
      </c>
      <c r="O60" s="54">
        <f t="shared" si="7"/>
        <v>56.53</v>
      </c>
      <c r="P60" s="52">
        <f t="shared" si="8"/>
        <v>9.6920000000000073</v>
      </c>
      <c r="Q60" s="53">
        <v>449</v>
      </c>
      <c r="R60" s="54">
        <f t="shared" si="9"/>
        <v>27.82</v>
      </c>
      <c r="S60" s="55">
        <f t="shared" si="10"/>
        <v>17.822999999999979</v>
      </c>
      <c r="T60" s="53">
        <v>466.82299999999998</v>
      </c>
      <c r="U60" s="54">
        <f t="shared" si="11"/>
        <v>53.11</v>
      </c>
      <c r="V60" s="55">
        <f t="shared" si="12"/>
        <v>13.177000000000021</v>
      </c>
      <c r="W60" s="56">
        <v>480</v>
      </c>
      <c r="X60" s="54">
        <f t="shared" si="13"/>
        <v>39.204210400000065</v>
      </c>
      <c r="Y60" s="81">
        <f t="shared" si="14"/>
        <v>19</v>
      </c>
      <c r="Z60" s="81">
        <v>499</v>
      </c>
      <c r="AA60" s="54">
        <f t="shared" si="15"/>
        <v>58.88</v>
      </c>
    </row>
    <row r="61" spans="1:27" x14ac:dyDescent="0.25">
      <c r="A61" s="7" t="s">
        <v>337</v>
      </c>
      <c r="B61" s="52">
        <v>489</v>
      </c>
      <c r="C61" s="52">
        <f t="shared" si="0"/>
        <v>16</v>
      </c>
      <c r="D61" s="52">
        <v>505</v>
      </c>
      <c r="E61" s="52">
        <f t="shared" si="1"/>
        <v>15</v>
      </c>
      <c r="F61" s="52">
        <v>520</v>
      </c>
      <c r="G61" s="52">
        <f t="shared" si="2"/>
        <v>17</v>
      </c>
      <c r="H61" s="53">
        <v>537</v>
      </c>
      <c r="I61" s="54">
        <f t="shared" si="3"/>
        <v>63.48</v>
      </c>
      <c r="J61" s="52">
        <f t="shared" si="4"/>
        <v>16</v>
      </c>
      <c r="K61" s="53">
        <v>553</v>
      </c>
      <c r="L61" s="54">
        <f t="shared" si="5"/>
        <v>66.48</v>
      </c>
      <c r="M61" s="52">
        <f t="shared" si="6"/>
        <v>9</v>
      </c>
      <c r="N61" s="53">
        <v>562</v>
      </c>
      <c r="O61" s="54">
        <f t="shared" si="7"/>
        <v>57.47</v>
      </c>
      <c r="P61" s="52">
        <f t="shared" si="8"/>
        <v>14</v>
      </c>
      <c r="Q61" s="53">
        <v>576</v>
      </c>
      <c r="R61" s="54">
        <f t="shared" si="9"/>
        <v>40.19</v>
      </c>
      <c r="S61" s="55">
        <f t="shared" si="10"/>
        <v>16</v>
      </c>
      <c r="T61" s="53">
        <v>592</v>
      </c>
      <c r="U61" s="54">
        <f t="shared" si="11"/>
        <v>47.68</v>
      </c>
      <c r="V61" s="55">
        <f t="shared" si="12"/>
        <v>18</v>
      </c>
      <c r="W61" s="56">
        <v>610</v>
      </c>
      <c r="X61" s="54">
        <f t="shared" si="13"/>
        <v>53.553600000000003</v>
      </c>
      <c r="Y61" s="81">
        <f t="shared" si="14"/>
        <v>21</v>
      </c>
      <c r="Z61" s="81">
        <v>631</v>
      </c>
      <c r="AA61" s="54">
        <f t="shared" si="15"/>
        <v>65.08</v>
      </c>
    </row>
    <row r="62" spans="1:27" x14ac:dyDescent="0.25">
      <c r="A62" s="7" t="s">
        <v>193</v>
      </c>
      <c r="B62" s="52">
        <v>71</v>
      </c>
      <c r="C62" s="52">
        <f t="shared" si="0"/>
        <v>2</v>
      </c>
      <c r="D62" s="52">
        <v>73</v>
      </c>
      <c r="E62" s="52">
        <f t="shared" si="1"/>
        <v>2</v>
      </c>
      <c r="F62" s="52">
        <v>75</v>
      </c>
      <c r="G62" s="52">
        <f t="shared" si="2"/>
        <v>3</v>
      </c>
      <c r="H62" s="53">
        <v>78</v>
      </c>
      <c r="I62" s="54">
        <f t="shared" si="3"/>
        <v>11.2</v>
      </c>
      <c r="J62" s="52">
        <f t="shared" si="4"/>
        <v>2</v>
      </c>
      <c r="K62" s="53">
        <v>80</v>
      </c>
      <c r="L62" s="54">
        <f t="shared" si="5"/>
        <v>8.31</v>
      </c>
      <c r="M62" s="52">
        <f t="shared" si="6"/>
        <v>1</v>
      </c>
      <c r="N62" s="53">
        <v>81</v>
      </c>
      <c r="O62" s="54">
        <f t="shared" si="7"/>
        <v>6.39</v>
      </c>
      <c r="P62" s="52">
        <f t="shared" si="8"/>
        <v>2</v>
      </c>
      <c r="Q62" s="53">
        <v>83</v>
      </c>
      <c r="R62" s="54">
        <f t="shared" si="9"/>
        <v>5.74</v>
      </c>
      <c r="S62" s="55">
        <f t="shared" si="10"/>
        <v>2</v>
      </c>
      <c r="T62" s="53">
        <v>85</v>
      </c>
      <c r="U62" s="54">
        <f t="shared" si="11"/>
        <v>5.96</v>
      </c>
      <c r="V62" s="55">
        <f t="shared" si="12"/>
        <v>3</v>
      </c>
      <c r="W62" s="56">
        <v>88</v>
      </c>
      <c r="X62" s="54">
        <f t="shared" si="13"/>
        <v>8.9255999999999993</v>
      </c>
      <c r="Y62" s="81">
        <f t="shared" si="14"/>
        <v>2</v>
      </c>
      <c r="Z62" s="81">
        <v>90</v>
      </c>
      <c r="AA62" s="54">
        <f t="shared" si="15"/>
        <v>6.2</v>
      </c>
    </row>
    <row r="63" spans="1:27" x14ac:dyDescent="0.25">
      <c r="A63" s="7" t="s">
        <v>451</v>
      </c>
      <c r="B63" s="52">
        <v>134</v>
      </c>
      <c r="C63" s="52">
        <f t="shared" si="0"/>
        <v>3</v>
      </c>
      <c r="D63" s="52">
        <v>137</v>
      </c>
      <c r="E63" s="52">
        <f t="shared" si="1"/>
        <v>1</v>
      </c>
      <c r="F63" s="52">
        <v>138</v>
      </c>
      <c r="G63" s="52">
        <f t="shared" si="2"/>
        <v>1</v>
      </c>
      <c r="H63" s="53">
        <v>139</v>
      </c>
      <c r="I63" s="54">
        <f t="shared" si="3"/>
        <v>3.73</v>
      </c>
      <c r="J63" s="52">
        <f t="shared" si="4"/>
        <v>1</v>
      </c>
      <c r="K63" s="53">
        <v>140</v>
      </c>
      <c r="L63" s="54">
        <f t="shared" si="5"/>
        <v>4.1500000000000004</v>
      </c>
      <c r="M63" s="52">
        <f t="shared" si="6"/>
        <v>0</v>
      </c>
      <c r="N63" s="53">
        <v>140</v>
      </c>
      <c r="O63" s="54">
        <f t="shared" si="7"/>
        <v>0</v>
      </c>
      <c r="P63" s="52">
        <f t="shared" si="8"/>
        <v>1</v>
      </c>
      <c r="Q63" s="53">
        <v>141</v>
      </c>
      <c r="R63" s="54">
        <f t="shared" si="9"/>
        <v>2.87</v>
      </c>
      <c r="S63" s="55">
        <f t="shared" si="10"/>
        <v>1</v>
      </c>
      <c r="T63" s="53">
        <v>142</v>
      </c>
      <c r="U63" s="54">
        <f t="shared" si="11"/>
        <v>2.98</v>
      </c>
      <c r="V63" s="55">
        <f t="shared" si="12"/>
        <v>1</v>
      </c>
      <c r="W63" s="56">
        <v>143</v>
      </c>
      <c r="X63" s="54">
        <f t="shared" si="13"/>
        <v>2.9752000000000001</v>
      </c>
      <c r="Y63" s="81">
        <f t="shared" si="14"/>
        <v>2</v>
      </c>
      <c r="Z63" s="81">
        <v>145</v>
      </c>
      <c r="AA63" s="54">
        <f t="shared" si="15"/>
        <v>6.2</v>
      </c>
    </row>
    <row r="64" spans="1:27" x14ac:dyDescent="0.25">
      <c r="A64" s="7" t="s">
        <v>166</v>
      </c>
      <c r="B64" s="52">
        <v>243</v>
      </c>
      <c r="C64" s="52">
        <f t="shared" si="0"/>
        <v>12</v>
      </c>
      <c r="D64" s="52">
        <v>255</v>
      </c>
      <c r="E64" s="52">
        <f t="shared" si="1"/>
        <v>11</v>
      </c>
      <c r="F64" s="52">
        <v>266</v>
      </c>
      <c r="G64" s="52">
        <f t="shared" si="2"/>
        <v>9</v>
      </c>
      <c r="H64" s="53">
        <v>275</v>
      </c>
      <c r="I64" s="54">
        <f t="shared" si="3"/>
        <v>33.61</v>
      </c>
      <c r="J64" s="52">
        <f t="shared" si="4"/>
        <v>12</v>
      </c>
      <c r="K64" s="53">
        <v>287</v>
      </c>
      <c r="L64" s="54">
        <f t="shared" si="5"/>
        <v>49.86</v>
      </c>
      <c r="M64" s="52">
        <f t="shared" si="6"/>
        <v>7</v>
      </c>
      <c r="N64" s="53">
        <v>294</v>
      </c>
      <c r="O64" s="54">
        <f t="shared" si="7"/>
        <v>44.7</v>
      </c>
      <c r="P64" s="52">
        <f t="shared" si="8"/>
        <v>10</v>
      </c>
      <c r="Q64" s="53">
        <v>304</v>
      </c>
      <c r="R64" s="54">
        <f t="shared" si="9"/>
        <v>28.7</v>
      </c>
      <c r="S64" s="55">
        <f t="shared" si="10"/>
        <v>14</v>
      </c>
      <c r="T64" s="53">
        <v>318</v>
      </c>
      <c r="U64" s="54">
        <f t="shared" si="11"/>
        <v>41.72</v>
      </c>
      <c r="V64" s="55">
        <f t="shared" si="12"/>
        <v>8</v>
      </c>
      <c r="W64" s="56">
        <v>326</v>
      </c>
      <c r="X64" s="54">
        <f t="shared" si="13"/>
        <v>23.801600000000001</v>
      </c>
      <c r="Y64" s="81">
        <f t="shared" si="14"/>
        <v>7</v>
      </c>
      <c r="Z64" s="81">
        <v>333</v>
      </c>
      <c r="AA64" s="54">
        <f t="shared" si="15"/>
        <v>21.69</v>
      </c>
    </row>
    <row r="65" spans="1:27" x14ac:dyDescent="0.25">
      <c r="A65" s="7" t="s">
        <v>559</v>
      </c>
      <c r="B65" s="52">
        <v>670</v>
      </c>
      <c r="C65" s="52">
        <f t="shared" si="0"/>
        <v>18</v>
      </c>
      <c r="D65" s="52">
        <v>688</v>
      </c>
      <c r="E65" s="52">
        <f t="shared" si="1"/>
        <v>16</v>
      </c>
      <c r="F65" s="52">
        <v>704</v>
      </c>
      <c r="G65" s="52">
        <f t="shared" si="2"/>
        <v>18</v>
      </c>
      <c r="H65" s="53">
        <v>722</v>
      </c>
      <c r="I65" s="54">
        <f t="shared" si="3"/>
        <v>67.22</v>
      </c>
      <c r="J65" s="52">
        <f t="shared" si="4"/>
        <v>18</v>
      </c>
      <c r="K65" s="53">
        <v>740</v>
      </c>
      <c r="L65" s="54">
        <f t="shared" si="5"/>
        <v>74.78</v>
      </c>
      <c r="M65" s="52">
        <f t="shared" si="6"/>
        <v>10</v>
      </c>
      <c r="N65" s="53">
        <v>750</v>
      </c>
      <c r="O65" s="54">
        <f t="shared" si="7"/>
        <v>63.86</v>
      </c>
      <c r="P65" s="52">
        <f t="shared" si="8"/>
        <v>15</v>
      </c>
      <c r="Q65" s="53">
        <v>765</v>
      </c>
      <c r="R65" s="54">
        <f t="shared" si="9"/>
        <v>43.06</v>
      </c>
      <c r="S65" s="55">
        <f t="shared" si="10"/>
        <v>17</v>
      </c>
      <c r="T65" s="53">
        <v>782</v>
      </c>
      <c r="U65" s="54">
        <f t="shared" si="11"/>
        <v>50.66</v>
      </c>
      <c r="V65" s="55">
        <f t="shared" si="12"/>
        <v>18</v>
      </c>
      <c r="W65" s="56">
        <v>800</v>
      </c>
      <c r="X65" s="54">
        <f t="shared" si="13"/>
        <v>53.553600000000003</v>
      </c>
      <c r="Y65" s="81">
        <f t="shared" si="14"/>
        <v>20</v>
      </c>
      <c r="Z65" s="81">
        <v>820</v>
      </c>
      <c r="AA65" s="54">
        <f t="shared" si="15"/>
        <v>61.98</v>
      </c>
    </row>
    <row r="66" spans="1:27" x14ac:dyDescent="0.25">
      <c r="A66" s="7" t="s">
        <v>28</v>
      </c>
      <c r="B66" s="52">
        <v>64</v>
      </c>
      <c r="C66" s="52">
        <f t="shared" si="0"/>
        <v>1</v>
      </c>
      <c r="D66" s="52">
        <v>65</v>
      </c>
      <c r="E66" s="52">
        <f t="shared" si="1"/>
        <v>1</v>
      </c>
      <c r="F66" s="52">
        <v>66</v>
      </c>
      <c r="G66" s="52">
        <f t="shared" si="2"/>
        <v>0</v>
      </c>
      <c r="H66" s="53">
        <v>66</v>
      </c>
      <c r="I66" s="54">
        <f t="shared" si="3"/>
        <v>0</v>
      </c>
      <c r="J66" s="52">
        <f t="shared" si="4"/>
        <v>1</v>
      </c>
      <c r="K66" s="53">
        <v>67</v>
      </c>
      <c r="L66" s="54">
        <f t="shared" si="5"/>
        <v>4.1500000000000004</v>
      </c>
      <c r="M66" s="52">
        <f t="shared" si="6"/>
        <v>1</v>
      </c>
      <c r="N66" s="53">
        <v>68</v>
      </c>
      <c r="O66" s="54">
        <f t="shared" si="7"/>
        <v>6.39</v>
      </c>
      <c r="P66" s="52">
        <f t="shared" si="8"/>
        <v>1</v>
      </c>
      <c r="Q66" s="53">
        <v>69</v>
      </c>
      <c r="R66" s="54">
        <f t="shared" si="9"/>
        <v>2.87</v>
      </c>
      <c r="S66" s="55">
        <f t="shared" si="10"/>
        <v>0</v>
      </c>
      <c r="T66" s="53">
        <v>69</v>
      </c>
      <c r="U66" s="54">
        <f t="shared" si="11"/>
        <v>0</v>
      </c>
      <c r="V66" s="55">
        <f t="shared" si="12"/>
        <v>2</v>
      </c>
      <c r="W66" s="56">
        <v>71</v>
      </c>
      <c r="X66" s="54">
        <f t="shared" si="13"/>
        <v>5.9504000000000001</v>
      </c>
      <c r="Y66" s="81">
        <f t="shared" si="14"/>
        <v>5</v>
      </c>
      <c r="Z66" s="81">
        <v>76</v>
      </c>
      <c r="AA66" s="54">
        <f t="shared" si="15"/>
        <v>15.49</v>
      </c>
    </row>
    <row r="67" spans="1:27" x14ac:dyDescent="0.25">
      <c r="A67" s="7" t="s">
        <v>364</v>
      </c>
      <c r="B67" s="52">
        <v>308</v>
      </c>
      <c r="C67" s="52">
        <f t="shared" si="0"/>
        <v>4</v>
      </c>
      <c r="D67" s="52">
        <v>312</v>
      </c>
      <c r="E67" s="52">
        <f t="shared" si="1"/>
        <v>8</v>
      </c>
      <c r="F67" s="52">
        <v>320</v>
      </c>
      <c r="G67" s="52">
        <f t="shared" si="2"/>
        <v>10</v>
      </c>
      <c r="H67" s="53">
        <v>330</v>
      </c>
      <c r="I67" s="54">
        <f t="shared" si="3"/>
        <v>37.340000000000003</v>
      </c>
      <c r="J67" s="52">
        <f t="shared" si="4"/>
        <v>5</v>
      </c>
      <c r="K67" s="53">
        <v>335</v>
      </c>
      <c r="L67" s="54">
        <f t="shared" si="5"/>
        <v>20.77</v>
      </c>
      <c r="M67" s="52">
        <f t="shared" si="6"/>
        <v>4</v>
      </c>
      <c r="N67" s="53">
        <v>339</v>
      </c>
      <c r="O67" s="54">
        <f t="shared" si="7"/>
        <v>25.54</v>
      </c>
      <c r="P67" s="52">
        <f t="shared" si="8"/>
        <v>7</v>
      </c>
      <c r="Q67" s="53">
        <v>346</v>
      </c>
      <c r="R67" s="54">
        <f t="shared" si="9"/>
        <v>20.09</v>
      </c>
      <c r="S67" s="55">
        <f t="shared" si="10"/>
        <v>10</v>
      </c>
      <c r="T67" s="53">
        <v>356</v>
      </c>
      <c r="U67" s="54">
        <f t="shared" si="11"/>
        <v>29.8</v>
      </c>
      <c r="V67" s="55">
        <f t="shared" si="12"/>
        <v>9</v>
      </c>
      <c r="W67" s="56">
        <v>365</v>
      </c>
      <c r="X67" s="54">
        <f t="shared" si="13"/>
        <v>26.776800000000001</v>
      </c>
      <c r="Y67" s="81">
        <f t="shared" si="14"/>
        <v>8</v>
      </c>
      <c r="Z67" s="81">
        <v>373</v>
      </c>
      <c r="AA67" s="54">
        <f t="shared" si="15"/>
        <v>24.79</v>
      </c>
    </row>
    <row r="68" spans="1:27" x14ac:dyDescent="0.25">
      <c r="A68" s="7" t="s">
        <v>529</v>
      </c>
      <c r="B68" s="52">
        <v>90</v>
      </c>
      <c r="C68" s="52">
        <f t="shared" si="0"/>
        <v>2</v>
      </c>
      <c r="D68" s="52">
        <v>92</v>
      </c>
      <c r="E68" s="52">
        <f t="shared" si="1"/>
        <v>1</v>
      </c>
      <c r="F68" s="52">
        <v>93</v>
      </c>
      <c r="G68" s="52">
        <f t="shared" si="2"/>
        <v>0</v>
      </c>
      <c r="H68" s="53">
        <v>93</v>
      </c>
      <c r="I68" s="54">
        <f t="shared" si="3"/>
        <v>0</v>
      </c>
      <c r="J68" s="52">
        <f t="shared" si="4"/>
        <v>1</v>
      </c>
      <c r="K68" s="53">
        <v>94</v>
      </c>
      <c r="L68" s="54">
        <f t="shared" si="5"/>
        <v>4.1500000000000004</v>
      </c>
      <c r="M68" s="52">
        <f t="shared" si="6"/>
        <v>1</v>
      </c>
      <c r="N68" s="53">
        <v>95</v>
      </c>
      <c r="O68" s="54">
        <f t="shared" si="7"/>
        <v>6.39</v>
      </c>
      <c r="P68" s="52">
        <f t="shared" si="8"/>
        <v>2</v>
      </c>
      <c r="Q68" s="53">
        <v>97</v>
      </c>
      <c r="R68" s="54">
        <f t="shared" si="9"/>
        <v>5.74</v>
      </c>
      <c r="S68" s="55">
        <f t="shared" si="10"/>
        <v>1</v>
      </c>
      <c r="T68" s="53">
        <v>98</v>
      </c>
      <c r="U68" s="54">
        <f t="shared" si="11"/>
        <v>2.98</v>
      </c>
      <c r="V68" s="55">
        <f t="shared" si="12"/>
        <v>3</v>
      </c>
      <c r="W68" s="56">
        <v>101</v>
      </c>
      <c r="X68" s="54">
        <f t="shared" si="13"/>
        <v>8.9255999999999993</v>
      </c>
      <c r="Y68" s="81">
        <f t="shared" si="14"/>
        <v>6</v>
      </c>
      <c r="Z68" s="81">
        <v>107</v>
      </c>
      <c r="AA68" s="54">
        <f t="shared" si="15"/>
        <v>18.59</v>
      </c>
    </row>
    <row r="69" spans="1:27" x14ac:dyDescent="0.25">
      <c r="A69" s="7" t="s">
        <v>109</v>
      </c>
      <c r="B69" s="52">
        <v>180</v>
      </c>
      <c r="C69" s="52">
        <f t="shared" si="0"/>
        <v>3</v>
      </c>
      <c r="D69" s="52">
        <v>183</v>
      </c>
      <c r="E69" s="52">
        <f t="shared" si="1"/>
        <v>6</v>
      </c>
      <c r="F69" s="52">
        <v>189</v>
      </c>
      <c r="G69" s="52">
        <f t="shared" si="2"/>
        <v>7</v>
      </c>
      <c r="H69" s="53">
        <v>196</v>
      </c>
      <c r="I69" s="54">
        <f t="shared" si="3"/>
        <v>26.14</v>
      </c>
      <c r="J69" s="52">
        <f t="shared" si="4"/>
        <v>5</v>
      </c>
      <c r="K69" s="53">
        <v>201</v>
      </c>
      <c r="L69" s="54">
        <f t="shared" si="5"/>
        <v>20.77</v>
      </c>
      <c r="M69" s="52">
        <f t="shared" si="6"/>
        <v>5</v>
      </c>
      <c r="N69" s="53">
        <v>206</v>
      </c>
      <c r="O69" s="54">
        <f t="shared" si="7"/>
        <v>31.93</v>
      </c>
      <c r="P69" s="52">
        <f t="shared" si="8"/>
        <v>5</v>
      </c>
      <c r="Q69" s="53">
        <v>211</v>
      </c>
      <c r="R69" s="54">
        <f t="shared" si="9"/>
        <v>14.35</v>
      </c>
      <c r="S69" s="55">
        <f t="shared" si="10"/>
        <v>6</v>
      </c>
      <c r="T69" s="53">
        <v>217</v>
      </c>
      <c r="U69" s="54">
        <f t="shared" si="11"/>
        <v>17.88</v>
      </c>
      <c r="V69" s="55">
        <f t="shared" si="12"/>
        <v>7</v>
      </c>
      <c r="W69" s="56">
        <v>224</v>
      </c>
      <c r="X69" s="54">
        <f t="shared" si="13"/>
        <v>20.8264</v>
      </c>
      <c r="Y69" s="81">
        <f t="shared" si="14"/>
        <v>8</v>
      </c>
      <c r="Z69" s="81">
        <v>232</v>
      </c>
      <c r="AA69" s="54">
        <f t="shared" si="15"/>
        <v>24.79</v>
      </c>
    </row>
    <row r="70" spans="1:27" x14ac:dyDescent="0.25">
      <c r="A70" s="7" t="s">
        <v>25</v>
      </c>
      <c r="B70" s="52">
        <v>273.87</v>
      </c>
      <c r="C70" s="52">
        <f t="shared" si="0"/>
        <v>10.060000000000002</v>
      </c>
      <c r="D70" s="52">
        <v>283.93</v>
      </c>
      <c r="E70" s="52">
        <f t="shared" si="1"/>
        <v>9.6200000000000045</v>
      </c>
      <c r="F70" s="52">
        <v>293.55</v>
      </c>
      <c r="G70" s="52">
        <f t="shared" si="2"/>
        <v>9.7609999999999673</v>
      </c>
      <c r="H70" s="53">
        <v>303.31099999999998</v>
      </c>
      <c r="I70" s="54">
        <f t="shared" si="3"/>
        <v>36.450000000000003</v>
      </c>
      <c r="J70" s="52">
        <f t="shared" si="4"/>
        <v>10.080000000000041</v>
      </c>
      <c r="K70" s="53">
        <v>313.39100000000002</v>
      </c>
      <c r="L70" s="54">
        <f t="shared" si="5"/>
        <v>41.88</v>
      </c>
      <c r="M70" s="52">
        <f t="shared" si="6"/>
        <v>6.1599999999999682</v>
      </c>
      <c r="N70" s="53">
        <v>319.55099999999999</v>
      </c>
      <c r="O70" s="54">
        <f t="shared" si="7"/>
        <v>39.340000000000003</v>
      </c>
      <c r="P70" s="52">
        <f t="shared" si="8"/>
        <v>7.4490000000000123</v>
      </c>
      <c r="Q70" s="53">
        <v>327</v>
      </c>
      <c r="R70" s="54">
        <f t="shared" si="9"/>
        <v>21.38</v>
      </c>
      <c r="S70" s="55">
        <f t="shared" si="10"/>
        <v>11.144999999999982</v>
      </c>
      <c r="T70" s="53">
        <v>338.14499999999998</v>
      </c>
      <c r="U70" s="54">
        <f t="shared" si="11"/>
        <v>33.21</v>
      </c>
      <c r="V70" s="55">
        <f t="shared" si="12"/>
        <v>8.8550000000000182</v>
      </c>
      <c r="W70" s="56">
        <v>347</v>
      </c>
      <c r="X70" s="54">
        <f t="shared" si="13"/>
        <v>26.345396000000054</v>
      </c>
      <c r="Y70" s="81">
        <f t="shared" si="14"/>
        <v>5</v>
      </c>
      <c r="Z70" s="81">
        <v>352</v>
      </c>
      <c r="AA70" s="54">
        <f t="shared" si="15"/>
        <v>15.49</v>
      </c>
    </row>
    <row r="71" spans="1:27" x14ac:dyDescent="0.25">
      <c r="A71" s="7" t="s">
        <v>82</v>
      </c>
      <c r="B71" s="52">
        <v>107.27</v>
      </c>
      <c r="C71" s="52">
        <f t="shared" si="0"/>
        <v>2.3900000000000006</v>
      </c>
      <c r="D71" s="52">
        <v>109.66</v>
      </c>
      <c r="E71" s="52">
        <f t="shared" si="1"/>
        <v>2.7400000000000091</v>
      </c>
      <c r="F71" s="52">
        <v>112.4</v>
      </c>
      <c r="G71" s="52">
        <f t="shared" si="2"/>
        <v>6.0609999999999928</v>
      </c>
      <c r="H71" s="53">
        <v>118.461</v>
      </c>
      <c r="I71" s="54">
        <f t="shared" si="3"/>
        <v>22.63</v>
      </c>
      <c r="J71" s="52">
        <f t="shared" si="4"/>
        <v>6.4839999999999947</v>
      </c>
      <c r="K71" s="53">
        <v>124.94499999999999</v>
      </c>
      <c r="L71" s="54">
        <f t="shared" si="5"/>
        <v>26.94</v>
      </c>
      <c r="M71" s="52">
        <f t="shared" si="6"/>
        <v>5.8340000000000032</v>
      </c>
      <c r="N71" s="53">
        <v>130.779</v>
      </c>
      <c r="O71" s="54">
        <f t="shared" si="7"/>
        <v>37.25</v>
      </c>
      <c r="P71" s="52">
        <f t="shared" si="8"/>
        <v>6.2210000000000036</v>
      </c>
      <c r="Q71" s="53">
        <v>137</v>
      </c>
      <c r="R71" s="54">
        <f t="shared" si="9"/>
        <v>17.86</v>
      </c>
      <c r="S71" s="55">
        <f t="shared" si="10"/>
        <v>7.8100000000000023</v>
      </c>
      <c r="T71" s="53">
        <v>144.81</v>
      </c>
      <c r="U71" s="54">
        <f t="shared" si="11"/>
        <v>23.27</v>
      </c>
      <c r="V71" s="55">
        <f t="shared" si="12"/>
        <v>6.1899999999999977</v>
      </c>
      <c r="W71" s="56">
        <v>151</v>
      </c>
      <c r="X71" s="54">
        <f t="shared" si="13"/>
        <v>18.416487999999994</v>
      </c>
      <c r="Y71" s="81">
        <f t="shared" si="14"/>
        <v>5</v>
      </c>
      <c r="Z71" s="81">
        <v>156</v>
      </c>
      <c r="AA71" s="54">
        <f t="shared" si="15"/>
        <v>15.49</v>
      </c>
    </row>
    <row r="72" spans="1:27" x14ac:dyDescent="0.25">
      <c r="A72" s="7" t="s">
        <v>10</v>
      </c>
      <c r="B72" s="52">
        <v>195.47</v>
      </c>
      <c r="C72" s="52">
        <f t="shared" si="0"/>
        <v>8.4799999999999898</v>
      </c>
      <c r="D72" s="52">
        <v>203.95</v>
      </c>
      <c r="E72" s="52">
        <f t="shared" si="1"/>
        <v>8.1899999999999977</v>
      </c>
      <c r="F72" s="52">
        <v>212.14</v>
      </c>
      <c r="G72" s="52">
        <f t="shared" si="2"/>
        <v>10.542000000000002</v>
      </c>
      <c r="H72" s="53">
        <v>222.68199999999999</v>
      </c>
      <c r="I72" s="54">
        <f t="shared" si="3"/>
        <v>39.369999999999997</v>
      </c>
      <c r="J72" s="52">
        <f t="shared" si="4"/>
        <v>9.217000000000013</v>
      </c>
      <c r="K72" s="53">
        <v>231.899</v>
      </c>
      <c r="L72" s="54">
        <f t="shared" si="5"/>
        <v>38.29</v>
      </c>
      <c r="M72" s="52">
        <f t="shared" si="6"/>
        <v>6.695999999999998</v>
      </c>
      <c r="N72" s="53">
        <v>238.595</v>
      </c>
      <c r="O72" s="54">
        <f t="shared" si="7"/>
        <v>42.76</v>
      </c>
      <c r="P72" s="52">
        <f t="shared" si="8"/>
        <v>7.4050000000000011</v>
      </c>
      <c r="Q72" s="53">
        <v>246</v>
      </c>
      <c r="R72" s="54">
        <f t="shared" si="9"/>
        <v>21.26</v>
      </c>
      <c r="S72" s="55">
        <f t="shared" si="10"/>
        <v>9.9209999999999923</v>
      </c>
      <c r="T72" s="53">
        <v>255.92099999999999</v>
      </c>
      <c r="U72" s="54">
        <f t="shared" si="11"/>
        <v>29.56</v>
      </c>
      <c r="V72" s="55">
        <f t="shared" si="12"/>
        <v>9.0790000000000077</v>
      </c>
      <c r="W72" s="56">
        <v>265</v>
      </c>
      <c r="X72" s="54">
        <f t="shared" si="13"/>
        <v>27.011840800000023</v>
      </c>
      <c r="Y72" s="81">
        <f t="shared" si="14"/>
        <v>8</v>
      </c>
      <c r="Z72" s="81">
        <v>273</v>
      </c>
      <c r="AA72" s="54">
        <f t="shared" si="15"/>
        <v>24.79</v>
      </c>
    </row>
    <row r="73" spans="1:27" x14ac:dyDescent="0.25">
      <c r="A73" s="7" t="s">
        <v>196</v>
      </c>
      <c r="B73" s="52">
        <v>148</v>
      </c>
      <c r="C73" s="52">
        <f t="shared" ref="C73:C136" si="16">D73-B73</f>
        <v>5</v>
      </c>
      <c r="D73" s="52">
        <v>153</v>
      </c>
      <c r="E73" s="52">
        <f t="shared" ref="E73:G136" si="17">F73-D73</f>
        <v>5</v>
      </c>
      <c r="F73" s="52">
        <v>158</v>
      </c>
      <c r="G73" s="52">
        <f t="shared" ref="G73:G136" si="18">H73-F73</f>
        <v>4</v>
      </c>
      <c r="H73" s="53">
        <v>162</v>
      </c>
      <c r="I73" s="54">
        <f t="shared" ref="I73:I136" si="19">ROUND(G73*$I$3,2)</f>
        <v>14.94</v>
      </c>
      <c r="J73" s="52">
        <f t="shared" ref="J73:J136" si="20">K73-H73</f>
        <v>6</v>
      </c>
      <c r="K73" s="53">
        <v>168</v>
      </c>
      <c r="L73" s="54">
        <f t="shared" ref="L73:L136" si="21">ROUND(J73*$L$3,2)</f>
        <v>24.93</v>
      </c>
      <c r="M73" s="52">
        <f t="shared" ref="M73:M136" si="22">N73-K73</f>
        <v>5</v>
      </c>
      <c r="N73" s="53">
        <v>173</v>
      </c>
      <c r="O73" s="54">
        <f t="shared" ref="O73:O136" si="23">ROUND(M73*$O$3,2)</f>
        <v>31.93</v>
      </c>
      <c r="P73" s="52">
        <f t="shared" ref="P73:P136" si="24">Q73-N73</f>
        <v>4</v>
      </c>
      <c r="Q73" s="53">
        <v>177</v>
      </c>
      <c r="R73" s="54">
        <f t="shared" ref="R73:R136" si="25">ROUND(P73*$R$3,2)</f>
        <v>11.48</v>
      </c>
      <c r="S73" s="55">
        <f t="shared" ref="S73:S136" si="26">+T73-Q73</f>
        <v>6</v>
      </c>
      <c r="T73" s="53">
        <v>183</v>
      </c>
      <c r="U73" s="54">
        <f t="shared" ref="U73:U136" si="27">ROUND(S73*$U$3,2)</f>
        <v>17.88</v>
      </c>
      <c r="V73" s="55">
        <f t="shared" ref="V73:V136" si="28">+W73-T73</f>
        <v>10</v>
      </c>
      <c r="W73" s="56">
        <v>193</v>
      </c>
      <c r="X73" s="54">
        <f t="shared" ref="X73:X136" si="29">V73*$X$3</f>
        <v>29.752000000000002</v>
      </c>
      <c r="Y73" s="81">
        <f t="shared" ref="Y73:Y136" si="30">+Z73-W73</f>
        <v>11</v>
      </c>
      <c r="Z73" s="81">
        <v>204</v>
      </c>
      <c r="AA73" s="54">
        <f t="shared" ref="AA73:AA136" si="31">ROUND(Y73*$AA$3,2)</f>
        <v>34.090000000000003</v>
      </c>
    </row>
    <row r="74" spans="1:27" x14ac:dyDescent="0.25">
      <c r="A74" s="7" t="s">
        <v>274</v>
      </c>
      <c r="B74" s="52">
        <v>37</v>
      </c>
      <c r="C74" s="52">
        <f t="shared" si="16"/>
        <v>1</v>
      </c>
      <c r="D74" s="52">
        <v>38</v>
      </c>
      <c r="E74" s="52">
        <f t="shared" si="17"/>
        <v>0</v>
      </c>
      <c r="F74" s="52">
        <v>38</v>
      </c>
      <c r="G74" s="52">
        <f t="shared" si="18"/>
        <v>0</v>
      </c>
      <c r="H74" s="53">
        <v>38</v>
      </c>
      <c r="I74" s="54">
        <f t="shared" si="19"/>
        <v>0</v>
      </c>
      <c r="J74" s="52">
        <f t="shared" si="20"/>
        <v>0</v>
      </c>
      <c r="K74" s="53">
        <v>38</v>
      </c>
      <c r="L74" s="54">
        <f t="shared" si="21"/>
        <v>0</v>
      </c>
      <c r="M74" s="52">
        <f t="shared" si="22"/>
        <v>0</v>
      </c>
      <c r="N74" s="53">
        <v>38</v>
      </c>
      <c r="O74" s="54">
        <f t="shared" si="23"/>
        <v>0</v>
      </c>
      <c r="P74" s="52">
        <f t="shared" si="24"/>
        <v>1</v>
      </c>
      <c r="Q74" s="53">
        <v>39</v>
      </c>
      <c r="R74" s="54">
        <f t="shared" si="25"/>
        <v>2.87</v>
      </c>
      <c r="S74" s="55">
        <f t="shared" si="26"/>
        <v>0</v>
      </c>
      <c r="T74" s="53">
        <v>39</v>
      </c>
      <c r="U74" s="54">
        <f t="shared" si="27"/>
        <v>0</v>
      </c>
      <c r="V74" s="55">
        <f t="shared" si="28"/>
        <v>1</v>
      </c>
      <c r="W74" s="56">
        <v>40</v>
      </c>
      <c r="X74" s="54">
        <f t="shared" si="29"/>
        <v>2.9752000000000001</v>
      </c>
      <c r="Y74" s="81">
        <f t="shared" si="30"/>
        <v>0</v>
      </c>
      <c r="Z74" s="81">
        <v>40</v>
      </c>
      <c r="AA74" s="54">
        <f t="shared" si="31"/>
        <v>0</v>
      </c>
    </row>
    <row r="75" spans="1:27" x14ac:dyDescent="0.25">
      <c r="A75" s="7" t="s">
        <v>448</v>
      </c>
      <c r="B75" s="52">
        <v>26</v>
      </c>
      <c r="C75" s="52">
        <f t="shared" si="16"/>
        <v>4</v>
      </c>
      <c r="D75" s="52">
        <v>30</v>
      </c>
      <c r="E75" s="52">
        <f t="shared" si="17"/>
        <v>4</v>
      </c>
      <c r="F75" s="52">
        <v>34</v>
      </c>
      <c r="G75" s="52">
        <f t="shared" si="18"/>
        <v>5</v>
      </c>
      <c r="H75" s="53">
        <v>39</v>
      </c>
      <c r="I75" s="54">
        <f t="shared" si="19"/>
        <v>18.670000000000002</v>
      </c>
      <c r="J75" s="52">
        <f t="shared" si="20"/>
        <v>3</v>
      </c>
      <c r="K75" s="53">
        <v>42</v>
      </c>
      <c r="L75" s="54">
        <f t="shared" si="21"/>
        <v>12.46</v>
      </c>
      <c r="M75" s="52">
        <f t="shared" si="22"/>
        <v>3</v>
      </c>
      <c r="N75" s="53">
        <v>45</v>
      </c>
      <c r="O75" s="54">
        <f t="shared" si="23"/>
        <v>19.16</v>
      </c>
      <c r="P75" s="52">
        <f t="shared" si="24"/>
        <v>4</v>
      </c>
      <c r="Q75" s="53">
        <v>49</v>
      </c>
      <c r="R75" s="54">
        <f t="shared" si="25"/>
        <v>11.48</v>
      </c>
      <c r="S75" s="55">
        <f t="shared" si="26"/>
        <v>6</v>
      </c>
      <c r="T75" s="53">
        <v>55</v>
      </c>
      <c r="U75" s="54">
        <f t="shared" si="27"/>
        <v>17.88</v>
      </c>
      <c r="V75" s="55">
        <f t="shared" si="28"/>
        <v>5</v>
      </c>
      <c r="W75" s="56">
        <v>60</v>
      </c>
      <c r="X75" s="54">
        <f t="shared" si="29"/>
        <v>14.876000000000001</v>
      </c>
      <c r="Y75" s="81">
        <f t="shared" si="30"/>
        <v>2</v>
      </c>
      <c r="Z75" s="81">
        <v>62</v>
      </c>
      <c r="AA75" s="54">
        <f t="shared" si="31"/>
        <v>6.2</v>
      </c>
    </row>
    <row r="76" spans="1:27" x14ac:dyDescent="0.25">
      <c r="A76" s="7" t="s">
        <v>322</v>
      </c>
      <c r="B76" s="52">
        <v>506.87</v>
      </c>
      <c r="C76" s="52">
        <f t="shared" si="16"/>
        <v>10.049999999999955</v>
      </c>
      <c r="D76" s="52">
        <v>516.91999999999996</v>
      </c>
      <c r="E76" s="52">
        <f t="shared" si="17"/>
        <v>9.9900000000000091</v>
      </c>
      <c r="F76" s="52">
        <v>526.91</v>
      </c>
      <c r="G76" s="52">
        <f t="shared" si="18"/>
        <v>10.125999999999976</v>
      </c>
      <c r="H76" s="53">
        <v>537.03599999999994</v>
      </c>
      <c r="I76" s="54">
        <f t="shared" si="19"/>
        <v>37.81</v>
      </c>
      <c r="J76" s="52">
        <f t="shared" si="20"/>
        <v>8.4920000000000755</v>
      </c>
      <c r="K76" s="53">
        <v>545.52800000000002</v>
      </c>
      <c r="L76" s="54">
        <f t="shared" si="21"/>
        <v>35.28</v>
      </c>
      <c r="M76" s="52">
        <f t="shared" si="22"/>
        <v>5.26400000000001</v>
      </c>
      <c r="N76" s="53">
        <v>550.79200000000003</v>
      </c>
      <c r="O76" s="54">
        <f t="shared" si="23"/>
        <v>33.61</v>
      </c>
      <c r="P76" s="52">
        <f t="shared" si="24"/>
        <v>7.20799999999997</v>
      </c>
      <c r="Q76" s="53">
        <v>558</v>
      </c>
      <c r="R76" s="54">
        <f t="shared" si="25"/>
        <v>20.69</v>
      </c>
      <c r="S76" s="55">
        <f t="shared" si="26"/>
        <v>10.342999999999961</v>
      </c>
      <c r="T76" s="53">
        <v>568.34299999999996</v>
      </c>
      <c r="U76" s="54">
        <f t="shared" si="27"/>
        <v>30.82</v>
      </c>
      <c r="V76" s="55">
        <f t="shared" si="28"/>
        <v>12.657000000000039</v>
      </c>
      <c r="W76" s="56">
        <v>581</v>
      </c>
      <c r="X76" s="54">
        <f t="shared" si="29"/>
        <v>37.657106400000117</v>
      </c>
      <c r="Y76" s="81">
        <f t="shared" si="30"/>
        <v>13</v>
      </c>
      <c r="Z76" s="81">
        <v>594</v>
      </c>
      <c r="AA76" s="54">
        <f t="shared" si="31"/>
        <v>40.29</v>
      </c>
    </row>
    <row r="77" spans="1:27" x14ac:dyDescent="0.25">
      <c r="A77" s="7" t="s">
        <v>658</v>
      </c>
      <c r="B77" s="52">
        <v>197</v>
      </c>
      <c r="C77" s="52">
        <f t="shared" si="16"/>
        <v>4</v>
      </c>
      <c r="D77" s="52">
        <v>201</v>
      </c>
      <c r="E77" s="52">
        <f t="shared" si="17"/>
        <v>1</v>
      </c>
      <c r="F77" s="52">
        <v>202</v>
      </c>
      <c r="G77" s="52">
        <f t="shared" si="18"/>
        <v>5</v>
      </c>
      <c r="H77" s="53">
        <v>207</v>
      </c>
      <c r="I77" s="54">
        <f t="shared" si="19"/>
        <v>18.670000000000002</v>
      </c>
      <c r="J77" s="52">
        <f t="shared" si="20"/>
        <v>3</v>
      </c>
      <c r="K77" s="53">
        <v>210</v>
      </c>
      <c r="L77" s="54">
        <f t="shared" si="21"/>
        <v>12.46</v>
      </c>
      <c r="M77" s="52">
        <f t="shared" si="22"/>
        <v>2</v>
      </c>
      <c r="N77" s="53">
        <v>212</v>
      </c>
      <c r="O77" s="54">
        <f t="shared" si="23"/>
        <v>12.77</v>
      </c>
      <c r="P77" s="52">
        <f t="shared" si="24"/>
        <v>2</v>
      </c>
      <c r="Q77" s="53">
        <v>214</v>
      </c>
      <c r="R77" s="54">
        <f t="shared" si="25"/>
        <v>5.74</v>
      </c>
      <c r="S77" s="55">
        <f t="shared" si="26"/>
        <v>3</v>
      </c>
      <c r="T77" s="53">
        <v>217</v>
      </c>
      <c r="U77" s="54">
        <f t="shared" si="27"/>
        <v>8.94</v>
      </c>
      <c r="V77" s="55">
        <f t="shared" si="28"/>
        <v>4</v>
      </c>
      <c r="W77" s="56">
        <v>221</v>
      </c>
      <c r="X77" s="54">
        <f t="shared" si="29"/>
        <v>11.9008</v>
      </c>
      <c r="Y77" s="81">
        <f t="shared" si="30"/>
        <v>9</v>
      </c>
      <c r="Z77" s="81">
        <v>230</v>
      </c>
      <c r="AA77" s="54">
        <f t="shared" si="31"/>
        <v>27.89</v>
      </c>
    </row>
    <row r="78" spans="1:27" x14ac:dyDescent="0.25">
      <c r="A78" s="7" t="s">
        <v>160</v>
      </c>
      <c r="B78" s="52">
        <v>272</v>
      </c>
      <c r="C78" s="52">
        <f t="shared" si="16"/>
        <v>7</v>
      </c>
      <c r="D78" s="52">
        <v>279</v>
      </c>
      <c r="E78" s="52">
        <f t="shared" si="17"/>
        <v>8</v>
      </c>
      <c r="F78" s="52">
        <v>287</v>
      </c>
      <c r="G78" s="52">
        <f t="shared" si="18"/>
        <v>14</v>
      </c>
      <c r="H78" s="53">
        <v>301</v>
      </c>
      <c r="I78" s="54">
        <f t="shared" si="19"/>
        <v>52.28</v>
      </c>
      <c r="J78" s="52">
        <f t="shared" si="20"/>
        <v>8</v>
      </c>
      <c r="K78" s="53">
        <v>309</v>
      </c>
      <c r="L78" s="54">
        <f t="shared" si="21"/>
        <v>33.24</v>
      </c>
      <c r="M78" s="52">
        <f t="shared" si="22"/>
        <v>6</v>
      </c>
      <c r="N78" s="53">
        <v>315</v>
      </c>
      <c r="O78" s="54">
        <f t="shared" si="23"/>
        <v>38.31</v>
      </c>
      <c r="P78" s="52">
        <f t="shared" si="24"/>
        <v>8</v>
      </c>
      <c r="Q78" s="53">
        <v>323</v>
      </c>
      <c r="R78" s="54">
        <f t="shared" si="25"/>
        <v>22.96</v>
      </c>
      <c r="S78" s="55">
        <f t="shared" si="26"/>
        <v>13</v>
      </c>
      <c r="T78" s="53">
        <v>336</v>
      </c>
      <c r="U78" s="54">
        <f t="shared" si="27"/>
        <v>38.74</v>
      </c>
      <c r="V78" s="55">
        <f t="shared" si="28"/>
        <v>10</v>
      </c>
      <c r="W78" s="56">
        <v>346</v>
      </c>
      <c r="X78" s="54">
        <f t="shared" si="29"/>
        <v>29.752000000000002</v>
      </c>
      <c r="Y78" s="81">
        <f t="shared" si="30"/>
        <v>13</v>
      </c>
      <c r="Z78" s="81">
        <v>359</v>
      </c>
      <c r="AA78" s="54">
        <f t="shared" si="31"/>
        <v>40.29</v>
      </c>
    </row>
    <row r="79" spans="1:27" x14ac:dyDescent="0.25">
      <c r="A79" s="7" t="s">
        <v>412</v>
      </c>
      <c r="B79" s="52">
        <v>42</v>
      </c>
      <c r="C79" s="52">
        <f t="shared" si="16"/>
        <v>2</v>
      </c>
      <c r="D79" s="52">
        <v>44</v>
      </c>
      <c r="E79" s="52">
        <f t="shared" si="17"/>
        <v>2</v>
      </c>
      <c r="F79" s="52">
        <v>46</v>
      </c>
      <c r="G79" s="52">
        <f t="shared" si="18"/>
        <v>2</v>
      </c>
      <c r="H79" s="53">
        <v>48</v>
      </c>
      <c r="I79" s="54">
        <f t="shared" si="19"/>
        <v>7.47</v>
      </c>
      <c r="J79" s="52">
        <f t="shared" si="20"/>
        <v>2</v>
      </c>
      <c r="K79" s="53">
        <v>50</v>
      </c>
      <c r="L79" s="54">
        <f t="shared" si="21"/>
        <v>8.31</v>
      </c>
      <c r="M79" s="52">
        <f t="shared" si="22"/>
        <v>1</v>
      </c>
      <c r="N79" s="53">
        <v>51</v>
      </c>
      <c r="O79" s="54">
        <f t="shared" si="23"/>
        <v>6.39</v>
      </c>
      <c r="P79" s="52">
        <f t="shared" si="24"/>
        <v>1</v>
      </c>
      <c r="Q79" s="53">
        <v>52</v>
      </c>
      <c r="R79" s="54">
        <f t="shared" si="25"/>
        <v>2.87</v>
      </c>
      <c r="S79" s="55">
        <f t="shared" si="26"/>
        <v>2</v>
      </c>
      <c r="T79" s="53">
        <v>54</v>
      </c>
      <c r="U79" s="54">
        <f t="shared" si="27"/>
        <v>5.96</v>
      </c>
      <c r="V79" s="55">
        <f t="shared" si="28"/>
        <v>0</v>
      </c>
      <c r="W79" s="56">
        <v>54</v>
      </c>
      <c r="X79" s="54">
        <f t="shared" si="29"/>
        <v>0</v>
      </c>
      <c r="Y79" s="81">
        <f t="shared" si="30"/>
        <v>2</v>
      </c>
      <c r="Z79" s="81">
        <v>56</v>
      </c>
      <c r="AA79" s="54">
        <f t="shared" si="31"/>
        <v>6.2</v>
      </c>
    </row>
    <row r="80" spans="1:27" x14ac:dyDescent="0.25">
      <c r="A80" s="7" t="s">
        <v>373</v>
      </c>
      <c r="B80" s="52">
        <v>150</v>
      </c>
      <c r="C80" s="52">
        <f t="shared" si="16"/>
        <v>4</v>
      </c>
      <c r="D80" s="52">
        <v>154</v>
      </c>
      <c r="E80" s="52">
        <f t="shared" si="17"/>
        <v>4</v>
      </c>
      <c r="F80" s="52">
        <v>158</v>
      </c>
      <c r="G80" s="52">
        <f t="shared" si="18"/>
        <v>4</v>
      </c>
      <c r="H80" s="53">
        <v>162</v>
      </c>
      <c r="I80" s="54">
        <f t="shared" si="19"/>
        <v>14.94</v>
      </c>
      <c r="J80" s="52">
        <f t="shared" si="20"/>
        <v>3</v>
      </c>
      <c r="K80" s="53">
        <v>165</v>
      </c>
      <c r="L80" s="54">
        <f t="shared" si="21"/>
        <v>12.46</v>
      </c>
      <c r="M80" s="52">
        <f t="shared" si="22"/>
        <v>3</v>
      </c>
      <c r="N80" s="53">
        <v>168</v>
      </c>
      <c r="O80" s="54">
        <f t="shared" si="23"/>
        <v>19.16</v>
      </c>
      <c r="P80" s="52">
        <f t="shared" si="24"/>
        <v>4</v>
      </c>
      <c r="Q80" s="53">
        <v>172</v>
      </c>
      <c r="R80" s="54">
        <f t="shared" si="25"/>
        <v>11.48</v>
      </c>
      <c r="S80" s="55">
        <f t="shared" si="26"/>
        <v>5</v>
      </c>
      <c r="T80" s="53">
        <v>177</v>
      </c>
      <c r="U80" s="54">
        <f t="shared" si="27"/>
        <v>14.9</v>
      </c>
      <c r="V80" s="55">
        <f t="shared" si="28"/>
        <v>4</v>
      </c>
      <c r="W80" s="56">
        <v>181</v>
      </c>
      <c r="X80" s="54">
        <f t="shared" si="29"/>
        <v>11.9008</v>
      </c>
      <c r="Y80" s="81">
        <f t="shared" si="30"/>
        <v>4</v>
      </c>
      <c r="Z80" s="81">
        <v>185</v>
      </c>
      <c r="AA80" s="54">
        <f t="shared" si="31"/>
        <v>12.4</v>
      </c>
    </row>
    <row r="81" spans="1:27" x14ac:dyDescent="0.25">
      <c r="A81" s="7" t="s">
        <v>262</v>
      </c>
      <c r="B81" s="52">
        <v>294.33</v>
      </c>
      <c r="C81" s="52">
        <f t="shared" si="16"/>
        <v>10.650000000000034</v>
      </c>
      <c r="D81" s="52">
        <v>304.98</v>
      </c>
      <c r="E81" s="52">
        <f t="shared" si="17"/>
        <v>6.2199999999999704</v>
      </c>
      <c r="F81" s="52">
        <v>311.2</v>
      </c>
      <c r="G81" s="52">
        <f t="shared" si="18"/>
        <v>9.5889999999999986</v>
      </c>
      <c r="H81" s="53">
        <v>320.78899999999999</v>
      </c>
      <c r="I81" s="54">
        <f t="shared" si="19"/>
        <v>35.81</v>
      </c>
      <c r="J81" s="52">
        <f t="shared" si="20"/>
        <v>10.501000000000033</v>
      </c>
      <c r="K81" s="53">
        <v>331.29</v>
      </c>
      <c r="L81" s="54">
        <f t="shared" si="21"/>
        <v>43.63</v>
      </c>
      <c r="M81" s="52">
        <f t="shared" si="22"/>
        <v>5.9739999999999895</v>
      </c>
      <c r="N81" s="53">
        <v>337.26400000000001</v>
      </c>
      <c r="O81" s="54">
        <f t="shared" si="23"/>
        <v>38.15</v>
      </c>
      <c r="P81" s="52">
        <f t="shared" si="24"/>
        <v>7.73599999999999</v>
      </c>
      <c r="Q81" s="53">
        <v>345</v>
      </c>
      <c r="R81" s="54">
        <f t="shared" si="25"/>
        <v>22.21</v>
      </c>
      <c r="S81" s="55">
        <f t="shared" si="26"/>
        <v>9.3290000000000077</v>
      </c>
      <c r="T81" s="53">
        <v>354.32900000000001</v>
      </c>
      <c r="U81" s="54">
        <f t="shared" si="27"/>
        <v>27.8</v>
      </c>
      <c r="V81" s="55">
        <f t="shared" si="28"/>
        <v>6.6709999999999923</v>
      </c>
      <c r="W81" s="56">
        <v>361</v>
      </c>
      <c r="X81" s="54">
        <f t="shared" si="29"/>
        <v>19.847559199999978</v>
      </c>
      <c r="Y81" s="81">
        <f t="shared" si="30"/>
        <v>8</v>
      </c>
      <c r="Z81" s="81">
        <v>369</v>
      </c>
      <c r="AA81" s="54">
        <f t="shared" si="31"/>
        <v>24.79</v>
      </c>
    </row>
    <row r="82" spans="1:27" x14ac:dyDescent="0.25">
      <c r="A82" s="7" t="s">
        <v>463</v>
      </c>
      <c r="B82" s="52">
        <v>137</v>
      </c>
      <c r="C82" s="52">
        <f t="shared" si="16"/>
        <v>3</v>
      </c>
      <c r="D82" s="52">
        <v>140</v>
      </c>
      <c r="E82" s="52">
        <f t="shared" si="17"/>
        <v>2</v>
      </c>
      <c r="F82" s="52">
        <v>142</v>
      </c>
      <c r="G82" s="52">
        <f t="shared" si="18"/>
        <v>4</v>
      </c>
      <c r="H82" s="53">
        <v>146</v>
      </c>
      <c r="I82" s="54">
        <f t="shared" si="19"/>
        <v>14.94</v>
      </c>
      <c r="J82" s="52">
        <f t="shared" si="20"/>
        <v>4</v>
      </c>
      <c r="K82" s="53">
        <v>150</v>
      </c>
      <c r="L82" s="54">
        <f t="shared" si="21"/>
        <v>16.62</v>
      </c>
      <c r="M82" s="52">
        <f t="shared" si="22"/>
        <v>1</v>
      </c>
      <c r="N82" s="53">
        <v>151</v>
      </c>
      <c r="O82" s="54">
        <f t="shared" si="23"/>
        <v>6.39</v>
      </c>
      <c r="P82" s="52">
        <f t="shared" si="24"/>
        <v>2</v>
      </c>
      <c r="Q82" s="53">
        <v>153</v>
      </c>
      <c r="R82" s="54">
        <f t="shared" si="25"/>
        <v>5.74</v>
      </c>
      <c r="S82" s="55">
        <f t="shared" si="26"/>
        <v>5</v>
      </c>
      <c r="T82" s="53">
        <v>158</v>
      </c>
      <c r="U82" s="54">
        <f t="shared" si="27"/>
        <v>14.9</v>
      </c>
      <c r="V82" s="55">
        <f t="shared" si="28"/>
        <v>4</v>
      </c>
      <c r="W82" s="56">
        <v>162</v>
      </c>
      <c r="X82" s="54">
        <f t="shared" si="29"/>
        <v>11.9008</v>
      </c>
      <c r="Y82" s="81">
        <f t="shared" si="30"/>
        <v>6</v>
      </c>
      <c r="Z82" s="81">
        <v>168</v>
      </c>
      <c r="AA82" s="54">
        <f t="shared" si="31"/>
        <v>18.59</v>
      </c>
    </row>
    <row r="83" spans="1:27" x14ac:dyDescent="0.25">
      <c r="A83" s="7" t="s">
        <v>187</v>
      </c>
      <c r="B83" s="52">
        <v>292.86</v>
      </c>
      <c r="C83" s="52">
        <f t="shared" si="16"/>
        <v>7.9499999999999886</v>
      </c>
      <c r="D83" s="52">
        <v>300.81</v>
      </c>
      <c r="E83" s="52">
        <f t="shared" si="17"/>
        <v>9.1100000000000136</v>
      </c>
      <c r="F83" s="52">
        <v>309.92</v>
      </c>
      <c r="G83" s="52">
        <f t="shared" si="18"/>
        <v>9.1499999999999773</v>
      </c>
      <c r="H83" s="53">
        <v>319.07</v>
      </c>
      <c r="I83" s="54">
        <f t="shared" si="19"/>
        <v>34.17</v>
      </c>
      <c r="J83" s="52">
        <f t="shared" si="20"/>
        <v>8.8530000000000086</v>
      </c>
      <c r="K83" s="53">
        <v>327.923</v>
      </c>
      <c r="L83" s="54">
        <f t="shared" si="21"/>
        <v>36.78</v>
      </c>
      <c r="M83" s="52">
        <f t="shared" si="22"/>
        <v>4.8700000000000045</v>
      </c>
      <c r="N83" s="53">
        <v>332.79300000000001</v>
      </c>
      <c r="O83" s="54">
        <f t="shared" si="23"/>
        <v>31.1</v>
      </c>
      <c r="P83" s="52">
        <f t="shared" si="24"/>
        <v>6.2069999999999936</v>
      </c>
      <c r="Q83" s="53">
        <v>339</v>
      </c>
      <c r="R83" s="54">
        <f t="shared" si="25"/>
        <v>17.82</v>
      </c>
      <c r="S83" s="55">
        <f t="shared" si="26"/>
        <v>9.853999999999985</v>
      </c>
      <c r="T83" s="53">
        <v>348.85399999999998</v>
      </c>
      <c r="U83" s="54">
        <f t="shared" si="27"/>
        <v>29.36</v>
      </c>
      <c r="V83" s="55">
        <f t="shared" si="28"/>
        <v>9.146000000000015</v>
      </c>
      <c r="W83" s="56">
        <v>358</v>
      </c>
      <c r="X83" s="54">
        <f t="shared" si="29"/>
        <v>27.211179200000046</v>
      </c>
      <c r="Y83" s="81">
        <f>+Z83-W83</f>
        <v>9.3369999999999891</v>
      </c>
      <c r="Z83" s="81">
        <v>367.33699999999999</v>
      </c>
      <c r="AA83" s="54">
        <f t="shared" si="31"/>
        <v>28.93</v>
      </c>
    </row>
    <row r="84" spans="1:27" x14ac:dyDescent="0.25">
      <c r="A84" s="7" t="s">
        <v>659</v>
      </c>
      <c r="B84" s="52">
        <v>261</v>
      </c>
      <c r="C84" s="52">
        <f t="shared" si="16"/>
        <v>13</v>
      </c>
      <c r="D84" s="52">
        <v>274</v>
      </c>
      <c r="E84" s="52">
        <f t="shared" si="17"/>
        <v>8</v>
      </c>
      <c r="F84" s="52">
        <v>282</v>
      </c>
      <c r="G84" s="52">
        <f t="shared" si="18"/>
        <v>8</v>
      </c>
      <c r="H84" s="53">
        <v>290</v>
      </c>
      <c r="I84" s="54">
        <f t="shared" si="19"/>
        <v>29.87</v>
      </c>
      <c r="J84" s="52">
        <f t="shared" si="20"/>
        <v>4</v>
      </c>
      <c r="K84" s="53">
        <v>294</v>
      </c>
      <c r="L84" s="54">
        <f t="shared" si="21"/>
        <v>16.62</v>
      </c>
      <c r="M84" s="52">
        <f t="shared" si="22"/>
        <v>5</v>
      </c>
      <c r="N84" s="53">
        <v>299</v>
      </c>
      <c r="O84" s="54">
        <f t="shared" si="23"/>
        <v>31.93</v>
      </c>
      <c r="P84" s="52">
        <f t="shared" si="24"/>
        <v>7</v>
      </c>
      <c r="Q84" s="53">
        <v>306</v>
      </c>
      <c r="R84" s="54">
        <f t="shared" si="25"/>
        <v>20.09</v>
      </c>
      <c r="S84" s="55">
        <f t="shared" si="26"/>
        <v>7</v>
      </c>
      <c r="T84" s="53">
        <v>313</v>
      </c>
      <c r="U84" s="54">
        <f t="shared" si="27"/>
        <v>20.86</v>
      </c>
      <c r="V84" s="55">
        <f t="shared" si="28"/>
        <v>8</v>
      </c>
      <c r="W84" s="56">
        <v>321</v>
      </c>
      <c r="X84" s="54">
        <f t="shared" si="29"/>
        <v>23.801600000000001</v>
      </c>
      <c r="Y84" s="81">
        <f>+Z84-W84</f>
        <v>6</v>
      </c>
      <c r="Z84" s="81">
        <v>327</v>
      </c>
      <c r="AA84" s="54">
        <f t="shared" si="31"/>
        <v>18.59</v>
      </c>
    </row>
    <row r="85" spans="1:27" x14ac:dyDescent="0.25">
      <c r="A85" s="7" t="s">
        <v>520</v>
      </c>
      <c r="B85" s="52">
        <v>117</v>
      </c>
      <c r="C85" s="52">
        <f t="shared" si="16"/>
        <v>8</v>
      </c>
      <c r="D85" s="52">
        <v>125</v>
      </c>
      <c r="E85" s="52">
        <f t="shared" si="17"/>
        <v>4</v>
      </c>
      <c r="F85" s="52">
        <v>129</v>
      </c>
      <c r="G85" s="52">
        <f t="shared" si="18"/>
        <v>4</v>
      </c>
      <c r="H85" s="53">
        <v>133</v>
      </c>
      <c r="I85" s="54">
        <f t="shared" si="19"/>
        <v>14.94</v>
      </c>
      <c r="J85" s="52">
        <f t="shared" si="20"/>
        <v>4</v>
      </c>
      <c r="K85" s="53">
        <v>137</v>
      </c>
      <c r="L85" s="54">
        <f t="shared" si="21"/>
        <v>16.62</v>
      </c>
      <c r="M85" s="52">
        <f t="shared" si="22"/>
        <v>2</v>
      </c>
      <c r="N85" s="53">
        <v>139</v>
      </c>
      <c r="O85" s="54">
        <f t="shared" si="23"/>
        <v>12.77</v>
      </c>
      <c r="P85" s="52">
        <f t="shared" si="24"/>
        <v>4</v>
      </c>
      <c r="Q85" s="53">
        <v>143</v>
      </c>
      <c r="R85" s="54">
        <f t="shared" si="25"/>
        <v>11.48</v>
      </c>
      <c r="S85" s="55">
        <f t="shared" si="26"/>
        <v>4</v>
      </c>
      <c r="T85" s="53">
        <v>147</v>
      </c>
      <c r="U85" s="54">
        <f t="shared" si="27"/>
        <v>11.92</v>
      </c>
      <c r="V85" s="55">
        <f t="shared" si="28"/>
        <v>4</v>
      </c>
      <c r="W85" s="56">
        <v>151</v>
      </c>
      <c r="X85" s="54">
        <f t="shared" si="29"/>
        <v>11.9008</v>
      </c>
      <c r="Y85" s="81">
        <f t="shared" si="30"/>
        <v>4</v>
      </c>
      <c r="Z85" s="81">
        <v>155</v>
      </c>
      <c r="AA85" s="54">
        <f t="shared" si="31"/>
        <v>12.4</v>
      </c>
    </row>
    <row r="86" spans="1:27" x14ac:dyDescent="0.25">
      <c r="A86" s="7" t="s">
        <v>409</v>
      </c>
      <c r="B86" s="52">
        <v>207</v>
      </c>
      <c r="C86" s="52">
        <f t="shared" si="16"/>
        <v>0</v>
      </c>
      <c r="D86" s="52">
        <v>207</v>
      </c>
      <c r="E86" s="52">
        <f t="shared" si="17"/>
        <v>1</v>
      </c>
      <c r="F86" s="52">
        <v>208</v>
      </c>
      <c r="G86" s="52">
        <f t="shared" si="18"/>
        <v>3</v>
      </c>
      <c r="H86" s="53">
        <v>211</v>
      </c>
      <c r="I86" s="54">
        <f t="shared" si="19"/>
        <v>11.2</v>
      </c>
      <c r="J86" s="52">
        <f t="shared" si="20"/>
        <v>3</v>
      </c>
      <c r="K86" s="53">
        <v>214</v>
      </c>
      <c r="L86" s="54">
        <f t="shared" si="21"/>
        <v>12.46</v>
      </c>
      <c r="M86" s="52">
        <f t="shared" si="22"/>
        <v>3</v>
      </c>
      <c r="N86" s="53">
        <v>217</v>
      </c>
      <c r="O86" s="54">
        <f t="shared" si="23"/>
        <v>19.16</v>
      </c>
      <c r="P86" s="52">
        <f t="shared" si="24"/>
        <v>1</v>
      </c>
      <c r="Q86" s="53">
        <v>218</v>
      </c>
      <c r="R86" s="54">
        <f t="shared" si="25"/>
        <v>2.87</v>
      </c>
      <c r="S86" s="55">
        <f t="shared" si="26"/>
        <v>3</v>
      </c>
      <c r="T86" s="53">
        <v>221</v>
      </c>
      <c r="U86" s="54">
        <f t="shared" si="27"/>
        <v>8.94</v>
      </c>
      <c r="V86" s="55">
        <f t="shared" si="28"/>
        <v>5</v>
      </c>
      <c r="W86" s="56">
        <v>226</v>
      </c>
      <c r="X86" s="54">
        <f t="shared" si="29"/>
        <v>14.876000000000001</v>
      </c>
      <c r="Y86" s="81">
        <f t="shared" si="30"/>
        <v>5</v>
      </c>
      <c r="Z86" s="81">
        <v>231</v>
      </c>
      <c r="AA86" s="54">
        <f t="shared" si="31"/>
        <v>15.49</v>
      </c>
    </row>
    <row r="87" spans="1:27" x14ac:dyDescent="0.25">
      <c r="A87" s="7" t="s">
        <v>37</v>
      </c>
      <c r="B87" s="52">
        <v>227</v>
      </c>
      <c r="C87" s="52">
        <f t="shared" si="16"/>
        <v>3</v>
      </c>
      <c r="D87" s="52">
        <v>230</v>
      </c>
      <c r="E87" s="52">
        <f t="shared" si="17"/>
        <v>2</v>
      </c>
      <c r="F87" s="52">
        <v>232</v>
      </c>
      <c r="G87" s="52">
        <f t="shared" si="18"/>
        <v>1</v>
      </c>
      <c r="H87" s="53">
        <v>233</v>
      </c>
      <c r="I87" s="54">
        <f t="shared" si="19"/>
        <v>3.73</v>
      </c>
      <c r="J87" s="52">
        <f t="shared" si="20"/>
        <v>2</v>
      </c>
      <c r="K87" s="53">
        <v>235</v>
      </c>
      <c r="L87" s="54">
        <f t="shared" si="21"/>
        <v>8.31</v>
      </c>
      <c r="M87" s="52">
        <f t="shared" si="22"/>
        <v>0</v>
      </c>
      <c r="N87" s="53">
        <v>235</v>
      </c>
      <c r="O87" s="54">
        <f t="shared" si="23"/>
        <v>0</v>
      </c>
      <c r="P87" s="52">
        <f t="shared" si="24"/>
        <v>1</v>
      </c>
      <c r="Q87" s="53">
        <v>236</v>
      </c>
      <c r="R87" s="54">
        <f t="shared" si="25"/>
        <v>2.87</v>
      </c>
      <c r="S87" s="55">
        <f t="shared" si="26"/>
        <v>1</v>
      </c>
      <c r="T87" s="53">
        <v>237</v>
      </c>
      <c r="U87" s="54">
        <f t="shared" si="27"/>
        <v>2.98</v>
      </c>
      <c r="V87" s="55">
        <f t="shared" si="28"/>
        <v>2</v>
      </c>
      <c r="W87" s="56">
        <v>239</v>
      </c>
      <c r="X87" s="54">
        <f t="shared" si="29"/>
        <v>5.9504000000000001</v>
      </c>
      <c r="Y87" s="81">
        <f t="shared" si="30"/>
        <v>2</v>
      </c>
      <c r="Z87" s="81">
        <v>241</v>
      </c>
      <c r="AA87" s="54">
        <f t="shared" si="31"/>
        <v>6.2</v>
      </c>
    </row>
    <row r="88" spans="1:27" x14ac:dyDescent="0.25">
      <c r="A88" s="7" t="s">
        <v>313</v>
      </c>
      <c r="B88" s="52">
        <v>311.11</v>
      </c>
      <c r="C88" s="52">
        <f t="shared" si="16"/>
        <v>5.4599999999999795</v>
      </c>
      <c r="D88" s="52">
        <v>316.57</v>
      </c>
      <c r="E88" s="52">
        <f t="shared" si="17"/>
        <v>5.9700000000000273</v>
      </c>
      <c r="F88" s="52">
        <v>322.54000000000002</v>
      </c>
      <c r="G88" s="52">
        <f t="shared" si="18"/>
        <v>5.70799999999997</v>
      </c>
      <c r="H88" s="53">
        <v>328.24799999999999</v>
      </c>
      <c r="I88" s="54">
        <f t="shared" si="19"/>
        <v>21.31</v>
      </c>
      <c r="J88" s="52">
        <f t="shared" si="20"/>
        <v>6.5439999999999827</v>
      </c>
      <c r="K88" s="53">
        <v>334.79199999999997</v>
      </c>
      <c r="L88" s="54">
        <f t="shared" si="21"/>
        <v>27.19</v>
      </c>
      <c r="M88" s="52">
        <f t="shared" si="22"/>
        <v>4.0500000000000114</v>
      </c>
      <c r="N88" s="53">
        <v>338.84199999999998</v>
      </c>
      <c r="O88" s="54">
        <f t="shared" si="23"/>
        <v>25.86</v>
      </c>
      <c r="P88" s="52">
        <f t="shared" si="24"/>
        <v>4.1580000000000155</v>
      </c>
      <c r="Q88" s="53">
        <v>343</v>
      </c>
      <c r="R88" s="54">
        <f t="shared" si="25"/>
        <v>11.94</v>
      </c>
      <c r="S88" s="55">
        <f t="shared" si="26"/>
        <v>8.3790000000000191</v>
      </c>
      <c r="T88" s="53">
        <v>351.37900000000002</v>
      </c>
      <c r="U88" s="54">
        <f t="shared" si="27"/>
        <v>24.97</v>
      </c>
      <c r="V88" s="55">
        <f t="shared" si="28"/>
        <v>5.6209999999999809</v>
      </c>
      <c r="W88" s="56">
        <v>357</v>
      </c>
      <c r="X88" s="54">
        <f t="shared" si="29"/>
        <v>16.723599199999942</v>
      </c>
      <c r="Y88" s="81">
        <f t="shared" si="30"/>
        <v>7</v>
      </c>
      <c r="Z88" s="81">
        <v>364</v>
      </c>
      <c r="AA88" s="54">
        <f t="shared" si="31"/>
        <v>21.69</v>
      </c>
    </row>
    <row r="89" spans="1:27" x14ac:dyDescent="0.25">
      <c r="A89" s="7" t="s">
        <v>427</v>
      </c>
      <c r="B89" s="52">
        <v>189</v>
      </c>
      <c r="C89" s="52">
        <f t="shared" si="16"/>
        <v>6</v>
      </c>
      <c r="D89" s="52">
        <v>195</v>
      </c>
      <c r="E89" s="52">
        <f t="shared" si="17"/>
        <v>5</v>
      </c>
      <c r="F89" s="52">
        <v>200</v>
      </c>
      <c r="G89" s="52">
        <f t="shared" si="18"/>
        <v>7</v>
      </c>
      <c r="H89" s="53">
        <v>207</v>
      </c>
      <c r="I89" s="54">
        <f t="shared" si="19"/>
        <v>26.14</v>
      </c>
      <c r="J89" s="52">
        <f t="shared" si="20"/>
        <v>4</v>
      </c>
      <c r="K89" s="53">
        <v>211</v>
      </c>
      <c r="L89" s="54">
        <f t="shared" si="21"/>
        <v>16.62</v>
      </c>
      <c r="M89" s="52">
        <f t="shared" si="22"/>
        <v>3</v>
      </c>
      <c r="N89" s="53">
        <v>214</v>
      </c>
      <c r="O89" s="54">
        <f t="shared" si="23"/>
        <v>19.16</v>
      </c>
      <c r="P89" s="52">
        <f t="shared" si="24"/>
        <v>5</v>
      </c>
      <c r="Q89" s="53">
        <v>219</v>
      </c>
      <c r="R89" s="54">
        <f t="shared" si="25"/>
        <v>14.35</v>
      </c>
      <c r="S89" s="55">
        <f t="shared" si="26"/>
        <v>5</v>
      </c>
      <c r="T89" s="53">
        <v>224</v>
      </c>
      <c r="U89" s="54">
        <f t="shared" si="27"/>
        <v>14.9</v>
      </c>
      <c r="V89" s="55">
        <f t="shared" si="28"/>
        <v>6</v>
      </c>
      <c r="W89" s="56">
        <v>230</v>
      </c>
      <c r="X89" s="54">
        <f t="shared" si="29"/>
        <v>17.851199999999999</v>
      </c>
      <c r="Y89" s="81">
        <f t="shared" si="30"/>
        <v>5</v>
      </c>
      <c r="Z89" s="81">
        <v>235</v>
      </c>
      <c r="AA89" s="54">
        <f t="shared" si="31"/>
        <v>15.49</v>
      </c>
    </row>
    <row r="90" spans="1:27" x14ac:dyDescent="0.25">
      <c r="A90" s="7" t="s">
        <v>496</v>
      </c>
      <c r="B90" s="52">
        <v>312</v>
      </c>
      <c r="C90" s="52">
        <f t="shared" si="16"/>
        <v>9</v>
      </c>
      <c r="D90" s="52">
        <v>321</v>
      </c>
      <c r="E90" s="52">
        <f t="shared" si="17"/>
        <v>7</v>
      </c>
      <c r="F90" s="52">
        <v>328</v>
      </c>
      <c r="G90" s="52">
        <f t="shared" si="18"/>
        <v>3</v>
      </c>
      <c r="H90" s="53">
        <v>331</v>
      </c>
      <c r="I90" s="54">
        <f t="shared" si="19"/>
        <v>11.2</v>
      </c>
      <c r="J90" s="52">
        <f t="shared" si="20"/>
        <v>0</v>
      </c>
      <c r="K90" s="53">
        <v>331</v>
      </c>
      <c r="L90" s="54">
        <f t="shared" si="21"/>
        <v>0</v>
      </c>
      <c r="M90" s="52">
        <f t="shared" si="22"/>
        <v>0</v>
      </c>
      <c r="N90" s="53">
        <v>331</v>
      </c>
      <c r="O90" s="54">
        <f t="shared" si="23"/>
        <v>0</v>
      </c>
      <c r="P90" s="52">
        <f t="shared" si="24"/>
        <v>0</v>
      </c>
      <c r="Q90" s="53">
        <v>331</v>
      </c>
      <c r="R90" s="54">
        <f t="shared" si="25"/>
        <v>0</v>
      </c>
      <c r="S90" s="55">
        <f t="shared" si="26"/>
        <v>0</v>
      </c>
      <c r="T90" s="53">
        <v>331</v>
      </c>
      <c r="U90" s="54">
        <f t="shared" si="27"/>
        <v>0</v>
      </c>
      <c r="V90" s="55">
        <f t="shared" si="28"/>
        <v>0</v>
      </c>
      <c r="W90" s="56">
        <v>331</v>
      </c>
      <c r="X90" s="54">
        <f t="shared" si="29"/>
        <v>0</v>
      </c>
      <c r="Y90" s="81">
        <f t="shared" si="30"/>
        <v>9</v>
      </c>
      <c r="Z90" s="81">
        <v>340</v>
      </c>
      <c r="AA90" s="54">
        <f t="shared" si="31"/>
        <v>27.89</v>
      </c>
    </row>
    <row r="91" spans="1:27" x14ac:dyDescent="0.25">
      <c r="A91" s="7" t="s">
        <v>523</v>
      </c>
      <c r="B91" s="52">
        <v>182</v>
      </c>
      <c r="C91" s="52">
        <f t="shared" si="16"/>
        <v>5</v>
      </c>
      <c r="D91" s="52">
        <v>187</v>
      </c>
      <c r="E91" s="52">
        <f t="shared" si="17"/>
        <v>6</v>
      </c>
      <c r="F91" s="52">
        <v>193</v>
      </c>
      <c r="G91" s="52">
        <f t="shared" si="18"/>
        <v>8</v>
      </c>
      <c r="H91" s="53">
        <v>201</v>
      </c>
      <c r="I91" s="54">
        <f t="shared" si="19"/>
        <v>29.87</v>
      </c>
      <c r="J91" s="52">
        <f t="shared" si="20"/>
        <v>9</v>
      </c>
      <c r="K91" s="53">
        <v>210</v>
      </c>
      <c r="L91" s="54">
        <f t="shared" si="21"/>
        <v>37.39</v>
      </c>
      <c r="M91" s="52">
        <f t="shared" si="22"/>
        <v>7</v>
      </c>
      <c r="N91" s="53">
        <v>217</v>
      </c>
      <c r="O91" s="54">
        <f t="shared" si="23"/>
        <v>44.7</v>
      </c>
      <c r="P91" s="52">
        <f t="shared" si="24"/>
        <v>5</v>
      </c>
      <c r="Q91" s="53">
        <v>222</v>
      </c>
      <c r="R91" s="54">
        <f t="shared" si="25"/>
        <v>14.35</v>
      </c>
      <c r="S91" s="55">
        <f t="shared" si="26"/>
        <v>6</v>
      </c>
      <c r="T91" s="53">
        <v>228</v>
      </c>
      <c r="U91" s="54">
        <f t="shared" si="27"/>
        <v>17.88</v>
      </c>
      <c r="V91" s="55">
        <f t="shared" si="28"/>
        <v>5</v>
      </c>
      <c r="W91" s="56">
        <v>233</v>
      </c>
      <c r="X91" s="54">
        <f t="shared" si="29"/>
        <v>14.876000000000001</v>
      </c>
      <c r="Y91" s="81">
        <f t="shared" si="30"/>
        <v>7</v>
      </c>
      <c r="Z91" s="81">
        <v>240</v>
      </c>
      <c r="AA91" s="54">
        <f t="shared" si="31"/>
        <v>21.69</v>
      </c>
    </row>
    <row r="92" spans="1:27" x14ac:dyDescent="0.25">
      <c r="A92" s="7" t="s">
        <v>397</v>
      </c>
      <c r="B92" s="52">
        <v>190</v>
      </c>
      <c r="C92" s="52">
        <f t="shared" si="16"/>
        <v>5</v>
      </c>
      <c r="D92" s="52">
        <v>195</v>
      </c>
      <c r="E92" s="52">
        <f t="shared" si="17"/>
        <v>2</v>
      </c>
      <c r="F92" s="52">
        <v>197</v>
      </c>
      <c r="G92" s="52">
        <f t="shared" si="18"/>
        <v>5</v>
      </c>
      <c r="H92" s="53">
        <v>202</v>
      </c>
      <c r="I92" s="54">
        <f t="shared" si="19"/>
        <v>18.670000000000002</v>
      </c>
      <c r="J92" s="52">
        <f t="shared" si="20"/>
        <v>3</v>
      </c>
      <c r="K92" s="53">
        <v>205</v>
      </c>
      <c r="L92" s="54">
        <f t="shared" si="21"/>
        <v>12.46</v>
      </c>
      <c r="M92" s="52">
        <f t="shared" si="22"/>
        <v>2</v>
      </c>
      <c r="N92" s="53">
        <v>207</v>
      </c>
      <c r="O92" s="54">
        <f t="shared" si="23"/>
        <v>12.77</v>
      </c>
      <c r="P92" s="52">
        <f t="shared" si="24"/>
        <v>6</v>
      </c>
      <c r="Q92" s="53">
        <v>213</v>
      </c>
      <c r="R92" s="54">
        <f t="shared" si="25"/>
        <v>17.22</v>
      </c>
      <c r="S92" s="55">
        <f t="shared" si="26"/>
        <v>4</v>
      </c>
      <c r="T92" s="53">
        <v>217</v>
      </c>
      <c r="U92" s="54">
        <f t="shared" si="27"/>
        <v>11.92</v>
      </c>
      <c r="V92" s="55">
        <f t="shared" si="28"/>
        <v>2</v>
      </c>
      <c r="W92" s="56">
        <v>219</v>
      </c>
      <c r="X92" s="54">
        <f t="shared" si="29"/>
        <v>5.9504000000000001</v>
      </c>
      <c r="Y92" s="81">
        <f t="shared" si="30"/>
        <v>8</v>
      </c>
      <c r="Z92" s="81">
        <v>227</v>
      </c>
      <c r="AA92" s="54">
        <f t="shared" si="31"/>
        <v>24.79</v>
      </c>
    </row>
    <row r="93" spans="1:27" x14ac:dyDescent="0.25">
      <c r="A93" s="7" t="s">
        <v>238</v>
      </c>
      <c r="B93" s="52">
        <v>539</v>
      </c>
      <c r="C93" s="52">
        <f t="shared" si="16"/>
        <v>15</v>
      </c>
      <c r="D93" s="52">
        <v>554</v>
      </c>
      <c r="E93" s="52">
        <f t="shared" si="17"/>
        <v>18</v>
      </c>
      <c r="F93" s="52">
        <v>572</v>
      </c>
      <c r="G93" s="52">
        <f t="shared" si="18"/>
        <v>12</v>
      </c>
      <c r="H93" s="53">
        <v>584</v>
      </c>
      <c r="I93" s="54">
        <f t="shared" si="19"/>
        <v>44.81</v>
      </c>
      <c r="J93" s="52">
        <f t="shared" si="20"/>
        <v>14</v>
      </c>
      <c r="K93" s="53">
        <v>598</v>
      </c>
      <c r="L93" s="54">
        <f t="shared" si="21"/>
        <v>58.17</v>
      </c>
      <c r="M93" s="52">
        <f t="shared" si="22"/>
        <v>10</v>
      </c>
      <c r="N93" s="53">
        <v>608</v>
      </c>
      <c r="O93" s="54">
        <f t="shared" si="23"/>
        <v>63.86</v>
      </c>
      <c r="P93" s="52">
        <f t="shared" si="24"/>
        <v>10</v>
      </c>
      <c r="Q93" s="53">
        <v>618</v>
      </c>
      <c r="R93" s="54">
        <f t="shared" si="25"/>
        <v>28.7</v>
      </c>
      <c r="S93" s="55">
        <f t="shared" si="26"/>
        <v>13</v>
      </c>
      <c r="T93" s="53">
        <v>631</v>
      </c>
      <c r="U93" s="54">
        <f t="shared" si="27"/>
        <v>38.74</v>
      </c>
      <c r="V93" s="55">
        <f t="shared" si="28"/>
        <v>14</v>
      </c>
      <c r="W93" s="56">
        <v>645</v>
      </c>
      <c r="X93" s="54">
        <f t="shared" si="29"/>
        <v>41.652799999999999</v>
      </c>
      <c r="Y93" s="81">
        <f t="shared" si="30"/>
        <v>15</v>
      </c>
      <c r="Z93" s="81">
        <v>660</v>
      </c>
      <c r="AA93" s="54">
        <f t="shared" si="31"/>
        <v>46.48</v>
      </c>
    </row>
    <row r="94" spans="1:27" x14ac:dyDescent="0.25">
      <c r="A94" s="7" t="s">
        <v>13</v>
      </c>
      <c r="B94" s="52">
        <v>47.44</v>
      </c>
      <c r="C94" s="52">
        <f t="shared" si="16"/>
        <v>3.0000000000001137E-2</v>
      </c>
      <c r="D94" s="52">
        <v>47.47</v>
      </c>
      <c r="E94" s="52">
        <f t="shared" si="17"/>
        <v>0.41000000000000369</v>
      </c>
      <c r="F94" s="52">
        <v>47.88</v>
      </c>
      <c r="G94" s="52">
        <f t="shared" si="18"/>
        <v>2.1269999999999953</v>
      </c>
      <c r="H94" s="53">
        <v>50.006999999999998</v>
      </c>
      <c r="I94" s="54">
        <f t="shared" si="19"/>
        <v>7.94</v>
      </c>
      <c r="J94" s="52">
        <f t="shared" si="20"/>
        <v>2.1020000000000039</v>
      </c>
      <c r="K94" s="53">
        <v>52.109000000000002</v>
      </c>
      <c r="L94" s="54">
        <f t="shared" si="21"/>
        <v>8.73</v>
      </c>
      <c r="M94" s="52">
        <f t="shared" si="22"/>
        <v>1.1909999999999954</v>
      </c>
      <c r="N94" s="53">
        <v>53.3</v>
      </c>
      <c r="O94" s="54">
        <f t="shared" si="23"/>
        <v>7.61</v>
      </c>
      <c r="P94" s="52">
        <f t="shared" si="24"/>
        <v>0.70000000000000284</v>
      </c>
      <c r="Q94" s="53">
        <v>54</v>
      </c>
      <c r="R94" s="54">
        <f t="shared" si="25"/>
        <v>2.0099999999999998</v>
      </c>
      <c r="S94" s="55">
        <f t="shared" si="26"/>
        <v>2.9209999999999994</v>
      </c>
      <c r="T94" s="53">
        <v>56.920999999999999</v>
      </c>
      <c r="U94" s="54">
        <f t="shared" si="27"/>
        <v>8.6999999999999993</v>
      </c>
      <c r="V94" s="55">
        <f t="shared" si="28"/>
        <v>2.0790000000000006</v>
      </c>
      <c r="W94" s="56">
        <v>59</v>
      </c>
      <c r="X94" s="54">
        <f t="shared" si="29"/>
        <v>6.1854408000000021</v>
      </c>
      <c r="Y94" s="81">
        <f t="shared" si="30"/>
        <v>3</v>
      </c>
      <c r="Z94" s="81">
        <v>62</v>
      </c>
      <c r="AA94" s="54">
        <f t="shared" si="31"/>
        <v>9.3000000000000007</v>
      </c>
    </row>
    <row r="95" spans="1:27" x14ac:dyDescent="0.25">
      <c r="A95" s="7" t="s">
        <v>376</v>
      </c>
      <c r="B95" s="52">
        <v>440.52</v>
      </c>
      <c r="C95" s="52">
        <f t="shared" si="16"/>
        <v>12.009999999999991</v>
      </c>
      <c r="D95" s="52">
        <v>452.53</v>
      </c>
      <c r="E95" s="52">
        <f t="shared" si="17"/>
        <v>9.8100000000000023</v>
      </c>
      <c r="F95" s="52">
        <v>462.34</v>
      </c>
      <c r="G95" s="52">
        <f t="shared" si="18"/>
        <v>11.67900000000003</v>
      </c>
      <c r="H95" s="53">
        <v>474.01900000000001</v>
      </c>
      <c r="I95" s="54">
        <f t="shared" si="19"/>
        <v>43.61</v>
      </c>
      <c r="J95" s="52">
        <f t="shared" si="20"/>
        <v>11.63900000000001</v>
      </c>
      <c r="K95" s="53">
        <v>485.65800000000002</v>
      </c>
      <c r="L95" s="54">
        <f t="shared" si="21"/>
        <v>48.36</v>
      </c>
      <c r="M95" s="52">
        <f t="shared" si="22"/>
        <v>6.6719999999999686</v>
      </c>
      <c r="N95" s="53">
        <v>492.33</v>
      </c>
      <c r="O95" s="54">
        <f t="shared" si="23"/>
        <v>42.6</v>
      </c>
      <c r="P95" s="52">
        <f t="shared" si="24"/>
        <v>6.6700000000000159</v>
      </c>
      <c r="Q95" s="53">
        <v>499</v>
      </c>
      <c r="R95" s="54">
        <f t="shared" si="25"/>
        <v>19.149999999999999</v>
      </c>
      <c r="S95" s="55">
        <f t="shared" si="26"/>
        <v>8.0160000000000196</v>
      </c>
      <c r="T95" s="53">
        <v>507.01600000000002</v>
      </c>
      <c r="U95" s="54">
        <f t="shared" si="27"/>
        <v>23.89</v>
      </c>
      <c r="V95" s="55">
        <f t="shared" si="28"/>
        <v>8.9839999999999804</v>
      </c>
      <c r="W95" s="56">
        <v>516</v>
      </c>
      <c r="X95" s="54">
        <f t="shared" si="29"/>
        <v>26.729196799999944</v>
      </c>
      <c r="Y95" s="81">
        <f t="shared" si="30"/>
        <v>8</v>
      </c>
      <c r="Z95" s="81">
        <v>524</v>
      </c>
      <c r="AA95" s="54">
        <f t="shared" si="31"/>
        <v>24.79</v>
      </c>
    </row>
    <row r="96" spans="1:27" x14ac:dyDescent="0.25">
      <c r="A96" s="7" t="s">
        <v>232</v>
      </c>
      <c r="B96" s="52">
        <v>303</v>
      </c>
      <c r="C96" s="52">
        <f t="shared" si="16"/>
        <v>4</v>
      </c>
      <c r="D96" s="52">
        <v>307</v>
      </c>
      <c r="E96" s="52">
        <f t="shared" si="17"/>
        <v>2</v>
      </c>
      <c r="F96" s="52">
        <v>309</v>
      </c>
      <c r="G96" s="52">
        <f t="shared" si="18"/>
        <v>9</v>
      </c>
      <c r="H96" s="53">
        <v>318</v>
      </c>
      <c r="I96" s="54">
        <f t="shared" si="19"/>
        <v>33.61</v>
      </c>
      <c r="J96" s="52">
        <f t="shared" si="20"/>
        <v>7</v>
      </c>
      <c r="K96" s="53">
        <v>325</v>
      </c>
      <c r="L96" s="54">
        <f t="shared" si="21"/>
        <v>29.08</v>
      </c>
      <c r="M96" s="52">
        <f t="shared" si="22"/>
        <v>3</v>
      </c>
      <c r="N96" s="53">
        <v>328</v>
      </c>
      <c r="O96" s="54">
        <f t="shared" si="23"/>
        <v>19.16</v>
      </c>
      <c r="P96" s="52">
        <f t="shared" si="24"/>
        <v>8</v>
      </c>
      <c r="Q96" s="53">
        <v>336</v>
      </c>
      <c r="R96" s="54">
        <f t="shared" si="25"/>
        <v>22.96</v>
      </c>
      <c r="S96" s="55">
        <f t="shared" si="26"/>
        <v>15</v>
      </c>
      <c r="T96" s="53">
        <v>351</v>
      </c>
      <c r="U96" s="54">
        <f t="shared" si="27"/>
        <v>44.7</v>
      </c>
      <c r="V96" s="55">
        <f t="shared" si="28"/>
        <v>14</v>
      </c>
      <c r="W96" s="56">
        <v>365</v>
      </c>
      <c r="X96" s="54">
        <f t="shared" si="29"/>
        <v>41.652799999999999</v>
      </c>
      <c r="Y96" s="81">
        <f t="shared" si="30"/>
        <v>17</v>
      </c>
      <c r="Z96" s="81">
        <v>382</v>
      </c>
      <c r="AA96" s="54">
        <f t="shared" si="31"/>
        <v>52.68</v>
      </c>
    </row>
    <row r="97" spans="1:27" x14ac:dyDescent="0.25">
      <c r="A97" s="7" t="s">
        <v>16</v>
      </c>
      <c r="B97" s="52">
        <v>107</v>
      </c>
      <c r="C97" s="52">
        <f t="shared" si="16"/>
        <v>4</v>
      </c>
      <c r="D97" s="52">
        <v>111</v>
      </c>
      <c r="E97" s="52">
        <f t="shared" si="17"/>
        <v>5</v>
      </c>
      <c r="F97" s="52">
        <v>116</v>
      </c>
      <c r="G97" s="52">
        <f t="shared" si="18"/>
        <v>7</v>
      </c>
      <c r="H97" s="53">
        <v>123</v>
      </c>
      <c r="I97" s="54">
        <f t="shared" si="19"/>
        <v>26.14</v>
      </c>
      <c r="J97" s="52">
        <f t="shared" si="20"/>
        <v>5</v>
      </c>
      <c r="K97" s="53">
        <v>128</v>
      </c>
      <c r="L97" s="54">
        <f t="shared" si="21"/>
        <v>20.77</v>
      </c>
      <c r="M97" s="52">
        <f t="shared" si="22"/>
        <v>3</v>
      </c>
      <c r="N97" s="53">
        <v>131</v>
      </c>
      <c r="O97" s="54">
        <f t="shared" si="23"/>
        <v>19.16</v>
      </c>
      <c r="P97" s="52">
        <f t="shared" si="24"/>
        <v>5</v>
      </c>
      <c r="Q97" s="53">
        <v>136</v>
      </c>
      <c r="R97" s="54">
        <f t="shared" si="25"/>
        <v>14.35</v>
      </c>
      <c r="S97" s="55">
        <f t="shared" si="26"/>
        <v>6</v>
      </c>
      <c r="T97" s="53">
        <v>142</v>
      </c>
      <c r="U97" s="54">
        <f t="shared" si="27"/>
        <v>17.88</v>
      </c>
      <c r="V97" s="55">
        <f t="shared" si="28"/>
        <v>6</v>
      </c>
      <c r="W97" s="56">
        <v>148</v>
      </c>
      <c r="X97" s="54">
        <f t="shared" si="29"/>
        <v>17.851199999999999</v>
      </c>
      <c r="Y97" s="81">
        <f t="shared" si="30"/>
        <v>4</v>
      </c>
      <c r="Z97" s="81">
        <v>152</v>
      </c>
      <c r="AA97" s="54">
        <f t="shared" si="31"/>
        <v>12.4</v>
      </c>
    </row>
    <row r="98" spans="1:27" x14ac:dyDescent="0.25">
      <c r="A98" s="7" t="s">
        <v>172</v>
      </c>
      <c r="B98" s="52">
        <v>39</v>
      </c>
      <c r="C98" s="52">
        <f t="shared" si="16"/>
        <v>2</v>
      </c>
      <c r="D98" s="52">
        <v>41</v>
      </c>
      <c r="E98" s="52">
        <f t="shared" si="17"/>
        <v>1</v>
      </c>
      <c r="F98" s="52">
        <v>42</v>
      </c>
      <c r="G98" s="52">
        <f t="shared" si="18"/>
        <v>4</v>
      </c>
      <c r="H98" s="53">
        <v>46</v>
      </c>
      <c r="I98" s="54">
        <f t="shared" si="19"/>
        <v>14.94</v>
      </c>
      <c r="J98" s="52">
        <f t="shared" si="20"/>
        <v>4</v>
      </c>
      <c r="K98" s="53">
        <v>50</v>
      </c>
      <c r="L98" s="54">
        <f t="shared" si="21"/>
        <v>16.62</v>
      </c>
      <c r="M98" s="52">
        <f t="shared" si="22"/>
        <v>1</v>
      </c>
      <c r="N98" s="53">
        <v>51</v>
      </c>
      <c r="O98" s="54">
        <f t="shared" si="23"/>
        <v>6.39</v>
      </c>
      <c r="P98" s="52">
        <f t="shared" si="24"/>
        <v>3</v>
      </c>
      <c r="Q98" s="53">
        <v>54</v>
      </c>
      <c r="R98" s="54">
        <f t="shared" si="25"/>
        <v>8.61</v>
      </c>
      <c r="S98" s="55">
        <f t="shared" si="26"/>
        <v>7</v>
      </c>
      <c r="T98" s="53">
        <v>61</v>
      </c>
      <c r="U98" s="54">
        <f t="shared" si="27"/>
        <v>20.86</v>
      </c>
      <c r="V98" s="55">
        <f t="shared" si="28"/>
        <v>5</v>
      </c>
      <c r="W98" s="56">
        <v>66</v>
      </c>
      <c r="X98" s="54">
        <f t="shared" si="29"/>
        <v>14.876000000000001</v>
      </c>
      <c r="Y98" s="81">
        <f t="shared" si="30"/>
        <v>7</v>
      </c>
      <c r="Z98" s="81">
        <v>73</v>
      </c>
      <c r="AA98" s="54">
        <f t="shared" si="31"/>
        <v>21.69</v>
      </c>
    </row>
    <row r="99" spans="1:27" x14ac:dyDescent="0.25">
      <c r="A99" s="7" t="s">
        <v>151</v>
      </c>
      <c r="B99" s="52">
        <v>269</v>
      </c>
      <c r="C99" s="52">
        <f t="shared" si="16"/>
        <v>6</v>
      </c>
      <c r="D99" s="52">
        <v>275</v>
      </c>
      <c r="E99" s="52">
        <f t="shared" si="17"/>
        <v>8</v>
      </c>
      <c r="F99" s="52">
        <v>283</v>
      </c>
      <c r="G99" s="52">
        <f t="shared" si="18"/>
        <v>10</v>
      </c>
      <c r="H99" s="53">
        <v>293</v>
      </c>
      <c r="I99" s="54">
        <f t="shared" si="19"/>
        <v>37.340000000000003</v>
      </c>
      <c r="J99" s="52">
        <f t="shared" si="20"/>
        <v>3</v>
      </c>
      <c r="K99" s="53">
        <v>296</v>
      </c>
      <c r="L99" s="54">
        <f t="shared" si="21"/>
        <v>12.46</v>
      </c>
      <c r="M99" s="52">
        <f t="shared" si="22"/>
        <v>4</v>
      </c>
      <c r="N99" s="53">
        <v>300</v>
      </c>
      <c r="O99" s="54">
        <f t="shared" si="23"/>
        <v>25.54</v>
      </c>
      <c r="P99" s="52">
        <f t="shared" si="24"/>
        <v>7</v>
      </c>
      <c r="Q99" s="53">
        <v>307</v>
      </c>
      <c r="R99" s="54">
        <f t="shared" si="25"/>
        <v>20.09</v>
      </c>
      <c r="S99" s="55">
        <f t="shared" si="26"/>
        <v>7</v>
      </c>
      <c r="T99" s="53">
        <v>314</v>
      </c>
      <c r="U99" s="54">
        <f t="shared" si="27"/>
        <v>20.86</v>
      </c>
      <c r="V99" s="55">
        <f t="shared" si="28"/>
        <v>7</v>
      </c>
      <c r="W99" s="56">
        <v>321</v>
      </c>
      <c r="X99" s="54">
        <f t="shared" si="29"/>
        <v>20.8264</v>
      </c>
      <c r="Y99" s="81">
        <f t="shared" si="30"/>
        <v>10</v>
      </c>
      <c r="Z99" s="81">
        <v>331</v>
      </c>
      <c r="AA99" s="54">
        <f t="shared" si="31"/>
        <v>30.99</v>
      </c>
    </row>
    <row r="100" spans="1:27" x14ac:dyDescent="0.25">
      <c r="A100" s="7" t="s">
        <v>355</v>
      </c>
      <c r="B100" s="52">
        <v>501.16</v>
      </c>
      <c r="C100" s="52">
        <f t="shared" si="16"/>
        <v>7.5299999999999727</v>
      </c>
      <c r="D100" s="52">
        <v>508.69</v>
      </c>
      <c r="E100" s="52">
        <f t="shared" si="17"/>
        <v>4.9799999999999613</v>
      </c>
      <c r="F100" s="52">
        <v>513.66999999999996</v>
      </c>
      <c r="G100" s="52">
        <f t="shared" si="18"/>
        <v>10.596000000000004</v>
      </c>
      <c r="H100" s="53">
        <v>524.26599999999996</v>
      </c>
      <c r="I100" s="54">
        <f t="shared" si="19"/>
        <v>39.57</v>
      </c>
      <c r="J100" s="52">
        <f t="shared" si="20"/>
        <v>6.7340000000000373</v>
      </c>
      <c r="K100" s="53">
        <v>531</v>
      </c>
      <c r="L100" s="54">
        <f t="shared" si="21"/>
        <v>27.98</v>
      </c>
      <c r="M100" s="52">
        <f t="shared" si="22"/>
        <v>4.9740000000000464</v>
      </c>
      <c r="N100" s="53">
        <v>535.97400000000005</v>
      </c>
      <c r="O100" s="54">
        <f t="shared" si="23"/>
        <v>31.76</v>
      </c>
      <c r="P100" s="52">
        <f t="shared" si="24"/>
        <v>7.0259999999999536</v>
      </c>
      <c r="Q100" s="53">
        <v>543</v>
      </c>
      <c r="R100" s="54">
        <f t="shared" si="25"/>
        <v>20.170000000000002</v>
      </c>
      <c r="S100" s="55">
        <f t="shared" si="26"/>
        <v>3.8529999999999518</v>
      </c>
      <c r="T100" s="53">
        <v>546.85299999999995</v>
      </c>
      <c r="U100" s="54">
        <f t="shared" si="27"/>
        <v>11.48</v>
      </c>
      <c r="V100" s="55">
        <f t="shared" si="28"/>
        <v>4.1470000000000482</v>
      </c>
      <c r="W100" s="56">
        <v>551</v>
      </c>
      <c r="X100" s="54">
        <f t="shared" si="29"/>
        <v>12.338154400000144</v>
      </c>
      <c r="Y100" s="81">
        <f t="shared" si="30"/>
        <v>14</v>
      </c>
      <c r="Z100" s="81">
        <v>565</v>
      </c>
      <c r="AA100" s="54">
        <f t="shared" si="31"/>
        <v>43.38</v>
      </c>
    </row>
    <row r="101" spans="1:27" x14ac:dyDescent="0.25">
      <c r="A101" s="7" t="s">
        <v>460</v>
      </c>
      <c r="B101" s="52">
        <v>93</v>
      </c>
      <c r="C101" s="52">
        <f t="shared" si="16"/>
        <v>3</v>
      </c>
      <c r="D101" s="52">
        <v>96</v>
      </c>
      <c r="E101" s="52">
        <f t="shared" si="17"/>
        <v>2</v>
      </c>
      <c r="F101" s="52">
        <v>98</v>
      </c>
      <c r="G101" s="52">
        <f t="shared" si="18"/>
        <v>2</v>
      </c>
      <c r="H101" s="53">
        <v>100</v>
      </c>
      <c r="I101" s="54">
        <f t="shared" si="19"/>
        <v>7.47</v>
      </c>
      <c r="J101" s="52">
        <f t="shared" si="20"/>
        <v>2</v>
      </c>
      <c r="K101" s="53">
        <v>102</v>
      </c>
      <c r="L101" s="54">
        <f t="shared" si="21"/>
        <v>8.31</v>
      </c>
      <c r="M101" s="52">
        <f t="shared" si="22"/>
        <v>1</v>
      </c>
      <c r="N101" s="53">
        <v>103</v>
      </c>
      <c r="O101" s="54">
        <f t="shared" si="23"/>
        <v>6.39</v>
      </c>
      <c r="P101" s="52">
        <f t="shared" si="24"/>
        <v>1</v>
      </c>
      <c r="Q101" s="53">
        <v>104</v>
      </c>
      <c r="R101" s="54">
        <f t="shared" si="25"/>
        <v>2.87</v>
      </c>
      <c r="S101" s="55">
        <f t="shared" si="26"/>
        <v>0</v>
      </c>
      <c r="T101" s="53">
        <v>104</v>
      </c>
      <c r="U101" s="54">
        <f t="shared" si="27"/>
        <v>0</v>
      </c>
      <c r="V101" s="55">
        <f t="shared" si="28"/>
        <v>1</v>
      </c>
      <c r="W101" s="56">
        <v>105</v>
      </c>
      <c r="X101" s="54">
        <f t="shared" si="29"/>
        <v>2.9752000000000001</v>
      </c>
      <c r="Y101" s="81">
        <f t="shared" si="30"/>
        <v>0</v>
      </c>
      <c r="Z101" s="81">
        <v>105</v>
      </c>
      <c r="AA101" s="54">
        <f t="shared" si="31"/>
        <v>0</v>
      </c>
    </row>
    <row r="102" spans="1:27" x14ac:dyDescent="0.25">
      <c r="A102" s="7" t="s">
        <v>100</v>
      </c>
      <c r="B102" s="52">
        <v>577</v>
      </c>
      <c r="C102" s="52">
        <f t="shared" si="16"/>
        <v>10</v>
      </c>
      <c r="D102" s="52">
        <v>587</v>
      </c>
      <c r="E102" s="52">
        <f t="shared" si="17"/>
        <v>20</v>
      </c>
      <c r="F102" s="52">
        <v>607</v>
      </c>
      <c r="G102" s="52">
        <f t="shared" si="18"/>
        <v>0</v>
      </c>
      <c r="H102" s="53">
        <v>607</v>
      </c>
      <c r="I102" s="54">
        <f t="shared" si="19"/>
        <v>0</v>
      </c>
      <c r="J102" s="52">
        <f t="shared" si="20"/>
        <v>0</v>
      </c>
      <c r="K102" s="53">
        <v>607</v>
      </c>
      <c r="L102" s="54">
        <f t="shared" si="21"/>
        <v>0</v>
      </c>
      <c r="M102" s="52">
        <f t="shared" si="22"/>
        <v>2</v>
      </c>
      <c r="N102" s="53">
        <v>609</v>
      </c>
      <c r="O102" s="54">
        <f t="shared" si="23"/>
        <v>12.77</v>
      </c>
      <c r="P102" s="52">
        <f t="shared" si="24"/>
        <v>0</v>
      </c>
      <c r="Q102" s="53">
        <v>609</v>
      </c>
      <c r="R102" s="54">
        <f t="shared" si="25"/>
        <v>0</v>
      </c>
      <c r="S102" s="55">
        <f t="shared" si="26"/>
        <v>7</v>
      </c>
      <c r="T102" s="53">
        <v>616</v>
      </c>
      <c r="U102" s="54">
        <f t="shared" si="27"/>
        <v>20.86</v>
      </c>
      <c r="V102" s="55">
        <f t="shared" si="28"/>
        <v>9</v>
      </c>
      <c r="W102" s="56">
        <v>625</v>
      </c>
      <c r="X102" s="54">
        <f t="shared" si="29"/>
        <v>26.776800000000001</v>
      </c>
      <c r="Y102" s="81">
        <f t="shared" si="30"/>
        <v>0</v>
      </c>
      <c r="Z102" s="81">
        <v>625</v>
      </c>
      <c r="AA102" s="54">
        <f t="shared" si="31"/>
        <v>0</v>
      </c>
    </row>
    <row r="103" spans="1:27" x14ac:dyDescent="0.25">
      <c r="A103" s="7" t="s">
        <v>211</v>
      </c>
      <c r="B103" s="52">
        <v>220</v>
      </c>
      <c r="C103" s="52">
        <f t="shared" si="16"/>
        <v>3</v>
      </c>
      <c r="D103" s="52">
        <v>223</v>
      </c>
      <c r="E103" s="52">
        <f t="shared" si="17"/>
        <v>3</v>
      </c>
      <c r="F103" s="52">
        <v>226</v>
      </c>
      <c r="G103" s="52">
        <f t="shared" si="18"/>
        <v>6</v>
      </c>
      <c r="H103" s="53">
        <v>232</v>
      </c>
      <c r="I103" s="54">
        <f t="shared" si="19"/>
        <v>22.41</v>
      </c>
      <c r="J103" s="52">
        <f t="shared" si="20"/>
        <v>4</v>
      </c>
      <c r="K103" s="53">
        <v>236</v>
      </c>
      <c r="L103" s="54">
        <f t="shared" si="21"/>
        <v>16.62</v>
      </c>
      <c r="M103" s="52">
        <f t="shared" si="22"/>
        <v>2</v>
      </c>
      <c r="N103" s="53">
        <v>238</v>
      </c>
      <c r="O103" s="54">
        <f t="shared" si="23"/>
        <v>12.77</v>
      </c>
      <c r="P103" s="52">
        <f t="shared" si="24"/>
        <v>2</v>
      </c>
      <c r="Q103" s="53">
        <v>240</v>
      </c>
      <c r="R103" s="54">
        <f t="shared" si="25"/>
        <v>5.74</v>
      </c>
      <c r="S103" s="55">
        <f t="shared" si="26"/>
        <v>3</v>
      </c>
      <c r="T103" s="53">
        <v>243</v>
      </c>
      <c r="U103" s="54">
        <f t="shared" si="27"/>
        <v>8.94</v>
      </c>
      <c r="V103" s="55">
        <f t="shared" si="28"/>
        <v>3</v>
      </c>
      <c r="W103" s="56">
        <v>246</v>
      </c>
      <c r="X103" s="54">
        <f t="shared" si="29"/>
        <v>8.9255999999999993</v>
      </c>
      <c r="Y103" s="81">
        <f t="shared" si="30"/>
        <v>3</v>
      </c>
      <c r="Z103" s="81">
        <v>249</v>
      </c>
      <c r="AA103" s="54">
        <f t="shared" si="31"/>
        <v>9.3000000000000007</v>
      </c>
    </row>
    <row r="104" spans="1:27" x14ac:dyDescent="0.25">
      <c r="A104" s="7" t="s">
        <v>214</v>
      </c>
      <c r="B104" s="52">
        <v>251</v>
      </c>
      <c r="C104" s="52">
        <f t="shared" si="16"/>
        <v>3</v>
      </c>
      <c r="D104" s="52">
        <v>254</v>
      </c>
      <c r="E104" s="52">
        <f t="shared" si="17"/>
        <v>3</v>
      </c>
      <c r="F104" s="52">
        <v>257</v>
      </c>
      <c r="G104" s="52">
        <f t="shared" si="18"/>
        <v>4</v>
      </c>
      <c r="H104" s="53">
        <v>261</v>
      </c>
      <c r="I104" s="54">
        <f t="shared" si="19"/>
        <v>14.94</v>
      </c>
      <c r="J104" s="52">
        <f t="shared" si="20"/>
        <v>2</v>
      </c>
      <c r="K104" s="53">
        <v>263</v>
      </c>
      <c r="L104" s="54">
        <f t="shared" si="21"/>
        <v>8.31</v>
      </c>
      <c r="M104" s="52">
        <f t="shared" si="22"/>
        <v>2</v>
      </c>
      <c r="N104" s="53">
        <v>265</v>
      </c>
      <c r="O104" s="54">
        <f t="shared" si="23"/>
        <v>12.77</v>
      </c>
      <c r="P104" s="52">
        <f t="shared" si="24"/>
        <v>3</v>
      </c>
      <c r="Q104" s="53">
        <v>268</v>
      </c>
      <c r="R104" s="54">
        <f t="shared" si="25"/>
        <v>8.61</v>
      </c>
      <c r="S104" s="55">
        <f t="shared" si="26"/>
        <v>3</v>
      </c>
      <c r="T104" s="53">
        <v>271</v>
      </c>
      <c r="U104" s="54">
        <f t="shared" si="27"/>
        <v>8.94</v>
      </c>
      <c r="V104" s="55">
        <f t="shared" si="28"/>
        <v>3</v>
      </c>
      <c r="W104" s="56">
        <v>274</v>
      </c>
      <c r="X104" s="54">
        <f t="shared" si="29"/>
        <v>8.9255999999999993</v>
      </c>
      <c r="Y104" s="81">
        <f t="shared" si="30"/>
        <v>5</v>
      </c>
      <c r="Z104" s="81">
        <v>279</v>
      </c>
      <c r="AA104" s="54">
        <f t="shared" si="31"/>
        <v>15.49</v>
      </c>
    </row>
    <row r="105" spans="1:27" x14ac:dyDescent="0.25">
      <c r="A105" s="7" t="s">
        <v>235</v>
      </c>
      <c r="B105" s="52">
        <v>287.27</v>
      </c>
      <c r="C105" s="52">
        <f t="shared" si="16"/>
        <v>12.189999999999998</v>
      </c>
      <c r="D105" s="52">
        <v>299.45999999999998</v>
      </c>
      <c r="E105" s="52">
        <f t="shared" si="17"/>
        <v>10.410000000000025</v>
      </c>
      <c r="F105" s="52">
        <v>309.87</v>
      </c>
      <c r="G105" s="52">
        <f t="shared" si="18"/>
        <v>10.987000000000023</v>
      </c>
      <c r="H105" s="53">
        <v>320.85700000000003</v>
      </c>
      <c r="I105" s="54">
        <f t="shared" si="19"/>
        <v>41.03</v>
      </c>
      <c r="J105" s="52">
        <f t="shared" si="20"/>
        <v>11.907999999999959</v>
      </c>
      <c r="K105" s="53">
        <v>332.76499999999999</v>
      </c>
      <c r="L105" s="54">
        <f t="shared" si="21"/>
        <v>49.47</v>
      </c>
      <c r="M105" s="52">
        <f t="shared" si="22"/>
        <v>10.093999999999994</v>
      </c>
      <c r="N105" s="53">
        <v>342.85899999999998</v>
      </c>
      <c r="O105" s="54">
        <f t="shared" si="23"/>
        <v>64.459999999999994</v>
      </c>
      <c r="P105" s="52">
        <f t="shared" si="24"/>
        <v>12.14100000000002</v>
      </c>
      <c r="Q105" s="53">
        <v>355</v>
      </c>
      <c r="R105" s="54">
        <f t="shared" si="25"/>
        <v>34.85</v>
      </c>
      <c r="S105" s="55">
        <f t="shared" si="26"/>
        <v>17.795000000000016</v>
      </c>
      <c r="T105" s="53">
        <v>372.79500000000002</v>
      </c>
      <c r="U105" s="54">
        <f t="shared" si="27"/>
        <v>53.03</v>
      </c>
      <c r="V105" s="55">
        <f t="shared" si="28"/>
        <v>15.204999999999984</v>
      </c>
      <c r="W105" s="56">
        <v>388</v>
      </c>
      <c r="X105" s="54">
        <f t="shared" si="29"/>
        <v>45.237915999999956</v>
      </c>
      <c r="Y105" s="81">
        <f t="shared" si="30"/>
        <v>19</v>
      </c>
      <c r="Z105" s="81">
        <v>407</v>
      </c>
      <c r="AA105" s="54">
        <f t="shared" si="31"/>
        <v>58.88</v>
      </c>
    </row>
    <row r="106" spans="1:27" x14ac:dyDescent="0.25">
      <c r="A106" s="7" t="s">
        <v>484</v>
      </c>
      <c r="B106" s="52">
        <v>68.400000000000006</v>
      </c>
      <c r="C106" s="52">
        <f t="shared" si="16"/>
        <v>1.1899999999999977</v>
      </c>
      <c r="D106" s="52">
        <v>69.59</v>
      </c>
      <c r="E106" s="52">
        <f t="shared" si="17"/>
        <v>9.9999999999909051E-3</v>
      </c>
      <c r="F106" s="52">
        <v>69.599999999999994</v>
      </c>
      <c r="G106" s="52">
        <f t="shared" si="18"/>
        <v>0.13000000000000966</v>
      </c>
      <c r="H106" s="53">
        <v>69.73</v>
      </c>
      <c r="I106" s="54">
        <f t="shared" si="19"/>
        <v>0.49</v>
      </c>
      <c r="J106" s="52">
        <f t="shared" si="20"/>
        <v>0.32599999999999341</v>
      </c>
      <c r="K106" s="53">
        <v>70.055999999999997</v>
      </c>
      <c r="L106" s="54">
        <f t="shared" si="21"/>
        <v>1.35</v>
      </c>
      <c r="M106" s="52">
        <f t="shared" si="22"/>
        <v>0.20100000000000762</v>
      </c>
      <c r="N106" s="53">
        <v>70.257000000000005</v>
      </c>
      <c r="O106" s="54">
        <f t="shared" si="23"/>
        <v>1.28</v>
      </c>
      <c r="P106" s="52">
        <f t="shared" si="24"/>
        <v>0</v>
      </c>
      <c r="Q106" s="53">
        <v>70.257000000000005</v>
      </c>
      <c r="R106" s="54">
        <f t="shared" si="25"/>
        <v>0</v>
      </c>
      <c r="S106" s="55">
        <f t="shared" si="26"/>
        <v>0.28600000000000136</v>
      </c>
      <c r="T106" s="53">
        <v>70.543000000000006</v>
      </c>
      <c r="U106" s="54">
        <f t="shared" si="27"/>
        <v>0.85</v>
      </c>
      <c r="V106" s="55">
        <f t="shared" si="28"/>
        <v>0.45699999999999363</v>
      </c>
      <c r="W106" s="56">
        <v>71</v>
      </c>
      <c r="X106" s="54">
        <f t="shared" si="29"/>
        <v>1.3596663999999812</v>
      </c>
      <c r="Y106" s="81">
        <f t="shared" si="30"/>
        <v>0</v>
      </c>
      <c r="Z106" s="56">
        <v>71</v>
      </c>
      <c r="AA106" s="54">
        <f t="shared" si="31"/>
        <v>0</v>
      </c>
    </row>
    <row r="107" spans="1:27" x14ac:dyDescent="0.25">
      <c r="A107" s="7" t="s">
        <v>358</v>
      </c>
      <c r="B107" s="52">
        <v>226</v>
      </c>
      <c r="C107" s="52">
        <f t="shared" si="16"/>
        <v>5</v>
      </c>
      <c r="D107" s="52">
        <v>231</v>
      </c>
      <c r="E107" s="52">
        <f t="shared" si="17"/>
        <v>6</v>
      </c>
      <c r="F107" s="52">
        <v>237</v>
      </c>
      <c r="G107" s="52">
        <f t="shared" si="18"/>
        <v>5</v>
      </c>
      <c r="H107" s="53">
        <v>242</v>
      </c>
      <c r="I107" s="54">
        <f t="shared" si="19"/>
        <v>18.670000000000002</v>
      </c>
      <c r="J107" s="52">
        <f t="shared" si="20"/>
        <v>5</v>
      </c>
      <c r="K107" s="53">
        <v>247</v>
      </c>
      <c r="L107" s="54">
        <f t="shared" si="21"/>
        <v>20.77</v>
      </c>
      <c r="M107" s="52">
        <f t="shared" si="22"/>
        <v>4</v>
      </c>
      <c r="N107" s="53">
        <v>251</v>
      </c>
      <c r="O107" s="54">
        <f t="shared" si="23"/>
        <v>25.54</v>
      </c>
      <c r="P107" s="52">
        <f t="shared" si="24"/>
        <v>5</v>
      </c>
      <c r="Q107" s="53">
        <v>256</v>
      </c>
      <c r="R107" s="54">
        <f t="shared" si="25"/>
        <v>14.35</v>
      </c>
      <c r="S107" s="55">
        <f t="shared" si="26"/>
        <v>6</v>
      </c>
      <c r="T107" s="53">
        <v>262</v>
      </c>
      <c r="U107" s="54">
        <f t="shared" si="27"/>
        <v>17.88</v>
      </c>
      <c r="V107" s="55">
        <f t="shared" si="28"/>
        <v>5</v>
      </c>
      <c r="W107" s="56">
        <v>267</v>
      </c>
      <c r="X107" s="54">
        <f t="shared" si="29"/>
        <v>14.876000000000001</v>
      </c>
      <c r="Y107" s="81">
        <f t="shared" si="30"/>
        <v>3</v>
      </c>
      <c r="Z107" s="81">
        <v>270</v>
      </c>
      <c r="AA107" s="54">
        <f t="shared" si="31"/>
        <v>9.3000000000000007</v>
      </c>
    </row>
    <row r="108" spans="1:27" x14ac:dyDescent="0.25">
      <c r="A108" s="7" t="s">
        <v>22</v>
      </c>
      <c r="B108" s="52">
        <v>267</v>
      </c>
      <c r="C108" s="52">
        <f t="shared" si="16"/>
        <v>0</v>
      </c>
      <c r="D108" s="52">
        <v>267</v>
      </c>
      <c r="E108" s="52">
        <f t="shared" si="17"/>
        <v>0</v>
      </c>
      <c r="F108" s="52">
        <v>267</v>
      </c>
      <c r="G108" s="52">
        <f t="shared" si="18"/>
        <v>1</v>
      </c>
      <c r="H108" s="53">
        <v>268</v>
      </c>
      <c r="I108" s="54">
        <f t="shared" si="19"/>
        <v>3.73</v>
      </c>
      <c r="J108" s="52">
        <f t="shared" si="20"/>
        <v>0</v>
      </c>
      <c r="K108" s="53">
        <v>268</v>
      </c>
      <c r="L108" s="54">
        <f t="shared" si="21"/>
        <v>0</v>
      </c>
      <c r="M108" s="52">
        <f t="shared" si="22"/>
        <v>0</v>
      </c>
      <c r="N108" s="53">
        <v>268</v>
      </c>
      <c r="O108" s="54">
        <f t="shared" si="23"/>
        <v>0</v>
      </c>
      <c r="P108" s="52">
        <f t="shared" si="24"/>
        <v>0</v>
      </c>
      <c r="Q108" s="53">
        <v>268</v>
      </c>
      <c r="R108" s="54">
        <f t="shared" si="25"/>
        <v>0</v>
      </c>
      <c r="S108" s="55">
        <f t="shared" si="26"/>
        <v>1</v>
      </c>
      <c r="T108" s="53">
        <v>269</v>
      </c>
      <c r="U108" s="54">
        <f t="shared" si="27"/>
        <v>2.98</v>
      </c>
      <c r="V108" s="55">
        <f t="shared" si="28"/>
        <v>1</v>
      </c>
      <c r="W108" s="56">
        <v>270</v>
      </c>
      <c r="X108" s="54">
        <f t="shared" si="29"/>
        <v>2.9752000000000001</v>
      </c>
      <c r="Y108" s="81">
        <f t="shared" si="30"/>
        <v>1</v>
      </c>
      <c r="Z108" s="81">
        <v>271</v>
      </c>
      <c r="AA108" s="54">
        <f t="shared" si="31"/>
        <v>3.1</v>
      </c>
    </row>
    <row r="109" spans="1:27" x14ac:dyDescent="0.25">
      <c r="A109" s="7" t="s">
        <v>88</v>
      </c>
      <c r="B109" s="52">
        <v>485</v>
      </c>
      <c r="C109" s="52">
        <f t="shared" si="16"/>
        <v>17</v>
      </c>
      <c r="D109" s="52">
        <v>502</v>
      </c>
      <c r="E109" s="52">
        <f t="shared" si="17"/>
        <v>13</v>
      </c>
      <c r="F109" s="52">
        <v>515</v>
      </c>
      <c r="G109" s="52">
        <f t="shared" si="18"/>
        <v>13</v>
      </c>
      <c r="H109" s="53">
        <v>528</v>
      </c>
      <c r="I109" s="54">
        <f t="shared" si="19"/>
        <v>48.54</v>
      </c>
      <c r="J109" s="52">
        <f t="shared" si="20"/>
        <v>13</v>
      </c>
      <c r="K109" s="53">
        <v>541</v>
      </c>
      <c r="L109" s="54">
        <f t="shared" si="21"/>
        <v>54.01</v>
      </c>
      <c r="M109" s="52">
        <f t="shared" si="22"/>
        <v>8</v>
      </c>
      <c r="N109" s="53">
        <v>549</v>
      </c>
      <c r="O109" s="54">
        <f t="shared" si="23"/>
        <v>51.08</v>
      </c>
      <c r="P109" s="52">
        <f t="shared" si="24"/>
        <v>12</v>
      </c>
      <c r="Q109" s="53">
        <v>561</v>
      </c>
      <c r="R109" s="54">
        <f t="shared" si="25"/>
        <v>34.44</v>
      </c>
      <c r="S109" s="55">
        <f t="shared" si="26"/>
        <v>13</v>
      </c>
      <c r="T109" s="53">
        <v>574</v>
      </c>
      <c r="U109" s="54">
        <f t="shared" si="27"/>
        <v>38.74</v>
      </c>
      <c r="V109" s="55">
        <f t="shared" si="28"/>
        <v>14</v>
      </c>
      <c r="W109" s="56">
        <v>588</v>
      </c>
      <c r="X109" s="54">
        <f t="shared" si="29"/>
        <v>41.652799999999999</v>
      </c>
      <c r="Y109" s="81">
        <f t="shared" si="30"/>
        <v>10</v>
      </c>
      <c r="Z109" s="81">
        <v>598</v>
      </c>
      <c r="AA109" s="54">
        <f t="shared" si="31"/>
        <v>30.99</v>
      </c>
    </row>
    <row r="110" spans="1:27" x14ac:dyDescent="0.25">
      <c r="A110" s="7" t="s">
        <v>190</v>
      </c>
      <c r="B110" s="52">
        <v>242</v>
      </c>
      <c r="C110" s="52">
        <f t="shared" si="16"/>
        <v>7</v>
      </c>
      <c r="D110" s="52">
        <v>249</v>
      </c>
      <c r="E110" s="52">
        <f t="shared" si="17"/>
        <v>3</v>
      </c>
      <c r="F110" s="52">
        <v>252</v>
      </c>
      <c r="G110" s="52">
        <f t="shared" si="18"/>
        <v>5</v>
      </c>
      <c r="H110" s="53">
        <v>257</v>
      </c>
      <c r="I110" s="54">
        <f t="shared" si="19"/>
        <v>18.670000000000002</v>
      </c>
      <c r="J110" s="52">
        <f t="shared" si="20"/>
        <v>6</v>
      </c>
      <c r="K110" s="53">
        <v>263</v>
      </c>
      <c r="L110" s="54">
        <f t="shared" si="21"/>
        <v>24.93</v>
      </c>
      <c r="M110" s="52">
        <f t="shared" si="22"/>
        <v>2</v>
      </c>
      <c r="N110" s="53">
        <v>265</v>
      </c>
      <c r="O110" s="54">
        <f t="shared" si="23"/>
        <v>12.77</v>
      </c>
      <c r="P110" s="52">
        <f t="shared" si="24"/>
        <v>4</v>
      </c>
      <c r="Q110" s="53">
        <v>269</v>
      </c>
      <c r="R110" s="54">
        <f t="shared" si="25"/>
        <v>11.48</v>
      </c>
      <c r="S110" s="55">
        <f t="shared" si="26"/>
        <v>6</v>
      </c>
      <c r="T110" s="53">
        <v>275</v>
      </c>
      <c r="U110" s="54">
        <f t="shared" si="27"/>
        <v>17.88</v>
      </c>
      <c r="V110" s="55">
        <f t="shared" si="28"/>
        <v>6</v>
      </c>
      <c r="W110" s="56">
        <v>281</v>
      </c>
      <c r="X110" s="54">
        <f t="shared" si="29"/>
        <v>17.851199999999999</v>
      </c>
      <c r="Y110" s="81">
        <f t="shared" si="30"/>
        <v>6</v>
      </c>
      <c r="Z110" s="81">
        <v>287</v>
      </c>
      <c r="AA110" s="54">
        <f t="shared" si="31"/>
        <v>18.59</v>
      </c>
    </row>
    <row r="111" spans="1:27" x14ac:dyDescent="0.25">
      <c r="A111" s="7" t="s">
        <v>163</v>
      </c>
      <c r="B111" s="52">
        <v>170</v>
      </c>
      <c r="C111" s="52">
        <f t="shared" si="16"/>
        <v>3</v>
      </c>
      <c r="D111" s="52">
        <v>173</v>
      </c>
      <c r="E111" s="52">
        <f t="shared" si="17"/>
        <v>3</v>
      </c>
      <c r="F111" s="52">
        <v>176</v>
      </c>
      <c r="G111" s="52">
        <f t="shared" si="18"/>
        <v>8</v>
      </c>
      <c r="H111" s="53">
        <v>184</v>
      </c>
      <c r="I111" s="54">
        <f t="shared" si="19"/>
        <v>29.87</v>
      </c>
      <c r="J111" s="52">
        <f t="shared" si="20"/>
        <v>11</v>
      </c>
      <c r="K111" s="53">
        <v>195</v>
      </c>
      <c r="L111" s="54">
        <f t="shared" si="21"/>
        <v>45.7</v>
      </c>
      <c r="M111" s="52">
        <f t="shared" si="22"/>
        <v>7</v>
      </c>
      <c r="N111" s="53">
        <v>202</v>
      </c>
      <c r="O111" s="54">
        <f t="shared" si="23"/>
        <v>44.7</v>
      </c>
      <c r="P111" s="52">
        <f t="shared" si="24"/>
        <v>7</v>
      </c>
      <c r="Q111" s="53">
        <v>209</v>
      </c>
      <c r="R111" s="54">
        <f t="shared" si="25"/>
        <v>20.09</v>
      </c>
      <c r="S111" s="55">
        <f t="shared" si="26"/>
        <v>10</v>
      </c>
      <c r="T111" s="53">
        <v>219</v>
      </c>
      <c r="U111" s="54">
        <f t="shared" si="27"/>
        <v>29.8</v>
      </c>
      <c r="V111" s="55">
        <f t="shared" si="28"/>
        <v>9</v>
      </c>
      <c r="W111" s="56">
        <v>228</v>
      </c>
      <c r="X111" s="54">
        <f t="shared" si="29"/>
        <v>26.776800000000001</v>
      </c>
      <c r="Y111" s="81">
        <f t="shared" si="30"/>
        <v>11</v>
      </c>
      <c r="Z111" s="81">
        <v>239</v>
      </c>
      <c r="AA111" s="54">
        <f t="shared" si="31"/>
        <v>34.090000000000003</v>
      </c>
    </row>
    <row r="112" spans="1:27" x14ac:dyDescent="0.25">
      <c r="A112" s="7" t="s">
        <v>385</v>
      </c>
      <c r="B112" s="52">
        <v>174.58</v>
      </c>
      <c r="C112" s="52">
        <f t="shared" si="16"/>
        <v>0.72999999999998977</v>
      </c>
      <c r="D112" s="52">
        <v>175.31</v>
      </c>
      <c r="E112" s="52">
        <f t="shared" si="17"/>
        <v>1.6399999999999864</v>
      </c>
      <c r="F112" s="52">
        <v>176.95</v>
      </c>
      <c r="G112" s="52">
        <f t="shared" si="18"/>
        <v>4.0190000000000055</v>
      </c>
      <c r="H112" s="53">
        <v>180.96899999999999</v>
      </c>
      <c r="I112" s="54">
        <f t="shared" si="19"/>
        <v>15.01</v>
      </c>
      <c r="J112" s="52">
        <f t="shared" si="20"/>
        <v>3.5100000000000193</v>
      </c>
      <c r="K112" s="53">
        <v>184.47900000000001</v>
      </c>
      <c r="L112" s="54">
        <f t="shared" si="21"/>
        <v>14.58</v>
      </c>
      <c r="M112" s="52">
        <f t="shared" si="22"/>
        <v>2.2459999999999809</v>
      </c>
      <c r="N112" s="53">
        <v>186.72499999999999</v>
      </c>
      <c r="O112" s="54">
        <f t="shared" si="23"/>
        <v>14.34</v>
      </c>
      <c r="P112" s="52">
        <f t="shared" si="24"/>
        <v>2.2750000000000057</v>
      </c>
      <c r="Q112" s="53">
        <v>189</v>
      </c>
      <c r="R112" s="54">
        <f t="shared" si="25"/>
        <v>6.53</v>
      </c>
      <c r="S112" s="55">
        <f t="shared" si="26"/>
        <v>2.0829999999999984</v>
      </c>
      <c r="T112" s="53">
        <v>191.083</v>
      </c>
      <c r="U112" s="54">
        <f t="shared" si="27"/>
        <v>6.21</v>
      </c>
      <c r="V112" s="55">
        <f t="shared" si="28"/>
        <v>3.9170000000000016</v>
      </c>
      <c r="W112" s="56">
        <v>195</v>
      </c>
      <c r="X112" s="54">
        <f t="shared" si="29"/>
        <v>11.653858400000004</v>
      </c>
      <c r="Y112" s="81">
        <f t="shared" si="30"/>
        <v>4</v>
      </c>
      <c r="Z112" s="81">
        <v>199</v>
      </c>
      <c r="AA112" s="54">
        <f t="shared" si="31"/>
        <v>12.4</v>
      </c>
    </row>
    <row r="113" spans="1:30" x14ac:dyDescent="0.25">
      <c r="A113" s="7" t="s">
        <v>49</v>
      </c>
      <c r="B113" s="52">
        <v>204</v>
      </c>
      <c r="C113" s="52">
        <f t="shared" si="16"/>
        <v>3</v>
      </c>
      <c r="D113" s="52">
        <v>207</v>
      </c>
      <c r="E113" s="52">
        <f t="shared" si="17"/>
        <v>3</v>
      </c>
      <c r="F113" s="52">
        <v>210</v>
      </c>
      <c r="G113" s="52">
        <f t="shared" si="18"/>
        <v>5</v>
      </c>
      <c r="H113" s="53">
        <v>215</v>
      </c>
      <c r="I113" s="54">
        <f t="shared" si="19"/>
        <v>18.670000000000002</v>
      </c>
      <c r="J113" s="52">
        <f t="shared" si="20"/>
        <v>3</v>
      </c>
      <c r="K113" s="53">
        <v>218</v>
      </c>
      <c r="L113" s="54">
        <f t="shared" si="21"/>
        <v>12.46</v>
      </c>
      <c r="M113" s="52">
        <f t="shared" si="22"/>
        <v>2</v>
      </c>
      <c r="N113" s="53">
        <v>220</v>
      </c>
      <c r="O113" s="54">
        <f t="shared" si="23"/>
        <v>12.77</v>
      </c>
      <c r="P113" s="52">
        <f t="shared" si="24"/>
        <v>5</v>
      </c>
      <c r="Q113" s="53">
        <v>225</v>
      </c>
      <c r="R113" s="54">
        <f t="shared" si="25"/>
        <v>14.35</v>
      </c>
      <c r="S113" s="55">
        <f t="shared" si="26"/>
        <v>3</v>
      </c>
      <c r="T113" s="53">
        <v>228</v>
      </c>
      <c r="U113" s="54">
        <f t="shared" si="27"/>
        <v>8.94</v>
      </c>
      <c r="V113" s="55">
        <f t="shared" si="28"/>
        <v>3</v>
      </c>
      <c r="W113" s="56">
        <v>231</v>
      </c>
      <c r="X113" s="54">
        <f t="shared" si="29"/>
        <v>8.9255999999999993</v>
      </c>
      <c r="Y113" s="81">
        <f t="shared" si="30"/>
        <v>6</v>
      </c>
      <c r="Z113" s="81">
        <v>237</v>
      </c>
      <c r="AA113" s="54">
        <f t="shared" si="31"/>
        <v>18.59</v>
      </c>
    </row>
    <row r="114" spans="1:30" x14ac:dyDescent="0.25">
      <c r="A114" s="7" t="s">
        <v>280</v>
      </c>
      <c r="B114" s="52">
        <v>251</v>
      </c>
      <c r="C114" s="52">
        <f t="shared" si="16"/>
        <v>5</v>
      </c>
      <c r="D114" s="52">
        <v>256</v>
      </c>
      <c r="E114" s="52">
        <f t="shared" si="17"/>
        <v>8</v>
      </c>
      <c r="F114" s="52">
        <v>264</v>
      </c>
      <c r="G114" s="52">
        <f t="shared" si="18"/>
        <v>6</v>
      </c>
      <c r="H114" s="53">
        <v>270</v>
      </c>
      <c r="I114" s="54">
        <f t="shared" si="19"/>
        <v>22.41</v>
      </c>
      <c r="J114" s="52">
        <f t="shared" si="20"/>
        <v>6</v>
      </c>
      <c r="K114" s="53">
        <v>276</v>
      </c>
      <c r="L114" s="54">
        <f t="shared" si="21"/>
        <v>24.93</v>
      </c>
      <c r="M114" s="52">
        <f t="shared" si="22"/>
        <v>5</v>
      </c>
      <c r="N114" s="53">
        <v>281</v>
      </c>
      <c r="O114" s="54">
        <f t="shared" si="23"/>
        <v>31.93</v>
      </c>
      <c r="P114" s="52">
        <f t="shared" si="24"/>
        <v>6</v>
      </c>
      <c r="Q114" s="53">
        <v>287</v>
      </c>
      <c r="R114" s="54">
        <f t="shared" si="25"/>
        <v>17.22</v>
      </c>
      <c r="S114" s="55">
        <f t="shared" si="26"/>
        <v>5</v>
      </c>
      <c r="T114" s="53">
        <v>292</v>
      </c>
      <c r="U114" s="54">
        <f t="shared" si="27"/>
        <v>14.9</v>
      </c>
      <c r="V114" s="55">
        <f t="shared" si="28"/>
        <v>3</v>
      </c>
      <c r="W114" s="56">
        <v>295</v>
      </c>
      <c r="X114" s="54">
        <f t="shared" si="29"/>
        <v>8.9255999999999993</v>
      </c>
      <c r="Y114" s="81">
        <f t="shared" si="30"/>
        <v>4</v>
      </c>
      <c r="Z114" s="81">
        <v>299</v>
      </c>
      <c r="AA114" s="54">
        <f t="shared" si="31"/>
        <v>12.4</v>
      </c>
    </row>
    <row r="115" spans="1:30" x14ac:dyDescent="0.25">
      <c r="A115" s="7" t="s">
        <v>379</v>
      </c>
      <c r="B115" s="52">
        <v>112</v>
      </c>
      <c r="C115" s="52">
        <f t="shared" si="16"/>
        <v>5</v>
      </c>
      <c r="D115" s="52">
        <v>117</v>
      </c>
      <c r="E115" s="52">
        <f t="shared" si="17"/>
        <v>2</v>
      </c>
      <c r="F115" s="52">
        <v>119</v>
      </c>
      <c r="G115" s="52">
        <f t="shared" si="18"/>
        <v>5</v>
      </c>
      <c r="H115" s="53">
        <v>124</v>
      </c>
      <c r="I115" s="54">
        <f t="shared" si="19"/>
        <v>18.670000000000002</v>
      </c>
      <c r="J115" s="52">
        <f t="shared" si="20"/>
        <v>3</v>
      </c>
      <c r="K115" s="53">
        <v>127</v>
      </c>
      <c r="L115" s="54">
        <f t="shared" si="21"/>
        <v>12.46</v>
      </c>
      <c r="M115" s="52">
        <f t="shared" si="22"/>
        <v>3</v>
      </c>
      <c r="N115" s="53">
        <v>130</v>
      </c>
      <c r="O115" s="54">
        <f t="shared" si="23"/>
        <v>19.16</v>
      </c>
      <c r="P115" s="52">
        <f t="shared" si="24"/>
        <v>4</v>
      </c>
      <c r="Q115" s="53">
        <v>134</v>
      </c>
      <c r="R115" s="54">
        <f t="shared" si="25"/>
        <v>11.48</v>
      </c>
      <c r="S115" s="55">
        <f t="shared" si="26"/>
        <v>0</v>
      </c>
      <c r="T115" s="53">
        <v>134</v>
      </c>
      <c r="U115" s="54">
        <f t="shared" si="27"/>
        <v>0</v>
      </c>
      <c r="V115" s="55">
        <f t="shared" si="28"/>
        <v>0</v>
      </c>
      <c r="W115" s="56">
        <v>134</v>
      </c>
      <c r="X115" s="54">
        <f t="shared" si="29"/>
        <v>0</v>
      </c>
      <c r="Y115" s="81">
        <f t="shared" si="30"/>
        <v>0</v>
      </c>
      <c r="Z115" s="81">
        <v>134</v>
      </c>
      <c r="AA115" s="54">
        <f t="shared" si="31"/>
        <v>0</v>
      </c>
    </row>
    <row r="116" spans="1:30" x14ac:dyDescent="0.25">
      <c r="A116" s="7" t="s">
        <v>286</v>
      </c>
      <c r="B116" s="52">
        <v>98</v>
      </c>
      <c r="C116" s="52">
        <f t="shared" si="16"/>
        <v>3</v>
      </c>
      <c r="D116" s="52">
        <v>101</v>
      </c>
      <c r="E116" s="52">
        <f t="shared" si="17"/>
        <v>3</v>
      </c>
      <c r="F116" s="52">
        <v>104</v>
      </c>
      <c r="G116" s="52">
        <f t="shared" si="18"/>
        <v>5</v>
      </c>
      <c r="H116" s="53">
        <v>109</v>
      </c>
      <c r="I116" s="54">
        <f t="shared" si="19"/>
        <v>18.670000000000002</v>
      </c>
      <c r="J116" s="52">
        <f t="shared" si="20"/>
        <v>5</v>
      </c>
      <c r="K116" s="53">
        <v>114</v>
      </c>
      <c r="L116" s="54">
        <f t="shared" si="21"/>
        <v>20.77</v>
      </c>
      <c r="M116" s="52">
        <f t="shared" si="22"/>
        <v>3</v>
      </c>
      <c r="N116" s="53">
        <v>117</v>
      </c>
      <c r="O116" s="54">
        <f t="shared" si="23"/>
        <v>19.16</v>
      </c>
      <c r="P116" s="52">
        <f t="shared" si="24"/>
        <v>3</v>
      </c>
      <c r="Q116" s="53">
        <v>120</v>
      </c>
      <c r="R116" s="54">
        <f t="shared" si="25"/>
        <v>8.61</v>
      </c>
      <c r="S116" s="55">
        <f t="shared" si="26"/>
        <v>2</v>
      </c>
      <c r="T116" s="53">
        <v>122</v>
      </c>
      <c r="U116" s="54">
        <f t="shared" si="27"/>
        <v>5.96</v>
      </c>
      <c r="V116" s="55">
        <f t="shared" si="28"/>
        <v>2</v>
      </c>
      <c r="W116" s="56">
        <v>124</v>
      </c>
      <c r="X116" s="54">
        <f t="shared" si="29"/>
        <v>5.9504000000000001</v>
      </c>
      <c r="Y116" s="81">
        <f t="shared" si="30"/>
        <v>4</v>
      </c>
      <c r="Z116" s="81">
        <v>128</v>
      </c>
      <c r="AA116" s="54">
        <f t="shared" si="31"/>
        <v>12.4</v>
      </c>
    </row>
    <row r="117" spans="1:30" x14ac:dyDescent="0.25">
      <c r="A117" s="7" t="s">
        <v>346</v>
      </c>
      <c r="B117" s="52">
        <v>567</v>
      </c>
      <c r="C117" s="52">
        <f t="shared" si="16"/>
        <v>11</v>
      </c>
      <c r="D117" s="52">
        <v>578</v>
      </c>
      <c r="E117" s="52">
        <f t="shared" si="17"/>
        <v>12</v>
      </c>
      <c r="F117" s="52">
        <v>590</v>
      </c>
      <c r="G117" s="52">
        <f t="shared" si="18"/>
        <v>14</v>
      </c>
      <c r="H117" s="53">
        <v>604</v>
      </c>
      <c r="I117" s="54">
        <f t="shared" si="19"/>
        <v>52.28</v>
      </c>
      <c r="J117" s="52">
        <f t="shared" si="20"/>
        <v>13</v>
      </c>
      <c r="K117" s="53">
        <v>617</v>
      </c>
      <c r="L117" s="54">
        <f t="shared" si="21"/>
        <v>54.01</v>
      </c>
      <c r="M117" s="52">
        <f t="shared" si="22"/>
        <v>9</v>
      </c>
      <c r="N117" s="53">
        <v>626</v>
      </c>
      <c r="O117" s="54">
        <f t="shared" si="23"/>
        <v>57.47</v>
      </c>
      <c r="P117" s="52">
        <f t="shared" si="24"/>
        <v>9</v>
      </c>
      <c r="Q117" s="53">
        <v>635</v>
      </c>
      <c r="R117" s="54">
        <f t="shared" si="25"/>
        <v>25.83</v>
      </c>
      <c r="S117" s="55">
        <f t="shared" si="26"/>
        <v>12</v>
      </c>
      <c r="T117" s="53">
        <v>647</v>
      </c>
      <c r="U117" s="54">
        <f t="shared" si="27"/>
        <v>35.76</v>
      </c>
      <c r="V117" s="55">
        <f t="shared" si="28"/>
        <v>9</v>
      </c>
      <c r="W117" s="56">
        <v>656</v>
      </c>
      <c r="X117" s="54">
        <f t="shared" si="29"/>
        <v>26.776800000000001</v>
      </c>
      <c r="Y117" s="81">
        <f t="shared" si="30"/>
        <v>7</v>
      </c>
      <c r="Z117" s="81">
        <v>663</v>
      </c>
      <c r="AA117" s="54">
        <f t="shared" si="31"/>
        <v>21.69</v>
      </c>
    </row>
    <row r="118" spans="1:30" x14ac:dyDescent="0.25">
      <c r="A118" s="7" t="s">
        <v>118</v>
      </c>
      <c r="B118" s="52">
        <v>75.540000000000006</v>
      </c>
      <c r="C118" s="52">
        <f t="shared" si="16"/>
        <v>0.28999999999999204</v>
      </c>
      <c r="D118" s="52">
        <v>75.83</v>
      </c>
      <c r="E118" s="52">
        <f t="shared" si="17"/>
        <v>0</v>
      </c>
      <c r="F118" s="52">
        <v>75.83</v>
      </c>
      <c r="G118" s="52">
        <f t="shared" si="18"/>
        <v>1.8889999999999958</v>
      </c>
      <c r="H118" s="53">
        <v>77.718999999999994</v>
      </c>
      <c r="I118" s="54">
        <f t="shared" si="19"/>
        <v>7.05</v>
      </c>
      <c r="J118" s="52">
        <f t="shared" si="20"/>
        <v>3.304000000000002</v>
      </c>
      <c r="K118" s="53">
        <v>81.022999999999996</v>
      </c>
      <c r="L118" s="54">
        <f t="shared" si="21"/>
        <v>13.73</v>
      </c>
      <c r="M118" s="52">
        <f t="shared" si="22"/>
        <v>2.3980000000000103</v>
      </c>
      <c r="N118" s="53">
        <v>83.421000000000006</v>
      </c>
      <c r="O118" s="54">
        <f t="shared" si="23"/>
        <v>15.31</v>
      </c>
      <c r="P118" s="52">
        <f t="shared" si="24"/>
        <v>2.5789999999999935</v>
      </c>
      <c r="Q118" s="53">
        <v>86</v>
      </c>
      <c r="R118" s="54">
        <f t="shared" si="25"/>
        <v>7.4</v>
      </c>
      <c r="S118" s="55">
        <f t="shared" si="26"/>
        <v>3.8829999999999956</v>
      </c>
      <c r="T118" s="53">
        <v>89.882999999999996</v>
      </c>
      <c r="U118" s="54">
        <f t="shared" si="27"/>
        <v>11.57</v>
      </c>
      <c r="V118" s="55">
        <f t="shared" si="28"/>
        <v>3.1170000000000044</v>
      </c>
      <c r="W118" s="56">
        <v>93</v>
      </c>
      <c r="X118" s="54">
        <f t="shared" si="29"/>
        <v>9.2736984000000131</v>
      </c>
      <c r="Y118" s="81">
        <f t="shared" si="30"/>
        <v>4</v>
      </c>
      <c r="Z118" s="81">
        <v>97</v>
      </c>
      <c r="AA118" s="54">
        <f t="shared" si="31"/>
        <v>12.4</v>
      </c>
    </row>
    <row r="119" spans="1:30" x14ac:dyDescent="0.25">
      <c r="A119" s="7" t="s">
        <v>517</v>
      </c>
      <c r="B119" s="52">
        <v>269.62</v>
      </c>
      <c r="C119" s="52">
        <f t="shared" si="16"/>
        <v>7.589999999999975</v>
      </c>
      <c r="D119" s="52">
        <v>277.20999999999998</v>
      </c>
      <c r="E119" s="52">
        <f t="shared" si="17"/>
        <v>6.5400000000000205</v>
      </c>
      <c r="F119" s="52">
        <v>283.75</v>
      </c>
      <c r="G119" s="52">
        <f t="shared" si="18"/>
        <v>6.6689999999999827</v>
      </c>
      <c r="H119" s="53">
        <v>290.41899999999998</v>
      </c>
      <c r="I119" s="54">
        <f t="shared" si="19"/>
        <v>24.9</v>
      </c>
      <c r="J119" s="52">
        <f t="shared" si="20"/>
        <v>6.75</v>
      </c>
      <c r="K119" s="53">
        <v>297.16899999999998</v>
      </c>
      <c r="L119" s="54">
        <f t="shared" si="21"/>
        <v>28.04</v>
      </c>
      <c r="M119" s="52">
        <f t="shared" si="22"/>
        <v>4.8190000000000168</v>
      </c>
      <c r="N119" s="53">
        <v>301.988</v>
      </c>
      <c r="O119" s="54">
        <f t="shared" si="23"/>
        <v>30.77</v>
      </c>
      <c r="P119" s="52">
        <f t="shared" si="24"/>
        <v>5.0120000000000005</v>
      </c>
      <c r="Q119" s="53">
        <v>307</v>
      </c>
      <c r="R119" s="54">
        <f t="shared" si="25"/>
        <v>14.39</v>
      </c>
      <c r="S119" s="55">
        <f t="shared" si="26"/>
        <v>7.2080000000000268</v>
      </c>
      <c r="T119" s="53">
        <v>314.20800000000003</v>
      </c>
      <c r="U119" s="54">
        <f t="shared" si="27"/>
        <v>21.48</v>
      </c>
      <c r="V119" s="55">
        <f t="shared" si="28"/>
        <v>6.7919999999999732</v>
      </c>
      <c r="W119" s="56">
        <v>321</v>
      </c>
      <c r="X119" s="54">
        <f t="shared" si="29"/>
        <v>20.207558399999922</v>
      </c>
      <c r="Y119" s="81">
        <f t="shared" si="30"/>
        <v>8</v>
      </c>
      <c r="Z119" s="81">
        <v>329</v>
      </c>
      <c r="AA119" s="54">
        <f t="shared" si="31"/>
        <v>24.79</v>
      </c>
    </row>
    <row r="120" spans="1:30" x14ac:dyDescent="0.25">
      <c r="A120" s="7" t="s">
        <v>46</v>
      </c>
      <c r="B120" s="52">
        <v>128</v>
      </c>
      <c r="C120" s="52">
        <f t="shared" si="16"/>
        <v>0</v>
      </c>
      <c r="D120" s="52">
        <v>128</v>
      </c>
      <c r="E120" s="52">
        <f t="shared" si="17"/>
        <v>0</v>
      </c>
      <c r="F120" s="52">
        <v>128</v>
      </c>
      <c r="G120" s="52">
        <f t="shared" si="18"/>
        <v>0</v>
      </c>
      <c r="H120" s="53">
        <v>128</v>
      </c>
      <c r="I120" s="54">
        <f t="shared" si="19"/>
        <v>0</v>
      </c>
      <c r="J120" s="52">
        <f t="shared" si="20"/>
        <v>0</v>
      </c>
      <c r="K120" s="53">
        <v>128</v>
      </c>
      <c r="L120" s="54">
        <f t="shared" si="21"/>
        <v>0</v>
      </c>
      <c r="M120" s="52">
        <f t="shared" si="22"/>
        <v>0</v>
      </c>
      <c r="N120" s="53">
        <v>128</v>
      </c>
      <c r="O120" s="54">
        <f t="shared" si="23"/>
        <v>0</v>
      </c>
      <c r="P120" s="52">
        <f t="shared" si="24"/>
        <v>0</v>
      </c>
      <c r="Q120" s="53">
        <v>128</v>
      </c>
      <c r="R120" s="54">
        <f t="shared" si="25"/>
        <v>0</v>
      </c>
      <c r="S120" s="55">
        <f t="shared" si="26"/>
        <v>0</v>
      </c>
      <c r="T120" s="53">
        <v>128</v>
      </c>
      <c r="U120" s="54">
        <f t="shared" si="27"/>
        <v>0</v>
      </c>
      <c r="V120" s="55">
        <f t="shared" si="28"/>
        <v>0</v>
      </c>
      <c r="W120" s="56">
        <v>128</v>
      </c>
      <c r="X120" s="54">
        <f t="shared" si="29"/>
        <v>0</v>
      </c>
      <c r="Y120" s="81">
        <f t="shared" si="30"/>
        <v>4</v>
      </c>
      <c r="Z120" s="81">
        <v>132</v>
      </c>
      <c r="AA120" s="54">
        <f t="shared" si="31"/>
        <v>12.4</v>
      </c>
    </row>
    <row r="121" spans="1:30" x14ac:dyDescent="0.25">
      <c r="A121" s="7" t="s">
        <v>157</v>
      </c>
      <c r="B121" s="52">
        <v>204</v>
      </c>
      <c r="C121" s="52">
        <f t="shared" si="16"/>
        <v>7</v>
      </c>
      <c r="D121" s="52">
        <v>211</v>
      </c>
      <c r="E121" s="52">
        <f t="shared" si="17"/>
        <v>6</v>
      </c>
      <c r="F121" s="52">
        <v>217</v>
      </c>
      <c r="G121" s="52">
        <f t="shared" si="18"/>
        <v>7</v>
      </c>
      <c r="H121" s="53">
        <v>224</v>
      </c>
      <c r="I121" s="54">
        <f t="shared" si="19"/>
        <v>26.14</v>
      </c>
      <c r="J121" s="52">
        <f t="shared" si="20"/>
        <v>6</v>
      </c>
      <c r="K121" s="53">
        <v>230</v>
      </c>
      <c r="L121" s="54">
        <f t="shared" si="21"/>
        <v>24.93</v>
      </c>
      <c r="M121" s="52">
        <f t="shared" si="22"/>
        <v>4</v>
      </c>
      <c r="N121" s="53">
        <v>234</v>
      </c>
      <c r="O121" s="54">
        <f t="shared" si="23"/>
        <v>25.54</v>
      </c>
      <c r="P121" s="52">
        <f t="shared" si="24"/>
        <v>5</v>
      </c>
      <c r="Q121" s="53">
        <v>239</v>
      </c>
      <c r="R121" s="54">
        <f t="shared" si="25"/>
        <v>14.35</v>
      </c>
      <c r="S121" s="55">
        <f t="shared" si="26"/>
        <v>5</v>
      </c>
      <c r="T121" s="53">
        <v>244</v>
      </c>
      <c r="U121" s="54">
        <f t="shared" si="27"/>
        <v>14.9</v>
      </c>
      <c r="V121" s="55">
        <f t="shared" si="28"/>
        <v>6</v>
      </c>
      <c r="W121" s="56">
        <v>250</v>
      </c>
      <c r="X121" s="54">
        <f t="shared" si="29"/>
        <v>17.851199999999999</v>
      </c>
      <c r="Y121" s="81">
        <f t="shared" si="30"/>
        <v>6</v>
      </c>
      <c r="Z121" s="81">
        <v>256</v>
      </c>
      <c r="AA121" s="54">
        <f t="shared" si="31"/>
        <v>18.59</v>
      </c>
    </row>
    <row r="122" spans="1:30" x14ac:dyDescent="0.25">
      <c r="A122" s="7" t="s">
        <v>301</v>
      </c>
      <c r="B122" s="52">
        <v>210</v>
      </c>
      <c r="C122" s="52">
        <f t="shared" si="16"/>
        <v>4</v>
      </c>
      <c r="D122" s="52">
        <v>214</v>
      </c>
      <c r="E122" s="52">
        <f t="shared" si="17"/>
        <v>4</v>
      </c>
      <c r="F122" s="52">
        <v>218</v>
      </c>
      <c r="G122" s="52">
        <f t="shared" si="18"/>
        <v>9</v>
      </c>
      <c r="H122" s="53">
        <v>227</v>
      </c>
      <c r="I122" s="54">
        <f t="shared" si="19"/>
        <v>33.61</v>
      </c>
      <c r="J122" s="52">
        <f t="shared" si="20"/>
        <v>3</v>
      </c>
      <c r="K122" s="53">
        <v>230</v>
      </c>
      <c r="L122" s="54">
        <f t="shared" si="21"/>
        <v>12.46</v>
      </c>
      <c r="M122" s="52">
        <f t="shared" si="22"/>
        <v>2</v>
      </c>
      <c r="N122" s="53">
        <v>232</v>
      </c>
      <c r="O122" s="54">
        <f t="shared" si="23"/>
        <v>12.77</v>
      </c>
      <c r="P122" s="52">
        <f t="shared" si="24"/>
        <v>4</v>
      </c>
      <c r="Q122" s="53">
        <v>236</v>
      </c>
      <c r="R122" s="54">
        <f t="shared" si="25"/>
        <v>11.48</v>
      </c>
      <c r="S122" s="55">
        <f t="shared" si="26"/>
        <v>5</v>
      </c>
      <c r="T122" s="53">
        <v>241</v>
      </c>
      <c r="U122" s="54">
        <f t="shared" si="27"/>
        <v>14.9</v>
      </c>
      <c r="V122" s="55">
        <f t="shared" si="28"/>
        <v>10</v>
      </c>
      <c r="W122" s="56">
        <v>251</v>
      </c>
      <c r="X122" s="54">
        <f t="shared" si="29"/>
        <v>29.752000000000002</v>
      </c>
      <c r="Y122" s="81">
        <f t="shared" si="30"/>
        <v>7</v>
      </c>
      <c r="Z122" s="81">
        <v>258</v>
      </c>
      <c r="AA122" s="54">
        <f t="shared" si="31"/>
        <v>21.69</v>
      </c>
    </row>
    <row r="123" spans="1:30" x14ac:dyDescent="0.25">
      <c r="A123" s="59" t="s">
        <v>289</v>
      </c>
      <c r="B123" s="52">
        <v>298</v>
      </c>
      <c r="C123" s="52">
        <f t="shared" si="16"/>
        <v>5</v>
      </c>
      <c r="D123" s="52">
        <v>303</v>
      </c>
      <c r="E123" s="52">
        <f t="shared" si="17"/>
        <v>4</v>
      </c>
      <c r="F123" s="52">
        <v>307</v>
      </c>
      <c r="G123" s="60">
        <v>5</v>
      </c>
      <c r="H123" s="53">
        <v>62</v>
      </c>
      <c r="I123" s="54">
        <f t="shared" si="19"/>
        <v>18.670000000000002</v>
      </c>
      <c r="J123" s="52">
        <f t="shared" si="20"/>
        <v>13</v>
      </c>
      <c r="K123" s="53">
        <v>75</v>
      </c>
      <c r="L123" s="54">
        <f t="shared" si="21"/>
        <v>54.01</v>
      </c>
      <c r="M123" s="52">
        <f t="shared" si="22"/>
        <v>9</v>
      </c>
      <c r="N123" s="53">
        <v>84</v>
      </c>
      <c r="O123" s="54">
        <f t="shared" si="23"/>
        <v>57.47</v>
      </c>
      <c r="P123" s="52">
        <f t="shared" si="24"/>
        <v>11</v>
      </c>
      <c r="Q123" s="53">
        <v>95</v>
      </c>
      <c r="R123" s="54">
        <f t="shared" si="25"/>
        <v>31.57</v>
      </c>
      <c r="S123" s="55">
        <f t="shared" si="26"/>
        <v>12</v>
      </c>
      <c r="T123" s="53">
        <v>107</v>
      </c>
      <c r="U123" s="54">
        <f t="shared" si="27"/>
        <v>35.76</v>
      </c>
      <c r="V123" s="55">
        <f t="shared" si="28"/>
        <v>12</v>
      </c>
      <c r="W123" s="56">
        <v>119</v>
      </c>
      <c r="X123" s="54">
        <f t="shared" si="29"/>
        <v>35.702399999999997</v>
      </c>
      <c r="Y123" s="81">
        <f t="shared" si="30"/>
        <v>3</v>
      </c>
      <c r="Z123" s="81">
        <v>122</v>
      </c>
      <c r="AA123" s="54">
        <f t="shared" si="31"/>
        <v>9.3000000000000007</v>
      </c>
      <c r="AD123" t="s">
        <v>660</v>
      </c>
    </row>
    <row r="124" spans="1:30" x14ac:dyDescent="0.25">
      <c r="A124" s="7" t="s">
        <v>457</v>
      </c>
      <c r="B124" s="52">
        <v>380.08</v>
      </c>
      <c r="C124" s="52">
        <f t="shared" si="16"/>
        <v>10.819999999999993</v>
      </c>
      <c r="D124" s="52">
        <v>390.9</v>
      </c>
      <c r="E124" s="52">
        <f t="shared" si="17"/>
        <v>9.6299999999999955</v>
      </c>
      <c r="F124" s="52">
        <v>400.53</v>
      </c>
      <c r="G124" s="52">
        <f t="shared" si="18"/>
        <v>11.706000000000017</v>
      </c>
      <c r="H124" s="53">
        <v>412.23599999999999</v>
      </c>
      <c r="I124" s="54">
        <f t="shared" si="19"/>
        <v>43.71</v>
      </c>
      <c r="J124" s="52">
        <f t="shared" si="20"/>
        <v>12.276999999999987</v>
      </c>
      <c r="K124" s="53">
        <v>424.51299999999998</v>
      </c>
      <c r="L124" s="54">
        <f t="shared" si="21"/>
        <v>51.01</v>
      </c>
      <c r="M124" s="52">
        <f t="shared" si="22"/>
        <v>8.0380000000000109</v>
      </c>
      <c r="N124" s="53">
        <v>432.55099999999999</v>
      </c>
      <c r="O124" s="54">
        <f t="shared" si="23"/>
        <v>51.33</v>
      </c>
      <c r="P124" s="52">
        <f t="shared" si="24"/>
        <v>7.4490000000000123</v>
      </c>
      <c r="Q124" s="53">
        <v>440</v>
      </c>
      <c r="R124" s="54">
        <f t="shared" si="25"/>
        <v>21.38</v>
      </c>
      <c r="S124" s="55">
        <f t="shared" si="26"/>
        <v>12.668999999999983</v>
      </c>
      <c r="T124" s="53">
        <v>452.66899999999998</v>
      </c>
      <c r="U124" s="54">
        <f t="shared" si="27"/>
        <v>37.75</v>
      </c>
      <c r="V124" s="55">
        <f t="shared" si="28"/>
        <v>9.3310000000000173</v>
      </c>
      <c r="W124" s="56">
        <v>462</v>
      </c>
      <c r="X124" s="54">
        <f t="shared" si="29"/>
        <v>27.761591200000051</v>
      </c>
      <c r="Y124" s="81">
        <f t="shared" si="30"/>
        <v>10</v>
      </c>
      <c r="Z124" s="81">
        <v>472</v>
      </c>
      <c r="AA124" s="54">
        <f t="shared" si="31"/>
        <v>30.99</v>
      </c>
    </row>
    <row r="125" spans="1:30" x14ac:dyDescent="0.25">
      <c r="A125" s="7" t="s">
        <v>454</v>
      </c>
      <c r="B125" s="52">
        <v>35</v>
      </c>
      <c r="C125" s="52">
        <f t="shared" si="16"/>
        <v>1</v>
      </c>
      <c r="D125" s="52">
        <v>36</v>
      </c>
      <c r="E125" s="52">
        <f t="shared" si="17"/>
        <v>0</v>
      </c>
      <c r="F125" s="52">
        <v>36</v>
      </c>
      <c r="G125" s="52">
        <f t="shared" si="18"/>
        <v>1</v>
      </c>
      <c r="H125" s="53">
        <v>37</v>
      </c>
      <c r="I125" s="54">
        <f t="shared" si="19"/>
        <v>3.73</v>
      </c>
      <c r="J125" s="52">
        <f t="shared" si="20"/>
        <v>0</v>
      </c>
      <c r="K125" s="53">
        <v>37</v>
      </c>
      <c r="L125" s="54">
        <f t="shared" si="21"/>
        <v>0</v>
      </c>
      <c r="M125" s="52">
        <f t="shared" si="22"/>
        <v>0</v>
      </c>
      <c r="N125" s="53">
        <v>37</v>
      </c>
      <c r="O125" s="54">
        <f t="shared" si="23"/>
        <v>0</v>
      </c>
      <c r="P125" s="52">
        <f t="shared" si="24"/>
        <v>1</v>
      </c>
      <c r="Q125" s="53">
        <v>38</v>
      </c>
      <c r="R125" s="54">
        <f t="shared" si="25"/>
        <v>2.87</v>
      </c>
      <c r="S125" s="55">
        <f t="shared" si="26"/>
        <v>0</v>
      </c>
      <c r="T125" s="53">
        <v>38</v>
      </c>
      <c r="U125" s="54">
        <f t="shared" si="27"/>
        <v>0</v>
      </c>
      <c r="V125" s="55">
        <f t="shared" si="28"/>
        <v>0</v>
      </c>
      <c r="W125" s="56">
        <v>38</v>
      </c>
      <c r="X125" s="54">
        <f t="shared" si="29"/>
        <v>0</v>
      </c>
      <c r="Y125" s="81">
        <f t="shared" si="30"/>
        <v>1</v>
      </c>
      <c r="Z125" s="81">
        <v>39</v>
      </c>
      <c r="AA125" s="54">
        <f t="shared" si="31"/>
        <v>3.1</v>
      </c>
    </row>
    <row r="126" spans="1:30" x14ac:dyDescent="0.25">
      <c r="A126" s="7" t="s">
        <v>73</v>
      </c>
      <c r="B126" s="52">
        <v>288</v>
      </c>
      <c r="C126" s="52">
        <f t="shared" si="16"/>
        <v>5</v>
      </c>
      <c r="D126" s="52">
        <v>293</v>
      </c>
      <c r="E126" s="52">
        <f t="shared" si="17"/>
        <v>9</v>
      </c>
      <c r="F126" s="52">
        <v>302</v>
      </c>
      <c r="G126" s="52">
        <f t="shared" si="18"/>
        <v>8</v>
      </c>
      <c r="H126" s="53">
        <v>310</v>
      </c>
      <c r="I126" s="54">
        <f t="shared" si="19"/>
        <v>29.87</v>
      </c>
      <c r="J126" s="52">
        <f t="shared" si="20"/>
        <v>8</v>
      </c>
      <c r="K126" s="53">
        <v>318</v>
      </c>
      <c r="L126" s="54">
        <f t="shared" si="21"/>
        <v>33.24</v>
      </c>
      <c r="M126" s="52">
        <f t="shared" si="22"/>
        <v>3</v>
      </c>
      <c r="N126" s="53">
        <v>321</v>
      </c>
      <c r="O126" s="54">
        <f t="shared" si="23"/>
        <v>19.16</v>
      </c>
      <c r="P126" s="52">
        <f t="shared" si="24"/>
        <v>5</v>
      </c>
      <c r="Q126" s="53">
        <v>326</v>
      </c>
      <c r="R126" s="54">
        <f t="shared" si="25"/>
        <v>14.35</v>
      </c>
      <c r="S126" s="55">
        <f t="shared" si="26"/>
        <v>9</v>
      </c>
      <c r="T126" s="53">
        <v>335</v>
      </c>
      <c r="U126" s="54">
        <f t="shared" si="27"/>
        <v>26.82</v>
      </c>
      <c r="V126" s="55">
        <f t="shared" si="28"/>
        <v>8</v>
      </c>
      <c r="W126" s="56">
        <v>343</v>
      </c>
      <c r="X126" s="54">
        <f t="shared" si="29"/>
        <v>23.801600000000001</v>
      </c>
      <c r="Y126" s="81">
        <f t="shared" si="30"/>
        <v>11</v>
      </c>
      <c r="Z126" s="81">
        <v>354</v>
      </c>
      <c r="AA126" s="54">
        <f t="shared" si="31"/>
        <v>34.090000000000003</v>
      </c>
    </row>
    <row r="127" spans="1:30" x14ac:dyDescent="0.25">
      <c r="A127" s="7" t="s">
        <v>316</v>
      </c>
      <c r="B127" s="52">
        <v>137</v>
      </c>
      <c r="C127" s="52">
        <f t="shared" si="16"/>
        <v>2</v>
      </c>
      <c r="D127" s="52">
        <v>139</v>
      </c>
      <c r="E127" s="52">
        <f t="shared" si="17"/>
        <v>3</v>
      </c>
      <c r="F127" s="52">
        <v>142</v>
      </c>
      <c r="G127" s="52">
        <f t="shared" si="18"/>
        <v>5</v>
      </c>
      <c r="H127" s="53">
        <v>147</v>
      </c>
      <c r="I127" s="54">
        <f t="shared" si="19"/>
        <v>18.670000000000002</v>
      </c>
      <c r="J127" s="52">
        <f t="shared" si="20"/>
        <v>2</v>
      </c>
      <c r="K127" s="53">
        <v>149</v>
      </c>
      <c r="L127" s="54">
        <f t="shared" si="21"/>
        <v>8.31</v>
      </c>
      <c r="M127" s="52">
        <f t="shared" si="22"/>
        <v>2</v>
      </c>
      <c r="N127" s="53">
        <v>151</v>
      </c>
      <c r="O127" s="54">
        <f t="shared" si="23"/>
        <v>12.77</v>
      </c>
      <c r="P127" s="52">
        <f t="shared" si="24"/>
        <v>3</v>
      </c>
      <c r="Q127" s="53">
        <v>154</v>
      </c>
      <c r="R127" s="54">
        <f t="shared" si="25"/>
        <v>8.61</v>
      </c>
      <c r="S127" s="55">
        <f t="shared" si="26"/>
        <v>3</v>
      </c>
      <c r="T127" s="53">
        <v>157</v>
      </c>
      <c r="U127" s="54">
        <f t="shared" si="27"/>
        <v>8.94</v>
      </c>
      <c r="V127" s="55">
        <f t="shared" si="28"/>
        <v>3</v>
      </c>
      <c r="W127" s="56">
        <v>160</v>
      </c>
      <c r="X127" s="54">
        <f t="shared" si="29"/>
        <v>8.9255999999999993</v>
      </c>
      <c r="Y127" s="81">
        <f t="shared" si="30"/>
        <v>6</v>
      </c>
      <c r="Z127" s="81">
        <v>166</v>
      </c>
      <c r="AA127" s="54">
        <f t="shared" si="31"/>
        <v>18.59</v>
      </c>
    </row>
    <row r="128" spans="1:30" x14ac:dyDescent="0.25">
      <c r="A128" s="7" t="s">
        <v>487</v>
      </c>
      <c r="B128" s="52">
        <v>199</v>
      </c>
      <c r="C128" s="52">
        <f t="shared" si="16"/>
        <v>4</v>
      </c>
      <c r="D128" s="52">
        <v>203</v>
      </c>
      <c r="E128" s="52">
        <f t="shared" si="17"/>
        <v>3</v>
      </c>
      <c r="F128" s="52">
        <v>206</v>
      </c>
      <c r="G128" s="52">
        <f t="shared" si="18"/>
        <v>5</v>
      </c>
      <c r="H128" s="53">
        <v>211</v>
      </c>
      <c r="I128" s="54">
        <f t="shared" si="19"/>
        <v>18.670000000000002</v>
      </c>
      <c r="J128" s="52">
        <f t="shared" si="20"/>
        <v>4</v>
      </c>
      <c r="K128" s="53">
        <v>215</v>
      </c>
      <c r="L128" s="54">
        <f t="shared" si="21"/>
        <v>16.62</v>
      </c>
      <c r="M128" s="52">
        <f t="shared" si="22"/>
        <v>3</v>
      </c>
      <c r="N128" s="53">
        <v>218</v>
      </c>
      <c r="O128" s="54">
        <f t="shared" si="23"/>
        <v>19.16</v>
      </c>
      <c r="P128" s="52">
        <f t="shared" si="24"/>
        <v>3</v>
      </c>
      <c r="Q128" s="53">
        <v>221</v>
      </c>
      <c r="R128" s="54">
        <f t="shared" si="25"/>
        <v>8.61</v>
      </c>
      <c r="S128" s="55">
        <f t="shared" si="26"/>
        <v>4</v>
      </c>
      <c r="T128" s="53">
        <v>225</v>
      </c>
      <c r="U128" s="54">
        <f t="shared" si="27"/>
        <v>11.92</v>
      </c>
      <c r="V128" s="55">
        <f t="shared" si="28"/>
        <v>2</v>
      </c>
      <c r="W128" s="56">
        <v>227</v>
      </c>
      <c r="X128" s="54">
        <f t="shared" si="29"/>
        <v>5.9504000000000001</v>
      </c>
      <c r="Y128" s="81">
        <f t="shared" si="30"/>
        <v>3</v>
      </c>
      <c r="Z128" s="81">
        <v>230</v>
      </c>
      <c r="AA128" s="54">
        <f t="shared" si="31"/>
        <v>9.3000000000000007</v>
      </c>
    </row>
    <row r="129" spans="1:30" x14ac:dyDescent="0.25">
      <c r="A129" s="7" t="s">
        <v>439</v>
      </c>
      <c r="B129" s="52">
        <v>278.12</v>
      </c>
      <c r="C129" s="52">
        <f t="shared" si="16"/>
        <v>5.1299999999999955</v>
      </c>
      <c r="D129" s="52">
        <v>283.25</v>
      </c>
      <c r="E129" s="52">
        <f t="shared" si="17"/>
        <v>6.0500000000000114</v>
      </c>
      <c r="F129" s="52">
        <v>289.3</v>
      </c>
      <c r="G129" s="52">
        <f t="shared" si="18"/>
        <v>7.1499999999999773</v>
      </c>
      <c r="H129" s="53">
        <v>296.45</v>
      </c>
      <c r="I129" s="54">
        <f t="shared" si="19"/>
        <v>26.7</v>
      </c>
      <c r="J129" s="52">
        <f t="shared" si="20"/>
        <v>5.853999999999985</v>
      </c>
      <c r="K129" s="53">
        <v>302.30399999999997</v>
      </c>
      <c r="L129" s="54">
        <f t="shared" si="21"/>
        <v>24.32</v>
      </c>
      <c r="M129" s="52">
        <f t="shared" si="22"/>
        <v>4.3040000000000305</v>
      </c>
      <c r="N129" s="53">
        <v>306.608</v>
      </c>
      <c r="O129" s="54">
        <f t="shared" si="23"/>
        <v>27.48</v>
      </c>
      <c r="P129" s="52">
        <f t="shared" si="24"/>
        <v>4.3919999999999959</v>
      </c>
      <c r="Q129" s="53">
        <v>311</v>
      </c>
      <c r="R129" s="54">
        <f t="shared" si="25"/>
        <v>12.61</v>
      </c>
      <c r="S129" s="55">
        <f t="shared" si="26"/>
        <v>7.3079999999999927</v>
      </c>
      <c r="T129" s="53">
        <v>318.30799999999999</v>
      </c>
      <c r="U129" s="54">
        <f t="shared" si="27"/>
        <v>21.78</v>
      </c>
      <c r="V129" s="55">
        <f t="shared" si="28"/>
        <v>4.6920000000000073</v>
      </c>
      <c r="W129" s="56">
        <v>323</v>
      </c>
      <c r="X129" s="54">
        <f t="shared" si="29"/>
        <v>13.959638400000022</v>
      </c>
      <c r="Y129" s="81">
        <f t="shared" si="30"/>
        <v>8</v>
      </c>
      <c r="Z129" s="81">
        <v>331</v>
      </c>
      <c r="AA129" s="54">
        <f t="shared" si="31"/>
        <v>24.79</v>
      </c>
    </row>
    <row r="130" spans="1:30" x14ac:dyDescent="0.25">
      <c r="A130" s="7" t="s">
        <v>106</v>
      </c>
      <c r="B130" s="52">
        <v>141.87</v>
      </c>
      <c r="C130" s="52">
        <f t="shared" si="16"/>
        <v>7</v>
      </c>
      <c r="D130" s="52">
        <v>148.87</v>
      </c>
      <c r="E130" s="52">
        <f t="shared" si="17"/>
        <v>6.3499999999999943</v>
      </c>
      <c r="F130" s="52">
        <v>155.22</v>
      </c>
      <c r="G130" s="52">
        <f t="shared" si="18"/>
        <v>6.5819999999999936</v>
      </c>
      <c r="H130" s="53">
        <v>161.80199999999999</v>
      </c>
      <c r="I130" s="54">
        <f t="shared" si="19"/>
        <v>24.58</v>
      </c>
      <c r="J130" s="52">
        <f t="shared" si="20"/>
        <v>6.0580000000000211</v>
      </c>
      <c r="K130" s="53">
        <v>167.86</v>
      </c>
      <c r="L130" s="54">
        <f t="shared" si="21"/>
        <v>25.17</v>
      </c>
      <c r="M130" s="52">
        <f t="shared" si="22"/>
        <v>4.0319999999999823</v>
      </c>
      <c r="N130" s="53">
        <v>171.892</v>
      </c>
      <c r="O130" s="54">
        <f t="shared" si="23"/>
        <v>25.75</v>
      </c>
      <c r="P130" s="52">
        <f t="shared" si="24"/>
        <v>5.1080000000000041</v>
      </c>
      <c r="Q130" s="53">
        <v>177</v>
      </c>
      <c r="R130" s="54">
        <f t="shared" si="25"/>
        <v>14.66</v>
      </c>
      <c r="S130" s="55">
        <f t="shared" si="26"/>
        <v>6.5879999999999939</v>
      </c>
      <c r="T130" s="53">
        <v>183.58799999999999</v>
      </c>
      <c r="U130" s="54">
        <f t="shared" si="27"/>
        <v>19.63</v>
      </c>
      <c r="V130" s="55">
        <f t="shared" si="28"/>
        <v>6.4120000000000061</v>
      </c>
      <c r="W130" s="56">
        <v>190</v>
      </c>
      <c r="X130" s="54">
        <f t="shared" si="29"/>
        <v>19.07698240000002</v>
      </c>
      <c r="Y130" s="81">
        <f t="shared" si="30"/>
        <v>8</v>
      </c>
      <c r="Z130" s="81">
        <v>198</v>
      </c>
      <c r="AA130" s="54">
        <f t="shared" si="31"/>
        <v>24.79</v>
      </c>
    </row>
    <row r="131" spans="1:30" x14ac:dyDescent="0.25">
      <c r="A131" s="7" t="s">
        <v>538</v>
      </c>
      <c r="B131" s="52">
        <v>239</v>
      </c>
      <c r="C131" s="52">
        <f t="shared" si="16"/>
        <v>18</v>
      </c>
      <c r="D131" s="52">
        <v>257</v>
      </c>
      <c r="E131" s="52">
        <f t="shared" si="17"/>
        <v>7</v>
      </c>
      <c r="F131" s="52">
        <v>264</v>
      </c>
      <c r="G131" s="52">
        <f t="shared" si="18"/>
        <v>13</v>
      </c>
      <c r="H131" s="53">
        <v>277</v>
      </c>
      <c r="I131" s="54">
        <f t="shared" si="19"/>
        <v>48.54</v>
      </c>
      <c r="J131" s="52">
        <f t="shared" si="20"/>
        <v>9</v>
      </c>
      <c r="K131" s="53">
        <v>286</v>
      </c>
      <c r="L131" s="54">
        <f t="shared" si="21"/>
        <v>37.39</v>
      </c>
      <c r="M131" s="52">
        <f t="shared" si="22"/>
        <v>7</v>
      </c>
      <c r="N131" s="53">
        <v>293</v>
      </c>
      <c r="O131" s="54">
        <f t="shared" si="23"/>
        <v>44.7</v>
      </c>
      <c r="P131" s="52">
        <f t="shared" si="24"/>
        <v>8</v>
      </c>
      <c r="Q131" s="53">
        <v>301</v>
      </c>
      <c r="R131" s="54">
        <f t="shared" si="25"/>
        <v>22.96</v>
      </c>
      <c r="S131" s="55">
        <f t="shared" si="26"/>
        <v>10</v>
      </c>
      <c r="T131" s="53">
        <v>311</v>
      </c>
      <c r="U131" s="54">
        <f t="shared" si="27"/>
        <v>29.8</v>
      </c>
      <c r="V131" s="55">
        <f t="shared" si="28"/>
        <v>8</v>
      </c>
      <c r="W131" s="56">
        <v>319</v>
      </c>
      <c r="X131" s="54">
        <f t="shared" si="29"/>
        <v>23.801600000000001</v>
      </c>
      <c r="Y131" s="81">
        <f t="shared" si="30"/>
        <v>9</v>
      </c>
      <c r="Z131" s="81">
        <v>328</v>
      </c>
      <c r="AA131" s="54">
        <f t="shared" si="31"/>
        <v>27.89</v>
      </c>
    </row>
    <row r="132" spans="1:30" x14ac:dyDescent="0.25">
      <c r="A132" s="59" t="s">
        <v>76</v>
      </c>
      <c r="B132" s="52">
        <v>617</v>
      </c>
      <c r="C132" s="52">
        <f t="shared" si="16"/>
        <v>12</v>
      </c>
      <c r="D132" s="52">
        <v>629</v>
      </c>
      <c r="E132" s="52">
        <f t="shared" si="17"/>
        <v>20</v>
      </c>
      <c r="F132" s="52">
        <v>649</v>
      </c>
      <c r="G132" s="52">
        <f t="shared" si="17"/>
        <v>22</v>
      </c>
      <c r="H132" s="53">
        <f>496+175</f>
        <v>671</v>
      </c>
      <c r="I132" s="54">
        <f t="shared" si="19"/>
        <v>82.15</v>
      </c>
      <c r="J132" s="52">
        <f t="shared" si="20"/>
        <v>20</v>
      </c>
      <c r="K132" s="53">
        <f>511+180</f>
        <v>691</v>
      </c>
      <c r="L132" s="54">
        <f t="shared" si="21"/>
        <v>83.09</v>
      </c>
      <c r="M132" s="52">
        <f t="shared" si="22"/>
        <v>15</v>
      </c>
      <c r="N132" s="53">
        <f>522+184</f>
        <v>706</v>
      </c>
      <c r="O132" s="54">
        <f t="shared" si="23"/>
        <v>95.78</v>
      </c>
      <c r="P132" s="52">
        <f t="shared" si="24"/>
        <v>17</v>
      </c>
      <c r="Q132" s="53">
        <f>535+188</f>
        <v>723</v>
      </c>
      <c r="R132" s="54">
        <f t="shared" si="25"/>
        <v>48.8</v>
      </c>
      <c r="S132" s="55">
        <f t="shared" si="26"/>
        <v>22</v>
      </c>
      <c r="T132" s="53">
        <f>552+193</f>
        <v>745</v>
      </c>
      <c r="U132" s="54">
        <f t="shared" si="27"/>
        <v>65.56</v>
      </c>
      <c r="V132" s="55">
        <f t="shared" si="28"/>
        <v>21</v>
      </c>
      <c r="W132" s="56">
        <f>567+199</f>
        <v>766</v>
      </c>
      <c r="X132" s="54">
        <f t="shared" si="29"/>
        <v>62.479199999999999</v>
      </c>
      <c r="Y132" s="81">
        <f t="shared" si="30"/>
        <v>22</v>
      </c>
      <c r="Z132" s="81">
        <f>583+205</f>
        <v>788</v>
      </c>
      <c r="AA132" s="54">
        <f t="shared" si="31"/>
        <v>68.180000000000007</v>
      </c>
    </row>
    <row r="133" spans="1:30" x14ac:dyDescent="0.25">
      <c r="A133" s="7" t="s">
        <v>91</v>
      </c>
      <c r="B133" s="52">
        <v>113</v>
      </c>
      <c r="C133" s="52">
        <f t="shared" si="16"/>
        <v>7</v>
      </c>
      <c r="D133" s="52">
        <v>120</v>
      </c>
      <c r="E133" s="52">
        <f t="shared" si="17"/>
        <v>6</v>
      </c>
      <c r="F133" s="52">
        <v>126</v>
      </c>
      <c r="G133" s="52">
        <f t="shared" si="18"/>
        <v>7</v>
      </c>
      <c r="H133" s="53">
        <v>133</v>
      </c>
      <c r="I133" s="54">
        <f t="shared" si="19"/>
        <v>26.14</v>
      </c>
      <c r="J133" s="52">
        <f t="shared" si="20"/>
        <v>6</v>
      </c>
      <c r="K133" s="53">
        <v>139</v>
      </c>
      <c r="L133" s="54">
        <f t="shared" si="21"/>
        <v>24.93</v>
      </c>
      <c r="M133" s="52">
        <f t="shared" si="22"/>
        <v>5</v>
      </c>
      <c r="N133" s="53">
        <v>144</v>
      </c>
      <c r="O133" s="54">
        <f t="shared" si="23"/>
        <v>31.93</v>
      </c>
      <c r="P133" s="52">
        <f t="shared" si="24"/>
        <v>6</v>
      </c>
      <c r="Q133" s="53">
        <v>150</v>
      </c>
      <c r="R133" s="54">
        <f t="shared" si="25"/>
        <v>17.22</v>
      </c>
      <c r="S133" s="55">
        <f t="shared" si="26"/>
        <v>9</v>
      </c>
      <c r="T133" s="53">
        <v>159</v>
      </c>
      <c r="U133" s="54">
        <f t="shared" si="27"/>
        <v>26.82</v>
      </c>
      <c r="V133" s="55">
        <f t="shared" si="28"/>
        <v>8</v>
      </c>
      <c r="W133" s="56">
        <v>167</v>
      </c>
      <c r="X133" s="54">
        <f t="shared" si="29"/>
        <v>23.801600000000001</v>
      </c>
      <c r="Y133" s="81">
        <f t="shared" si="30"/>
        <v>4</v>
      </c>
      <c r="Z133" s="81">
        <v>171</v>
      </c>
      <c r="AA133" s="54">
        <f t="shared" si="31"/>
        <v>12.4</v>
      </c>
      <c r="AD133" s="61"/>
    </row>
    <row r="134" spans="1:30" x14ac:dyDescent="0.25">
      <c r="A134" s="59" t="s">
        <v>19</v>
      </c>
      <c r="B134" s="52">
        <v>438</v>
      </c>
      <c r="C134" s="52">
        <f t="shared" si="16"/>
        <v>8</v>
      </c>
      <c r="D134" s="52">
        <v>446</v>
      </c>
      <c r="E134" s="52">
        <f t="shared" si="17"/>
        <v>9</v>
      </c>
      <c r="F134" s="52">
        <v>455</v>
      </c>
      <c r="G134" s="60">
        <v>9</v>
      </c>
      <c r="H134" s="53">
        <v>91</v>
      </c>
      <c r="I134" s="54">
        <f t="shared" si="19"/>
        <v>33.61</v>
      </c>
      <c r="J134" s="52">
        <f t="shared" si="20"/>
        <v>13</v>
      </c>
      <c r="K134" s="53">
        <v>104</v>
      </c>
      <c r="L134" s="54">
        <f t="shared" si="21"/>
        <v>54.01</v>
      </c>
      <c r="M134" s="52">
        <f t="shared" si="22"/>
        <v>9</v>
      </c>
      <c r="N134" s="53">
        <v>113</v>
      </c>
      <c r="O134" s="54">
        <f t="shared" si="23"/>
        <v>57.47</v>
      </c>
      <c r="P134" s="52">
        <f t="shared" si="24"/>
        <v>13</v>
      </c>
      <c r="Q134" s="53">
        <v>126</v>
      </c>
      <c r="R134" s="54">
        <f t="shared" si="25"/>
        <v>37.32</v>
      </c>
      <c r="S134" s="55">
        <f t="shared" si="26"/>
        <v>15</v>
      </c>
      <c r="T134" s="53">
        <v>141</v>
      </c>
      <c r="U134" s="54">
        <f t="shared" si="27"/>
        <v>44.7</v>
      </c>
      <c r="V134" s="55">
        <f t="shared" si="28"/>
        <v>17</v>
      </c>
      <c r="W134" s="56">
        <v>158</v>
      </c>
      <c r="X134" s="54">
        <f t="shared" si="29"/>
        <v>50.578400000000002</v>
      </c>
      <c r="Y134" s="81">
        <f t="shared" si="30"/>
        <v>18</v>
      </c>
      <c r="Z134" s="81">
        <v>176</v>
      </c>
      <c r="AA134" s="54">
        <f t="shared" si="31"/>
        <v>55.78</v>
      </c>
      <c r="AC134" s="80"/>
    </row>
    <row r="135" spans="1:30" x14ac:dyDescent="0.25">
      <c r="A135" s="7" t="s">
        <v>241</v>
      </c>
      <c r="B135" s="52">
        <v>83</v>
      </c>
      <c r="C135" s="52">
        <f t="shared" si="16"/>
        <v>0</v>
      </c>
      <c r="D135" s="52">
        <v>83</v>
      </c>
      <c r="E135" s="52">
        <f t="shared" si="17"/>
        <v>1</v>
      </c>
      <c r="F135" s="52">
        <v>84</v>
      </c>
      <c r="G135" s="52">
        <f t="shared" si="18"/>
        <v>0</v>
      </c>
      <c r="H135" s="53">
        <v>84</v>
      </c>
      <c r="I135" s="54">
        <f t="shared" si="19"/>
        <v>0</v>
      </c>
      <c r="J135" s="52">
        <f t="shared" si="20"/>
        <v>0</v>
      </c>
      <c r="K135" s="53">
        <v>84</v>
      </c>
      <c r="L135" s="54">
        <f t="shared" si="21"/>
        <v>0</v>
      </c>
      <c r="M135" s="52">
        <f t="shared" si="22"/>
        <v>1</v>
      </c>
      <c r="N135" s="53">
        <v>85</v>
      </c>
      <c r="O135" s="54">
        <f t="shared" si="23"/>
        <v>6.39</v>
      </c>
      <c r="P135" s="52">
        <f t="shared" si="24"/>
        <v>0</v>
      </c>
      <c r="Q135" s="53">
        <v>85</v>
      </c>
      <c r="R135" s="54">
        <f t="shared" si="25"/>
        <v>0</v>
      </c>
      <c r="S135" s="55">
        <f t="shared" si="26"/>
        <v>1</v>
      </c>
      <c r="T135" s="53">
        <v>86</v>
      </c>
      <c r="U135" s="54">
        <f t="shared" si="27"/>
        <v>2.98</v>
      </c>
      <c r="V135" s="55">
        <f t="shared" si="28"/>
        <v>2</v>
      </c>
      <c r="W135" s="56">
        <v>88</v>
      </c>
      <c r="X135" s="54">
        <f t="shared" si="29"/>
        <v>5.9504000000000001</v>
      </c>
      <c r="Y135" s="81">
        <f t="shared" si="30"/>
        <v>0</v>
      </c>
      <c r="Z135" s="81">
        <v>88</v>
      </c>
      <c r="AA135" s="54">
        <f t="shared" si="31"/>
        <v>0</v>
      </c>
      <c r="AD135" s="61" t="s">
        <v>660</v>
      </c>
    </row>
    <row r="136" spans="1:30" x14ac:dyDescent="0.25">
      <c r="A136" s="7" t="s">
        <v>499</v>
      </c>
      <c r="B136" s="52">
        <v>152</v>
      </c>
      <c r="C136" s="52">
        <f t="shared" si="16"/>
        <v>6</v>
      </c>
      <c r="D136" s="52">
        <v>158</v>
      </c>
      <c r="E136" s="52">
        <f t="shared" si="17"/>
        <v>7</v>
      </c>
      <c r="F136" s="52">
        <v>165</v>
      </c>
      <c r="G136" s="52">
        <f t="shared" si="18"/>
        <v>8</v>
      </c>
      <c r="H136" s="53">
        <v>173</v>
      </c>
      <c r="I136" s="54">
        <f t="shared" si="19"/>
        <v>29.87</v>
      </c>
      <c r="J136" s="52">
        <f t="shared" si="20"/>
        <v>8</v>
      </c>
      <c r="K136" s="53">
        <v>181</v>
      </c>
      <c r="L136" s="54">
        <f t="shared" si="21"/>
        <v>33.24</v>
      </c>
      <c r="M136" s="52">
        <f t="shared" si="22"/>
        <v>4</v>
      </c>
      <c r="N136" s="53">
        <v>185</v>
      </c>
      <c r="O136" s="54">
        <f t="shared" si="23"/>
        <v>25.54</v>
      </c>
      <c r="P136" s="52">
        <f t="shared" si="24"/>
        <v>5</v>
      </c>
      <c r="Q136" s="53">
        <v>190</v>
      </c>
      <c r="R136" s="54">
        <f t="shared" si="25"/>
        <v>14.35</v>
      </c>
      <c r="S136" s="55">
        <f t="shared" si="26"/>
        <v>3</v>
      </c>
      <c r="T136" s="53">
        <v>193</v>
      </c>
      <c r="U136" s="54">
        <f t="shared" si="27"/>
        <v>8.94</v>
      </c>
      <c r="V136" s="55">
        <f t="shared" si="28"/>
        <v>3</v>
      </c>
      <c r="W136" s="56">
        <v>196</v>
      </c>
      <c r="X136" s="54">
        <f t="shared" si="29"/>
        <v>8.9255999999999993</v>
      </c>
      <c r="Y136" s="81">
        <f t="shared" si="30"/>
        <v>7</v>
      </c>
      <c r="Z136" s="81">
        <v>203</v>
      </c>
      <c r="AA136" s="54">
        <f t="shared" si="31"/>
        <v>21.69</v>
      </c>
    </row>
    <row r="137" spans="1:30" x14ac:dyDescent="0.25">
      <c r="A137" s="7" t="s">
        <v>250</v>
      </c>
      <c r="B137" s="52">
        <v>114</v>
      </c>
      <c r="C137" s="52">
        <f t="shared" ref="C137:C200" si="32">D137-B137</f>
        <v>0</v>
      </c>
      <c r="D137" s="52">
        <v>114</v>
      </c>
      <c r="E137" s="52">
        <f t="shared" ref="E137:E200" si="33">F137-D137</f>
        <v>2</v>
      </c>
      <c r="F137" s="52">
        <v>116</v>
      </c>
      <c r="G137" s="52">
        <f t="shared" ref="G137:G200" si="34">H137-F137</f>
        <v>1</v>
      </c>
      <c r="H137" s="53">
        <v>117</v>
      </c>
      <c r="I137" s="54">
        <f t="shared" ref="I137:I200" si="35">ROUND(G137*$I$3,2)</f>
        <v>3.73</v>
      </c>
      <c r="J137" s="52">
        <f t="shared" ref="J137:J200" si="36">K137-H137</f>
        <v>1</v>
      </c>
      <c r="K137" s="53">
        <v>118</v>
      </c>
      <c r="L137" s="54">
        <f t="shared" ref="L137:L200" si="37">ROUND(J137*$L$3,2)</f>
        <v>4.1500000000000004</v>
      </c>
      <c r="M137" s="52">
        <f t="shared" ref="M137:M200" si="38">N137-K137</f>
        <v>1</v>
      </c>
      <c r="N137" s="53">
        <v>119</v>
      </c>
      <c r="O137" s="54">
        <f t="shared" ref="O137:O200" si="39">ROUND(M137*$O$3,2)</f>
        <v>6.39</v>
      </c>
      <c r="P137" s="52">
        <f t="shared" ref="P137:P200" si="40">Q137-N137</f>
        <v>2</v>
      </c>
      <c r="Q137" s="53">
        <v>121</v>
      </c>
      <c r="R137" s="54">
        <f t="shared" ref="R137:R200" si="41">ROUND(P137*$R$3,2)</f>
        <v>5.74</v>
      </c>
      <c r="S137" s="55">
        <f t="shared" ref="S137:S200" si="42">+T137-Q137</f>
        <v>1</v>
      </c>
      <c r="T137" s="53">
        <v>122</v>
      </c>
      <c r="U137" s="54">
        <f t="shared" ref="U137:U200" si="43">ROUND(S137*$U$3,2)</f>
        <v>2.98</v>
      </c>
      <c r="V137" s="55">
        <f t="shared" ref="V137:V200" si="44">+W137-T137</f>
        <v>2</v>
      </c>
      <c r="W137" s="56">
        <v>124</v>
      </c>
      <c r="X137" s="54">
        <f t="shared" ref="X137:X200" si="45">V137*$X$3</f>
        <v>5.9504000000000001</v>
      </c>
      <c r="Y137" s="81">
        <f t="shared" ref="Y137:Y200" si="46">+Z137-W137</f>
        <v>2</v>
      </c>
      <c r="Z137" s="81">
        <v>126</v>
      </c>
      <c r="AA137" s="54">
        <f t="shared" ref="AA137:AA200" si="47">ROUND(Y137*$AA$3,2)</f>
        <v>6.2</v>
      </c>
    </row>
    <row r="138" spans="1:30" x14ac:dyDescent="0.25">
      <c r="A138" s="7" t="s">
        <v>331</v>
      </c>
      <c r="B138" s="52">
        <v>108</v>
      </c>
      <c r="C138" s="52">
        <f t="shared" si="32"/>
        <v>5</v>
      </c>
      <c r="D138" s="52">
        <v>113</v>
      </c>
      <c r="E138" s="52">
        <f t="shared" si="33"/>
        <v>10</v>
      </c>
      <c r="F138" s="52">
        <v>123</v>
      </c>
      <c r="G138" s="52">
        <f t="shared" si="34"/>
        <v>3</v>
      </c>
      <c r="H138" s="53">
        <v>126</v>
      </c>
      <c r="I138" s="54">
        <f t="shared" si="35"/>
        <v>11.2</v>
      </c>
      <c r="J138" s="52">
        <f t="shared" si="36"/>
        <v>2</v>
      </c>
      <c r="K138" s="53">
        <v>128</v>
      </c>
      <c r="L138" s="54">
        <f t="shared" si="37"/>
        <v>8.31</v>
      </c>
      <c r="M138" s="52">
        <f t="shared" si="38"/>
        <v>3</v>
      </c>
      <c r="N138" s="53">
        <v>131</v>
      </c>
      <c r="O138" s="54">
        <f t="shared" si="39"/>
        <v>19.16</v>
      </c>
      <c r="P138" s="52">
        <f t="shared" si="40"/>
        <v>4</v>
      </c>
      <c r="Q138" s="53">
        <v>135</v>
      </c>
      <c r="R138" s="54">
        <f t="shared" si="41"/>
        <v>11.48</v>
      </c>
      <c r="S138" s="55">
        <f t="shared" si="42"/>
        <v>3</v>
      </c>
      <c r="T138" s="53">
        <v>138</v>
      </c>
      <c r="U138" s="54">
        <f t="shared" si="43"/>
        <v>8.94</v>
      </c>
      <c r="V138" s="55">
        <f t="shared" si="44"/>
        <v>4</v>
      </c>
      <c r="W138" s="56">
        <v>142</v>
      </c>
      <c r="X138" s="54">
        <f t="shared" si="45"/>
        <v>11.9008</v>
      </c>
      <c r="Y138" s="81">
        <f t="shared" si="46"/>
        <v>6</v>
      </c>
      <c r="Z138" s="81">
        <v>148</v>
      </c>
      <c r="AA138" s="54">
        <f t="shared" si="47"/>
        <v>18.59</v>
      </c>
    </row>
    <row r="139" spans="1:30" x14ac:dyDescent="0.25">
      <c r="A139" s="7" t="s">
        <v>148</v>
      </c>
      <c r="B139" s="52">
        <v>283.29000000000002</v>
      </c>
      <c r="C139" s="52">
        <f t="shared" si="32"/>
        <v>6.7099999999999795</v>
      </c>
      <c r="D139" s="52">
        <v>290</v>
      </c>
      <c r="E139" s="52">
        <f t="shared" si="33"/>
        <v>5.7300000000000182</v>
      </c>
      <c r="F139" s="52">
        <v>295.73</v>
      </c>
      <c r="G139" s="52">
        <f t="shared" si="34"/>
        <v>8.714999999999975</v>
      </c>
      <c r="H139" s="53">
        <v>304.44499999999999</v>
      </c>
      <c r="I139" s="54">
        <f t="shared" si="35"/>
        <v>32.54</v>
      </c>
      <c r="J139" s="52">
        <f t="shared" si="36"/>
        <v>9.4549999999999841</v>
      </c>
      <c r="K139" s="53">
        <v>313.89999999999998</v>
      </c>
      <c r="L139" s="54">
        <f t="shared" si="37"/>
        <v>39.28</v>
      </c>
      <c r="M139" s="52">
        <f t="shared" si="38"/>
        <v>5.4190000000000396</v>
      </c>
      <c r="N139" s="53">
        <v>319.31900000000002</v>
      </c>
      <c r="O139" s="54">
        <f t="shared" si="39"/>
        <v>34.6</v>
      </c>
      <c r="P139" s="52">
        <f t="shared" si="40"/>
        <v>6.6809999999999832</v>
      </c>
      <c r="Q139" s="53">
        <v>326</v>
      </c>
      <c r="R139" s="54">
        <f t="shared" si="41"/>
        <v>19.18</v>
      </c>
      <c r="S139" s="55">
        <f t="shared" si="42"/>
        <v>9.1170000000000186</v>
      </c>
      <c r="T139" s="53">
        <v>335.11700000000002</v>
      </c>
      <c r="U139" s="54">
        <f t="shared" si="43"/>
        <v>27.17</v>
      </c>
      <c r="V139" s="55">
        <f t="shared" si="44"/>
        <v>8.8829999999999814</v>
      </c>
      <c r="W139" s="56">
        <v>344</v>
      </c>
      <c r="X139" s="54">
        <f t="shared" si="45"/>
        <v>26.428701599999947</v>
      </c>
      <c r="Y139" s="81">
        <f t="shared" si="46"/>
        <v>18</v>
      </c>
      <c r="Z139" s="81">
        <v>362</v>
      </c>
      <c r="AA139" s="54">
        <f t="shared" si="47"/>
        <v>55.78</v>
      </c>
    </row>
    <row r="140" spans="1:30" x14ac:dyDescent="0.25">
      <c r="A140" s="7" t="s">
        <v>394</v>
      </c>
      <c r="B140" s="52">
        <v>166.09</v>
      </c>
      <c r="C140" s="52">
        <f t="shared" si="32"/>
        <v>1.4699999999999989</v>
      </c>
      <c r="D140" s="52">
        <v>167.56</v>
      </c>
      <c r="E140" s="52">
        <f t="shared" si="33"/>
        <v>1.8700000000000045</v>
      </c>
      <c r="F140" s="52">
        <v>169.43</v>
      </c>
      <c r="G140" s="52">
        <f t="shared" si="34"/>
        <v>1.6490000000000009</v>
      </c>
      <c r="H140" s="53">
        <v>171.07900000000001</v>
      </c>
      <c r="I140" s="54">
        <f t="shared" si="35"/>
        <v>6.16</v>
      </c>
      <c r="J140" s="52">
        <f t="shared" si="36"/>
        <v>2.3909999999999911</v>
      </c>
      <c r="K140" s="53">
        <v>173.47</v>
      </c>
      <c r="L140" s="54">
        <f t="shared" si="37"/>
        <v>9.93</v>
      </c>
      <c r="M140" s="52">
        <f t="shared" si="38"/>
        <v>1.8340000000000032</v>
      </c>
      <c r="N140" s="53">
        <v>175.304</v>
      </c>
      <c r="O140" s="54">
        <f t="shared" si="39"/>
        <v>11.71</v>
      </c>
      <c r="P140" s="52">
        <f t="shared" si="40"/>
        <v>1.695999999999998</v>
      </c>
      <c r="Q140" s="53">
        <v>177</v>
      </c>
      <c r="R140" s="54">
        <f t="shared" si="41"/>
        <v>4.87</v>
      </c>
      <c r="S140" s="55">
        <f t="shared" si="42"/>
        <v>3.8789999999999907</v>
      </c>
      <c r="T140" s="53">
        <v>180.87899999999999</v>
      </c>
      <c r="U140" s="54">
        <f t="shared" si="43"/>
        <v>11.56</v>
      </c>
      <c r="V140" s="55">
        <f t="shared" si="44"/>
        <v>2.1210000000000093</v>
      </c>
      <c r="W140" s="56">
        <v>183</v>
      </c>
      <c r="X140" s="54">
        <f t="shared" si="45"/>
        <v>6.3103992000000275</v>
      </c>
      <c r="Y140" s="81">
        <f t="shared" si="46"/>
        <v>3</v>
      </c>
      <c r="Z140" s="81">
        <v>186</v>
      </c>
      <c r="AA140" s="54">
        <f t="shared" si="47"/>
        <v>9.3000000000000007</v>
      </c>
    </row>
    <row r="141" spans="1:30" x14ac:dyDescent="0.25">
      <c r="A141" s="7" t="s">
        <v>271</v>
      </c>
      <c r="B141" s="52">
        <v>152</v>
      </c>
      <c r="C141" s="52">
        <f t="shared" si="32"/>
        <v>0</v>
      </c>
      <c r="D141" s="52">
        <v>152</v>
      </c>
      <c r="E141" s="52">
        <f t="shared" si="33"/>
        <v>0</v>
      </c>
      <c r="F141" s="52">
        <v>152</v>
      </c>
      <c r="G141" s="52">
        <f t="shared" si="34"/>
        <v>2</v>
      </c>
      <c r="H141" s="53">
        <v>154</v>
      </c>
      <c r="I141" s="54">
        <f t="shared" si="35"/>
        <v>7.47</v>
      </c>
      <c r="J141" s="52">
        <f t="shared" si="36"/>
        <v>7</v>
      </c>
      <c r="K141" s="53">
        <v>161</v>
      </c>
      <c r="L141" s="54">
        <f t="shared" si="37"/>
        <v>29.08</v>
      </c>
      <c r="M141" s="52">
        <f t="shared" si="38"/>
        <v>9</v>
      </c>
      <c r="N141" s="53">
        <v>170</v>
      </c>
      <c r="O141" s="54">
        <f t="shared" si="39"/>
        <v>57.47</v>
      </c>
      <c r="P141" s="52">
        <f t="shared" si="40"/>
        <v>11</v>
      </c>
      <c r="Q141" s="53">
        <v>181</v>
      </c>
      <c r="R141" s="54">
        <f t="shared" si="41"/>
        <v>31.57</v>
      </c>
      <c r="S141" s="55">
        <f t="shared" si="42"/>
        <v>15</v>
      </c>
      <c r="T141" s="53">
        <v>196</v>
      </c>
      <c r="U141" s="54">
        <f t="shared" si="43"/>
        <v>44.7</v>
      </c>
      <c r="V141" s="55">
        <f t="shared" si="44"/>
        <v>16</v>
      </c>
      <c r="W141" s="56">
        <v>212</v>
      </c>
      <c r="X141" s="54">
        <f t="shared" si="45"/>
        <v>47.603200000000001</v>
      </c>
      <c r="Y141" s="81">
        <f t="shared" si="46"/>
        <v>16</v>
      </c>
      <c r="Z141" s="81">
        <v>228</v>
      </c>
      <c r="AA141" s="54">
        <f t="shared" si="47"/>
        <v>49.58</v>
      </c>
    </row>
    <row r="142" spans="1:30" x14ac:dyDescent="0.25">
      <c r="A142" s="7" t="s">
        <v>304</v>
      </c>
      <c r="B142" s="52">
        <v>96</v>
      </c>
      <c r="C142" s="52">
        <f t="shared" si="32"/>
        <v>1</v>
      </c>
      <c r="D142" s="52">
        <v>97</v>
      </c>
      <c r="E142" s="52">
        <f t="shared" si="33"/>
        <v>2</v>
      </c>
      <c r="F142" s="52">
        <v>99</v>
      </c>
      <c r="G142" s="52">
        <f t="shared" si="34"/>
        <v>2</v>
      </c>
      <c r="H142" s="53">
        <v>101</v>
      </c>
      <c r="I142" s="54">
        <f t="shared" si="35"/>
        <v>7.47</v>
      </c>
      <c r="J142" s="52">
        <f t="shared" si="36"/>
        <v>2</v>
      </c>
      <c r="K142" s="53">
        <v>103</v>
      </c>
      <c r="L142" s="54">
        <f t="shared" si="37"/>
        <v>8.31</v>
      </c>
      <c r="M142" s="52">
        <f t="shared" si="38"/>
        <v>1</v>
      </c>
      <c r="N142" s="53">
        <v>104</v>
      </c>
      <c r="O142" s="54">
        <f t="shared" si="39"/>
        <v>6.39</v>
      </c>
      <c r="P142" s="52">
        <f t="shared" si="40"/>
        <v>3</v>
      </c>
      <c r="Q142" s="53">
        <v>107</v>
      </c>
      <c r="R142" s="54">
        <f t="shared" si="41"/>
        <v>8.61</v>
      </c>
      <c r="S142" s="55">
        <f t="shared" si="42"/>
        <v>2</v>
      </c>
      <c r="T142" s="53">
        <v>109</v>
      </c>
      <c r="U142" s="54">
        <f t="shared" si="43"/>
        <v>5.96</v>
      </c>
      <c r="V142" s="55">
        <f t="shared" si="44"/>
        <v>3</v>
      </c>
      <c r="W142" s="56">
        <v>112</v>
      </c>
      <c r="X142" s="54">
        <f t="shared" si="45"/>
        <v>8.9255999999999993</v>
      </c>
      <c r="Y142" s="81">
        <f t="shared" si="46"/>
        <v>1</v>
      </c>
      <c r="Z142" s="81">
        <v>113</v>
      </c>
      <c r="AA142" s="54">
        <f t="shared" si="47"/>
        <v>3.1</v>
      </c>
    </row>
    <row r="143" spans="1:30" x14ac:dyDescent="0.25">
      <c r="A143" s="7" t="s">
        <v>229</v>
      </c>
      <c r="B143" s="52">
        <v>145</v>
      </c>
      <c r="C143" s="52">
        <f t="shared" si="32"/>
        <v>7</v>
      </c>
      <c r="D143" s="52">
        <v>152</v>
      </c>
      <c r="E143" s="52">
        <f t="shared" si="33"/>
        <v>6</v>
      </c>
      <c r="F143" s="52">
        <v>158</v>
      </c>
      <c r="G143" s="52">
        <f t="shared" si="34"/>
        <v>7</v>
      </c>
      <c r="H143" s="53">
        <v>165</v>
      </c>
      <c r="I143" s="54">
        <f t="shared" si="35"/>
        <v>26.14</v>
      </c>
      <c r="J143" s="52">
        <f t="shared" si="36"/>
        <v>10</v>
      </c>
      <c r="K143" s="53">
        <v>175</v>
      </c>
      <c r="L143" s="54">
        <f t="shared" si="37"/>
        <v>41.55</v>
      </c>
      <c r="M143" s="52">
        <f t="shared" si="38"/>
        <v>2</v>
      </c>
      <c r="N143" s="53">
        <v>177</v>
      </c>
      <c r="O143" s="54">
        <f t="shared" si="39"/>
        <v>12.77</v>
      </c>
      <c r="P143" s="52">
        <f t="shared" si="40"/>
        <v>6</v>
      </c>
      <c r="Q143" s="53">
        <v>183</v>
      </c>
      <c r="R143" s="54">
        <f t="shared" si="41"/>
        <v>17.22</v>
      </c>
      <c r="S143" s="55">
        <f t="shared" si="42"/>
        <v>8</v>
      </c>
      <c r="T143" s="53">
        <v>191</v>
      </c>
      <c r="U143" s="54">
        <f t="shared" si="43"/>
        <v>23.84</v>
      </c>
      <c r="V143" s="55">
        <f t="shared" si="44"/>
        <v>8</v>
      </c>
      <c r="W143" s="56">
        <v>199</v>
      </c>
      <c r="X143" s="54">
        <f t="shared" si="45"/>
        <v>23.801600000000001</v>
      </c>
      <c r="Y143" s="81">
        <f t="shared" si="46"/>
        <v>9</v>
      </c>
      <c r="Z143" s="81">
        <v>208</v>
      </c>
      <c r="AA143" s="54">
        <f t="shared" si="47"/>
        <v>27.89</v>
      </c>
    </row>
    <row r="144" spans="1:30" x14ac:dyDescent="0.25">
      <c r="A144" s="7" t="s">
        <v>256</v>
      </c>
      <c r="B144" s="52">
        <v>178</v>
      </c>
      <c r="C144" s="52">
        <f t="shared" si="32"/>
        <v>4</v>
      </c>
      <c r="D144" s="52">
        <v>182</v>
      </c>
      <c r="E144" s="52">
        <f t="shared" si="33"/>
        <v>4</v>
      </c>
      <c r="F144" s="52">
        <v>186</v>
      </c>
      <c r="G144" s="52">
        <f t="shared" si="34"/>
        <v>4</v>
      </c>
      <c r="H144" s="53">
        <v>190</v>
      </c>
      <c r="I144" s="54">
        <f t="shared" si="35"/>
        <v>14.94</v>
      </c>
      <c r="J144" s="52">
        <f t="shared" si="36"/>
        <v>2</v>
      </c>
      <c r="K144" s="53">
        <v>192</v>
      </c>
      <c r="L144" s="54">
        <f t="shared" si="37"/>
        <v>8.31</v>
      </c>
      <c r="M144" s="52">
        <f t="shared" si="38"/>
        <v>0</v>
      </c>
      <c r="N144" s="53">
        <v>192</v>
      </c>
      <c r="O144" s="54">
        <f t="shared" si="39"/>
        <v>0</v>
      </c>
      <c r="P144" s="52">
        <f t="shared" si="40"/>
        <v>2</v>
      </c>
      <c r="Q144" s="53">
        <v>194</v>
      </c>
      <c r="R144" s="54">
        <f t="shared" si="41"/>
        <v>5.74</v>
      </c>
      <c r="S144" s="55">
        <f t="shared" si="42"/>
        <v>1</v>
      </c>
      <c r="T144" s="53">
        <v>195</v>
      </c>
      <c r="U144" s="54">
        <f t="shared" si="43"/>
        <v>2.98</v>
      </c>
      <c r="V144" s="55">
        <f t="shared" si="44"/>
        <v>1</v>
      </c>
      <c r="W144" s="56">
        <v>196</v>
      </c>
      <c r="X144" s="54">
        <f t="shared" si="45"/>
        <v>2.9752000000000001</v>
      </c>
      <c r="Y144" s="81">
        <f t="shared" si="46"/>
        <v>4</v>
      </c>
      <c r="Z144" s="81">
        <v>200</v>
      </c>
      <c r="AA144" s="54">
        <f t="shared" si="47"/>
        <v>12.4</v>
      </c>
    </row>
    <row r="145" spans="1:30" x14ac:dyDescent="0.25">
      <c r="A145" s="7" t="s">
        <v>295</v>
      </c>
      <c r="B145" s="52">
        <v>284</v>
      </c>
      <c r="C145" s="52">
        <f t="shared" si="32"/>
        <v>2</v>
      </c>
      <c r="D145" s="52">
        <v>286</v>
      </c>
      <c r="E145" s="52">
        <f t="shared" si="33"/>
        <v>3</v>
      </c>
      <c r="F145" s="52">
        <v>289</v>
      </c>
      <c r="G145" s="60">
        <f t="shared" si="34"/>
        <v>0</v>
      </c>
      <c r="H145" s="53">
        <v>289</v>
      </c>
      <c r="I145" s="54">
        <f t="shared" si="35"/>
        <v>0</v>
      </c>
      <c r="J145" s="52">
        <f t="shared" si="36"/>
        <v>1</v>
      </c>
      <c r="K145" s="53">
        <v>290</v>
      </c>
      <c r="L145" s="54">
        <f t="shared" si="37"/>
        <v>4.1500000000000004</v>
      </c>
      <c r="M145" s="52">
        <f t="shared" si="38"/>
        <v>2</v>
      </c>
      <c r="N145" s="53">
        <v>292</v>
      </c>
      <c r="O145" s="54">
        <f t="shared" si="39"/>
        <v>12.77</v>
      </c>
      <c r="P145" s="52">
        <f t="shared" si="40"/>
        <v>5</v>
      </c>
      <c r="Q145" s="53">
        <v>297</v>
      </c>
      <c r="R145" s="54">
        <f t="shared" si="41"/>
        <v>14.35</v>
      </c>
      <c r="S145" s="55">
        <f t="shared" si="42"/>
        <v>10</v>
      </c>
      <c r="T145" s="53">
        <v>307</v>
      </c>
      <c r="U145" s="54">
        <f t="shared" si="43"/>
        <v>29.8</v>
      </c>
      <c r="V145" s="55">
        <f t="shared" si="44"/>
        <v>5</v>
      </c>
      <c r="W145" s="56">
        <v>312</v>
      </c>
      <c r="X145" s="54">
        <f t="shared" si="45"/>
        <v>14.876000000000001</v>
      </c>
      <c r="Y145" s="81">
        <f t="shared" si="46"/>
        <v>57</v>
      </c>
      <c r="Z145" s="81">
        <v>369</v>
      </c>
      <c r="AA145" s="54">
        <f t="shared" si="47"/>
        <v>176.64</v>
      </c>
    </row>
    <row r="146" spans="1:30" x14ac:dyDescent="0.25">
      <c r="A146" s="7" t="s">
        <v>391</v>
      </c>
      <c r="B146" s="52">
        <v>329.91</v>
      </c>
      <c r="C146" s="52">
        <f t="shared" si="32"/>
        <v>14.849999999999966</v>
      </c>
      <c r="D146" s="52">
        <v>344.76</v>
      </c>
      <c r="E146" s="52">
        <f t="shared" si="33"/>
        <v>12.560000000000002</v>
      </c>
      <c r="F146" s="52">
        <v>357.32</v>
      </c>
      <c r="G146" s="52">
        <f t="shared" si="34"/>
        <v>13.692999999999984</v>
      </c>
      <c r="H146" s="53">
        <v>371.01299999999998</v>
      </c>
      <c r="I146" s="54">
        <f t="shared" si="35"/>
        <v>51.13</v>
      </c>
      <c r="J146" s="52">
        <f t="shared" si="36"/>
        <v>11.689000000000021</v>
      </c>
      <c r="K146" s="53">
        <v>382.702</v>
      </c>
      <c r="L146" s="54">
        <f t="shared" si="37"/>
        <v>48.56</v>
      </c>
      <c r="M146" s="52">
        <f t="shared" si="38"/>
        <v>8.2019999999999982</v>
      </c>
      <c r="N146" s="53">
        <v>390.904</v>
      </c>
      <c r="O146" s="54">
        <f t="shared" si="39"/>
        <v>52.37</v>
      </c>
      <c r="P146" s="52">
        <f t="shared" si="40"/>
        <v>9.0960000000000036</v>
      </c>
      <c r="Q146" s="53">
        <v>400</v>
      </c>
      <c r="R146" s="54">
        <f t="shared" si="41"/>
        <v>26.11</v>
      </c>
      <c r="S146" s="55">
        <f t="shared" si="42"/>
        <v>14.660000000000025</v>
      </c>
      <c r="T146" s="53">
        <v>414.66</v>
      </c>
      <c r="U146" s="54">
        <f t="shared" si="43"/>
        <v>43.68</v>
      </c>
      <c r="V146" s="55">
        <f t="shared" si="44"/>
        <v>14.339999999999975</v>
      </c>
      <c r="W146" s="56">
        <v>429</v>
      </c>
      <c r="X146" s="54">
        <f t="shared" si="45"/>
        <v>42.664367999999925</v>
      </c>
      <c r="Y146" s="81">
        <f t="shared" si="46"/>
        <v>15</v>
      </c>
      <c r="Z146" s="81">
        <v>444</v>
      </c>
      <c r="AA146" s="54">
        <f t="shared" si="47"/>
        <v>46.48</v>
      </c>
    </row>
    <row r="147" spans="1:30" x14ac:dyDescent="0.25">
      <c r="A147" s="7" t="s">
        <v>79</v>
      </c>
      <c r="B147" s="52">
        <v>9</v>
      </c>
      <c r="C147" s="52">
        <f t="shared" si="32"/>
        <v>0</v>
      </c>
      <c r="D147" s="52">
        <v>9</v>
      </c>
      <c r="E147" s="52">
        <f t="shared" si="33"/>
        <v>0</v>
      </c>
      <c r="F147" s="52">
        <v>9</v>
      </c>
      <c r="G147" s="52">
        <f t="shared" si="34"/>
        <v>0</v>
      </c>
      <c r="H147" s="53">
        <v>9</v>
      </c>
      <c r="I147" s="54">
        <f t="shared" si="35"/>
        <v>0</v>
      </c>
      <c r="J147" s="52">
        <f t="shared" si="36"/>
        <v>0</v>
      </c>
      <c r="K147" s="53">
        <v>9</v>
      </c>
      <c r="L147" s="54">
        <f t="shared" si="37"/>
        <v>0</v>
      </c>
      <c r="M147" s="52">
        <f t="shared" si="38"/>
        <v>0</v>
      </c>
      <c r="N147" s="53">
        <v>9</v>
      </c>
      <c r="O147" s="54">
        <f t="shared" si="39"/>
        <v>0</v>
      </c>
      <c r="P147" s="52">
        <f t="shared" si="40"/>
        <v>0</v>
      </c>
      <c r="Q147" s="53">
        <v>9</v>
      </c>
      <c r="R147" s="54">
        <f t="shared" si="41"/>
        <v>0</v>
      </c>
      <c r="S147" s="55">
        <f t="shared" si="42"/>
        <v>0</v>
      </c>
      <c r="T147" s="53">
        <v>9</v>
      </c>
      <c r="U147" s="54">
        <f t="shared" si="43"/>
        <v>0</v>
      </c>
      <c r="V147" s="55">
        <f t="shared" si="44"/>
        <v>1</v>
      </c>
      <c r="W147" s="56">
        <v>10</v>
      </c>
      <c r="X147" s="54">
        <f t="shared" si="45"/>
        <v>2.9752000000000001</v>
      </c>
      <c r="Y147" s="81">
        <f t="shared" si="46"/>
        <v>0</v>
      </c>
      <c r="Z147" s="81">
        <v>10</v>
      </c>
      <c r="AA147" s="54">
        <f t="shared" si="47"/>
        <v>0</v>
      </c>
    </row>
    <row r="148" spans="1:30" x14ac:dyDescent="0.25">
      <c r="A148" s="7" t="s">
        <v>541</v>
      </c>
      <c r="B148" s="52">
        <v>204</v>
      </c>
      <c r="C148" s="52">
        <f t="shared" si="32"/>
        <v>3</v>
      </c>
      <c r="D148" s="52">
        <v>207</v>
      </c>
      <c r="E148" s="52">
        <f t="shared" si="33"/>
        <v>5</v>
      </c>
      <c r="F148" s="52">
        <v>212</v>
      </c>
      <c r="G148" s="52">
        <f t="shared" si="34"/>
        <v>5</v>
      </c>
      <c r="H148" s="53">
        <v>217</v>
      </c>
      <c r="I148" s="54">
        <f t="shared" si="35"/>
        <v>18.670000000000002</v>
      </c>
      <c r="J148" s="52">
        <f t="shared" si="36"/>
        <v>5</v>
      </c>
      <c r="K148" s="53">
        <v>222</v>
      </c>
      <c r="L148" s="54">
        <f t="shared" si="37"/>
        <v>20.77</v>
      </c>
      <c r="M148" s="52">
        <f t="shared" si="38"/>
        <v>4</v>
      </c>
      <c r="N148" s="53">
        <v>226</v>
      </c>
      <c r="O148" s="54">
        <f t="shared" si="39"/>
        <v>25.54</v>
      </c>
      <c r="P148" s="52">
        <f t="shared" si="40"/>
        <v>7</v>
      </c>
      <c r="Q148" s="53">
        <v>233</v>
      </c>
      <c r="R148" s="54">
        <f t="shared" si="41"/>
        <v>20.09</v>
      </c>
      <c r="S148" s="55">
        <f t="shared" si="42"/>
        <v>3</v>
      </c>
      <c r="T148" s="53">
        <v>236</v>
      </c>
      <c r="U148" s="54">
        <f t="shared" si="43"/>
        <v>8.94</v>
      </c>
      <c r="V148" s="55">
        <f t="shared" si="44"/>
        <v>3</v>
      </c>
      <c r="W148" s="56">
        <v>239</v>
      </c>
      <c r="X148" s="54">
        <f t="shared" si="45"/>
        <v>8.9255999999999993</v>
      </c>
      <c r="Y148" s="81">
        <f t="shared" si="46"/>
        <v>3</v>
      </c>
      <c r="Z148" s="81">
        <v>242</v>
      </c>
      <c r="AA148" s="54">
        <f t="shared" si="47"/>
        <v>9.3000000000000007</v>
      </c>
    </row>
    <row r="149" spans="1:30" x14ac:dyDescent="0.25">
      <c r="A149" s="7" t="s">
        <v>565</v>
      </c>
      <c r="B149" s="52">
        <v>37</v>
      </c>
      <c r="C149" s="52">
        <f t="shared" si="32"/>
        <v>2</v>
      </c>
      <c r="D149" s="52">
        <v>39</v>
      </c>
      <c r="E149" s="52">
        <f t="shared" si="33"/>
        <v>0</v>
      </c>
      <c r="F149" s="52">
        <v>39</v>
      </c>
      <c r="G149" s="52">
        <f t="shared" si="34"/>
        <v>0</v>
      </c>
      <c r="H149" s="53">
        <v>39</v>
      </c>
      <c r="I149" s="54">
        <f t="shared" si="35"/>
        <v>0</v>
      </c>
      <c r="J149" s="52">
        <f t="shared" si="36"/>
        <v>0</v>
      </c>
      <c r="K149" s="53">
        <v>39</v>
      </c>
      <c r="L149" s="54">
        <f t="shared" si="37"/>
        <v>0</v>
      </c>
      <c r="M149" s="52">
        <f t="shared" si="38"/>
        <v>1</v>
      </c>
      <c r="N149" s="53">
        <v>40</v>
      </c>
      <c r="O149" s="54">
        <f t="shared" si="39"/>
        <v>6.39</v>
      </c>
      <c r="P149" s="52">
        <f t="shared" si="40"/>
        <v>2</v>
      </c>
      <c r="Q149" s="53">
        <v>42</v>
      </c>
      <c r="R149" s="54">
        <f t="shared" si="41"/>
        <v>5.74</v>
      </c>
      <c r="S149" s="55">
        <f t="shared" si="42"/>
        <v>0</v>
      </c>
      <c r="T149" s="53">
        <v>42</v>
      </c>
      <c r="U149" s="54">
        <f t="shared" si="43"/>
        <v>0</v>
      </c>
      <c r="V149" s="55">
        <f t="shared" si="44"/>
        <v>0</v>
      </c>
      <c r="W149" s="56">
        <v>42</v>
      </c>
      <c r="X149" s="54">
        <f t="shared" si="45"/>
        <v>0</v>
      </c>
      <c r="Y149" s="81">
        <f t="shared" si="46"/>
        <v>0</v>
      </c>
      <c r="Z149" s="81">
        <v>42</v>
      </c>
      <c r="AA149" s="54">
        <f t="shared" si="47"/>
        <v>0</v>
      </c>
    </row>
    <row r="150" spans="1:30" x14ac:dyDescent="0.25">
      <c r="A150" s="7" t="s">
        <v>277</v>
      </c>
      <c r="B150" s="52">
        <v>236</v>
      </c>
      <c r="C150" s="52">
        <f t="shared" si="32"/>
        <v>7</v>
      </c>
      <c r="D150" s="52">
        <v>243</v>
      </c>
      <c r="E150" s="52">
        <f t="shared" si="33"/>
        <v>6</v>
      </c>
      <c r="F150" s="52">
        <v>249</v>
      </c>
      <c r="G150" s="52">
        <f t="shared" si="34"/>
        <v>3</v>
      </c>
      <c r="H150" s="53">
        <v>252</v>
      </c>
      <c r="I150" s="54">
        <f t="shared" si="35"/>
        <v>11.2</v>
      </c>
      <c r="J150" s="52">
        <f t="shared" si="36"/>
        <v>2</v>
      </c>
      <c r="K150" s="53">
        <v>254</v>
      </c>
      <c r="L150" s="54">
        <f t="shared" si="37"/>
        <v>8.31</v>
      </c>
      <c r="M150" s="52">
        <f t="shared" si="38"/>
        <v>4</v>
      </c>
      <c r="N150" s="53">
        <v>258</v>
      </c>
      <c r="O150" s="54">
        <f t="shared" si="39"/>
        <v>25.54</v>
      </c>
      <c r="P150" s="52">
        <f t="shared" si="40"/>
        <v>1</v>
      </c>
      <c r="Q150" s="53">
        <v>259</v>
      </c>
      <c r="R150" s="54">
        <f t="shared" si="41"/>
        <v>2.87</v>
      </c>
      <c r="S150" s="55">
        <f t="shared" si="42"/>
        <v>2</v>
      </c>
      <c r="T150" s="53">
        <v>261</v>
      </c>
      <c r="U150" s="54">
        <f t="shared" si="43"/>
        <v>5.96</v>
      </c>
      <c r="V150" s="55">
        <f t="shared" si="44"/>
        <v>2</v>
      </c>
      <c r="W150" s="56">
        <v>263</v>
      </c>
      <c r="X150" s="54">
        <f t="shared" si="45"/>
        <v>5.9504000000000001</v>
      </c>
      <c r="Y150" s="81">
        <f t="shared" si="46"/>
        <v>2</v>
      </c>
      <c r="Z150" s="81">
        <v>265</v>
      </c>
      <c r="AA150" s="54">
        <f t="shared" si="47"/>
        <v>6.2</v>
      </c>
    </row>
    <row r="151" spans="1:30" x14ac:dyDescent="0.25">
      <c r="A151" s="7" t="s">
        <v>67</v>
      </c>
      <c r="B151" s="52">
        <v>160.32</v>
      </c>
      <c r="C151" s="52">
        <f t="shared" si="32"/>
        <v>3.9699999999999989</v>
      </c>
      <c r="D151" s="52">
        <v>164.29</v>
      </c>
      <c r="E151" s="52">
        <f t="shared" si="33"/>
        <v>3.9399999999999977</v>
      </c>
      <c r="F151" s="52">
        <v>168.23</v>
      </c>
      <c r="G151" s="52">
        <f t="shared" si="34"/>
        <v>3.3320000000000221</v>
      </c>
      <c r="H151" s="53">
        <v>171.56200000000001</v>
      </c>
      <c r="I151" s="54">
        <f t="shared" si="35"/>
        <v>12.44</v>
      </c>
      <c r="J151" s="52">
        <f t="shared" si="36"/>
        <v>4.7049999999999841</v>
      </c>
      <c r="K151" s="53">
        <v>176.267</v>
      </c>
      <c r="L151" s="54">
        <f t="shared" si="37"/>
        <v>19.55</v>
      </c>
      <c r="M151" s="52">
        <f t="shared" si="38"/>
        <v>2.632000000000005</v>
      </c>
      <c r="N151" s="53">
        <v>178.899</v>
      </c>
      <c r="O151" s="54">
        <f t="shared" si="39"/>
        <v>16.809999999999999</v>
      </c>
      <c r="P151" s="52">
        <f t="shared" si="40"/>
        <v>3.1009999999999991</v>
      </c>
      <c r="Q151" s="53">
        <v>182</v>
      </c>
      <c r="R151" s="54">
        <f t="shared" si="41"/>
        <v>8.9</v>
      </c>
      <c r="S151" s="55">
        <f t="shared" si="42"/>
        <v>5.7350000000000136</v>
      </c>
      <c r="T151" s="53">
        <v>187.73500000000001</v>
      </c>
      <c r="U151" s="54">
        <f t="shared" si="43"/>
        <v>17.09</v>
      </c>
      <c r="V151" s="55">
        <f t="shared" si="44"/>
        <v>4.2649999999999864</v>
      </c>
      <c r="W151" s="56">
        <v>192</v>
      </c>
      <c r="X151" s="54">
        <f t="shared" si="45"/>
        <v>12.689227999999959</v>
      </c>
      <c r="Y151" s="81">
        <f t="shared" si="46"/>
        <v>5</v>
      </c>
      <c r="Z151" s="81">
        <v>197</v>
      </c>
      <c r="AA151" s="54">
        <f t="shared" si="47"/>
        <v>15.49</v>
      </c>
    </row>
    <row r="152" spans="1:30" x14ac:dyDescent="0.25">
      <c r="A152" s="7" t="s">
        <v>31</v>
      </c>
      <c r="B152" s="52">
        <v>100.63</v>
      </c>
      <c r="C152" s="52">
        <f t="shared" si="32"/>
        <v>3</v>
      </c>
      <c r="D152" s="52">
        <v>103.63</v>
      </c>
      <c r="E152" s="52">
        <f t="shared" si="33"/>
        <v>3.0799999999999983</v>
      </c>
      <c r="F152" s="52">
        <v>106.71</v>
      </c>
      <c r="G152" s="52">
        <f t="shared" si="34"/>
        <v>4.4640000000000128</v>
      </c>
      <c r="H152" s="53">
        <v>111.17400000000001</v>
      </c>
      <c r="I152" s="54">
        <f t="shared" si="35"/>
        <v>16.670000000000002</v>
      </c>
      <c r="J152" s="52">
        <f t="shared" si="36"/>
        <v>3.0659999999999883</v>
      </c>
      <c r="K152" s="53">
        <v>114.24</v>
      </c>
      <c r="L152" s="54">
        <f t="shared" si="37"/>
        <v>12.74</v>
      </c>
      <c r="M152" s="52">
        <f t="shared" si="38"/>
        <v>1.9140000000000015</v>
      </c>
      <c r="N152" s="53">
        <v>116.154</v>
      </c>
      <c r="O152" s="54">
        <f t="shared" si="39"/>
        <v>12.22</v>
      </c>
      <c r="P152" s="52">
        <f t="shared" si="40"/>
        <v>1.8460000000000036</v>
      </c>
      <c r="Q152" s="53">
        <v>118</v>
      </c>
      <c r="R152" s="54">
        <f t="shared" si="41"/>
        <v>5.3</v>
      </c>
      <c r="S152" s="55">
        <f t="shared" si="42"/>
        <v>3.7609999999999957</v>
      </c>
      <c r="T152" s="53">
        <v>121.761</v>
      </c>
      <c r="U152" s="54">
        <f t="shared" si="43"/>
        <v>11.21</v>
      </c>
      <c r="V152" s="55">
        <f t="shared" si="44"/>
        <v>1.2390000000000043</v>
      </c>
      <c r="W152" s="56">
        <v>123</v>
      </c>
      <c r="X152" s="54">
        <f t="shared" si="45"/>
        <v>3.6862728000000131</v>
      </c>
      <c r="Y152" s="81">
        <f t="shared" si="46"/>
        <v>3</v>
      </c>
      <c r="Z152" s="81">
        <v>126</v>
      </c>
      <c r="AA152" s="54">
        <f t="shared" si="47"/>
        <v>9.3000000000000007</v>
      </c>
    </row>
    <row r="153" spans="1:30" x14ac:dyDescent="0.25">
      <c r="A153" s="7" t="s">
        <v>103</v>
      </c>
      <c r="B153" s="52">
        <v>229</v>
      </c>
      <c r="C153" s="52">
        <f t="shared" si="32"/>
        <v>10</v>
      </c>
      <c r="D153" s="52">
        <v>239</v>
      </c>
      <c r="E153" s="52">
        <f t="shared" si="33"/>
        <v>11</v>
      </c>
      <c r="F153" s="52">
        <v>250</v>
      </c>
      <c r="G153" s="52">
        <f t="shared" si="34"/>
        <v>10</v>
      </c>
      <c r="H153" s="53">
        <v>260</v>
      </c>
      <c r="I153" s="54">
        <f t="shared" si="35"/>
        <v>37.340000000000003</v>
      </c>
      <c r="J153" s="52">
        <f t="shared" si="36"/>
        <v>9</v>
      </c>
      <c r="K153" s="53">
        <v>269</v>
      </c>
      <c r="L153" s="54">
        <f t="shared" si="37"/>
        <v>37.39</v>
      </c>
      <c r="M153" s="52">
        <f t="shared" si="38"/>
        <v>7</v>
      </c>
      <c r="N153" s="53">
        <v>276</v>
      </c>
      <c r="O153" s="54">
        <f t="shared" si="39"/>
        <v>44.7</v>
      </c>
      <c r="P153" s="52">
        <f t="shared" si="40"/>
        <v>8</v>
      </c>
      <c r="Q153" s="53">
        <v>284</v>
      </c>
      <c r="R153" s="54">
        <f t="shared" si="41"/>
        <v>22.96</v>
      </c>
      <c r="S153" s="55">
        <f t="shared" si="42"/>
        <v>12</v>
      </c>
      <c r="T153" s="53">
        <v>296</v>
      </c>
      <c r="U153" s="54">
        <f t="shared" si="43"/>
        <v>35.76</v>
      </c>
      <c r="V153" s="55">
        <f t="shared" si="44"/>
        <v>12</v>
      </c>
      <c r="W153" s="56">
        <v>308</v>
      </c>
      <c r="X153" s="54">
        <f t="shared" si="45"/>
        <v>35.702399999999997</v>
      </c>
      <c r="Y153" s="81">
        <f t="shared" si="46"/>
        <v>12</v>
      </c>
      <c r="Z153" s="81">
        <v>320</v>
      </c>
      <c r="AA153" s="54">
        <f t="shared" si="47"/>
        <v>37.19</v>
      </c>
    </row>
    <row r="154" spans="1:30" x14ac:dyDescent="0.25">
      <c r="A154" s="7" t="s">
        <v>58</v>
      </c>
      <c r="B154" s="52">
        <v>173</v>
      </c>
      <c r="C154" s="52">
        <f t="shared" si="32"/>
        <v>4</v>
      </c>
      <c r="D154" s="52">
        <v>177</v>
      </c>
      <c r="E154" s="52">
        <f t="shared" si="33"/>
        <v>3</v>
      </c>
      <c r="F154" s="52">
        <v>180</v>
      </c>
      <c r="G154" s="52">
        <f t="shared" si="34"/>
        <v>5</v>
      </c>
      <c r="H154" s="53">
        <v>185</v>
      </c>
      <c r="I154" s="54">
        <f t="shared" si="35"/>
        <v>18.670000000000002</v>
      </c>
      <c r="J154" s="52">
        <f t="shared" si="36"/>
        <v>3</v>
      </c>
      <c r="K154" s="53">
        <v>188</v>
      </c>
      <c r="L154" s="54">
        <f t="shared" si="37"/>
        <v>12.46</v>
      </c>
      <c r="M154" s="52">
        <f t="shared" si="38"/>
        <v>2</v>
      </c>
      <c r="N154" s="53">
        <v>190</v>
      </c>
      <c r="O154" s="54">
        <f t="shared" si="39"/>
        <v>12.77</v>
      </c>
      <c r="P154" s="52">
        <f t="shared" si="40"/>
        <v>3</v>
      </c>
      <c r="Q154" s="53">
        <v>193</v>
      </c>
      <c r="R154" s="54">
        <f t="shared" si="41"/>
        <v>8.61</v>
      </c>
      <c r="S154" s="55">
        <f t="shared" si="42"/>
        <v>3</v>
      </c>
      <c r="T154" s="53">
        <v>196</v>
      </c>
      <c r="U154" s="54">
        <f t="shared" si="43"/>
        <v>8.94</v>
      </c>
      <c r="V154" s="55">
        <f t="shared" si="44"/>
        <v>2</v>
      </c>
      <c r="W154" s="56">
        <v>198</v>
      </c>
      <c r="X154" s="54">
        <f t="shared" si="45"/>
        <v>5.9504000000000001</v>
      </c>
      <c r="Y154" s="81">
        <f t="shared" si="46"/>
        <v>4</v>
      </c>
      <c r="Z154" s="81">
        <v>202</v>
      </c>
      <c r="AA154" s="54">
        <f t="shared" si="47"/>
        <v>12.4</v>
      </c>
    </row>
    <row r="155" spans="1:30" x14ac:dyDescent="0.25">
      <c r="A155" s="7" t="s">
        <v>181</v>
      </c>
      <c r="B155" s="52">
        <v>245</v>
      </c>
      <c r="C155" s="52">
        <f t="shared" si="32"/>
        <v>11</v>
      </c>
      <c r="D155" s="52">
        <v>256</v>
      </c>
      <c r="E155" s="52">
        <f t="shared" si="33"/>
        <v>8</v>
      </c>
      <c r="F155" s="52">
        <v>264</v>
      </c>
      <c r="G155" s="52">
        <f t="shared" si="34"/>
        <v>10</v>
      </c>
      <c r="H155" s="53">
        <v>274</v>
      </c>
      <c r="I155" s="54">
        <f t="shared" si="35"/>
        <v>37.340000000000003</v>
      </c>
      <c r="J155" s="52">
        <f t="shared" si="36"/>
        <v>10</v>
      </c>
      <c r="K155" s="53">
        <v>284</v>
      </c>
      <c r="L155" s="54">
        <f t="shared" si="37"/>
        <v>41.55</v>
      </c>
      <c r="M155" s="52">
        <f t="shared" si="38"/>
        <v>4</v>
      </c>
      <c r="N155" s="53">
        <v>288</v>
      </c>
      <c r="O155" s="54">
        <f t="shared" si="39"/>
        <v>25.54</v>
      </c>
      <c r="P155" s="52">
        <f t="shared" si="40"/>
        <v>7</v>
      </c>
      <c r="Q155" s="53">
        <v>295</v>
      </c>
      <c r="R155" s="54">
        <f t="shared" si="41"/>
        <v>20.09</v>
      </c>
      <c r="S155" s="55">
        <f t="shared" si="42"/>
        <v>10</v>
      </c>
      <c r="T155" s="53">
        <v>305</v>
      </c>
      <c r="U155" s="54">
        <f t="shared" si="43"/>
        <v>29.8</v>
      </c>
      <c r="V155" s="55">
        <f t="shared" si="44"/>
        <v>9</v>
      </c>
      <c r="W155" s="56">
        <v>314</v>
      </c>
      <c r="X155" s="54">
        <f t="shared" si="45"/>
        <v>26.776800000000001</v>
      </c>
      <c r="Y155" s="81">
        <f t="shared" si="46"/>
        <v>11</v>
      </c>
      <c r="Z155" s="81">
        <v>325</v>
      </c>
      <c r="AA155" s="54">
        <f t="shared" si="47"/>
        <v>34.090000000000003</v>
      </c>
    </row>
    <row r="156" spans="1:30" x14ac:dyDescent="0.25">
      <c r="A156" s="7" t="s">
        <v>94</v>
      </c>
      <c r="B156" s="52">
        <v>314</v>
      </c>
      <c r="C156" s="52">
        <f t="shared" si="32"/>
        <v>8</v>
      </c>
      <c r="D156" s="52">
        <v>322</v>
      </c>
      <c r="E156" s="52">
        <f t="shared" si="33"/>
        <v>6</v>
      </c>
      <c r="F156" s="52">
        <v>328</v>
      </c>
      <c r="G156" s="52">
        <f t="shared" si="34"/>
        <v>11</v>
      </c>
      <c r="H156" s="53">
        <v>339</v>
      </c>
      <c r="I156" s="54">
        <f t="shared" si="35"/>
        <v>41.08</v>
      </c>
      <c r="J156" s="52">
        <f t="shared" si="36"/>
        <v>9</v>
      </c>
      <c r="K156" s="53">
        <v>348</v>
      </c>
      <c r="L156" s="54">
        <f t="shared" si="37"/>
        <v>37.39</v>
      </c>
      <c r="M156" s="52">
        <f t="shared" si="38"/>
        <v>7</v>
      </c>
      <c r="N156" s="53">
        <v>355</v>
      </c>
      <c r="O156" s="54">
        <f t="shared" si="39"/>
        <v>44.7</v>
      </c>
      <c r="P156" s="52">
        <f t="shared" si="40"/>
        <v>8</v>
      </c>
      <c r="Q156" s="53">
        <v>363</v>
      </c>
      <c r="R156" s="54">
        <f t="shared" si="41"/>
        <v>22.96</v>
      </c>
      <c r="S156" s="55">
        <f t="shared" si="42"/>
        <v>8</v>
      </c>
      <c r="T156" s="53">
        <v>371</v>
      </c>
      <c r="U156" s="54">
        <f t="shared" si="43"/>
        <v>23.84</v>
      </c>
      <c r="V156" s="55">
        <f t="shared" si="44"/>
        <v>10</v>
      </c>
      <c r="W156" s="56">
        <v>381</v>
      </c>
      <c r="X156" s="54">
        <f t="shared" si="45"/>
        <v>29.752000000000002</v>
      </c>
      <c r="Y156" s="81">
        <f t="shared" si="46"/>
        <v>10</v>
      </c>
      <c r="Z156" s="81">
        <v>391</v>
      </c>
      <c r="AA156" s="54">
        <f t="shared" si="47"/>
        <v>30.99</v>
      </c>
    </row>
    <row r="157" spans="1:30" x14ac:dyDescent="0.25">
      <c r="A157" s="7" t="s">
        <v>472</v>
      </c>
      <c r="B157" s="52">
        <v>166</v>
      </c>
      <c r="C157" s="52">
        <f t="shared" si="32"/>
        <v>12</v>
      </c>
      <c r="D157" s="52">
        <v>178</v>
      </c>
      <c r="E157" s="52">
        <f t="shared" si="33"/>
        <v>11</v>
      </c>
      <c r="F157" s="52">
        <v>189</v>
      </c>
      <c r="G157" s="52">
        <f t="shared" si="34"/>
        <v>9</v>
      </c>
      <c r="H157" s="53">
        <v>198</v>
      </c>
      <c r="I157" s="54">
        <f t="shared" si="35"/>
        <v>33.61</v>
      </c>
      <c r="J157" s="52">
        <f t="shared" si="36"/>
        <v>14</v>
      </c>
      <c r="K157" s="53">
        <v>212</v>
      </c>
      <c r="L157" s="54">
        <f t="shared" si="37"/>
        <v>58.17</v>
      </c>
      <c r="M157" s="52">
        <f t="shared" si="38"/>
        <v>5</v>
      </c>
      <c r="N157" s="53">
        <v>217</v>
      </c>
      <c r="O157" s="54">
        <f t="shared" si="39"/>
        <v>31.93</v>
      </c>
      <c r="P157" s="52">
        <f t="shared" si="40"/>
        <v>2</v>
      </c>
      <c r="Q157" s="53">
        <v>219</v>
      </c>
      <c r="R157" s="54">
        <f t="shared" si="41"/>
        <v>5.74</v>
      </c>
      <c r="S157" s="55">
        <f t="shared" si="42"/>
        <v>0</v>
      </c>
      <c r="T157" s="53">
        <v>219</v>
      </c>
      <c r="U157" s="54">
        <f t="shared" si="43"/>
        <v>0</v>
      </c>
      <c r="V157" s="55">
        <f t="shared" si="44"/>
        <v>0</v>
      </c>
      <c r="W157" s="56">
        <v>219</v>
      </c>
      <c r="X157" s="54">
        <f t="shared" si="45"/>
        <v>0</v>
      </c>
      <c r="Y157" s="81">
        <f t="shared" si="46"/>
        <v>1</v>
      </c>
      <c r="Z157" s="81">
        <v>220</v>
      </c>
      <c r="AA157" s="54">
        <f t="shared" si="47"/>
        <v>3.1</v>
      </c>
    </row>
    <row r="158" spans="1:30" x14ac:dyDescent="0.25">
      <c r="A158" s="7" t="s">
        <v>343</v>
      </c>
      <c r="B158" s="52">
        <v>129.72</v>
      </c>
      <c r="C158" s="52">
        <f t="shared" si="32"/>
        <v>4.4399999999999977</v>
      </c>
      <c r="D158" s="52">
        <v>134.16</v>
      </c>
      <c r="E158" s="52">
        <f t="shared" si="33"/>
        <v>5.039999999999992</v>
      </c>
      <c r="F158" s="52">
        <v>139.19999999999999</v>
      </c>
      <c r="G158" s="52">
        <f t="shared" si="34"/>
        <v>-0.19999999999998863</v>
      </c>
      <c r="H158" s="53">
        <v>139</v>
      </c>
      <c r="I158" s="54">
        <f t="shared" si="35"/>
        <v>-0.75</v>
      </c>
      <c r="J158" s="52">
        <f t="shared" si="36"/>
        <v>1.4190000000000111</v>
      </c>
      <c r="K158" s="53">
        <v>140.41900000000001</v>
      </c>
      <c r="L158" s="54">
        <f t="shared" si="37"/>
        <v>5.9</v>
      </c>
      <c r="M158" s="52">
        <f t="shared" si="38"/>
        <v>1.4509999999999934</v>
      </c>
      <c r="N158" s="53">
        <v>141.87</v>
      </c>
      <c r="O158" s="54">
        <f t="shared" si="39"/>
        <v>9.27</v>
      </c>
      <c r="P158" s="52">
        <f t="shared" si="40"/>
        <v>1.1299999999999955</v>
      </c>
      <c r="Q158" s="53">
        <v>143</v>
      </c>
      <c r="R158" s="54">
        <f t="shared" si="41"/>
        <v>3.24</v>
      </c>
      <c r="S158" s="55">
        <f t="shared" si="42"/>
        <v>1.5529999999999973</v>
      </c>
      <c r="T158" s="53">
        <v>144.553</v>
      </c>
      <c r="U158" s="54">
        <f t="shared" si="43"/>
        <v>4.63</v>
      </c>
      <c r="V158" s="55">
        <f t="shared" si="44"/>
        <v>1.4470000000000027</v>
      </c>
      <c r="W158" s="56">
        <v>146</v>
      </c>
      <c r="X158" s="54">
        <f t="shared" si="45"/>
        <v>4.3051144000000079</v>
      </c>
      <c r="Y158" s="81">
        <f t="shared" si="46"/>
        <v>1</v>
      </c>
      <c r="Z158" s="81">
        <v>147</v>
      </c>
      <c r="AA158" s="54">
        <f t="shared" si="47"/>
        <v>3.1</v>
      </c>
    </row>
    <row r="159" spans="1:30" x14ac:dyDescent="0.25">
      <c r="A159" s="59" t="s">
        <v>283</v>
      </c>
      <c r="B159" s="52">
        <v>155</v>
      </c>
      <c r="C159" s="52">
        <f t="shared" si="32"/>
        <v>1</v>
      </c>
      <c r="D159" s="52">
        <v>156</v>
      </c>
      <c r="E159" s="52">
        <f t="shared" si="33"/>
        <v>2</v>
      </c>
      <c r="F159" s="52">
        <v>158</v>
      </c>
      <c r="G159" s="60">
        <v>2</v>
      </c>
      <c r="H159" s="53">
        <v>16</v>
      </c>
      <c r="I159" s="54">
        <f t="shared" si="35"/>
        <v>7.47</v>
      </c>
      <c r="J159" s="52">
        <f t="shared" si="36"/>
        <v>2</v>
      </c>
      <c r="K159" s="53">
        <v>18</v>
      </c>
      <c r="L159" s="54">
        <f t="shared" si="37"/>
        <v>8.31</v>
      </c>
      <c r="M159" s="52">
        <f t="shared" si="38"/>
        <v>0</v>
      </c>
      <c r="N159" s="53">
        <v>18</v>
      </c>
      <c r="O159" s="54">
        <f t="shared" si="39"/>
        <v>0</v>
      </c>
      <c r="P159" s="52">
        <f t="shared" si="40"/>
        <v>4</v>
      </c>
      <c r="Q159" s="53">
        <v>22</v>
      </c>
      <c r="R159" s="54">
        <f t="shared" si="41"/>
        <v>11.48</v>
      </c>
      <c r="S159" s="55">
        <f t="shared" si="42"/>
        <v>0</v>
      </c>
      <c r="T159" s="53">
        <v>22</v>
      </c>
      <c r="U159" s="54">
        <f t="shared" si="43"/>
        <v>0</v>
      </c>
      <c r="V159" s="55">
        <f t="shared" si="44"/>
        <v>0</v>
      </c>
      <c r="W159" s="56">
        <v>22</v>
      </c>
      <c r="X159" s="54">
        <f t="shared" si="45"/>
        <v>0</v>
      </c>
      <c r="Y159" s="81">
        <f t="shared" si="46"/>
        <v>3</v>
      </c>
      <c r="Z159" s="81">
        <v>25</v>
      </c>
      <c r="AA159" s="54">
        <f t="shared" si="47"/>
        <v>9.3000000000000007</v>
      </c>
      <c r="AD159" t="s">
        <v>660</v>
      </c>
    </row>
    <row r="160" spans="1:30" x14ac:dyDescent="0.25">
      <c r="A160" s="7" t="s">
        <v>574</v>
      </c>
      <c r="B160" s="52">
        <v>210</v>
      </c>
      <c r="C160" s="52">
        <f t="shared" si="32"/>
        <v>5</v>
      </c>
      <c r="D160" s="52">
        <v>215</v>
      </c>
      <c r="E160" s="52">
        <f t="shared" si="33"/>
        <v>4</v>
      </c>
      <c r="F160" s="52">
        <v>219</v>
      </c>
      <c r="G160" s="52">
        <f t="shared" si="34"/>
        <v>5</v>
      </c>
      <c r="H160" s="53">
        <v>224</v>
      </c>
      <c r="I160" s="54">
        <f t="shared" si="35"/>
        <v>18.670000000000002</v>
      </c>
      <c r="J160" s="52">
        <f t="shared" si="36"/>
        <v>5</v>
      </c>
      <c r="K160" s="53">
        <v>229</v>
      </c>
      <c r="L160" s="54">
        <f t="shared" si="37"/>
        <v>20.77</v>
      </c>
      <c r="M160" s="52">
        <f t="shared" si="38"/>
        <v>3</v>
      </c>
      <c r="N160" s="53">
        <v>232</v>
      </c>
      <c r="O160" s="54">
        <f t="shared" si="39"/>
        <v>19.16</v>
      </c>
      <c r="P160" s="52">
        <f t="shared" si="40"/>
        <v>3</v>
      </c>
      <c r="Q160" s="53">
        <v>235</v>
      </c>
      <c r="R160" s="54">
        <f t="shared" si="41"/>
        <v>8.61</v>
      </c>
      <c r="S160" s="55">
        <f t="shared" si="42"/>
        <v>3</v>
      </c>
      <c r="T160" s="53">
        <v>238</v>
      </c>
      <c r="U160" s="54">
        <f t="shared" si="43"/>
        <v>8.94</v>
      </c>
      <c r="V160" s="55">
        <f t="shared" si="44"/>
        <v>5</v>
      </c>
      <c r="W160" s="56">
        <v>243</v>
      </c>
      <c r="X160" s="54">
        <f t="shared" si="45"/>
        <v>14.876000000000001</v>
      </c>
      <c r="Y160" s="81">
        <f t="shared" si="46"/>
        <v>5</v>
      </c>
      <c r="Z160" s="81">
        <v>248</v>
      </c>
      <c r="AA160" s="54">
        <f t="shared" si="47"/>
        <v>15.49</v>
      </c>
    </row>
    <row r="161" spans="1:30" x14ac:dyDescent="0.25">
      <c r="A161" s="59" t="s">
        <v>508</v>
      </c>
      <c r="B161" s="52">
        <v>98.6</v>
      </c>
      <c r="C161" s="52">
        <f t="shared" si="32"/>
        <v>1.2000000000000028</v>
      </c>
      <c r="D161" s="52">
        <v>99.8</v>
      </c>
      <c r="E161" s="52">
        <f t="shared" si="33"/>
        <v>1.2000000000000028</v>
      </c>
      <c r="F161" s="52">
        <v>101</v>
      </c>
      <c r="G161" s="60">
        <v>1</v>
      </c>
      <c r="H161" s="53">
        <v>27</v>
      </c>
      <c r="I161" s="54">
        <f t="shared" si="35"/>
        <v>3.73</v>
      </c>
      <c r="J161" s="52">
        <f t="shared" si="36"/>
        <v>3</v>
      </c>
      <c r="K161" s="53">
        <v>30</v>
      </c>
      <c r="L161" s="54">
        <f t="shared" si="37"/>
        <v>12.46</v>
      </c>
      <c r="M161" s="52">
        <f t="shared" si="38"/>
        <v>3</v>
      </c>
      <c r="N161" s="53">
        <v>33</v>
      </c>
      <c r="O161" s="54">
        <f t="shared" si="39"/>
        <v>19.16</v>
      </c>
      <c r="P161" s="52">
        <f t="shared" si="40"/>
        <v>4</v>
      </c>
      <c r="Q161" s="53">
        <v>37</v>
      </c>
      <c r="R161" s="54">
        <f t="shared" si="41"/>
        <v>11.48</v>
      </c>
      <c r="S161" s="55">
        <f t="shared" si="42"/>
        <v>4</v>
      </c>
      <c r="T161" s="53">
        <v>41</v>
      </c>
      <c r="U161" s="54">
        <f t="shared" si="43"/>
        <v>11.92</v>
      </c>
      <c r="V161" s="55">
        <f t="shared" si="44"/>
        <v>4</v>
      </c>
      <c r="W161" s="56">
        <v>45</v>
      </c>
      <c r="X161" s="54">
        <f t="shared" si="45"/>
        <v>11.9008</v>
      </c>
      <c r="Y161" s="81">
        <f t="shared" si="46"/>
        <v>5</v>
      </c>
      <c r="Z161" s="81">
        <v>50</v>
      </c>
      <c r="AA161" s="54">
        <f t="shared" si="47"/>
        <v>15.49</v>
      </c>
      <c r="AD161" t="s">
        <v>660</v>
      </c>
    </row>
    <row r="162" spans="1:30" x14ac:dyDescent="0.25">
      <c r="A162" s="7" t="s">
        <v>340</v>
      </c>
      <c r="B162" s="52">
        <v>168</v>
      </c>
      <c r="C162" s="52">
        <f t="shared" si="32"/>
        <v>5</v>
      </c>
      <c r="D162" s="52">
        <v>173</v>
      </c>
      <c r="E162" s="52">
        <f t="shared" si="33"/>
        <v>3</v>
      </c>
      <c r="F162" s="52">
        <v>176</v>
      </c>
      <c r="G162" s="52">
        <f t="shared" si="34"/>
        <v>6</v>
      </c>
      <c r="H162" s="53">
        <v>182</v>
      </c>
      <c r="I162" s="54">
        <f t="shared" si="35"/>
        <v>22.41</v>
      </c>
      <c r="J162" s="52">
        <f t="shared" si="36"/>
        <v>5</v>
      </c>
      <c r="K162" s="53">
        <v>187</v>
      </c>
      <c r="L162" s="54">
        <f t="shared" si="37"/>
        <v>20.77</v>
      </c>
      <c r="M162" s="52">
        <f t="shared" si="38"/>
        <v>2</v>
      </c>
      <c r="N162" s="53">
        <v>189</v>
      </c>
      <c r="O162" s="54">
        <f t="shared" si="39"/>
        <v>12.77</v>
      </c>
      <c r="P162" s="52">
        <f t="shared" si="40"/>
        <v>1</v>
      </c>
      <c r="Q162" s="53">
        <v>190</v>
      </c>
      <c r="R162" s="54">
        <f t="shared" si="41"/>
        <v>2.87</v>
      </c>
      <c r="S162" s="55">
        <f t="shared" si="42"/>
        <v>1</v>
      </c>
      <c r="T162" s="53">
        <v>191</v>
      </c>
      <c r="U162" s="54">
        <f t="shared" si="43"/>
        <v>2.98</v>
      </c>
      <c r="V162" s="55">
        <f t="shared" si="44"/>
        <v>3</v>
      </c>
      <c r="W162" s="56">
        <v>194</v>
      </c>
      <c r="X162" s="54">
        <f t="shared" si="45"/>
        <v>8.9255999999999993</v>
      </c>
      <c r="Y162" s="81">
        <f t="shared" si="46"/>
        <v>9</v>
      </c>
      <c r="Z162" s="81">
        <v>203</v>
      </c>
      <c r="AA162" s="54">
        <f t="shared" si="47"/>
        <v>27.89</v>
      </c>
    </row>
    <row r="163" spans="1:30" x14ac:dyDescent="0.25">
      <c r="A163" s="7" t="s">
        <v>469</v>
      </c>
      <c r="B163" s="52">
        <v>477.26</v>
      </c>
      <c r="C163" s="52">
        <f t="shared" si="32"/>
        <v>11.139999999999986</v>
      </c>
      <c r="D163" s="52">
        <v>488.4</v>
      </c>
      <c r="E163" s="52">
        <f t="shared" si="33"/>
        <v>11.600000000000023</v>
      </c>
      <c r="F163" s="52">
        <v>500</v>
      </c>
      <c r="G163" s="52">
        <f t="shared" si="34"/>
        <v>12.123000000000047</v>
      </c>
      <c r="H163" s="53">
        <v>512.12300000000005</v>
      </c>
      <c r="I163" s="54">
        <f t="shared" si="35"/>
        <v>45.27</v>
      </c>
      <c r="J163" s="52">
        <f t="shared" si="36"/>
        <v>10.270999999999958</v>
      </c>
      <c r="K163" s="53">
        <v>522.39400000000001</v>
      </c>
      <c r="L163" s="54">
        <f t="shared" si="37"/>
        <v>42.67</v>
      </c>
      <c r="M163" s="52">
        <f t="shared" si="38"/>
        <v>8.54099999999994</v>
      </c>
      <c r="N163" s="53">
        <v>530.93499999999995</v>
      </c>
      <c r="O163" s="54">
        <f t="shared" si="39"/>
        <v>54.54</v>
      </c>
      <c r="P163" s="52">
        <f t="shared" si="40"/>
        <v>8.0650000000000546</v>
      </c>
      <c r="Q163" s="53">
        <v>539</v>
      </c>
      <c r="R163" s="54">
        <f t="shared" si="41"/>
        <v>23.15</v>
      </c>
      <c r="S163" s="55">
        <f t="shared" si="42"/>
        <v>11.423999999999978</v>
      </c>
      <c r="T163" s="53">
        <v>550.42399999999998</v>
      </c>
      <c r="U163" s="54">
        <f t="shared" si="43"/>
        <v>34.04</v>
      </c>
      <c r="V163" s="55">
        <f t="shared" si="44"/>
        <v>12.576000000000022</v>
      </c>
      <c r="W163" s="56">
        <v>563</v>
      </c>
      <c r="X163" s="54">
        <f t="shared" si="45"/>
        <v>37.416115200000064</v>
      </c>
      <c r="Y163" s="81">
        <f t="shared" si="46"/>
        <v>7</v>
      </c>
      <c r="Z163" s="81">
        <v>570</v>
      </c>
      <c r="AA163" s="54">
        <f t="shared" si="47"/>
        <v>21.69</v>
      </c>
    </row>
    <row r="164" spans="1:30" x14ac:dyDescent="0.25">
      <c r="A164" s="7" t="s">
        <v>577</v>
      </c>
      <c r="B164" s="52">
        <v>139.19999999999999</v>
      </c>
      <c r="C164" s="52">
        <f t="shared" si="32"/>
        <v>2.6000000000000227</v>
      </c>
      <c r="D164" s="52">
        <v>141.80000000000001</v>
      </c>
      <c r="E164" s="52">
        <f t="shared" si="33"/>
        <v>1.2099999999999795</v>
      </c>
      <c r="F164" s="52">
        <v>143.01</v>
      </c>
      <c r="G164" s="60">
        <v>2</v>
      </c>
      <c r="H164" s="53">
        <v>134.38800000000001</v>
      </c>
      <c r="I164" s="54">
        <f t="shared" si="35"/>
        <v>7.47</v>
      </c>
      <c r="J164" s="52">
        <f t="shared" si="36"/>
        <v>0.46500000000000341</v>
      </c>
      <c r="K164" s="53">
        <v>134.85300000000001</v>
      </c>
      <c r="L164" s="54">
        <f t="shared" si="37"/>
        <v>1.93</v>
      </c>
      <c r="M164" s="52">
        <f t="shared" si="38"/>
        <v>1.070999999999998</v>
      </c>
      <c r="N164" s="53">
        <v>135.92400000000001</v>
      </c>
      <c r="O164" s="54">
        <f t="shared" si="39"/>
        <v>6.84</v>
      </c>
      <c r="P164" s="52">
        <f t="shared" si="40"/>
        <v>7.5999999999993406E-2</v>
      </c>
      <c r="Q164" s="53">
        <v>136</v>
      </c>
      <c r="R164" s="54">
        <f t="shared" si="41"/>
        <v>0.22</v>
      </c>
      <c r="S164" s="55">
        <f t="shared" si="42"/>
        <v>2.2319999999999993</v>
      </c>
      <c r="T164" s="53">
        <v>138.232</v>
      </c>
      <c r="U164" s="54">
        <f t="shared" si="43"/>
        <v>6.65</v>
      </c>
      <c r="V164" s="55">
        <f t="shared" si="44"/>
        <v>1.7680000000000007</v>
      </c>
      <c r="W164" s="56">
        <v>140</v>
      </c>
      <c r="X164" s="54">
        <f t="shared" si="45"/>
        <v>5.2601536000000024</v>
      </c>
      <c r="Y164" s="81">
        <f t="shared" si="46"/>
        <v>4</v>
      </c>
      <c r="Z164" s="81">
        <v>144</v>
      </c>
      <c r="AA164" s="54">
        <f t="shared" si="47"/>
        <v>12.4</v>
      </c>
    </row>
    <row r="165" spans="1:30" x14ac:dyDescent="0.25">
      <c r="A165" s="7" t="s">
        <v>583</v>
      </c>
      <c r="B165" s="52">
        <v>519</v>
      </c>
      <c r="C165" s="52">
        <f t="shared" si="32"/>
        <v>10</v>
      </c>
      <c r="D165" s="52">
        <v>529</v>
      </c>
      <c r="E165" s="52">
        <f t="shared" si="33"/>
        <v>13</v>
      </c>
      <c r="F165" s="52">
        <v>542</v>
      </c>
      <c r="G165" s="52">
        <f t="shared" si="34"/>
        <v>14</v>
      </c>
      <c r="H165" s="53">
        <v>556</v>
      </c>
      <c r="I165" s="54">
        <f t="shared" si="35"/>
        <v>52.28</v>
      </c>
      <c r="J165" s="52">
        <f t="shared" si="36"/>
        <v>11</v>
      </c>
      <c r="K165" s="53">
        <v>567</v>
      </c>
      <c r="L165" s="54">
        <f t="shared" si="37"/>
        <v>45.7</v>
      </c>
      <c r="M165" s="52">
        <f t="shared" si="38"/>
        <v>9</v>
      </c>
      <c r="N165" s="53">
        <v>576</v>
      </c>
      <c r="O165" s="54">
        <f t="shared" si="39"/>
        <v>57.47</v>
      </c>
      <c r="P165" s="52">
        <f t="shared" si="40"/>
        <v>11</v>
      </c>
      <c r="Q165" s="53">
        <v>587</v>
      </c>
      <c r="R165" s="54">
        <f t="shared" si="41"/>
        <v>31.57</v>
      </c>
      <c r="S165" s="55">
        <f t="shared" si="42"/>
        <v>10</v>
      </c>
      <c r="T165" s="53">
        <v>597</v>
      </c>
      <c r="U165" s="54">
        <f t="shared" si="43"/>
        <v>29.8</v>
      </c>
      <c r="V165" s="55">
        <f t="shared" si="44"/>
        <v>2</v>
      </c>
      <c r="W165" s="56">
        <v>599</v>
      </c>
      <c r="X165" s="54">
        <f t="shared" si="45"/>
        <v>5.9504000000000001</v>
      </c>
      <c r="Y165" s="81">
        <f t="shared" si="46"/>
        <v>0</v>
      </c>
      <c r="Z165" s="81">
        <v>599</v>
      </c>
      <c r="AA165" s="54">
        <f t="shared" si="47"/>
        <v>0</v>
      </c>
    </row>
    <row r="166" spans="1:30" x14ac:dyDescent="0.25">
      <c r="A166" s="7" t="s">
        <v>307</v>
      </c>
      <c r="B166" s="52">
        <v>65</v>
      </c>
      <c r="C166" s="52">
        <f t="shared" si="32"/>
        <v>2</v>
      </c>
      <c r="D166" s="52">
        <v>67</v>
      </c>
      <c r="E166" s="52">
        <f t="shared" si="33"/>
        <v>1</v>
      </c>
      <c r="F166" s="52">
        <v>68</v>
      </c>
      <c r="G166" s="52">
        <f t="shared" si="34"/>
        <v>1</v>
      </c>
      <c r="H166" s="53">
        <v>69</v>
      </c>
      <c r="I166" s="54">
        <f t="shared" si="35"/>
        <v>3.73</v>
      </c>
      <c r="J166" s="52">
        <f t="shared" si="36"/>
        <v>0</v>
      </c>
      <c r="K166" s="53">
        <v>69</v>
      </c>
      <c r="L166" s="54">
        <f t="shared" si="37"/>
        <v>0</v>
      </c>
      <c r="M166" s="52">
        <f t="shared" si="38"/>
        <v>0</v>
      </c>
      <c r="N166" s="53">
        <v>69</v>
      </c>
      <c r="O166" s="54">
        <f t="shared" si="39"/>
        <v>0</v>
      </c>
      <c r="P166" s="52">
        <f t="shared" si="40"/>
        <v>1</v>
      </c>
      <c r="Q166" s="53">
        <v>70</v>
      </c>
      <c r="R166" s="54">
        <f t="shared" si="41"/>
        <v>2.87</v>
      </c>
      <c r="S166" s="55">
        <f t="shared" si="42"/>
        <v>2</v>
      </c>
      <c r="T166" s="53">
        <v>72</v>
      </c>
      <c r="U166" s="54">
        <f t="shared" si="43"/>
        <v>5.96</v>
      </c>
      <c r="V166" s="55">
        <f t="shared" si="44"/>
        <v>10</v>
      </c>
      <c r="W166" s="56">
        <v>82</v>
      </c>
      <c r="X166" s="54">
        <f t="shared" si="45"/>
        <v>29.752000000000002</v>
      </c>
      <c r="Y166" s="81">
        <f t="shared" si="46"/>
        <v>12</v>
      </c>
      <c r="Z166" s="81">
        <v>94</v>
      </c>
      <c r="AA166" s="54">
        <f t="shared" si="47"/>
        <v>37.19</v>
      </c>
    </row>
    <row r="167" spans="1:30" x14ac:dyDescent="0.25">
      <c r="A167" s="7" t="s">
        <v>175</v>
      </c>
      <c r="B167" s="52">
        <v>225</v>
      </c>
      <c r="C167" s="52">
        <f t="shared" si="32"/>
        <v>14</v>
      </c>
      <c r="D167" s="52">
        <v>239</v>
      </c>
      <c r="E167" s="52">
        <f t="shared" si="33"/>
        <v>11</v>
      </c>
      <c r="F167" s="52">
        <v>250</v>
      </c>
      <c r="G167" s="52">
        <f t="shared" si="34"/>
        <v>6</v>
      </c>
      <c r="H167" s="53">
        <v>256</v>
      </c>
      <c r="I167" s="54">
        <f t="shared" si="35"/>
        <v>22.41</v>
      </c>
      <c r="J167" s="52">
        <f t="shared" si="36"/>
        <v>4</v>
      </c>
      <c r="K167" s="53">
        <v>260</v>
      </c>
      <c r="L167" s="54">
        <f t="shared" si="37"/>
        <v>16.62</v>
      </c>
      <c r="M167" s="52">
        <f t="shared" si="38"/>
        <v>15</v>
      </c>
      <c r="N167" s="53">
        <v>275</v>
      </c>
      <c r="O167" s="54">
        <f t="shared" si="39"/>
        <v>95.78</v>
      </c>
      <c r="P167" s="52">
        <f t="shared" si="40"/>
        <v>8</v>
      </c>
      <c r="Q167" s="53">
        <v>283</v>
      </c>
      <c r="R167" s="54">
        <f t="shared" si="41"/>
        <v>22.96</v>
      </c>
      <c r="S167" s="55">
        <f t="shared" si="42"/>
        <v>8</v>
      </c>
      <c r="T167" s="53">
        <v>291</v>
      </c>
      <c r="U167" s="54">
        <f t="shared" si="43"/>
        <v>23.84</v>
      </c>
      <c r="V167" s="55">
        <f t="shared" si="44"/>
        <v>7</v>
      </c>
      <c r="W167" s="56">
        <v>298</v>
      </c>
      <c r="X167" s="54">
        <f t="shared" si="45"/>
        <v>20.8264</v>
      </c>
      <c r="Y167" s="81">
        <f t="shared" si="46"/>
        <v>9</v>
      </c>
      <c r="Z167" s="81">
        <v>307</v>
      </c>
      <c r="AA167" s="54">
        <f t="shared" si="47"/>
        <v>27.89</v>
      </c>
    </row>
    <row r="168" spans="1:30" x14ac:dyDescent="0.25">
      <c r="A168" s="7" t="s">
        <v>532</v>
      </c>
      <c r="B168" s="52">
        <v>338</v>
      </c>
      <c r="C168" s="52">
        <f t="shared" si="32"/>
        <v>9</v>
      </c>
      <c r="D168" s="52">
        <v>347</v>
      </c>
      <c r="E168" s="52">
        <f t="shared" si="33"/>
        <v>6</v>
      </c>
      <c r="F168" s="52">
        <v>353</v>
      </c>
      <c r="G168" s="52">
        <f t="shared" si="34"/>
        <v>9</v>
      </c>
      <c r="H168" s="53">
        <v>362</v>
      </c>
      <c r="I168" s="54">
        <f t="shared" si="35"/>
        <v>33.61</v>
      </c>
      <c r="J168" s="52">
        <f t="shared" si="36"/>
        <v>7</v>
      </c>
      <c r="K168" s="53">
        <v>369</v>
      </c>
      <c r="L168" s="54">
        <f t="shared" si="37"/>
        <v>29.08</v>
      </c>
      <c r="M168" s="52">
        <f t="shared" si="38"/>
        <v>5</v>
      </c>
      <c r="N168" s="53">
        <v>374</v>
      </c>
      <c r="O168" s="54">
        <f t="shared" si="39"/>
        <v>31.93</v>
      </c>
      <c r="P168" s="52">
        <f t="shared" si="40"/>
        <v>6</v>
      </c>
      <c r="Q168" s="53">
        <v>380</v>
      </c>
      <c r="R168" s="54">
        <f t="shared" si="41"/>
        <v>17.22</v>
      </c>
      <c r="S168" s="55">
        <f t="shared" si="42"/>
        <v>6</v>
      </c>
      <c r="T168" s="53">
        <v>386</v>
      </c>
      <c r="U168" s="54">
        <f t="shared" si="43"/>
        <v>17.88</v>
      </c>
      <c r="V168" s="55">
        <f t="shared" si="44"/>
        <v>9</v>
      </c>
      <c r="W168" s="56">
        <v>395</v>
      </c>
      <c r="X168" s="54">
        <f t="shared" si="45"/>
        <v>26.776800000000001</v>
      </c>
      <c r="Y168" s="81">
        <f t="shared" si="46"/>
        <v>9</v>
      </c>
      <c r="Z168" s="81">
        <v>404</v>
      </c>
      <c r="AA168" s="54">
        <f t="shared" si="47"/>
        <v>27.89</v>
      </c>
    </row>
    <row r="169" spans="1:30" x14ac:dyDescent="0.25">
      <c r="A169" s="7" t="s">
        <v>61</v>
      </c>
      <c r="B169" s="52">
        <v>231</v>
      </c>
      <c r="C169" s="52">
        <f t="shared" si="32"/>
        <v>3</v>
      </c>
      <c r="D169" s="52">
        <v>234</v>
      </c>
      <c r="E169" s="52">
        <f t="shared" si="33"/>
        <v>4</v>
      </c>
      <c r="F169" s="52">
        <v>238</v>
      </c>
      <c r="G169" s="52">
        <f t="shared" si="34"/>
        <v>2</v>
      </c>
      <c r="H169" s="53">
        <v>240</v>
      </c>
      <c r="I169" s="54">
        <f t="shared" si="35"/>
        <v>7.47</v>
      </c>
      <c r="J169" s="52">
        <f t="shared" si="36"/>
        <v>2</v>
      </c>
      <c r="K169" s="53">
        <v>242</v>
      </c>
      <c r="L169" s="54">
        <f t="shared" si="37"/>
        <v>8.31</v>
      </c>
      <c r="M169" s="52">
        <f t="shared" si="38"/>
        <v>2</v>
      </c>
      <c r="N169" s="53">
        <v>244</v>
      </c>
      <c r="O169" s="54">
        <f t="shared" si="39"/>
        <v>12.77</v>
      </c>
      <c r="P169" s="52">
        <f t="shared" si="40"/>
        <v>3</v>
      </c>
      <c r="Q169" s="53">
        <v>247</v>
      </c>
      <c r="R169" s="54">
        <f t="shared" si="41"/>
        <v>8.61</v>
      </c>
      <c r="S169" s="55">
        <f t="shared" si="42"/>
        <v>0</v>
      </c>
      <c r="T169" s="53">
        <v>247</v>
      </c>
      <c r="U169" s="54">
        <f t="shared" si="43"/>
        <v>0</v>
      </c>
      <c r="V169" s="55">
        <f t="shared" si="44"/>
        <v>3</v>
      </c>
      <c r="W169" s="56">
        <v>250</v>
      </c>
      <c r="X169" s="54">
        <f t="shared" si="45"/>
        <v>8.9255999999999993</v>
      </c>
      <c r="Y169" s="81">
        <f t="shared" si="46"/>
        <v>4</v>
      </c>
      <c r="Z169" s="81">
        <v>254</v>
      </c>
      <c r="AA169" s="54">
        <f t="shared" si="47"/>
        <v>12.4</v>
      </c>
    </row>
    <row r="170" spans="1:30" x14ac:dyDescent="0.25">
      <c r="A170" s="7" t="s">
        <v>292</v>
      </c>
      <c r="B170" s="52">
        <v>321.39</v>
      </c>
      <c r="C170" s="52">
        <f t="shared" si="32"/>
        <v>12.379999999999995</v>
      </c>
      <c r="D170" s="52">
        <v>333.77</v>
      </c>
      <c r="E170" s="52">
        <f t="shared" si="33"/>
        <v>9.6500000000000341</v>
      </c>
      <c r="F170" s="52">
        <v>343.42</v>
      </c>
      <c r="G170" s="52">
        <f t="shared" si="34"/>
        <v>7.5430000000000064</v>
      </c>
      <c r="H170" s="53">
        <v>350.96300000000002</v>
      </c>
      <c r="I170" s="54">
        <f t="shared" si="35"/>
        <v>28.17</v>
      </c>
      <c r="J170" s="52">
        <f t="shared" si="36"/>
        <v>6.0369999999999777</v>
      </c>
      <c r="K170" s="53">
        <v>357</v>
      </c>
      <c r="L170" s="54">
        <f t="shared" si="37"/>
        <v>25.08</v>
      </c>
      <c r="M170" s="52">
        <f t="shared" si="38"/>
        <v>1.5989999999999895</v>
      </c>
      <c r="N170" s="53">
        <v>358.59899999999999</v>
      </c>
      <c r="O170" s="54">
        <f t="shared" si="39"/>
        <v>10.210000000000001</v>
      </c>
      <c r="P170" s="52">
        <f t="shared" si="40"/>
        <v>0.40100000000001046</v>
      </c>
      <c r="Q170" s="53">
        <v>359</v>
      </c>
      <c r="R170" s="54">
        <f t="shared" si="41"/>
        <v>1.1499999999999999</v>
      </c>
      <c r="S170" s="55">
        <f t="shared" si="42"/>
        <v>0.82100000000002638</v>
      </c>
      <c r="T170" s="53">
        <v>359.82100000000003</v>
      </c>
      <c r="U170" s="54">
        <f t="shared" si="43"/>
        <v>2.4500000000000002</v>
      </c>
      <c r="V170" s="55">
        <f t="shared" si="44"/>
        <v>0.17899999999997362</v>
      </c>
      <c r="W170" s="56">
        <v>360</v>
      </c>
      <c r="X170" s="54">
        <f t="shared" si="45"/>
        <v>0.53256079999992156</v>
      </c>
      <c r="Y170" s="81">
        <f t="shared" si="46"/>
        <v>0</v>
      </c>
      <c r="Z170" s="56">
        <v>360</v>
      </c>
      <c r="AA170" s="54">
        <f t="shared" si="47"/>
        <v>0</v>
      </c>
    </row>
    <row r="171" spans="1:30" x14ac:dyDescent="0.25">
      <c r="A171" s="7" t="s">
        <v>493</v>
      </c>
      <c r="B171" s="52">
        <v>227</v>
      </c>
      <c r="C171" s="52">
        <f t="shared" si="32"/>
        <v>3</v>
      </c>
      <c r="D171" s="52">
        <v>230</v>
      </c>
      <c r="E171" s="52">
        <f t="shared" si="33"/>
        <v>4</v>
      </c>
      <c r="F171" s="52">
        <v>234</v>
      </c>
      <c r="G171" s="52">
        <f t="shared" si="34"/>
        <v>5</v>
      </c>
      <c r="H171" s="53">
        <v>239</v>
      </c>
      <c r="I171" s="54">
        <f t="shared" si="35"/>
        <v>18.670000000000002</v>
      </c>
      <c r="J171" s="52">
        <f t="shared" si="36"/>
        <v>3</v>
      </c>
      <c r="K171" s="53">
        <v>242</v>
      </c>
      <c r="L171" s="54">
        <f t="shared" si="37"/>
        <v>12.46</v>
      </c>
      <c r="M171" s="52">
        <f t="shared" si="38"/>
        <v>2</v>
      </c>
      <c r="N171" s="53">
        <v>244</v>
      </c>
      <c r="O171" s="54">
        <f t="shared" si="39"/>
        <v>12.77</v>
      </c>
      <c r="P171" s="52">
        <f t="shared" si="40"/>
        <v>2</v>
      </c>
      <c r="Q171" s="53">
        <v>246</v>
      </c>
      <c r="R171" s="54">
        <f t="shared" si="41"/>
        <v>5.74</v>
      </c>
      <c r="S171" s="55">
        <f t="shared" si="42"/>
        <v>2</v>
      </c>
      <c r="T171" s="53">
        <v>248</v>
      </c>
      <c r="U171" s="54">
        <f t="shared" si="43"/>
        <v>5.96</v>
      </c>
      <c r="V171" s="55">
        <f t="shared" si="44"/>
        <v>4</v>
      </c>
      <c r="W171" s="56">
        <v>252</v>
      </c>
      <c r="X171" s="54">
        <f t="shared" si="45"/>
        <v>11.9008</v>
      </c>
      <c r="Y171" s="81">
        <f t="shared" si="46"/>
        <v>5</v>
      </c>
      <c r="Z171" s="81">
        <v>257</v>
      </c>
      <c r="AA171" s="54">
        <f t="shared" si="47"/>
        <v>15.49</v>
      </c>
    </row>
    <row r="172" spans="1:30" x14ac:dyDescent="0.25">
      <c r="A172" s="7" t="s">
        <v>445</v>
      </c>
      <c r="B172" s="52">
        <v>368</v>
      </c>
      <c r="C172" s="52">
        <f t="shared" si="32"/>
        <v>12</v>
      </c>
      <c r="D172" s="52">
        <v>380</v>
      </c>
      <c r="E172" s="52">
        <f t="shared" si="33"/>
        <v>13</v>
      </c>
      <c r="F172" s="52">
        <v>393</v>
      </c>
      <c r="G172" s="52">
        <f t="shared" si="34"/>
        <v>14</v>
      </c>
      <c r="H172" s="53">
        <v>407</v>
      </c>
      <c r="I172" s="54">
        <f t="shared" si="35"/>
        <v>52.28</v>
      </c>
      <c r="J172" s="52">
        <f t="shared" si="36"/>
        <v>13</v>
      </c>
      <c r="K172" s="53">
        <v>420</v>
      </c>
      <c r="L172" s="54">
        <f t="shared" si="37"/>
        <v>54.01</v>
      </c>
      <c r="M172" s="52">
        <f t="shared" si="38"/>
        <v>7</v>
      </c>
      <c r="N172" s="53">
        <v>427</v>
      </c>
      <c r="O172" s="54">
        <f t="shared" si="39"/>
        <v>44.7</v>
      </c>
      <c r="P172" s="52">
        <f t="shared" si="40"/>
        <v>11</v>
      </c>
      <c r="Q172" s="53">
        <v>438</v>
      </c>
      <c r="R172" s="54">
        <f t="shared" si="41"/>
        <v>31.57</v>
      </c>
      <c r="S172" s="55">
        <f t="shared" si="42"/>
        <v>12</v>
      </c>
      <c r="T172" s="53">
        <v>450</v>
      </c>
      <c r="U172" s="54">
        <f t="shared" si="43"/>
        <v>35.76</v>
      </c>
      <c r="V172" s="55">
        <f t="shared" si="44"/>
        <v>14</v>
      </c>
      <c r="W172" s="56">
        <v>464</v>
      </c>
      <c r="X172" s="54">
        <f t="shared" si="45"/>
        <v>41.652799999999999</v>
      </c>
      <c r="Y172" s="81">
        <f t="shared" si="46"/>
        <v>17</v>
      </c>
      <c r="Z172" s="81">
        <v>481</v>
      </c>
      <c r="AA172" s="54">
        <f t="shared" si="47"/>
        <v>52.68</v>
      </c>
    </row>
    <row r="173" spans="1:30" x14ac:dyDescent="0.25">
      <c r="A173" s="7" t="s">
        <v>511</v>
      </c>
      <c r="B173" s="52">
        <v>168</v>
      </c>
      <c r="C173" s="52">
        <f t="shared" si="32"/>
        <v>4</v>
      </c>
      <c r="D173" s="52">
        <v>172</v>
      </c>
      <c r="E173" s="52">
        <f t="shared" si="33"/>
        <v>3</v>
      </c>
      <c r="F173" s="52">
        <v>175</v>
      </c>
      <c r="G173" s="52">
        <f t="shared" si="34"/>
        <v>3</v>
      </c>
      <c r="H173" s="53">
        <v>178</v>
      </c>
      <c r="I173" s="54">
        <f t="shared" si="35"/>
        <v>11.2</v>
      </c>
      <c r="J173" s="52">
        <f t="shared" si="36"/>
        <v>1</v>
      </c>
      <c r="K173" s="53">
        <v>179</v>
      </c>
      <c r="L173" s="54">
        <f t="shared" si="37"/>
        <v>4.1500000000000004</v>
      </c>
      <c r="M173" s="52">
        <f t="shared" si="38"/>
        <v>2</v>
      </c>
      <c r="N173" s="53">
        <v>181</v>
      </c>
      <c r="O173" s="54">
        <f t="shared" si="39"/>
        <v>12.77</v>
      </c>
      <c r="P173" s="52">
        <f t="shared" si="40"/>
        <v>4</v>
      </c>
      <c r="Q173" s="53">
        <v>185</v>
      </c>
      <c r="R173" s="54">
        <f t="shared" si="41"/>
        <v>11.48</v>
      </c>
      <c r="S173" s="55">
        <f t="shared" si="42"/>
        <v>1</v>
      </c>
      <c r="T173" s="53">
        <v>186</v>
      </c>
      <c r="U173" s="54">
        <f t="shared" si="43"/>
        <v>2.98</v>
      </c>
      <c r="V173" s="55">
        <f t="shared" si="44"/>
        <v>3</v>
      </c>
      <c r="W173" s="56">
        <v>189</v>
      </c>
      <c r="X173" s="54">
        <f t="shared" si="45"/>
        <v>8.9255999999999993</v>
      </c>
      <c r="Y173" s="81">
        <f t="shared" si="46"/>
        <v>3</v>
      </c>
      <c r="Z173" s="81">
        <v>192</v>
      </c>
      <c r="AA173" s="54">
        <f t="shared" si="47"/>
        <v>9.3000000000000007</v>
      </c>
    </row>
    <row r="174" spans="1:30" x14ac:dyDescent="0.25">
      <c r="A174" s="7" t="s">
        <v>142</v>
      </c>
      <c r="B174" s="52">
        <v>125</v>
      </c>
      <c r="C174" s="52">
        <f t="shared" si="32"/>
        <v>7</v>
      </c>
      <c r="D174" s="52">
        <v>132</v>
      </c>
      <c r="E174" s="52">
        <f t="shared" si="33"/>
        <v>5</v>
      </c>
      <c r="F174" s="52">
        <v>137</v>
      </c>
      <c r="G174" s="52">
        <f t="shared" si="34"/>
        <v>6</v>
      </c>
      <c r="H174" s="53">
        <v>143</v>
      </c>
      <c r="I174" s="54">
        <f t="shared" si="35"/>
        <v>22.41</v>
      </c>
      <c r="J174" s="52">
        <f t="shared" si="36"/>
        <v>5</v>
      </c>
      <c r="K174" s="53">
        <v>148</v>
      </c>
      <c r="L174" s="54">
        <f t="shared" si="37"/>
        <v>20.77</v>
      </c>
      <c r="M174" s="52">
        <f t="shared" si="38"/>
        <v>3</v>
      </c>
      <c r="N174" s="53">
        <v>151</v>
      </c>
      <c r="O174" s="54">
        <f t="shared" si="39"/>
        <v>19.16</v>
      </c>
      <c r="P174" s="52">
        <f t="shared" si="40"/>
        <v>5</v>
      </c>
      <c r="Q174" s="53">
        <v>156</v>
      </c>
      <c r="R174" s="54">
        <f t="shared" si="41"/>
        <v>14.35</v>
      </c>
      <c r="S174" s="55">
        <f t="shared" si="42"/>
        <v>4</v>
      </c>
      <c r="T174" s="53">
        <v>160</v>
      </c>
      <c r="U174" s="54">
        <f t="shared" si="43"/>
        <v>11.92</v>
      </c>
      <c r="V174" s="55">
        <f t="shared" si="44"/>
        <v>1</v>
      </c>
      <c r="W174" s="56">
        <v>161</v>
      </c>
      <c r="X174" s="54">
        <f t="shared" si="45"/>
        <v>2.9752000000000001</v>
      </c>
      <c r="Y174" s="81">
        <f t="shared" si="46"/>
        <v>4</v>
      </c>
      <c r="Z174" s="81">
        <v>165</v>
      </c>
      <c r="AA174" s="54">
        <f t="shared" si="47"/>
        <v>12.4</v>
      </c>
    </row>
    <row r="175" spans="1:30" x14ac:dyDescent="0.25">
      <c r="A175" s="7" t="s">
        <v>571</v>
      </c>
      <c r="B175" s="52">
        <v>214.34</v>
      </c>
      <c r="C175" s="52">
        <f t="shared" si="32"/>
        <v>6.5699999999999932</v>
      </c>
      <c r="D175" s="52">
        <v>220.91</v>
      </c>
      <c r="E175" s="52">
        <f t="shared" si="33"/>
        <v>6.9099999999999966</v>
      </c>
      <c r="F175" s="52">
        <v>227.82</v>
      </c>
      <c r="G175" s="52">
        <f t="shared" si="34"/>
        <v>5.210000000000008</v>
      </c>
      <c r="H175" s="53">
        <v>233.03</v>
      </c>
      <c r="I175" s="54">
        <f t="shared" si="35"/>
        <v>19.46</v>
      </c>
      <c r="J175" s="52">
        <f t="shared" si="36"/>
        <v>7.3640000000000043</v>
      </c>
      <c r="K175" s="53">
        <v>240.39400000000001</v>
      </c>
      <c r="L175" s="54">
        <f t="shared" si="37"/>
        <v>30.6</v>
      </c>
      <c r="M175" s="52">
        <f t="shared" si="38"/>
        <v>5.9710000000000036</v>
      </c>
      <c r="N175" s="53">
        <v>246.36500000000001</v>
      </c>
      <c r="O175" s="54">
        <f t="shared" si="39"/>
        <v>38.130000000000003</v>
      </c>
      <c r="P175" s="52">
        <f t="shared" si="40"/>
        <v>5.6349999999999909</v>
      </c>
      <c r="Q175" s="53">
        <v>252</v>
      </c>
      <c r="R175" s="54">
        <f t="shared" si="41"/>
        <v>16.170000000000002</v>
      </c>
      <c r="S175" s="55">
        <f t="shared" si="42"/>
        <v>8.4730000000000132</v>
      </c>
      <c r="T175" s="53">
        <v>260.47300000000001</v>
      </c>
      <c r="U175" s="54">
        <f t="shared" si="43"/>
        <v>25.25</v>
      </c>
      <c r="V175" s="55">
        <f t="shared" si="44"/>
        <v>16.526999999999987</v>
      </c>
      <c r="W175" s="56">
        <v>277</v>
      </c>
      <c r="X175" s="54">
        <f t="shared" si="45"/>
        <v>49.17113039999996</v>
      </c>
      <c r="Y175" s="81">
        <f t="shared" si="46"/>
        <v>8</v>
      </c>
      <c r="Z175" s="81">
        <v>285</v>
      </c>
      <c r="AA175" s="54">
        <f t="shared" si="47"/>
        <v>24.79</v>
      </c>
    </row>
    <row r="176" spans="1:30" x14ac:dyDescent="0.25">
      <c r="A176" s="7" t="s">
        <v>247</v>
      </c>
      <c r="B176" s="52">
        <v>95.56</v>
      </c>
      <c r="C176" s="52">
        <f t="shared" si="32"/>
        <v>2.1799999999999926</v>
      </c>
      <c r="D176" s="52">
        <v>97.74</v>
      </c>
      <c r="E176" s="52">
        <f t="shared" si="33"/>
        <v>2.5799999999999983</v>
      </c>
      <c r="F176" s="52">
        <v>100.32</v>
      </c>
      <c r="G176" s="52">
        <f t="shared" si="34"/>
        <v>2.8790000000000049</v>
      </c>
      <c r="H176" s="53">
        <v>103.199</v>
      </c>
      <c r="I176" s="54">
        <f t="shared" si="35"/>
        <v>10.75</v>
      </c>
      <c r="J176" s="52">
        <f t="shared" si="36"/>
        <v>2.0760000000000076</v>
      </c>
      <c r="K176" s="53">
        <v>105.27500000000001</v>
      </c>
      <c r="L176" s="54">
        <f t="shared" si="37"/>
        <v>8.6300000000000008</v>
      </c>
      <c r="M176" s="52">
        <f t="shared" si="38"/>
        <v>1.1849999999999881</v>
      </c>
      <c r="N176" s="53">
        <v>106.46</v>
      </c>
      <c r="O176" s="54">
        <f t="shared" si="39"/>
        <v>7.57</v>
      </c>
      <c r="P176" s="52">
        <f t="shared" si="40"/>
        <v>1.5400000000000063</v>
      </c>
      <c r="Q176" s="53">
        <v>108</v>
      </c>
      <c r="R176" s="54">
        <f t="shared" si="41"/>
        <v>4.42</v>
      </c>
      <c r="S176" s="55">
        <f t="shared" si="42"/>
        <v>1.921999999999997</v>
      </c>
      <c r="T176" s="53">
        <v>109.922</v>
      </c>
      <c r="U176" s="54">
        <f t="shared" si="43"/>
        <v>5.73</v>
      </c>
      <c r="V176" s="55">
        <f t="shared" si="44"/>
        <v>1.078000000000003</v>
      </c>
      <c r="W176" s="56">
        <v>111</v>
      </c>
      <c r="X176" s="54">
        <f t="shared" si="45"/>
        <v>3.2072656000000088</v>
      </c>
      <c r="Y176" s="81">
        <f t="shared" si="46"/>
        <v>3</v>
      </c>
      <c r="Z176" s="81">
        <v>114</v>
      </c>
      <c r="AA176" s="54">
        <f t="shared" si="47"/>
        <v>9.3000000000000007</v>
      </c>
    </row>
    <row r="177" spans="1:30" x14ac:dyDescent="0.25">
      <c r="A177" s="7" t="s">
        <v>382</v>
      </c>
      <c r="B177" s="52">
        <v>1691</v>
      </c>
      <c r="C177" s="52">
        <f t="shared" si="32"/>
        <v>52</v>
      </c>
      <c r="D177" s="52">
        <v>1743</v>
      </c>
      <c r="E177" s="52">
        <f t="shared" si="33"/>
        <v>46</v>
      </c>
      <c r="F177" s="52">
        <v>1789</v>
      </c>
      <c r="G177" s="52">
        <f t="shared" si="34"/>
        <v>57</v>
      </c>
      <c r="H177" s="53">
        <v>1846</v>
      </c>
      <c r="I177" s="54">
        <f t="shared" si="35"/>
        <v>212.85</v>
      </c>
      <c r="J177" s="52">
        <f t="shared" si="36"/>
        <v>41</v>
      </c>
      <c r="K177" s="53">
        <v>1887</v>
      </c>
      <c r="L177" s="54">
        <f t="shared" si="37"/>
        <v>170.34</v>
      </c>
      <c r="M177" s="52">
        <f t="shared" si="38"/>
        <v>36</v>
      </c>
      <c r="N177" s="53">
        <v>1923</v>
      </c>
      <c r="O177" s="54">
        <f t="shared" si="39"/>
        <v>229.88</v>
      </c>
      <c r="P177" s="52">
        <f t="shared" si="40"/>
        <v>42</v>
      </c>
      <c r="Q177" s="53">
        <v>1965</v>
      </c>
      <c r="R177" s="54">
        <f t="shared" si="41"/>
        <v>120.56</v>
      </c>
      <c r="S177" s="55">
        <f t="shared" si="42"/>
        <v>56</v>
      </c>
      <c r="T177" s="53">
        <v>2021</v>
      </c>
      <c r="U177" s="54">
        <f t="shared" si="43"/>
        <v>166.87</v>
      </c>
      <c r="V177" s="55">
        <f t="shared" si="44"/>
        <v>51</v>
      </c>
      <c r="W177" s="56">
        <v>2072</v>
      </c>
      <c r="X177" s="54">
        <f t="shared" si="45"/>
        <v>151.73519999999999</v>
      </c>
      <c r="Y177" s="81">
        <f t="shared" si="46"/>
        <v>45</v>
      </c>
      <c r="Z177" s="81">
        <v>2117</v>
      </c>
      <c r="AA177" s="54">
        <f t="shared" si="47"/>
        <v>139.44999999999999</v>
      </c>
    </row>
    <row r="178" spans="1:30" x14ac:dyDescent="0.25">
      <c r="A178" s="7" t="s">
        <v>415</v>
      </c>
      <c r="B178" s="52">
        <v>463</v>
      </c>
      <c r="C178" s="52">
        <f t="shared" si="32"/>
        <v>7</v>
      </c>
      <c r="D178" s="52">
        <v>470</v>
      </c>
      <c r="E178" s="52">
        <f t="shared" si="33"/>
        <v>23</v>
      </c>
      <c r="F178" s="52">
        <v>493</v>
      </c>
      <c r="G178" s="52">
        <f t="shared" si="34"/>
        <v>16</v>
      </c>
      <c r="H178" s="53">
        <v>509</v>
      </c>
      <c r="I178" s="54">
        <f t="shared" si="35"/>
        <v>59.75</v>
      </c>
      <c r="J178" s="52">
        <f t="shared" si="36"/>
        <v>13</v>
      </c>
      <c r="K178" s="53">
        <v>522</v>
      </c>
      <c r="L178" s="54">
        <f t="shared" si="37"/>
        <v>54.01</v>
      </c>
      <c r="M178" s="52">
        <f t="shared" si="38"/>
        <v>8</v>
      </c>
      <c r="N178" s="53">
        <v>530</v>
      </c>
      <c r="O178" s="54">
        <f t="shared" si="39"/>
        <v>51.08</v>
      </c>
      <c r="P178" s="52">
        <f t="shared" si="40"/>
        <v>3</v>
      </c>
      <c r="Q178" s="53">
        <v>533</v>
      </c>
      <c r="R178" s="54">
        <f t="shared" si="41"/>
        <v>8.61</v>
      </c>
      <c r="S178" s="55">
        <f t="shared" si="42"/>
        <v>3</v>
      </c>
      <c r="T178" s="53">
        <v>536</v>
      </c>
      <c r="U178" s="54">
        <f t="shared" si="43"/>
        <v>8.94</v>
      </c>
      <c r="V178" s="55">
        <f t="shared" si="44"/>
        <v>15</v>
      </c>
      <c r="W178" s="56">
        <v>551</v>
      </c>
      <c r="X178" s="54">
        <f t="shared" si="45"/>
        <v>44.628</v>
      </c>
      <c r="Y178" s="81">
        <f t="shared" si="46"/>
        <v>24</v>
      </c>
      <c r="Z178" s="81">
        <v>575</v>
      </c>
      <c r="AA178" s="54">
        <f t="shared" si="47"/>
        <v>74.37</v>
      </c>
    </row>
    <row r="179" spans="1:30" x14ac:dyDescent="0.25">
      <c r="A179" s="7" t="s">
        <v>40</v>
      </c>
      <c r="B179" s="52">
        <v>67</v>
      </c>
      <c r="C179" s="52">
        <f t="shared" si="32"/>
        <v>1</v>
      </c>
      <c r="D179" s="52">
        <v>68</v>
      </c>
      <c r="E179" s="52">
        <f t="shared" si="33"/>
        <v>1</v>
      </c>
      <c r="F179" s="52">
        <v>69</v>
      </c>
      <c r="G179" s="52">
        <f t="shared" si="34"/>
        <v>1</v>
      </c>
      <c r="H179" s="53">
        <v>70</v>
      </c>
      <c r="I179" s="54">
        <f t="shared" si="35"/>
        <v>3.73</v>
      </c>
      <c r="J179" s="52">
        <f t="shared" si="36"/>
        <v>1</v>
      </c>
      <c r="K179" s="53">
        <v>71</v>
      </c>
      <c r="L179" s="54">
        <f t="shared" si="37"/>
        <v>4.1500000000000004</v>
      </c>
      <c r="M179" s="52">
        <f t="shared" si="38"/>
        <v>0</v>
      </c>
      <c r="N179" s="53">
        <v>71</v>
      </c>
      <c r="O179" s="54">
        <f t="shared" si="39"/>
        <v>0</v>
      </c>
      <c r="P179" s="52">
        <f t="shared" si="40"/>
        <v>2</v>
      </c>
      <c r="Q179" s="53">
        <v>73</v>
      </c>
      <c r="R179" s="54">
        <f t="shared" si="41"/>
        <v>5.74</v>
      </c>
      <c r="S179" s="55">
        <f t="shared" si="42"/>
        <v>0</v>
      </c>
      <c r="T179" s="53">
        <v>73</v>
      </c>
      <c r="U179" s="54">
        <f t="shared" si="43"/>
        <v>0</v>
      </c>
      <c r="V179" s="55">
        <f t="shared" si="44"/>
        <v>3</v>
      </c>
      <c r="W179" s="56">
        <v>76</v>
      </c>
      <c r="X179" s="54">
        <f t="shared" si="45"/>
        <v>8.9255999999999993</v>
      </c>
      <c r="Y179" s="81">
        <f t="shared" si="46"/>
        <v>3</v>
      </c>
      <c r="Z179" s="81">
        <v>79</v>
      </c>
      <c r="AA179" s="54">
        <f t="shared" si="47"/>
        <v>9.3000000000000007</v>
      </c>
    </row>
    <row r="180" spans="1:30" x14ac:dyDescent="0.25">
      <c r="A180" s="7" t="s">
        <v>226</v>
      </c>
      <c r="B180" s="52">
        <v>133</v>
      </c>
      <c r="C180" s="52">
        <f t="shared" si="32"/>
        <v>3</v>
      </c>
      <c r="D180" s="52">
        <v>136</v>
      </c>
      <c r="E180" s="52">
        <f t="shared" si="33"/>
        <v>3</v>
      </c>
      <c r="F180" s="52">
        <v>139</v>
      </c>
      <c r="G180" s="52">
        <f t="shared" si="34"/>
        <v>4</v>
      </c>
      <c r="H180" s="53">
        <v>143</v>
      </c>
      <c r="I180" s="54">
        <f t="shared" si="35"/>
        <v>14.94</v>
      </c>
      <c r="J180" s="52">
        <f t="shared" si="36"/>
        <v>2</v>
      </c>
      <c r="K180" s="53">
        <v>145</v>
      </c>
      <c r="L180" s="54">
        <f t="shared" si="37"/>
        <v>8.31</v>
      </c>
      <c r="M180" s="52">
        <f t="shared" si="38"/>
        <v>2</v>
      </c>
      <c r="N180" s="53">
        <v>147</v>
      </c>
      <c r="O180" s="54">
        <f t="shared" si="39"/>
        <v>12.77</v>
      </c>
      <c r="P180" s="52">
        <f t="shared" si="40"/>
        <v>3</v>
      </c>
      <c r="Q180" s="53">
        <v>150</v>
      </c>
      <c r="R180" s="54">
        <f t="shared" si="41"/>
        <v>8.61</v>
      </c>
      <c r="S180" s="55">
        <f t="shared" si="42"/>
        <v>3</v>
      </c>
      <c r="T180" s="53">
        <v>153</v>
      </c>
      <c r="U180" s="54">
        <f t="shared" si="43"/>
        <v>8.94</v>
      </c>
      <c r="V180" s="55">
        <f t="shared" si="44"/>
        <v>3</v>
      </c>
      <c r="W180" s="56">
        <v>156</v>
      </c>
      <c r="X180" s="54">
        <f t="shared" si="45"/>
        <v>8.9255999999999993</v>
      </c>
      <c r="Y180" s="81">
        <f t="shared" si="46"/>
        <v>3</v>
      </c>
      <c r="Z180" s="81">
        <v>159</v>
      </c>
      <c r="AA180" s="54">
        <f t="shared" si="47"/>
        <v>9.3000000000000007</v>
      </c>
    </row>
    <row r="181" spans="1:30" x14ac:dyDescent="0.25">
      <c r="A181" s="7" t="s">
        <v>265</v>
      </c>
      <c r="B181" s="52">
        <v>154</v>
      </c>
      <c r="C181" s="52">
        <f t="shared" si="32"/>
        <v>2</v>
      </c>
      <c r="D181" s="52">
        <v>156</v>
      </c>
      <c r="E181" s="52">
        <f t="shared" si="33"/>
        <v>6</v>
      </c>
      <c r="F181" s="52">
        <v>162</v>
      </c>
      <c r="G181" s="52">
        <f t="shared" si="34"/>
        <v>4</v>
      </c>
      <c r="H181" s="53">
        <v>166</v>
      </c>
      <c r="I181" s="54">
        <f t="shared" si="35"/>
        <v>14.94</v>
      </c>
      <c r="J181" s="52">
        <f t="shared" si="36"/>
        <v>5</v>
      </c>
      <c r="K181" s="53">
        <v>171</v>
      </c>
      <c r="L181" s="54">
        <f t="shared" si="37"/>
        <v>20.77</v>
      </c>
      <c r="M181" s="52">
        <f t="shared" si="38"/>
        <v>3</v>
      </c>
      <c r="N181" s="53">
        <v>174</v>
      </c>
      <c r="O181" s="54">
        <f t="shared" si="39"/>
        <v>19.16</v>
      </c>
      <c r="P181" s="52">
        <f t="shared" si="40"/>
        <v>7</v>
      </c>
      <c r="Q181" s="53">
        <v>181</v>
      </c>
      <c r="R181" s="54">
        <f t="shared" si="41"/>
        <v>20.09</v>
      </c>
      <c r="S181" s="55">
        <f t="shared" si="42"/>
        <v>1</v>
      </c>
      <c r="T181" s="53">
        <v>182</v>
      </c>
      <c r="U181" s="54">
        <f t="shared" si="43"/>
        <v>2.98</v>
      </c>
      <c r="V181" s="55">
        <f t="shared" si="44"/>
        <v>2</v>
      </c>
      <c r="W181" s="56">
        <v>184</v>
      </c>
      <c r="X181" s="54">
        <f t="shared" si="45"/>
        <v>5.9504000000000001</v>
      </c>
      <c r="Y181" s="81">
        <f t="shared" si="46"/>
        <v>3</v>
      </c>
      <c r="Z181" s="81">
        <v>187</v>
      </c>
      <c r="AA181" s="54">
        <f t="shared" si="47"/>
        <v>9.3000000000000007</v>
      </c>
    </row>
    <row r="182" spans="1:30" x14ac:dyDescent="0.25">
      <c r="A182" s="7" t="s">
        <v>7</v>
      </c>
      <c r="B182" s="52">
        <v>105.16</v>
      </c>
      <c r="C182" s="52">
        <f t="shared" si="32"/>
        <v>4.2000000000000028</v>
      </c>
      <c r="D182" s="52">
        <v>109.36</v>
      </c>
      <c r="E182" s="52">
        <f t="shared" si="33"/>
        <v>3.2999999999999972</v>
      </c>
      <c r="F182" s="52">
        <v>112.66</v>
      </c>
      <c r="G182" s="52">
        <f t="shared" si="34"/>
        <v>3.9540000000000077</v>
      </c>
      <c r="H182" s="53">
        <v>116.614</v>
      </c>
      <c r="I182" s="54">
        <f t="shared" si="35"/>
        <v>14.77</v>
      </c>
      <c r="J182" s="52">
        <f t="shared" si="36"/>
        <v>3.1039999999999992</v>
      </c>
      <c r="K182" s="53">
        <v>119.718</v>
      </c>
      <c r="L182" s="54">
        <f t="shared" si="37"/>
        <v>12.9</v>
      </c>
      <c r="M182" s="52">
        <f t="shared" si="38"/>
        <v>1.7669999999999959</v>
      </c>
      <c r="N182" s="53">
        <v>121.485</v>
      </c>
      <c r="O182" s="54">
        <f t="shared" si="39"/>
        <v>11.28</v>
      </c>
      <c r="P182" s="52">
        <f t="shared" si="40"/>
        <v>1.5150000000000006</v>
      </c>
      <c r="Q182" s="53">
        <v>123</v>
      </c>
      <c r="R182" s="54">
        <f t="shared" si="41"/>
        <v>4.3499999999999996</v>
      </c>
      <c r="S182" s="55">
        <f t="shared" si="42"/>
        <v>3.7390000000000043</v>
      </c>
      <c r="T182" s="53">
        <v>126.739</v>
      </c>
      <c r="U182" s="54">
        <f t="shared" si="43"/>
        <v>11.14</v>
      </c>
      <c r="V182" s="55">
        <f t="shared" si="44"/>
        <v>2.2609999999999957</v>
      </c>
      <c r="W182" s="56">
        <v>129</v>
      </c>
      <c r="X182" s="54">
        <f t="shared" si="45"/>
        <v>6.7269271999999871</v>
      </c>
      <c r="Y182" s="81">
        <f t="shared" si="46"/>
        <v>5</v>
      </c>
      <c r="Z182" s="81">
        <v>134</v>
      </c>
      <c r="AA182" s="54">
        <f t="shared" si="47"/>
        <v>15.49</v>
      </c>
    </row>
    <row r="183" spans="1:30" x14ac:dyDescent="0.25">
      <c r="A183" s="7" t="s">
        <v>526</v>
      </c>
      <c r="B183" s="52">
        <v>65</v>
      </c>
      <c r="C183" s="52">
        <f t="shared" si="32"/>
        <v>1</v>
      </c>
      <c r="D183" s="52">
        <v>66</v>
      </c>
      <c r="E183" s="52">
        <f t="shared" si="33"/>
        <v>2</v>
      </c>
      <c r="F183" s="52">
        <v>68</v>
      </c>
      <c r="G183" s="52">
        <f t="shared" si="34"/>
        <v>2</v>
      </c>
      <c r="H183" s="53">
        <v>70</v>
      </c>
      <c r="I183" s="54">
        <f t="shared" si="35"/>
        <v>7.47</v>
      </c>
      <c r="J183" s="52">
        <f t="shared" si="36"/>
        <v>2</v>
      </c>
      <c r="K183" s="53">
        <v>72</v>
      </c>
      <c r="L183" s="54">
        <f t="shared" si="37"/>
        <v>8.31</v>
      </c>
      <c r="M183" s="52">
        <f t="shared" si="38"/>
        <v>0</v>
      </c>
      <c r="N183" s="53">
        <v>72</v>
      </c>
      <c r="O183" s="54">
        <f t="shared" si="39"/>
        <v>0</v>
      </c>
      <c r="P183" s="52">
        <f t="shared" si="40"/>
        <v>2</v>
      </c>
      <c r="Q183" s="53">
        <v>74</v>
      </c>
      <c r="R183" s="54">
        <f t="shared" si="41"/>
        <v>5.74</v>
      </c>
      <c r="S183" s="55">
        <f t="shared" si="42"/>
        <v>1</v>
      </c>
      <c r="T183" s="53">
        <v>75</v>
      </c>
      <c r="U183" s="54">
        <f t="shared" si="43"/>
        <v>2.98</v>
      </c>
      <c r="V183" s="55">
        <f t="shared" si="44"/>
        <v>3</v>
      </c>
      <c r="W183" s="56">
        <v>78</v>
      </c>
      <c r="X183" s="54">
        <f t="shared" si="45"/>
        <v>8.9255999999999993</v>
      </c>
      <c r="Y183" s="81">
        <f t="shared" si="46"/>
        <v>0</v>
      </c>
      <c r="Z183" s="81">
        <v>78</v>
      </c>
      <c r="AA183" s="54">
        <f t="shared" si="47"/>
        <v>0</v>
      </c>
    </row>
    <row r="184" spans="1:30" x14ac:dyDescent="0.25">
      <c r="A184" s="7" t="s">
        <v>70</v>
      </c>
      <c r="B184" s="52">
        <v>296</v>
      </c>
      <c r="C184" s="52">
        <f t="shared" si="32"/>
        <v>6</v>
      </c>
      <c r="D184" s="52">
        <v>302</v>
      </c>
      <c r="E184" s="52">
        <f t="shared" si="33"/>
        <v>9</v>
      </c>
      <c r="F184" s="52">
        <v>311</v>
      </c>
      <c r="G184" s="52">
        <f t="shared" si="34"/>
        <v>12</v>
      </c>
      <c r="H184" s="53">
        <v>323</v>
      </c>
      <c r="I184" s="54">
        <f t="shared" si="35"/>
        <v>44.81</v>
      </c>
      <c r="J184" s="52">
        <f t="shared" si="36"/>
        <v>8</v>
      </c>
      <c r="K184" s="53">
        <v>331</v>
      </c>
      <c r="L184" s="54">
        <f t="shared" si="37"/>
        <v>33.24</v>
      </c>
      <c r="M184" s="52">
        <f t="shared" si="38"/>
        <v>6</v>
      </c>
      <c r="N184" s="53">
        <v>337</v>
      </c>
      <c r="O184" s="54">
        <f t="shared" si="39"/>
        <v>38.31</v>
      </c>
      <c r="P184" s="52">
        <f t="shared" si="40"/>
        <v>8</v>
      </c>
      <c r="Q184" s="53">
        <v>345</v>
      </c>
      <c r="R184" s="54">
        <f t="shared" si="41"/>
        <v>22.96</v>
      </c>
      <c r="S184" s="55">
        <f t="shared" si="42"/>
        <v>8</v>
      </c>
      <c r="T184" s="53">
        <v>353</v>
      </c>
      <c r="U184" s="54">
        <f t="shared" si="43"/>
        <v>23.84</v>
      </c>
      <c r="V184" s="55">
        <f t="shared" si="44"/>
        <v>9</v>
      </c>
      <c r="W184" s="56">
        <v>362</v>
      </c>
      <c r="X184" s="54">
        <f t="shared" si="45"/>
        <v>26.776800000000001</v>
      </c>
      <c r="Y184" s="81">
        <f t="shared" si="46"/>
        <v>7</v>
      </c>
      <c r="Z184" s="81">
        <v>369</v>
      </c>
      <c r="AA184" s="54">
        <f t="shared" si="47"/>
        <v>21.69</v>
      </c>
    </row>
    <row r="185" spans="1:30" x14ac:dyDescent="0.25">
      <c r="A185" s="7" t="s">
        <v>370</v>
      </c>
      <c r="B185" s="52">
        <v>122</v>
      </c>
      <c r="C185" s="52">
        <f t="shared" si="32"/>
        <v>1</v>
      </c>
      <c r="D185" s="52">
        <v>123</v>
      </c>
      <c r="E185" s="52">
        <f t="shared" si="33"/>
        <v>1</v>
      </c>
      <c r="F185" s="52">
        <v>124</v>
      </c>
      <c r="G185" s="52">
        <f t="shared" si="34"/>
        <v>1</v>
      </c>
      <c r="H185" s="53">
        <v>125</v>
      </c>
      <c r="I185" s="54">
        <f t="shared" si="35"/>
        <v>3.73</v>
      </c>
      <c r="J185" s="52">
        <f t="shared" si="36"/>
        <v>2</v>
      </c>
      <c r="K185" s="53">
        <v>127</v>
      </c>
      <c r="L185" s="54">
        <f t="shared" si="37"/>
        <v>8.31</v>
      </c>
      <c r="M185" s="52">
        <f t="shared" si="38"/>
        <v>0</v>
      </c>
      <c r="N185" s="53">
        <v>127</v>
      </c>
      <c r="O185" s="54">
        <f t="shared" si="39"/>
        <v>0</v>
      </c>
      <c r="P185" s="52">
        <f t="shared" si="40"/>
        <v>2</v>
      </c>
      <c r="Q185" s="53">
        <v>129</v>
      </c>
      <c r="R185" s="54">
        <f t="shared" si="41"/>
        <v>5.74</v>
      </c>
      <c r="S185" s="55">
        <f t="shared" si="42"/>
        <v>1</v>
      </c>
      <c r="T185" s="53">
        <v>130</v>
      </c>
      <c r="U185" s="54">
        <f t="shared" si="43"/>
        <v>2.98</v>
      </c>
      <c r="V185" s="55">
        <f t="shared" si="44"/>
        <v>1</v>
      </c>
      <c r="W185" s="56">
        <v>131</v>
      </c>
      <c r="X185" s="54">
        <f t="shared" si="45"/>
        <v>2.9752000000000001</v>
      </c>
      <c r="Y185" s="81">
        <f t="shared" si="46"/>
        <v>3</v>
      </c>
      <c r="Z185" s="81">
        <v>134</v>
      </c>
      <c r="AA185" s="54">
        <f t="shared" si="47"/>
        <v>9.3000000000000007</v>
      </c>
    </row>
    <row r="186" spans="1:30" x14ac:dyDescent="0.25">
      <c r="A186" s="7" t="s">
        <v>55</v>
      </c>
      <c r="B186" s="52">
        <v>320</v>
      </c>
      <c r="C186" s="60">
        <f t="shared" si="32"/>
        <v>10</v>
      </c>
      <c r="D186" s="52">
        <v>330</v>
      </c>
      <c r="E186" s="60">
        <f t="shared" si="33"/>
        <v>11</v>
      </c>
      <c r="F186" s="52">
        <v>341</v>
      </c>
      <c r="G186" s="60">
        <v>11</v>
      </c>
      <c r="H186" s="53">
        <v>138</v>
      </c>
      <c r="I186" s="54">
        <f t="shared" si="35"/>
        <v>41.08</v>
      </c>
      <c r="J186" s="60">
        <f t="shared" si="36"/>
        <v>11</v>
      </c>
      <c r="K186" s="53">
        <v>149</v>
      </c>
      <c r="L186" s="54">
        <f t="shared" si="37"/>
        <v>45.7</v>
      </c>
      <c r="M186" s="60">
        <f t="shared" si="38"/>
        <v>9</v>
      </c>
      <c r="N186" s="53">
        <v>158</v>
      </c>
      <c r="O186" s="54">
        <f t="shared" si="39"/>
        <v>57.47</v>
      </c>
      <c r="P186" s="52">
        <f t="shared" si="40"/>
        <v>11</v>
      </c>
      <c r="Q186" s="53">
        <v>169</v>
      </c>
      <c r="R186" s="54">
        <f t="shared" si="41"/>
        <v>31.57</v>
      </c>
      <c r="S186" s="55">
        <f t="shared" si="42"/>
        <v>13</v>
      </c>
      <c r="T186" s="53">
        <v>182</v>
      </c>
      <c r="U186" s="54">
        <f t="shared" si="43"/>
        <v>38.74</v>
      </c>
      <c r="V186" s="55">
        <f t="shared" si="44"/>
        <v>13</v>
      </c>
      <c r="W186" s="56">
        <v>195</v>
      </c>
      <c r="X186" s="54">
        <f t="shared" si="45"/>
        <v>38.677599999999998</v>
      </c>
      <c r="Y186" s="81">
        <f t="shared" si="46"/>
        <v>16</v>
      </c>
      <c r="Z186" s="81">
        <v>211</v>
      </c>
      <c r="AA186" s="54">
        <f t="shared" si="47"/>
        <v>49.58</v>
      </c>
      <c r="AD186" t="s">
        <v>660</v>
      </c>
    </row>
    <row r="187" spans="1:30" x14ac:dyDescent="0.25">
      <c r="A187" s="7" t="s">
        <v>124</v>
      </c>
      <c r="B187" s="52">
        <v>247.37</v>
      </c>
      <c r="C187" s="52">
        <f t="shared" si="32"/>
        <v>5.289999999999992</v>
      </c>
      <c r="D187" s="52">
        <v>252.66</v>
      </c>
      <c r="E187" s="52">
        <f t="shared" si="33"/>
        <v>8.7399999999999807</v>
      </c>
      <c r="F187" s="52">
        <v>261.39999999999998</v>
      </c>
      <c r="G187" s="52">
        <f t="shared" si="34"/>
        <v>5.6830000000000496</v>
      </c>
      <c r="H187" s="53">
        <v>267.08300000000003</v>
      </c>
      <c r="I187" s="54">
        <f t="shared" si="35"/>
        <v>21.22</v>
      </c>
      <c r="J187" s="52">
        <f t="shared" si="36"/>
        <v>8.8149999999999977</v>
      </c>
      <c r="K187" s="53">
        <v>275.89800000000002</v>
      </c>
      <c r="L187" s="54">
        <f t="shared" si="37"/>
        <v>36.619999999999997</v>
      </c>
      <c r="M187" s="52">
        <f t="shared" si="38"/>
        <v>5.5249999999999773</v>
      </c>
      <c r="N187" s="53">
        <v>281.423</v>
      </c>
      <c r="O187" s="54">
        <f t="shared" si="39"/>
        <v>35.28</v>
      </c>
      <c r="P187" s="52">
        <f t="shared" si="40"/>
        <v>4.5769999999999982</v>
      </c>
      <c r="Q187" s="53">
        <v>286</v>
      </c>
      <c r="R187" s="54">
        <f t="shared" si="41"/>
        <v>13.14</v>
      </c>
      <c r="S187" s="55">
        <f t="shared" si="42"/>
        <v>8.2169999999999845</v>
      </c>
      <c r="T187" s="53">
        <v>294.21699999999998</v>
      </c>
      <c r="U187" s="54">
        <f t="shared" si="43"/>
        <v>24.49</v>
      </c>
      <c r="V187" s="55">
        <f t="shared" si="44"/>
        <v>6.7830000000000155</v>
      </c>
      <c r="W187" s="56">
        <v>301</v>
      </c>
      <c r="X187" s="54">
        <f t="shared" si="45"/>
        <v>20.180781600000046</v>
      </c>
      <c r="Y187" s="81">
        <f t="shared" si="46"/>
        <v>8</v>
      </c>
      <c r="Z187" s="81">
        <v>309</v>
      </c>
      <c r="AA187" s="54">
        <f t="shared" si="47"/>
        <v>24.79</v>
      </c>
    </row>
    <row r="188" spans="1:30" x14ac:dyDescent="0.25">
      <c r="A188" s="7" t="s">
        <v>502</v>
      </c>
      <c r="B188" s="52">
        <v>125.9</v>
      </c>
      <c r="C188" s="52">
        <f t="shared" si="32"/>
        <v>0.62999999999999545</v>
      </c>
      <c r="D188" s="52">
        <v>126.53</v>
      </c>
      <c r="E188" s="52">
        <f t="shared" si="33"/>
        <v>0.34000000000000341</v>
      </c>
      <c r="F188" s="52">
        <v>126.87</v>
      </c>
      <c r="G188" s="52">
        <f t="shared" si="34"/>
        <v>8.8999999999998636E-2</v>
      </c>
      <c r="H188" s="53">
        <v>126.959</v>
      </c>
      <c r="I188" s="54">
        <f t="shared" si="35"/>
        <v>0.33</v>
      </c>
      <c r="J188" s="52">
        <f t="shared" si="36"/>
        <v>2.7160000000000082</v>
      </c>
      <c r="K188" s="53">
        <v>129.67500000000001</v>
      </c>
      <c r="L188" s="54">
        <f t="shared" si="37"/>
        <v>11.28</v>
      </c>
      <c r="M188" s="52">
        <f t="shared" si="38"/>
        <v>1.6529999999999916</v>
      </c>
      <c r="N188" s="53">
        <v>131.328</v>
      </c>
      <c r="O188" s="54">
        <f t="shared" si="39"/>
        <v>10.56</v>
      </c>
      <c r="P188" s="52">
        <f t="shared" si="40"/>
        <v>1.671999999999997</v>
      </c>
      <c r="Q188" s="53">
        <v>133</v>
      </c>
      <c r="R188" s="54">
        <f t="shared" si="41"/>
        <v>4.8</v>
      </c>
      <c r="S188" s="55">
        <f t="shared" si="42"/>
        <v>2.7410000000000139</v>
      </c>
      <c r="T188" s="53">
        <v>135.74100000000001</v>
      </c>
      <c r="U188" s="54">
        <f t="shared" si="43"/>
        <v>8.17</v>
      </c>
      <c r="V188" s="55">
        <f t="shared" si="44"/>
        <v>4.2589999999999861</v>
      </c>
      <c r="W188" s="56">
        <v>140</v>
      </c>
      <c r="X188" s="54">
        <f t="shared" si="45"/>
        <v>12.671376799999958</v>
      </c>
      <c r="Y188" s="81">
        <f t="shared" si="46"/>
        <v>2</v>
      </c>
      <c r="Z188" s="81">
        <v>142</v>
      </c>
      <c r="AA188" s="54">
        <f t="shared" si="47"/>
        <v>6.2</v>
      </c>
    </row>
    <row r="189" spans="1:30" x14ac:dyDescent="0.25">
      <c r="A189" s="7" t="s">
        <v>169</v>
      </c>
      <c r="B189" s="52">
        <v>440</v>
      </c>
      <c r="C189" s="52">
        <f t="shared" si="32"/>
        <v>12</v>
      </c>
      <c r="D189" s="52">
        <v>452</v>
      </c>
      <c r="E189" s="52">
        <f t="shared" si="33"/>
        <v>10</v>
      </c>
      <c r="F189" s="52">
        <v>462</v>
      </c>
      <c r="G189" s="52">
        <f t="shared" si="34"/>
        <v>12</v>
      </c>
      <c r="H189" s="53">
        <v>474</v>
      </c>
      <c r="I189" s="54">
        <f t="shared" si="35"/>
        <v>44.81</v>
      </c>
      <c r="J189" s="52">
        <f t="shared" si="36"/>
        <v>8</v>
      </c>
      <c r="K189" s="53">
        <v>482</v>
      </c>
      <c r="L189" s="54">
        <f t="shared" si="37"/>
        <v>33.24</v>
      </c>
      <c r="M189" s="52">
        <f t="shared" si="38"/>
        <v>7</v>
      </c>
      <c r="N189" s="53">
        <v>489</v>
      </c>
      <c r="O189" s="54">
        <f t="shared" si="39"/>
        <v>44.7</v>
      </c>
      <c r="P189" s="52">
        <f t="shared" si="40"/>
        <v>9</v>
      </c>
      <c r="Q189" s="53">
        <v>498</v>
      </c>
      <c r="R189" s="54">
        <f t="shared" si="41"/>
        <v>25.83</v>
      </c>
      <c r="S189" s="55">
        <f t="shared" si="42"/>
        <v>7</v>
      </c>
      <c r="T189" s="53">
        <v>505</v>
      </c>
      <c r="U189" s="54">
        <f t="shared" si="43"/>
        <v>20.86</v>
      </c>
      <c r="V189" s="55">
        <f t="shared" si="44"/>
        <v>9</v>
      </c>
      <c r="W189" s="56">
        <v>514</v>
      </c>
      <c r="X189" s="54">
        <f t="shared" si="45"/>
        <v>26.776800000000001</v>
      </c>
      <c r="Y189" s="81">
        <f t="shared" si="46"/>
        <v>7</v>
      </c>
      <c r="Z189" s="81">
        <v>521</v>
      </c>
      <c r="AA189" s="54">
        <f t="shared" si="47"/>
        <v>21.69</v>
      </c>
    </row>
    <row r="190" spans="1:30" x14ac:dyDescent="0.25">
      <c r="A190" s="7" t="s">
        <v>553</v>
      </c>
      <c r="B190" s="52">
        <v>295</v>
      </c>
      <c r="C190" s="52">
        <f t="shared" si="32"/>
        <v>5</v>
      </c>
      <c r="D190" s="52">
        <v>300</v>
      </c>
      <c r="E190" s="52">
        <f t="shared" si="33"/>
        <v>3</v>
      </c>
      <c r="F190" s="52">
        <v>303</v>
      </c>
      <c r="G190" s="52">
        <f t="shared" si="34"/>
        <v>5</v>
      </c>
      <c r="H190" s="53">
        <v>308</v>
      </c>
      <c r="I190" s="54">
        <f t="shared" si="35"/>
        <v>18.670000000000002</v>
      </c>
      <c r="J190" s="52">
        <f t="shared" si="36"/>
        <v>1</v>
      </c>
      <c r="K190" s="53">
        <v>309</v>
      </c>
      <c r="L190" s="54">
        <f t="shared" si="37"/>
        <v>4.1500000000000004</v>
      </c>
      <c r="M190" s="52">
        <f t="shared" si="38"/>
        <v>0</v>
      </c>
      <c r="N190" s="53">
        <v>309</v>
      </c>
      <c r="O190" s="54">
        <f t="shared" si="39"/>
        <v>0</v>
      </c>
      <c r="P190" s="52">
        <f t="shared" si="40"/>
        <v>4</v>
      </c>
      <c r="Q190" s="53">
        <v>313</v>
      </c>
      <c r="R190" s="54">
        <f t="shared" si="41"/>
        <v>11.48</v>
      </c>
      <c r="S190" s="55">
        <f t="shared" si="42"/>
        <v>1</v>
      </c>
      <c r="T190" s="53">
        <v>314</v>
      </c>
      <c r="U190" s="54">
        <f t="shared" si="43"/>
        <v>2.98</v>
      </c>
      <c r="V190" s="55">
        <f t="shared" si="44"/>
        <v>4</v>
      </c>
      <c r="W190" s="56">
        <v>318</v>
      </c>
      <c r="X190" s="54">
        <f t="shared" si="45"/>
        <v>11.9008</v>
      </c>
      <c r="Y190" s="81">
        <f t="shared" si="46"/>
        <v>4</v>
      </c>
      <c r="Z190" s="81">
        <v>322</v>
      </c>
      <c r="AA190" s="54">
        <f t="shared" si="47"/>
        <v>12.4</v>
      </c>
    </row>
    <row r="191" spans="1:30" x14ac:dyDescent="0.25">
      <c r="A191" s="7" t="s">
        <v>568</v>
      </c>
      <c r="B191" s="52">
        <v>182</v>
      </c>
      <c r="C191" s="52">
        <f t="shared" si="32"/>
        <v>0</v>
      </c>
      <c r="D191" s="52">
        <v>182</v>
      </c>
      <c r="E191" s="52">
        <f t="shared" si="33"/>
        <v>0</v>
      </c>
      <c r="F191" s="52">
        <v>182</v>
      </c>
      <c r="G191" s="52">
        <f t="shared" si="34"/>
        <v>0</v>
      </c>
      <c r="H191" s="53">
        <v>182</v>
      </c>
      <c r="I191" s="54">
        <f t="shared" si="35"/>
        <v>0</v>
      </c>
      <c r="J191" s="52">
        <f t="shared" si="36"/>
        <v>0</v>
      </c>
      <c r="K191" s="53">
        <v>182</v>
      </c>
      <c r="L191" s="54">
        <f t="shared" si="37"/>
        <v>0</v>
      </c>
      <c r="M191" s="52">
        <f t="shared" si="38"/>
        <v>0</v>
      </c>
      <c r="N191" s="53">
        <v>182</v>
      </c>
      <c r="O191" s="54">
        <f t="shared" si="39"/>
        <v>0</v>
      </c>
      <c r="P191" s="52">
        <f t="shared" si="40"/>
        <v>0</v>
      </c>
      <c r="Q191" s="53">
        <v>182</v>
      </c>
      <c r="R191" s="54">
        <f t="shared" si="41"/>
        <v>0</v>
      </c>
      <c r="S191" s="55">
        <f t="shared" si="42"/>
        <v>0</v>
      </c>
      <c r="T191" s="53">
        <v>182</v>
      </c>
      <c r="U191" s="54">
        <f t="shared" si="43"/>
        <v>0</v>
      </c>
      <c r="V191" s="55">
        <f t="shared" si="44"/>
        <v>0</v>
      </c>
      <c r="W191" s="56">
        <v>182</v>
      </c>
      <c r="X191" s="54">
        <f t="shared" si="45"/>
        <v>0</v>
      </c>
      <c r="Y191" s="81">
        <f t="shared" si="46"/>
        <v>8</v>
      </c>
      <c r="Z191" s="81">
        <v>190</v>
      </c>
      <c r="AA191" s="54">
        <f t="shared" si="47"/>
        <v>24.79</v>
      </c>
    </row>
    <row r="192" spans="1:30" x14ac:dyDescent="0.25">
      <c r="A192" s="7" t="s">
        <v>52</v>
      </c>
      <c r="B192" s="52">
        <v>188</v>
      </c>
      <c r="C192" s="52">
        <f t="shared" si="32"/>
        <v>8</v>
      </c>
      <c r="D192" s="52">
        <v>196</v>
      </c>
      <c r="E192" s="52">
        <f t="shared" si="33"/>
        <v>9</v>
      </c>
      <c r="F192" s="52">
        <v>205</v>
      </c>
      <c r="G192" s="52">
        <f t="shared" si="34"/>
        <v>11</v>
      </c>
      <c r="H192" s="53">
        <v>216</v>
      </c>
      <c r="I192" s="54">
        <f t="shared" si="35"/>
        <v>41.08</v>
      </c>
      <c r="J192" s="52">
        <f t="shared" si="36"/>
        <v>4</v>
      </c>
      <c r="K192" s="53">
        <v>220</v>
      </c>
      <c r="L192" s="54">
        <f t="shared" si="37"/>
        <v>16.62</v>
      </c>
      <c r="M192" s="52">
        <f t="shared" si="38"/>
        <v>2</v>
      </c>
      <c r="N192" s="53">
        <v>222</v>
      </c>
      <c r="O192" s="54">
        <f t="shared" si="39"/>
        <v>12.77</v>
      </c>
      <c r="P192" s="52">
        <f t="shared" si="40"/>
        <v>3</v>
      </c>
      <c r="Q192" s="53">
        <v>225</v>
      </c>
      <c r="R192" s="54">
        <f t="shared" si="41"/>
        <v>8.61</v>
      </c>
      <c r="S192" s="55">
        <f t="shared" si="42"/>
        <v>2</v>
      </c>
      <c r="T192" s="53">
        <v>227</v>
      </c>
      <c r="U192" s="54">
        <f t="shared" si="43"/>
        <v>5.96</v>
      </c>
      <c r="V192" s="55">
        <f t="shared" si="44"/>
        <v>5</v>
      </c>
      <c r="W192" s="56">
        <v>232</v>
      </c>
      <c r="X192" s="54">
        <f t="shared" si="45"/>
        <v>14.876000000000001</v>
      </c>
      <c r="Y192" s="81">
        <f t="shared" si="46"/>
        <v>4</v>
      </c>
      <c r="Z192" s="81">
        <v>236</v>
      </c>
      <c r="AA192" s="54">
        <f t="shared" si="47"/>
        <v>12.4</v>
      </c>
    </row>
    <row r="193" spans="1:27" x14ac:dyDescent="0.25">
      <c r="A193" s="7" t="s">
        <v>592</v>
      </c>
      <c r="B193" s="52">
        <v>268</v>
      </c>
      <c r="C193" s="52">
        <f t="shared" si="32"/>
        <v>11</v>
      </c>
      <c r="D193" s="52">
        <v>279</v>
      </c>
      <c r="E193" s="52">
        <f t="shared" si="33"/>
        <v>9</v>
      </c>
      <c r="F193" s="52">
        <v>288</v>
      </c>
      <c r="G193" s="52">
        <f t="shared" si="34"/>
        <v>5</v>
      </c>
      <c r="H193" s="53">
        <v>293</v>
      </c>
      <c r="I193" s="54">
        <f t="shared" si="35"/>
        <v>18.670000000000002</v>
      </c>
      <c r="J193" s="52">
        <f t="shared" si="36"/>
        <v>3</v>
      </c>
      <c r="K193" s="53">
        <v>296</v>
      </c>
      <c r="L193" s="54">
        <f t="shared" si="37"/>
        <v>12.46</v>
      </c>
      <c r="M193" s="52">
        <f t="shared" si="38"/>
        <v>3</v>
      </c>
      <c r="N193" s="53">
        <v>299</v>
      </c>
      <c r="O193" s="54">
        <f t="shared" si="39"/>
        <v>19.16</v>
      </c>
      <c r="P193" s="52">
        <f t="shared" si="40"/>
        <v>5</v>
      </c>
      <c r="Q193" s="53">
        <v>304</v>
      </c>
      <c r="R193" s="54">
        <f t="shared" si="41"/>
        <v>14.35</v>
      </c>
      <c r="S193" s="55">
        <f t="shared" si="42"/>
        <v>7</v>
      </c>
      <c r="T193" s="53">
        <v>311</v>
      </c>
      <c r="U193" s="54">
        <f t="shared" si="43"/>
        <v>20.86</v>
      </c>
      <c r="V193" s="55">
        <f t="shared" si="44"/>
        <v>9</v>
      </c>
      <c r="W193" s="56">
        <v>320</v>
      </c>
      <c r="X193" s="54">
        <f t="shared" si="45"/>
        <v>26.776800000000001</v>
      </c>
      <c r="Y193" s="81">
        <f t="shared" si="46"/>
        <v>9</v>
      </c>
      <c r="Z193" s="81">
        <v>329</v>
      </c>
      <c r="AA193" s="54">
        <f t="shared" si="47"/>
        <v>27.89</v>
      </c>
    </row>
    <row r="194" spans="1:27" x14ac:dyDescent="0.25">
      <c r="A194" s="7" t="s">
        <v>253</v>
      </c>
      <c r="B194" s="52">
        <v>192.26</v>
      </c>
      <c r="C194" s="52">
        <f t="shared" si="32"/>
        <v>5.0700000000000216</v>
      </c>
      <c r="D194" s="52">
        <v>197.33</v>
      </c>
      <c r="E194" s="52">
        <f t="shared" si="33"/>
        <v>5.2199999999999989</v>
      </c>
      <c r="F194" s="52">
        <v>202.55</v>
      </c>
      <c r="G194" s="52">
        <f t="shared" si="34"/>
        <v>6.518999999999977</v>
      </c>
      <c r="H194" s="53">
        <v>209.06899999999999</v>
      </c>
      <c r="I194" s="54">
        <f t="shared" si="35"/>
        <v>24.34</v>
      </c>
      <c r="J194" s="52">
        <f t="shared" si="36"/>
        <v>10.792000000000002</v>
      </c>
      <c r="K194" s="53">
        <v>219.86099999999999</v>
      </c>
      <c r="L194" s="54">
        <f t="shared" si="37"/>
        <v>44.84</v>
      </c>
      <c r="M194" s="52">
        <f t="shared" si="38"/>
        <v>7.7010000000000218</v>
      </c>
      <c r="N194" s="53">
        <v>227.56200000000001</v>
      </c>
      <c r="O194" s="54">
        <f t="shared" si="39"/>
        <v>49.18</v>
      </c>
      <c r="P194" s="52">
        <f t="shared" si="40"/>
        <v>9.4379999999999882</v>
      </c>
      <c r="Q194" s="53">
        <v>237</v>
      </c>
      <c r="R194" s="54">
        <f t="shared" si="41"/>
        <v>27.09</v>
      </c>
      <c r="S194" s="55">
        <f t="shared" si="42"/>
        <v>12.126000000000005</v>
      </c>
      <c r="T194" s="53">
        <v>249.126</v>
      </c>
      <c r="U194" s="54">
        <f t="shared" si="43"/>
        <v>36.130000000000003</v>
      </c>
      <c r="V194" s="55">
        <f t="shared" si="44"/>
        <v>10.873999999999995</v>
      </c>
      <c r="W194" s="56">
        <v>260</v>
      </c>
      <c r="X194" s="54">
        <f t="shared" si="45"/>
        <v>32.352324799999984</v>
      </c>
      <c r="Y194" s="81">
        <f t="shared" si="46"/>
        <v>10</v>
      </c>
      <c r="Z194" s="81">
        <v>270</v>
      </c>
      <c r="AA194" s="54">
        <f t="shared" si="47"/>
        <v>30.99</v>
      </c>
    </row>
    <row r="195" spans="1:27" x14ac:dyDescent="0.25">
      <c r="A195" s="7" t="s">
        <v>586</v>
      </c>
      <c r="B195" s="52">
        <v>141</v>
      </c>
      <c r="C195" s="52">
        <f t="shared" si="32"/>
        <v>1</v>
      </c>
      <c r="D195" s="52">
        <v>142</v>
      </c>
      <c r="E195" s="52">
        <f t="shared" si="33"/>
        <v>2</v>
      </c>
      <c r="F195" s="52">
        <v>144</v>
      </c>
      <c r="G195" s="52">
        <f t="shared" si="34"/>
        <v>2</v>
      </c>
      <c r="H195" s="53">
        <v>146</v>
      </c>
      <c r="I195" s="54">
        <f t="shared" si="35"/>
        <v>7.47</v>
      </c>
      <c r="J195" s="52">
        <f t="shared" si="36"/>
        <v>0</v>
      </c>
      <c r="K195" s="53">
        <v>146</v>
      </c>
      <c r="L195" s="54">
        <f t="shared" si="37"/>
        <v>0</v>
      </c>
      <c r="M195" s="52">
        <f t="shared" si="38"/>
        <v>6</v>
      </c>
      <c r="N195" s="53">
        <v>152</v>
      </c>
      <c r="O195" s="54">
        <f t="shared" si="39"/>
        <v>38.31</v>
      </c>
      <c r="P195" s="52">
        <f t="shared" si="40"/>
        <v>6</v>
      </c>
      <c r="Q195" s="53">
        <v>158</v>
      </c>
      <c r="R195" s="54">
        <f t="shared" si="41"/>
        <v>17.22</v>
      </c>
      <c r="S195" s="55">
        <f t="shared" si="42"/>
        <v>4</v>
      </c>
      <c r="T195" s="53">
        <v>162</v>
      </c>
      <c r="U195" s="54">
        <f t="shared" si="43"/>
        <v>11.92</v>
      </c>
      <c r="V195" s="55">
        <f t="shared" si="44"/>
        <v>4</v>
      </c>
      <c r="W195" s="56">
        <v>166</v>
      </c>
      <c r="X195" s="54">
        <f t="shared" si="45"/>
        <v>11.9008</v>
      </c>
      <c r="Y195" s="81">
        <f t="shared" si="46"/>
        <v>3</v>
      </c>
      <c r="Z195" s="81">
        <v>169</v>
      </c>
      <c r="AA195" s="54">
        <f t="shared" si="47"/>
        <v>9.3000000000000007</v>
      </c>
    </row>
    <row r="196" spans="1:27" x14ac:dyDescent="0.25">
      <c r="A196" s="7" t="s">
        <v>481</v>
      </c>
      <c r="B196" s="52">
        <v>179</v>
      </c>
      <c r="C196" s="52">
        <f t="shared" si="32"/>
        <v>8</v>
      </c>
      <c r="D196" s="52">
        <v>187</v>
      </c>
      <c r="E196" s="52">
        <f t="shared" si="33"/>
        <v>4</v>
      </c>
      <c r="F196" s="52">
        <v>191</v>
      </c>
      <c r="G196" s="52">
        <f t="shared" si="34"/>
        <v>7</v>
      </c>
      <c r="H196" s="53">
        <v>198</v>
      </c>
      <c r="I196" s="54">
        <f t="shared" si="35"/>
        <v>26.14</v>
      </c>
      <c r="J196" s="52">
        <f t="shared" si="36"/>
        <v>5</v>
      </c>
      <c r="K196" s="53">
        <v>203</v>
      </c>
      <c r="L196" s="54">
        <f t="shared" si="37"/>
        <v>20.77</v>
      </c>
      <c r="M196" s="52">
        <f t="shared" si="38"/>
        <v>4</v>
      </c>
      <c r="N196" s="53">
        <v>207</v>
      </c>
      <c r="O196" s="54">
        <f t="shared" si="39"/>
        <v>25.54</v>
      </c>
      <c r="P196" s="52">
        <f t="shared" si="40"/>
        <v>4</v>
      </c>
      <c r="Q196" s="53">
        <v>211</v>
      </c>
      <c r="R196" s="54">
        <f t="shared" si="41"/>
        <v>11.48</v>
      </c>
      <c r="S196" s="55">
        <f t="shared" si="42"/>
        <v>5</v>
      </c>
      <c r="T196" s="53">
        <v>216</v>
      </c>
      <c r="U196" s="54">
        <f t="shared" si="43"/>
        <v>14.9</v>
      </c>
      <c r="V196" s="55">
        <f t="shared" si="44"/>
        <v>2</v>
      </c>
      <c r="W196" s="56">
        <v>218</v>
      </c>
      <c r="X196" s="54">
        <f t="shared" si="45"/>
        <v>5.9504000000000001</v>
      </c>
      <c r="Y196" s="81">
        <f t="shared" si="46"/>
        <v>5</v>
      </c>
      <c r="Z196" s="81">
        <v>223</v>
      </c>
      <c r="AA196" s="54">
        <f t="shared" si="47"/>
        <v>15.49</v>
      </c>
    </row>
    <row r="197" spans="1:27" x14ac:dyDescent="0.25">
      <c r="A197" s="7" t="s">
        <v>556</v>
      </c>
      <c r="B197" s="52">
        <v>59</v>
      </c>
      <c r="C197" s="52">
        <f t="shared" si="32"/>
        <v>2</v>
      </c>
      <c r="D197" s="52">
        <v>61</v>
      </c>
      <c r="E197" s="52">
        <f t="shared" si="33"/>
        <v>0</v>
      </c>
      <c r="F197" s="52">
        <v>61</v>
      </c>
      <c r="G197" s="52">
        <f t="shared" si="34"/>
        <v>21</v>
      </c>
      <c r="H197" s="53">
        <v>82</v>
      </c>
      <c r="I197" s="54">
        <f t="shared" si="35"/>
        <v>78.42</v>
      </c>
      <c r="J197" s="52">
        <f t="shared" si="36"/>
        <v>0</v>
      </c>
      <c r="K197" s="53">
        <v>82</v>
      </c>
      <c r="L197" s="54">
        <f t="shared" si="37"/>
        <v>0</v>
      </c>
      <c r="M197" s="52">
        <f t="shared" si="38"/>
        <v>0</v>
      </c>
      <c r="N197" s="53">
        <v>82</v>
      </c>
      <c r="O197" s="54">
        <f t="shared" si="39"/>
        <v>0</v>
      </c>
      <c r="P197" s="52">
        <f t="shared" si="40"/>
        <v>0</v>
      </c>
      <c r="Q197" s="53">
        <v>82</v>
      </c>
      <c r="R197" s="54">
        <f t="shared" si="41"/>
        <v>0</v>
      </c>
      <c r="S197" s="55">
        <f t="shared" si="42"/>
        <v>0</v>
      </c>
      <c r="T197" s="53">
        <v>82</v>
      </c>
      <c r="U197" s="54">
        <f t="shared" si="43"/>
        <v>0</v>
      </c>
      <c r="V197" s="55">
        <f t="shared" si="44"/>
        <v>0</v>
      </c>
      <c r="W197" s="56">
        <v>82</v>
      </c>
      <c r="X197" s="54">
        <f t="shared" si="45"/>
        <v>0</v>
      </c>
      <c r="Y197" s="81">
        <f t="shared" si="46"/>
        <v>0</v>
      </c>
      <c r="Z197" s="81">
        <v>82</v>
      </c>
      <c r="AA197" s="54">
        <f t="shared" si="47"/>
        <v>0</v>
      </c>
    </row>
    <row r="198" spans="1:27" x14ac:dyDescent="0.25">
      <c r="A198" s="7" t="s">
        <v>319</v>
      </c>
      <c r="B198" s="52">
        <v>277</v>
      </c>
      <c r="C198" s="52">
        <f t="shared" si="32"/>
        <v>3</v>
      </c>
      <c r="D198" s="52">
        <v>280</v>
      </c>
      <c r="E198" s="52">
        <f t="shared" si="33"/>
        <v>3</v>
      </c>
      <c r="F198" s="52">
        <v>283</v>
      </c>
      <c r="G198" s="52">
        <f t="shared" si="34"/>
        <v>5</v>
      </c>
      <c r="H198" s="53">
        <v>288</v>
      </c>
      <c r="I198" s="54">
        <f t="shared" si="35"/>
        <v>18.670000000000002</v>
      </c>
      <c r="J198" s="52">
        <f t="shared" si="36"/>
        <v>3</v>
      </c>
      <c r="K198" s="53">
        <v>291</v>
      </c>
      <c r="L198" s="54">
        <f t="shared" si="37"/>
        <v>12.46</v>
      </c>
      <c r="M198" s="52">
        <f t="shared" si="38"/>
        <v>2</v>
      </c>
      <c r="N198" s="53">
        <v>293</v>
      </c>
      <c r="O198" s="54">
        <f t="shared" si="39"/>
        <v>12.77</v>
      </c>
      <c r="P198" s="52">
        <f t="shared" si="40"/>
        <v>4</v>
      </c>
      <c r="Q198" s="53">
        <v>297</v>
      </c>
      <c r="R198" s="54">
        <f t="shared" si="41"/>
        <v>11.48</v>
      </c>
      <c r="S198" s="55">
        <f t="shared" si="42"/>
        <v>3</v>
      </c>
      <c r="T198" s="53">
        <v>300</v>
      </c>
      <c r="U198" s="54">
        <f t="shared" si="43"/>
        <v>8.94</v>
      </c>
      <c r="V198" s="55">
        <f t="shared" si="44"/>
        <v>4</v>
      </c>
      <c r="W198" s="56">
        <v>304</v>
      </c>
      <c r="X198" s="54">
        <f t="shared" si="45"/>
        <v>11.9008</v>
      </c>
      <c r="Y198" s="81">
        <f t="shared" si="46"/>
        <v>4</v>
      </c>
      <c r="Z198" s="81">
        <v>308</v>
      </c>
      <c r="AA198" s="54">
        <f t="shared" si="47"/>
        <v>12.4</v>
      </c>
    </row>
    <row r="199" spans="1:27" x14ac:dyDescent="0.25">
      <c r="A199" s="7" t="s">
        <v>64</v>
      </c>
      <c r="B199" s="52">
        <v>710.55</v>
      </c>
      <c r="C199" s="52">
        <f t="shared" si="32"/>
        <v>16.680000000000064</v>
      </c>
      <c r="D199" s="52">
        <v>727.23</v>
      </c>
      <c r="E199" s="52">
        <f t="shared" si="33"/>
        <v>13.779999999999973</v>
      </c>
      <c r="F199" s="52">
        <v>741.01</v>
      </c>
      <c r="G199" s="52">
        <f t="shared" si="34"/>
        <v>15.618000000000052</v>
      </c>
      <c r="H199" s="53">
        <v>756.62800000000004</v>
      </c>
      <c r="I199" s="54">
        <f t="shared" si="35"/>
        <v>58.32</v>
      </c>
      <c r="J199" s="52">
        <f t="shared" si="36"/>
        <v>16.617999999999938</v>
      </c>
      <c r="K199" s="53">
        <v>773.24599999999998</v>
      </c>
      <c r="L199" s="54">
        <f t="shared" si="37"/>
        <v>69.040000000000006</v>
      </c>
      <c r="M199" s="52">
        <f t="shared" si="38"/>
        <v>10.755999999999972</v>
      </c>
      <c r="N199" s="53">
        <v>784.00199999999995</v>
      </c>
      <c r="O199" s="54">
        <f t="shared" si="39"/>
        <v>68.680000000000007</v>
      </c>
      <c r="P199" s="52">
        <f t="shared" si="40"/>
        <v>12.998000000000047</v>
      </c>
      <c r="Q199" s="53">
        <v>797</v>
      </c>
      <c r="R199" s="54">
        <f t="shared" si="41"/>
        <v>37.31</v>
      </c>
      <c r="S199" s="55">
        <f t="shared" si="42"/>
        <v>17.597999999999956</v>
      </c>
      <c r="T199" s="53">
        <v>814.59799999999996</v>
      </c>
      <c r="U199" s="54">
        <f t="shared" si="43"/>
        <v>52.44</v>
      </c>
      <c r="V199" s="55">
        <f t="shared" si="44"/>
        <v>19.402000000000044</v>
      </c>
      <c r="W199" s="56">
        <v>834</v>
      </c>
      <c r="X199" s="54">
        <f t="shared" si="45"/>
        <v>57.72483040000013</v>
      </c>
      <c r="Y199" s="81">
        <f t="shared" si="46"/>
        <v>19</v>
      </c>
      <c r="Z199" s="81">
        <v>853</v>
      </c>
      <c r="AA199" s="54">
        <f t="shared" si="47"/>
        <v>58.88</v>
      </c>
    </row>
    <row r="200" spans="1:27" x14ac:dyDescent="0.25">
      <c r="A200" s="7" t="s">
        <v>310</v>
      </c>
      <c r="B200" s="52">
        <v>312.38</v>
      </c>
      <c r="C200" s="52">
        <f t="shared" si="32"/>
        <v>0</v>
      </c>
      <c r="D200" s="52">
        <v>312.38</v>
      </c>
      <c r="E200" s="52">
        <f t="shared" si="33"/>
        <v>0</v>
      </c>
      <c r="F200" s="52">
        <v>312.38</v>
      </c>
      <c r="G200" s="52">
        <f t="shared" si="34"/>
        <v>2.8369999999999891</v>
      </c>
      <c r="H200" s="53">
        <v>315.21699999999998</v>
      </c>
      <c r="I200" s="54">
        <f t="shared" si="35"/>
        <v>10.59</v>
      </c>
      <c r="J200" s="52">
        <f t="shared" si="36"/>
        <v>0.58300000000002683</v>
      </c>
      <c r="K200" s="53">
        <v>315.8</v>
      </c>
      <c r="L200" s="54">
        <f t="shared" si="37"/>
        <v>2.42</v>
      </c>
      <c r="M200" s="52">
        <f t="shared" si="38"/>
        <v>0</v>
      </c>
      <c r="N200" s="53">
        <v>315.8</v>
      </c>
      <c r="O200" s="54">
        <f t="shared" si="39"/>
        <v>0</v>
      </c>
      <c r="P200" s="52">
        <f t="shared" si="40"/>
        <v>0</v>
      </c>
      <c r="Q200" s="53">
        <v>315.8</v>
      </c>
      <c r="R200" s="54">
        <f t="shared" si="41"/>
        <v>0</v>
      </c>
      <c r="S200" s="55">
        <f t="shared" si="42"/>
        <v>0</v>
      </c>
      <c r="T200" s="53">
        <v>315.8</v>
      </c>
      <c r="U200" s="54">
        <f t="shared" si="43"/>
        <v>0</v>
      </c>
      <c r="V200" s="55">
        <f t="shared" si="44"/>
        <v>0.19999999999998863</v>
      </c>
      <c r="W200" s="56">
        <v>316</v>
      </c>
      <c r="X200" s="54">
        <f t="shared" si="45"/>
        <v>0.59503999999996615</v>
      </c>
      <c r="Y200" s="81">
        <f t="shared" si="46"/>
        <v>0</v>
      </c>
      <c r="Z200" s="81">
        <v>316</v>
      </c>
      <c r="AA200" s="54">
        <f t="shared" si="47"/>
        <v>0</v>
      </c>
    </row>
    <row r="201" spans="1:27" x14ac:dyDescent="0.25">
      <c r="A201" s="7" t="s">
        <v>298</v>
      </c>
      <c r="B201" s="52">
        <v>244</v>
      </c>
      <c r="C201" s="52">
        <f t="shared" ref="C201" si="48">D201-B201</f>
        <v>5</v>
      </c>
      <c r="D201" s="52">
        <v>249</v>
      </c>
      <c r="E201" s="52">
        <f t="shared" ref="E201" si="49">F201-D201</f>
        <v>5</v>
      </c>
      <c r="F201" s="52">
        <v>254</v>
      </c>
      <c r="G201" s="52">
        <f t="shared" ref="G201" si="50">H201-F201</f>
        <v>6</v>
      </c>
      <c r="H201" s="53">
        <v>260</v>
      </c>
      <c r="I201" s="54">
        <f t="shared" ref="I201" si="51">ROUND(G201*$I$3,2)</f>
        <v>22.41</v>
      </c>
      <c r="J201" s="52">
        <f t="shared" ref="J201" si="52">K201-H201</f>
        <v>5</v>
      </c>
      <c r="K201" s="53">
        <v>265</v>
      </c>
      <c r="L201" s="54">
        <f t="shared" ref="L201" si="53">ROUND(J201*$L$3,2)</f>
        <v>20.77</v>
      </c>
      <c r="M201" s="52">
        <f t="shared" ref="M201:M202" si="54">N201-K201</f>
        <v>3</v>
      </c>
      <c r="N201" s="53">
        <v>268</v>
      </c>
      <c r="O201" s="54">
        <f t="shared" ref="O201:O202" si="55">ROUND(M201*$O$3,2)</f>
        <v>19.16</v>
      </c>
      <c r="P201" s="52">
        <f t="shared" ref="P201:P202" si="56">Q201-N201</f>
        <v>6</v>
      </c>
      <c r="Q201" s="53">
        <v>274</v>
      </c>
      <c r="R201" s="54">
        <f t="shared" ref="R201:R202" si="57">ROUND(P201*$R$3,2)</f>
        <v>17.22</v>
      </c>
      <c r="S201" s="55">
        <f t="shared" ref="S201:S202" si="58">+T201-Q201</f>
        <v>5</v>
      </c>
      <c r="T201" s="53">
        <v>279</v>
      </c>
      <c r="U201" s="54">
        <f t="shared" ref="U201:U202" si="59">ROUND(S201*$U$3,2)</f>
        <v>14.9</v>
      </c>
      <c r="V201" s="55">
        <f t="shared" ref="V201:V202" si="60">+W201-T201</f>
        <v>7</v>
      </c>
      <c r="W201" s="56">
        <v>286</v>
      </c>
      <c r="X201" s="54">
        <f t="shared" ref="X201:X202" si="61">V201*$X$3</f>
        <v>20.8264</v>
      </c>
      <c r="Y201" s="81">
        <f t="shared" ref="Y201:Y202" si="62">+Z201-W201</f>
        <v>6</v>
      </c>
      <c r="Z201" s="81">
        <v>292</v>
      </c>
      <c r="AA201" s="54">
        <f t="shared" ref="AA201:AA202" si="63">ROUND(Y201*$AA$3,2)</f>
        <v>18.59</v>
      </c>
    </row>
    <row r="202" spans="1:27" x14ac:dyDescent="0.25">
      <c r="A202" s="2" t="s">
        <v>610</v>
      </c>
      <c r="B202" s="62"/>
      <c r="C202" s="62"/>
      <c r="D202" s="62"/>
      <c r="E202" s="62"/>
      <c r="F202" s="62"/>
      <c r="G202" s="62"/>
      <c r="H202" s="63"/>
      <c r="I202" s="64"/>
      <c r="J202" s="52"/>
      <c r="K202" s="53">
        <v>1571</v>
      </c>
      <c r="L202" s="64"/>
      <c r="M202" s="52">
        <f t="shared" si="54"/>
        <v>36</v>
      </c>
      <c r="N202" s="53">
        <v>1607</v>
      </c>
      <c r="O202" s="54">
        <f t="shared" si="55"/>
        <v>229.88</v>
      </c>
      <c r="P202" s="52">
        <f t="shared" si="56"/>
        <v>44</v>
      </c>
      <c r="Q202" s="53">
        <v>1651</v>
      </c>
      <c r="R202" s="54">
        <f t="shared" si="57"/>
        <v>126.3</v>
      </c>
      <c r="S202" s="55">
        <f t="shared" si="58"/>
        <v>37</v>
      </c>
      <c r="T202" s="53">
        <v>1688</v>
      </c>
      <c r="U202" s="54">
        <f t="shared" si="59"/>
        <v>110.25</v>
      </c>
      <c r="V202" s="55">
        <f t="shared" si="60"/>
        <v>48</v>
      </c>
      <c r="W202" s="56">
        <v>1736</v>
      </c>
      <c r="X202" s="54">
        <f t="shared" si="61"/>
        <v>142.80959999999999</v>
      </c>
      <c r="Y202" s="81">
        <f t="shared" si="62"/>
        <v>69</v>
      </c>
      <c r="Z202" s="81">
        <v>1805</v>
      </c>
      <c r="AA202" s="54">
        <f t="shared" si="63"/>
        <v>213.82</v>
      </c>
    </row>
    <row r="203" spans="1:27" x14ac:dyDescent="0.25">
      <c r="B203" s="36">
        <f>SUM(B7:B201)</f>
        <v>43735.030000000006</v>
      </c>
      <c r="C203" s="36">
        <f t="shared" ref="C203:L203" si="64">SUM(C7:C201)</f>
        <v>1151.3499999999999</v>
      </c>
      <c r="D203" s="36">
        <f t="shared" si="64"/>
        <v>44886.380000000012</v>
      </c>
      <c r="E203" s="36">
        <f t="shared" si="64"/>
        <v>1109.8900000000003</v>
      </c>
      <c r="F203" s="36">
        <f t="shared" si="64"/>
        <v>45996.270000000004</v>
      </c>
      <c r="G203" s="36">
        <f t="shared" si="64"/>
        <v>1262.2289999999998</v>
      </c>
      <c r="H203" s="36">
        <f t="shared" si="64"/>
        <v>46191.877000000008</v>
      </c>
      <c r="I203" s="29">
        <f t="shared" si="64"/>
        <v>4713.380000000001</v>
      </c>
      <c r="J203" s="52">
        <f t="shared" si="64"/>
        <v>1115.9609999999998</v>
      </c>
      <c r="K203" s="52"/>
      <c r="L203" s="29">
        <f t="shared" si="64"/>
        <v>4636.29</v>
      </c>
      <c r="M203" s="65">
        <f t="shared" ref="M203" si="65">SUM(M7:M202)</f>
        <v>824.77900000000022</v>
      </c>
      <c r="N203" s="65"/>
      <c r="O203" s="29">
        <f>SUM(O7:O202)</f>
        <v>5266.7999999999993</v>
      </c>
      <c r="P203" s="66">
        <f t="shared" ref="P203:V203" si="66">SUM(P7:P202)</f>
        <v>1035.538</v>
      </c>
      <c r="Q203" s="65"/>
      <c r="R203" s="29">
        <f>SUM(R7:R202)</f>
        <v>2972.2099999999987</v>
      </c>
      <c r="S203" s="66">
        <f t="shared" si="66"/>
        <v>1272.95</v>
      </c>
      <c r="T203" s="65"/>
      <c r="U203" s="29">
        <f>SUM(U7:U202)</f>
        <v>3793.3100000000054</v>
      </c>
      <c r="V203" s="66">
        <f t="shared" si="66"/>
        <v>1302.895</v>
      </c>
      <c r="W203" s="67"/>
      <c r="X203" s="29">
        <f>SUM(X7:X202)</f>
        <v>3876.3732040000018</v>
      </c>
      <c r="Y203" s="66">
        <f t="shared" ref="Y203" si="67">SUM(Y7:Y202)</f>
        <v>1519.337</v>
      </c>
      <c r="AA203" s="29">
        <f>SUM(AA7:AA202)</f>
        <v>4708.329999999999</v>
      </c>
    </row>
    <row r="204" spans="1:27" x14ac:dyDescent="0.25">
      <c r="H204" s="65"/>
    </row>
  </sheetData>
  <autoFilter ref="A7:AA203" xr:uid="{5D660912-0C61-40BE-86B2-A226848CE497}"/>
  <phoneticPr fontId="19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8E48-694E-4B44-A7F0-92F57F82BFB8}">
  <sheetPr codeName="Hoja4"/>
  <dimension ref="A1:I386"/>
  <sheetViews>
    <sheetView showGridLines="0"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" sqref="B1"/>
    </sheetView>
  </sheetViews>
  <sheetFormatPr baseColWidth="10" defaultRowHeight="15" x14ac:dyDescent="0.25"/>
  <cols>
    <col min="1" max="1" width="11.42578125" style="77"/>
    <col min="2" max="2" width="33.28515625" customWidth="1"/>
    <col min="3" max="3" width="14" style="77" bestFit="1" customWidth="1"/>
    <col min="4" max="5" width="11.42578125" style="29"/>
    <col min="6" max="6" width="16.140625" style="78" customWidth="1"/>
    <col min="7" max="7" width="13.85546875" bestFit="1" customWidth="1"/>
    <col min="8" max="8" width="11.42578125" style="29"/>
  </cols>
  <sheetData>
    <row r="1" spans="1:9" ht="30" x14ac:dyDescent="0.25">
      <c r="A1" s="68" t="s">
        <v>661</v>
      </c>
      <c r="B1" s="3" t="s">
        <v>662</v>
      </c>
      <c r="C1" s="68" t="s">
        <v>663</v>
      </c>
      <c r="D1" s="69" t="s">
        <v>664</v>
      </c>
      <c r="E1" s="69" t="s">
        <v>665</v>
      </c>
      <c r="F1" s="70" t="s">
        <v>666</v>
      </c>
      <c r="G1" s="69" t="s">
        <v>667</v>
      </c>
      <c r="H1" s="69" t="s">
        <v>668</v>
      </c>
      <c r="I1" s="69" t="s">
        <v>669</v>
      </c>
    </row>
    <row r="2" spans="1:9" x14ac:dyDescent="0.25">
      <c r="A2" s="71" t="s">
        <v>2</v>
      </c>
      <c r="B2" s="72" t="s">
        <v>3</v>
      </c>
      <c r="C2" s="71" t="s">
        <v>610</v>
      </c>
      <c r="D2" s="54"/>
      <c r="E2" s="54"/>
      <c r="F2" s="73">
        <v>4.4149999999999997E-3</v>
      </c>
      <c r="G2" s="74">
        <f>ROUND(pres!$C$2*calculo!F2,2)</f>
        <v>265.41000000000003</v>
      </c>
      <c r="H2" s="54">
        <f>IFERROR(VLOOKUP(C2,consumo_agua!$A$7:$AA$202,27,0),0)</f>
        <v>213.82</v>
      </c>
      <c r="I2" s="74">
        <f t="shared" ref="I2:I65" si="0">SUM(G2:H2)</f>
        <v>479.23</v>
      </c>
    </row>
    <row r="3" spans="1:9" x14ac:dyDescent="0.25">
      <c r="A3" s="71" t="s">
        <v>5</v>
      </c>
      <c r="B3" s="72" t="s">
        <v>6</v>
      </c>
      <c r="C3" s="71" t="s">
        <v>7</v>
      </c>
      <c r="D3" s="54">
        <v>78.95</v>
      </c>
      <c r="E3" s="54">
        <v>78.95</v>
      </c>
      <c r="F3" s="73">
        <v>4.4973999999999995E-3</v>
      </c>
      <c r="G3" s="74">
        <f>ROUND(pres!$C$2*calculo!F3,2)</f>
        <v>270.37</v>
      </c>
      <c r="H3" s="54">
        <f>IFERROR(VLOOKUP(C3,consumo_agua!$A$7:$AA$202,27,0),0)</f>
        <v>15.49</v>
      </c>
      <c r="I3" s="74">
        <f t="shared" si="0"/>
        <v>285.86</v>
      </c>
    </row>
    <row r="4" spans="1:9" x14ac:dyDescent="0.25">
      <c r="A4" s="71" t="s">
        <v>5</v>
      </c>
      <c r="B4" s="72" t="s">
        <v>6</v>
      </c>
      <c r="C4" s="71" t="s">
        <v>670</v>
      </c>
      <c r="D4" s="54">
        <v>0</v>
      </c>
      <c r="E4" s="54">
        <v>0</v>
      </c>
      <c r="F4" s="73">
        <v>1.2690000000000002E-3</v>
      </c>
      <c r="G4" s="74">
        <f>ROUND(pres!$C$2*calculo!F4,2)</f>
        <v>76.290000000000006</v>
      </c>
      <c r="H4" s="54">
        <f>IFERROR(VLOOKUP(C4,consumo_agua!$A$7:$AA$202,27,0),0)</f>
        <v>0</v>
      </c>
      <c r="I4" s="74">
        <f t="shared" si="0"/>
        <v>76.290000000000006</v>
      </c>
    </row>
    <row r="5" spans="1:9" x14ac:dyDescent="0.25">
      <c r="A5" s="71" t="s">
        <v>8</v>
      </c>
      <c r="B5" s="72" t="s">
        <v>9</v>
      </c>
      <c r="C5" s="71" t="s">
        <v>10</v>
      </c>
      <c r="D5" s="54">
        <v>74.599999999999994</v>
      </c>
      <c r="E5" s="54">
        <v>74.599999999999994</v>
      </c>
      <c r="F5" s="73">
        <v>4.4973999999999995E-3</v>
      </c>
      <c r="G5" s="74">
        <f>ROUND(pres!$C$2*calculo!F5,2)</f>
        <v>270.37</v>
      </c>
      <c r="H5" s="54">
        <f>IFERROR(VLOOKUP(C5,consumo_agua!$A$7:$AA$202,27,0),0)</f>
        <v>24.79</v>
      </c>
      <c r="I5" s="74">
        <f t="shared" si="0"/>
        <v>295.16000000000003</v>
      </c>
    </row>
    <row r="6" spans="1:9" x14ac:dyDescent="0.25">
      <c r="A6" s="71" t="s">
        <v>8</v>
      </c>
      <c r="B6" s="72" t="s">
        <v>9</v>
      </c>
      <c r="C6" s="71" t="s">
        <v>671</v>
      </c>
      <c r="D6" s="54">
        <v>0</v>
      </c>
      <c r="E6" s="54">
        <v>0</v>
      </c>
      <c r="F6" s="73">
        <v>1.2690000000000002E-3</v>
      </c>
      <c r="G6" s="74">
        <f>ROUND(pres!$C$2*calculo!F6,2)</f>
        <v>76.290000000000006</v>
      </c>
      <c r="H6" s="54">
        <f>IFERROR(VLOOKUP(C6,consumo_agua!$A$7:$AA$202,27,0),0)</f>
        <v>0</v>
      </c>
      <c r="I6" s="74">
        <f t="shared" si="0"/>
        <v>76.290000000000006</v>
      </c>
    </row>
    <row r="7" spans="1:9" x14ac:dyDescent="0.25">
      <c r="A7" s="71" t="s">
        <v>11</v>
      </c>
      <c r="B7" s="72" t="s">
        <v>12</v>
      </c>
      <c r="C7" s="71" t="s">
        <v>13</v>
      </c>
      <c r="D7" s="54">
        <v>33</v>
      </c>
      <c r="E7" s="54">
        <v>33</v>
      </c>
      <c r="F7" s="73">
        <v>2.6939000000000004E-3</v>
      </c>
      <c r="G7" s="74">
        <f>ROUND(pres!$C$2*calculo!F7,2)</f>
        <v>161.94999999999999</v>
      </c>
      <c r="H7" s="54">
        <f>IFERROR(VLOOKUP(C7,consumo_agua!$A$7:$AA$202,27,0),0)</f>
        <v>9.3000000000000007</v>
      </c>
      <c r="I7" s="74">
        <f t="shared" si="0"/>
        <v>171.25</v>
      </c>
    </row>
    <row r="8" spans="1:9" x14ac:dyDescent="0.25">
      <c r="A8" s="71" t="s">
        <v>14</v>
      </c>
      <c r="B8" s="72" t="s">
        <v>15</v>
      </c>
      <c r="C8" s="71" t="s">
        <v>16</v>
      </c>
      <c r="D8" s="54">
        <v>77.05</v>
      </c>
      <c r="E8" s="54">
        <v>77.05</v>
      </c>
      <c r="F8" s="73">
        <v>4.4973999999999995E-3</v>
      </c>
      <c r="G8" s="74">
        <f>ROUND(pres!$C$2*calculo!F8,2)</f>
        <v>270.37</v>
      </c>
      <c r="H8" s="54">
        <f>IFERROR(VLOOKUP(C8,consumo_agua!$A$7:$AA$202,27,0),0)</f>
        <v>12.4</v>
      </c>
      <c r="I8" s="74">
        <f t="shared" si="0"/>
        <v>282.77</v>
      </c>
    </row>
    <row r="9" spans="1:9" x14ac:dyDescent="0.25">
      <c r="A9" s="71" t="s">
        <v>14</v>
      </c>
      <c r="B9" s="72" t="s">
        <v>15</v>
      </c>
      <c r="C9" s="71" t="s">
        <v>672</v>
      </c>
      <c r="D9" s="54">
        <v>0</v>
      </c>
      <c r="E9" s="54">
        <v>0</v>
      </c>
      <c r="F9" s="73">
        <v>1.2690000000000002E-3</v>
      </c>
      <c r="G9" s="74">
        <f>ROUND(pres!$C$2*calculo!F9,2)</f>
        <v>76.290000000000006</v>
      </c>
      <c r="H9" s="54">
        <f>IFERROR(VLOOKUP(C9,consumo_agua!$A$7:$AA$202,27,0),0)</f>
        <v>0</v>
      </c>
      <c r="I9" s="74">
        <f t="shared" si="0"/>
        <v>76.290000000000006</v>
      </c>
    </row>
    <row r="10" spans="1:9" x14ac:dyDescent="0.25">
      <c r="A10" s="71" t="s">
        <v>17</v>
      </c>
      <c r="B10" s="72" t="s">
        <v>18</v>
      </c>
      <c r="C10" s="71" t="s">
        <v>19</v>
      </c>
      <c r="D10" s="54">
        <v>78.95</v>
      </c>
      <c r="E10" s="54">
        <v>78.95</v>
      </c>
      <c r="F10" s="73">
        <v>4.4973999999999995E-3</v>
      </c>
      <c r="G10" s="74">
        <f>ROUND(pres!$C$2*calculo!F10,2)</f>
        <v>270.37</v>
      </c>
      <c r="H10" s="54">
        <f>IFERROR(VLOOKUP(C10,consumo_agua!$A$7:$AA$202,27,0),0)</f>
        <v>55.78</v>
      </c>
      <c r="I10" s="74">
        <f t="shared" si="0"/>
        <v>326.14999999999998</v>
      </c>
    </row>
    <row r="11" spans="1:9" x14ac:dyDescent="0.25">
      <c r="A11" s="71" t="s">
        <v>17</v>
      </c>
      <c r="B11" s="72" t="s">
        <v>18</v>
      </c>
      <c r="C11" s="71" t="s">
        <v>673</v>
      </c>
      <c r="D11" s="54">
        <v>0</v>
      </c>
      <c r="E11" s="54">
        <v>0</v>
      </c>
      <c r="F11" s="73">
        <v>1.2690000000000002E-3</v>
      </c>
      <c r="G11" s="74">
        <f>ROUND(pres!$C$2*calculo!F11,2)</f>
        <v>76.290000000000006</v>
      </c>
      <c r="H11" s="54">
        <f>IFERROR(VLOOKUP(C11,consumo_agua!$A$7:$AA$202,27,0),0)</f>
        <v>0</v>
      </c>
      <c r="I11" s="74">
        <f t="shared" si="0"/>
        <v>76.290000000000006</v>
      </c>
    </row>
    <row r="12" spans="1:9" x14ac:dyDescent="0.25">
      <c r="A12" s="71" t="s">
        <v>20</v>
      </c>
      <c r="B12" s="72" t="s">
        <v>21</v>
      </c>
      <c r="C12" s="71" t="s">
        <v>22</v>
      </c>
      <c r="D12" s="54">
        <v>92.5</v>
      </c>
      <c r="E12" s="54">
        <v>92.5</v>
      </c>
      <c r="F12" s="73">
        <v>5.6772999999999997E-3</v>
      </c>
      <c r="G12" s="74">
        <f>ROUND(pres!$C$2*calculo!F12,2)</f>
        <v>341.3</v>
      </c>
      <c r="H12" s="54">
        <f>IFERROR(VLOOKUP(C12,consumo_agua!$A$7:$AA$202,27,0),0)</f>
        <v>3.1</v>
      </c>
      <c r="I12" s="74">
        <f t="shared" si="0"/>
        <v>344.40000000000003</v>
      </c>
    </row>
    <row r="13" spans="1:9" x14ac:dyDescent="0.25">
      <c r="A13" s="71" t="s">
        <v>20</v>
      </c>
      <c r="B13" s="72" t="s">
        <v>21</v>
      </c>
      <c r="C13" s="75" t="s">
        <v>674</v>
      </c>
      <c r="D13" s="54">
        <v>0</v>
      </c>
      <c r="E13" s="54">
        <v>0</v>
      </c>
      <c r="F13" s="73">
        <v>1.2690000000000002E-3</v>
      </c>
      <c r="G13" s="74">
        <f>ROUND(pres!$C$2*calculo!F13,2)</f>
        <v>76.290000000000006</v>
      </c>
      <c r="H13" s="54">
        <f>IFERROR(VLOOKUP(C13,consumo_agua!$A$7:$AA$202,27,0),0)</f>
        <v>0</v>
      </c>
      <c r="I13" s="74">
        <f t="shared" si="0"/>
        <v>76.290000000000006</v>
      </c>
    </row>
    <row r="14" spans="1:9" x14ac:dyDescent="0.25">
      <c r="A14" s="71" t="s">
        <v>23</v>
      </c>
      <c r="B14" s="72" t="s">
        <v>24</v>
      </c>
      <c r="C14" s="71" t="s">
        <v>25</v>
      </c>
      <c r="D14" s="54">
        <v>81</v>
      </c>
      <c r="E14" s="54">
        <v>81</v>
      </c>
      <c r="F14" s="73">
        <v>4.4973999999999995E-3</v>
      </c>
      <c r="G14" s="74">
        <f>ROUND(pres!$C$2*calculo!F14,2)</f>
        <v>270.37</v>
      </c>
      <c r="H14" s="54">
        <f>IFERROR(VLOOKUP(C14,consumo_agua!$A$7:$AA$202,27,0),0)</f>
        <v>15.49</v>
      </c>
      <c r="I14" s="74">
        <f t="shared" si="0"/>
        <v>285.86</v>
      </c>
    </row>
    <row r="15" spans="1:9" x14ac:dyDescent="0.25">
      <c r="A15" s="71" t="s">
        <v>26</v>
      </c>
      <c r="B15" s="72" t="s">
        <v>27</v>
      </c>
      <c r="C15" s="71" t="s">
        <v>28</v>
      </c>
      <c r="D15" s="54">
        <v>43.35</v>
      </c>
      <c r="E15" s="54">
        <v>43.35</v>
      </c>
      <c r="F15" s="73">
        <v>2.6939000000000004E-3</v>
      </c>
      <c r="G15" s="74">
        <f>ROUND(pres!$C$2*calculo!F15,2)</f>
        <v>161.94999999999999</v>
      </c>
      <c r="H15" s="54">
        <f>IFERROR(VLOOKUP(C15,consumo_agua!$A$7:$AA$202,27,0),0)</f>
        <v>15.49</v>
      </c>
      <c r="I15" s="74">
        <f t="shared" si="0"/>
        <v>177.44</v>
      </c>
    </row>
    <row r="16" spans="1:9" x14ac:dyDescent="0.25">
      <c r="A16" s="71" t="s">
        <v>26</v>
      </c>
      <c r="B16" s="72" t="s">
        <v>27</v>
      </c>
      <c r="C16" s="71" t="s">
        <v>675</v>
      </c>
      <c r="D16" s="54">
        <v>0</v>
      </c>
      <c r="E16" s="54">
        <v>0</v>
      </c>
      <c r="F16" s="73">
        <v>1.2690000000000002E-3</v>
      </c>
      <c r="G16" s="74">
        <f>ROUND(pres!$C$2*calculo!F16,2)</f>
        <v>76.290000000000006</v>
      </c>
      <c r="H16" s="54">
        <f>IFERROR(VLOOKUP(C16,consumo_agua!$A$7:$AA$202,27,0),0)</f>
        <v>0</v>
      </c>
      <c r="I16" s="74">
        <f t="shared" si="0"/>
        <v>76.290000000000006</v>
      </c>
    </row>
    <row r="17" spans="1:9" x14ac:dyDescent="0.25">
      <c r="A17" s="71" t="s">
        <v>29</v>
      </c>
      <c r="B17" s="72" t="s">
        <v>30</v>
      </c>
      <c r="C17" s="71" t="s">
        <v>31</v>
      </c>
      <c r="D17" s="54">
        <v>33</v>
      </c>
      <c r="E17" s="54">
        <v>33</v>
      </c>
      <c r="F17" s="73">
        <v>2.6939000000000004E-3</v>
      </c>
      <c r="G17" s="74">
        <f>ROUND(pres!$C$2*calculo!F17,2)</f>
        <v>161.94999999999999</v>
      </c>
      <c r="H17" s="54">
        <f>IFERROR(VLOOKUP(C17,consumo_agua!$A$7:$AA$202,27,0),0)</f>
        <v>9.3000000000000007</v>
      </c>
      <c r="I17" s="74">
        <f t="shared" si="0"/>
        <v>171.25</v>
      </c>
    </row>
    <row r="18" spans="1:9" x14ac:dyDescent="0.25">
      <c r="A18" s="71" t="s">
        <v>32</v>
      </c>
      <c r="B18" s="72" t="s">
        <v>33</v>
      </c>
      <c r="C18" s="71" t="s">
        <v>34</v>
      </c>
      <c r="D18" s="54">
        <v>0</v>
      </c>
      <c r="E18" s="54">
        <v>0</v>
      </c>
      <c r="F18" s="73">
        <v>1.2690000000000002E-3</v>
      </c>
      <c r="G18" s="74">
        <f>ROUND(pres!$C$2*calculo!F18,2)</f>
        <v>76.290000000000006</v>
      </c>
      <c r="H18" s="54">
        <f>IFERROR(VLOOKUP(C18,consumo_agua!$A$7:$AA$202,27,0),0)</f>
        <v>0</v>
      </c>
      <c r="I18" s="74">
        <f t="shared" si="0"/>
        <v>76.290000000000006</v>
      </c>
    </row>
    <row r="19" spans="1:9" x14ac:dyDescent="0.25">
      <c r="A19" s="71" t="s">
        <v>35</v>
      </c>
      <c r="B19" s="72" t="s">
        <v>36</v>
      </c>
      <c r="C19" s="71" t="s">
        <v>37</v>
      </c>
      <c r="D19" s="54">
        <v>76.150000000000006</v>
      </c>
      <c r="E19" s="54">
        <v>76.150000000000006</v>
      </c>
      <c r="F19" s="73">
        <v>4.4973999999999995E-3</v>
      </c>
      <c r="G19" s="74">
        <f>ROUND(pres!$C$2*calculo!F19,2)</f>
        <v>270.37</v>
      </c>
      <c r="H19" s="54">
        <f>IFERROR(VLOOKUP(C19,consumo_agua!$A$7:$AA$202,27,0),0)</f>
        <v>6.2</v>
      </c>
      <c r="I19" s="74">
        <f t="shared" si="0"/>
        <v>276.57</v>
      </c>
    </row>
    <row r="20" spans="1:9" x14ac:dyDescent="0.25">
      <c r="A20" s="71" t="s">
        <v>35</v>
      </c>
      <c r="B20" s="72" t="s">
        <v>36</v>
      </c>
      <c r="C20" s="71" t="s">
        <v>676</v>
      </c>
      <c r="D20" s="54">
        <v>0</v>
      </c>
      <c r="E20" s="54">
        <v>0</v>
      </c>
      <c r="F20" s="73">
        <v>1.2690000000000002E-3</v>
      </c>
      <c r="G20" s="74">
        <f>ROUND(pres!$C$2*calculo!F20,2)</f>
        <v>76.290000000000006</v>
      </c>
      <c r="H20" s="54">
        <f>IFERROR(VLOOKUP(C20,consumo_agua!$A$7:$AA$202,27,0),0)</f>
        <v>0</v>
      </c>
      <c r="I20" s="74">
        <f t="shared" si="0"/>
        <v>76.290000000000006</v>
      </c>
    </row>
    <row r="21" spans="1:9" x14ac:dyDescent="0.25">
      <c r="A21" s="71" t="s">
        <v>38</v>
      </c>
      <c r="B21" s="72" t="s">
        <v>39</v>
      </c>
      <c r="C21" s="71" t="s">
        <v>40</v>
      </c>
      <c r="D21" s="54">
        <v>77.05</v>
      </c>
      <c r="E21" s="54">
        <v>77.05</v>
      </c>
      <c r="F21" s="73">
        <v>4.4973999999999995E-3</v>
      </c>
      <c r="G21" s="74">
        <f>ROUND(pres!$C$2*calculo!F21,2)</f>
        <v>270.37</v>
      </c>
      <c r="H21" s="54">
        <f>IFERROR(VLOOKUP(C21,consumo_agua!$A$7:$AA$202,27,0),0)</f>
        <v>9.3000000000000007</v>
      </c>
      <c r="I21" s="74">
        <f t="shared" si="0"/>
        <v>279.67</v>
      </c>
    </row>
    <row r="22" spans="1:9" x14ac:dyDescent="0.25">
      <c r="A22" s="71" t="s">
        <v>38</v>
      </c>
      <c r="B22" s="72" t="s">
        <v>39</v>
      </c>
      <c r="C22" s="71" t="s">
        <v>677</v>
      </c>
      <c r="D22" s="54">
        <v>0</v>
      </c>
      <c r="E22" s="54">
        <v>0</v>
      </c>
      <c r="F22" s="73">
        <v>1.2690000000000002E-3</v>
      </c>
      <c r="G22" s="74">
        <f>ROUND(pres!$C$2*calculo!F22,2)</f>
        <v>76.290000000000006</v>
      </c>
      <c r="H22" s="54">
        <f>IFERROR(VLOOKUP(C22,consumo_agua!$A$7:$AA$202,27,0),0)</f>
        <v>0</v>
      </c>
      <c r="I22" s="74">
        <f t="shared" si="0"/>
        <v>76.290000000000006</v>
      </c>
    </row>
    <row r="23" spans="1:9" x14ac:dyDescent="0.25">
      <c r="A23" s="71" t="s">
        <v>41</v>
      </c>
      <c r="B23" s="72" t="s">
        <v>42</v>
      </c>
      <c r="C23" s="71" t="s">
        <v>43</v>
      </c>
      <c r="D23" s="54">
        <v>138.55000000000001</v>
      </c>
      <c r="E23" s="54">
        <v>158.86000000000001</v>
      </c>
      <c r="F23" s="73">
        <v>6.2785000000000002E-3</v>
      </c>
      <c r="G23" s="74">
        <f>ROUND(pres!$C$2*calculo!F23,2)</f>
        <v>377.44</v>
      </c>
      <c r="H23" s="54">
        <f>IFERROR(VLOOKUP(C23,consumo_agua!$A$7:$AA$202,27,0),0)</f>
        <v>71.27</v>
      </c>
      <c r="I23" s="74">
        <f t="shared" si="0"/>
        <v>448.71</v>
      </c>
    </row>
    <row r="24" spans="1:9" x14ac:dyDescent="0.25">
      <c r="A24" s="71" t="s">
        <v>41</v>
      </c>
      <c r="B24" s="72" t="s">
        <v>42</v>
      </c>
      <c r="C24" s="71" t="s">
        <v>678</v>
      </c>
      <c r="D24" s="54">
        <v>0</v>
      </c>
      <c r="E24" s="54">
        <v>0</v>
      </c>
      <c r="F24" s="73">
        <v>1.2690000000000002E-3</v>
      </c>
      <c r="G24" s="74">
        <f>ROUND(pres!$C$2*calculo!F24,2)</f>
        <v>76.290000000000006</v>
      </c>
      <c r="H24" s="54">
        <f>IFERROR(VLOOKUP(C24,consumo_agua!$A$7:$AA$202,27,0),0)</f>
        <v>0</v>
      </c>
      <c r="I24" s="74">
        <f t="shared" si="0"/>
        <v>76.290000000000006</v>
      </c>
    </row>
    <row r="25" spans="1:9" x14ac:dyDescent="0.25">
      <c r="A25" s="71" t="s">
        <v>41</v>
      </c>
      <c r="B25" s="72" t="s">
        <v>42</v>
      </c>
      <c r="C25" s="71" t="s">
        <v>679</v>
      </c>
      <c r="D25" s="54">
        <v>0</v>
      </c>
      <c r="E25" s="54">
        <v>0</v>
      </c>
      <c r="F25" s="73">
        <v>1.2690000000000002E-3</v>
      </c>
      <c r="G25" s="74">
        <f>ROUND(pres!$C$2*calculo!F25,2)</f>
        <v>76.290000000000006</v>
      </c>
      <c r="H25" s="54">
        <f>IFERROR(VLOOKUP(C25,consumo_agua!$A$7:$AA$202,27,0),0)</f>
        <v>0</v>
      </c>
      <c r="I25" s="74">
        <f t="shared" si="0"/>
        <v>76.290000000000006</v>
      </c>
    </row>
    <row r="26" spans="1:9" x14ac:dyDescent="0.25">
      <c r="A26" s="71" t="s">
        <v>44</v>
      </c>
      <c r="B26" s="72" t="s">
        <v>45</v>
      </c>
      <c r="C26" s="71" t="s">
        <v>46</v>
      </c>
      <c r="D26" s="54">
        <v>92.5</v>
      </c>
      <c r="E26" s="54">
        <v>92.5</v>
      </c>
      <c r="F26" s="73">
        <v>5.6772999999999997E-3</v>
      </c>
      <c r="G26" s="74">
        <f>ROUND(pres!$C$2*calculo!F26,2)</f>
        <v>341.3</v>
      </c>
      <c r="H26" s="54">
        <f>IFERROR(VLOOKUP(C26,consumo_agua!$A$7:$AA$202,27,0),0)</f>
        <v>12.4</v>
      </c>
      <c r="I26" s="74">
        <f t="shared" si="0"/>
        <v>353.7</v>
      </c>
    </row>
    <row r="27" spans="1:9" x14ac:dyDescent="0.25">
      <c r="A27" s="71" t="s">
        <v>44</v>
      </c>
      <c r="B27" s="72" t="s">
        <v>45</v>
      </c>
      <c r="C27" s="71" t="s">
        <v>680</v>
      </c>
      <c r="D27" s="54">
        <v>0</v>
      </c>
      <c r="E27" s="54">
        <v>0</v>
      </c>
      <c r="F27" s="73">
        <v>1.2690000000000002E-3</v>
      </c>
      <c r="G27" s="74">
        <f>ROUND(pres!$C$2*calculo!F27,2)</f>
        <v>76.290000000000006</v>
      </c>
      <c r="H27" s="54">
        <f>IFERROR(VLOOKUP(C27,consumo_agua!$A$7:$AA$202,27,0),0)</f>
        <v>0</v>
      </c>
      <c r="I27" s="74">
        <f t="shared" si="0"/>
        <v>76.290000000000006</v>
      </c>
    </row>
    <row r="28" spans="1:9" x14ac:dyDescent="0.25">
      <c r="A28" s="71" t="s">
        <v>47</v>
      </c>
      <c r="B28" s="72" t="s">
        <v>48</v>
      </c>
      <c r="C28" s="71" t="s">
        <v>49</v>
      </c>
      <c r="D28" s="54">
        <v>43.35</v>
      </c>
      <c r="E28" s="54">
        <v>43.35</v>
      </c>
      <c r="F28" s="73">
        <v>2.6939000000000004E-3</v>
      </c>
      <c r="G28" s="74">
        <f>ROUND(pres!$C$2*calculo!F28,2)</f>
        <v>161.94999999999999</v>
      </c>
      <c r="H28" s="54">
        <f>IFERROR(VLOOKUP(C28,consumo_agua!$A$7:$AA$202,27,0),0)</f>
        <v>18.59</v>
      </c>
      <c r="I28" s="74">
        <f t="shared" si="0"/>
        <v>180.54</v>
      </c>
    </row>
    <row r="29" spans="1:9" x14ac:dyDescent="0.25">
      <c r="A29" s="71" t="s">
        <v>47</v>
      </c>
      <c r="B29" s="72" t="s">
        <v>48</v>
      </c>
      <c r="C29" s="71" t="s">
        <v>658</v>
      </c>
      <c r="D29" s="54">
        <v>43.35</v>
      </c>
      <c r="E29" s="54">
        <v>43.35</v>
      </c>
      <c r="F29" s="73">
        <v>2.6939000000000004E-3</v>
      </c>
      <c r="G29" s="74">
        <f>ROUND(pres!$C$2*calculo!F29,2)</f>
        <v>161.94999999999999</v>
      </c>
      <c r="H29" s="54">
        <f>IFERROR(VLOOKUP(C29,consumo_agua!$A$7:$AA$202,27,0),0)</f>
        <v>27.89</v>
      </c>
      <c r="I29" s="74">
        <f t="shared" si="0"/>
        <v>189.83999999999997</v>
      </c>
    </row>
    <row r="30" spans="1:9" x14ac:dyDescent="0.25">
      <c r="A30" s="71" t="s">
        <v>47</v>
      </c>
      <c r="B30" s="72" t="s">
        <v>48</v>
      </c>
      <c r="C30" s="71" t="s">
        <v>681</v>
      </c>
      <c r="D30" s="54">
        <v>0</v>
      </c>
      <c r="E30" s="54">
        <v>0</v>
      </c>
      <c r="F30" s="73">
        <v>1.2690000000000002E-3</v>
      </c>
      <c r="G30" s="74">
        <f>ROUND(pres!$C$2*calculo!F30,2)</f>
        <v>76.290000000000006</v>
      </c>
      <c r="H30" s="54">
        <f>IFERROR(VLOOKUP(C30,consumo_agua!$A$7:$AA$202,27,0),0)</f>
        <v>0</v>
      </c>
      <c r="I30" s="74">
        <f t="shared" si="0"/>
        <v>76.290000000000006</v>
      </c>
    </row>
    <row r="31" spans="1:9" x14ac:dyDescent="0.25">
      <c r="A31" s="71" t="s">
        <v>50</v>
      </c>
      <c r="B31" s="72" t="s">
        <v>51</v>
      </c>
      <c r="C31" s="71" t="s">
        <v>52</v>
      </c>
      <c r="D31" s="54">
        <v>68</v>
      </c>
      <c r="E31" s="54">
        <v>68</v>
      </c>
      <c r="F31" s="73">
        <v>4.4973999999999995E-3</v>
      </c>
      <c r="G31" s="74">
        <f>ROUND(pres!$C$2*calculo!F31,2)</f>
        <v>270.37</v>
      </c>
      <c r="H31" s="54">
        <f>IFERROR(VLOOKUP(C31,consumo_agua!$A$7:$AA$202,27,0),0)</f>
        <v>12.4</v>
      </c>
      <c r="I31" s="74">
        <f t="shared" si="0"/>
        <v>282.77</v>
      </c>
    </row>
    <row r="32" spans="1:9" x14ac:dyDescent="0.25">
      <c r="A32" s="71" t="s">
        <v>50</v>
      </c>
      <c r="B32" s="72" t="s">
        <v>51</v>
      </c>
      <c r="C32" s="71" t="s">
        <v>682</v>
      </c>
      <c r="D32" s="54">
        <v>0</v>
      </c>
      <c r="E32" s="54">
        <v>0</v>
      </c>
      <c r="F32" s="73">
        <v>1.2690000000000002E-3</v>
      </c>
      <c r="G32" s="74">
        <f>ROUND(pres!$C$2*calculo!F32,2)</f>
        <v>76.290000000000006</v>
      </c>
      <c r="H32" s="54">
        <f>IFERROR(VLOOKUP(C32,consumo_agua!$A$7:$AA$202,27,0),0)</f>
        <v>0</v>
      </c>
      <c r="I32" s="74">
        <f t="shared" si="0"/>
        <v>76.290000000000006</v>
      </c>
    </row>
    <row r="33" spans="1:9" x14ac:dyDescent="0.25">
      <c r="A33" s="71" t="s">
        <v>50</v>
      </c>
      <c r="B33" s="72" t="s">
        <v>51</v>
      </c>
      <c r="C33" s="71" t="s">
        <v>683</v>
      </c>
      <c r="D33" s="54">
        <v>0</v>
      </c>
      <c r="E33" s="54">
        <v>0</v>
      </c>
      <c r="F33" s="73">
        <v>1.2690000000000002E-3</v>
      </c>
      <c r="G33" s="74">
        <f>ROUND(pres!$C$2*calculo!F33,2)</f>
        <v>76.290000000000006</v>
      </c>
      <c r="H33" s="54">
        <f>IFERROR(VLOOKUP(C33,consumo_agua!$A$7:$AA$202,27,0),0)</f>
        <v>0</v>
      </c>
      <c r="I33" s="74">
        <f t="shared" si="0"/>
        <v>76.290000000000006</v>
      </c>
    </row>
    <row r="34" spans="1:9" x14ac:dyDescent="0.25">
      <c r="A34" s="71" t="s">
        <v>50</v>
      </c>
      <c r="B34" s="72" t="s">
        <v>51</v>
      </c>
      <c r="C34" s="71" t="s">
        <v>684</v>
      </c>
      <c r="D34" s="54">
        <v>0</v>
      </c>
      <c r="E34" s="54">
        <v>0</v>
      </c>
      <c r="F34" s="73">
        <v>1.2690000000000002E-3</v>
      </c>
      <c r="G34" s="74">
        <f>ROUND(pres!$C$2*calculo!F34,2)</f>
        <v>76.290000000000006</v>
      </c>
      <c r="H34" s="54">
        <f>IFERROR(VLOOKUP(C34,consumo_agua!$A$7:$AA$202,27,0),0)</f>
        <v>0</v>
      </c>
      <c r="I34" s="74">
        <f t="shared" si="0"/>
        <v>76.290000000000006</v>
      </c>
    </row>
    <row r="35" spans="1:9" x14ac:dyDescent="0.25">
      <c r="A35" s="71" t="s">
        <v>50</v>
      </c>
      <c r="B35" s="72" t="s">
        <v>51</v>
      </c>
      <c r="C35" s="71" t="s">
        <v>685</v>
      </c>
      <c r="D35" s="54">
        <v>0</v>
      </c>
      <c r="E35" s="54">
        <v>0</v>
      </c>
      <c r="F35" s="73">
        <v>1.2690000000000002E-3</v>
      </c>
      <c r="G35" s="74">
        <f>ROUND(pres!$C$2*calculo!F35,2)</f>
        <v>76.290000000000006</v>
      </c>
      <c r="H35" s="54">
        <f>IFERROR(VLOOKUP(C35,consumo_agua!$A$7:$AA$202,27,0),0)</f>
        <v>0</v>
      </c>
      <c r="I35" s="74">
        <f t="shared" si="0"/>
        <v>76.290000000000006</v>
      </c>
    </row>
    <row r="36" spans="1:9" x14ac:dyDescent="0.25">
      <c r="A36" s="71" t="s">
        <v>50</v>
      </c>
      <c r="B36" s="72" t="s">
        <v>51</v>
      </c>
      <c r="C36" s="71" t="s">
        <v>686</v>
      </c>
      <c r="D36" s="54">
        <v>0</v>
      </c>
      <c r="E36" s="54">
        <v>0</v>
      </c>
      <c r="F36" s="73">
        <v>1.2690000000000002E-3</v>
      </c>
      <c r="G36" s="74">
        <f>ROUND(pres!$C$2*calculo!F36,2)</f>
        <v>76.290000000000006</v>
      </c>
      <c r="H36" s="54">
        <f>IFERROR(VLOOKUP(C36,consumo_agua!$A$7:$AA$202,27,0),0)</f>
        <v>0</v>
      </c>
      <c r="I36" s="74">
        <f t="shared" si="0"/>
        <v>76.290000000000006</v>
      </c>
    </row>
    <row r="37" spans="1:9" x14ac:dyDescent="0.25">
      <c r="A37" s="71" t="s">
        <v>50</v>
      </c>
      <c r="B37" s="72" t="s">
        <v>51</v>
      </c>
      <c r="C37" s="71" t="s">
        <v>688</v>
      </c>
      <c r="D37" s="54">
        <v>0</v>
      </c>
      <c r="E37" s="54">
        <v>0</v>
      </c>
      <c r="F37" s="73">
        <v>1.2690000000000002E-3</v>
      </c>
      <c r="G37" s="74">
        <f>ROUND(pres!$C$2*calculo!F37,2)</f>
        <v>76.290000000000006</v>
      </c>
      <c r="H37" s="54">
        <f>IFERROR(VLOOKUP(C37,consumo_agua!$A$7:$AA$202,27,0),0)</f>
        <v>0</v>
      </c>
      <c r="I37" s="74">
        <f t="shared" si="0"/>
        <v>76.290000000000006</v>
      </c>
    </row>
    <row r="38" spans="1:9" x14ac:dyDescent="0.25">
      <c r="A38" s="71" t="s">
        <v>50</v>
      </c>
      <c r="B38" s="72" t="s">
        <v>51</v>
      </c>
      <c r="C38" s="71" t="s">
        <v>690</v>
      </c>
      <c r="D38" s="54">
        <v>0</v>
      </c>
      <c r="E38" s="54">
        <v>0</v>
      </c>
      <c r="F38" s="73">
        <v>1.2690000000000002E-3</v>
      </c>
      <c r="G38" s="74">
        <f>ROUND(pres!$C$2*calculo!F38,2)</f>
        <v>76.290000000000006</v>
      </c>
      <c r="H38" s="54">
        <f>IFERROR(VLOOKUP(C38,consumo_agua!$A$7:$AA$202,27,0),0)</f>
        <v>0</v>
      </c>
      <c r="I38" s="74">
        <f t="shared" si="0"/>
        <v>76.290000000000006</v>
      </c>
    </row>
    <row r="39" spans="1:9" x14ac:dyDescent="0.25">
      <c r="A39" s="71" t="s">
        <v>50</v>
      </c>
      <c r="B39" s="72" t="s">
        <v>51</v>
      </c>
      <c r="C39" s="71" t="s">
        <v>691</v>
      </c>
      <c r="D39" s="54">
        <v>0</v>
      </c>
      <c r="E39" s="54">
        <v>0</v>
      </c>
      <c r="F39" s="73">
        <v>1.2690000000000002E-3</v>
      </c>
      <c r="G39" s="74">
        <f>ROUND(pres!$C$2*calculo!F39,2)</f>
        <v>76.290000000000006</v>
      </c>
      <c r="H39" s="54">
        <f>IFERROR(VLOOKUP(C39,consumo_agua!$A$7:$AA$202,27,0),0)</f>
        <v>0</v>
      </c>
      <c r="I39" s="74">
        <f t="shared" si="0"/>
        <v>76.290000000000006</v>
      </c>
    </row>
    <row r="40" spans="1:9" x14ac:dyDescent="0.25">
      <c r="A40" s="71" t="s">
        <v>53</v>
      </c>
      <c r="B40" s="72" t="s">
        <v>54</v>
      </c>
      <c r="C40" s="71" t="s">
        <v>55</v>
      </c>
      <c r="D40" s="54">
        <v>44.45</v>
      </c>
      <c r="E40" s="54">
        <v>44.45</v>
      </c>
      <c r="F40" s="73">
        <v>2.6939000000000004E-3</v>
      </c>
      <c r="G40" s="74">
        <f>ROUND(pres!$C$2*calculo!F40,2)</f>
        <v>161.94999999999999</v>
      </c>
      <c r="H40" s="54">
        <f>IFERROR(VLOOKUP(C40,consumo_agua!$A$7:$AA$202,27,0),0)</f>
        <v>49.58</v>
      </c>
      <c r="I40" s="74">
        <f t="shared" si="0"/>
        <v>211.52999999999997</v>
      </c>
    </row>
    <row r="41" spans="1:9" x14ac:dyDescent="0.25">
      <c r="A41" s="71" t="s">
        <v>53</v>
      </c>
      <c r="B41" s="72" t="s">
        <v>54</v>
      </c>
      <c r="C41" s="71" t="s">
        <v>692</v>
      </c>
      <c r="D41" s="54">
        <v>0</v>
      </c>
      <c r="E41" s="54">
        <v>0</v>
      </c>
      <c r="F41" s="73">
        <v>3.6749999999999999E-4</v>
      </c>
      <c r="G41" s="74">
        <f>ROUND(pres!$C$2*calculo!F41,2)</f>
        <v>22.09</v>
      </c>
      <c r="H41" s="54">
        <f>IFERROR(VLOOKUP(C41,consumo_agua!$A$7:$AA$202,27,0),0)</f>
        <v>0</v>
      </c>
      <c r="I41" s="74">
        <f t="shared" si="0"/>
        <v>22.09</v>
      </c>
    </row>
    <row r="42" spans="1:9" x14ac:dyDescent="0.25">
      <c r="A42" s="71" t="s">
        <v>53</v>
      </c>
      <c r="B42" s="72" t="s">
        <v>54</v>
      </c>
      <c r="C42" s="71" t="s">
        <v>693</v>
      </c>
      <c r="D42" s="54">
        <v>0</v>
      </c>
      <c r="E42" s="54">
        <v>0</v>
      </c>
      <c r="F42" s="73">
        <v>1.2690000000000002E-3</v>
      </c>
      <c r="G42" s="74">
        <f>ROUND(pres!$C$2*calculo!F42,2)</f>
        <v>76.290000000000006</v>
      </c>
      <c r="H42" s="54">
        <f>IFERROR(VLOOKUP(C42,consumo_agua!$A$7:$AA$202,27,0),0)</f>
        <v>0</v>
      </c>
      <c r="I42" s="74">
        <f t="shared" si="0"/>
        <v>76.290000000000006</v>
      </c>
    </row>
    <row r="43" spans="1:9" x14ac:dyDescent="0.25">
      <c r="A43" s="71" t="s">
        <v>56</v>
      </c>
      <c r="B43" s="72" t="s">
        <v>57</v>
      </c>
      <c r="C43" s="71" t="s">
        <v>58</v>
      </c>
      <c r="D43" s="54">
        <v>92.5</v>
      </c>
      <c r="E43" s="54">
        <v>92.5</v>
      </c>
      <c r="F43" s="73">
        <v>5.6772999999999997E-3</v>
      </c>
      <c r="G43" s="74">
        <f>ROUND(pres!$C$2*calculo!F43,2)</f>
        <v>341.3</v>
      </c>
      <c r="H43" s="54">
        <f>IFERROR(VLOOKUP(C43,consumo_agua!$A$7:$AA$202,27,0),0)</f>
        <v>12.4</v>
      </c>
      <c r="I43" s="74">
        <f t="shared" si="0"/>
        <v>353.7</v>
      </c>
    </row>
    <row r="44" spans="1:9" x14ac:dyDescent="0.25">
      <c r="A44" s="71" t="s">
        <v>56</v>
      </c>
      <c r="B44" s="72" t="s">
        <v>57</v>
      </c>
      <c r="C44" s="71" t="s">
        <v>694</v>
      </c>
      <c r="D44" s="54">
        <v>0</v>
      </c>
      <c r="E44" s="54">
        <v>0</v>
      </c>
      <c r="F44" s="73">
        <v>1.2690000000000002E-3</v>
      </c>
      <c r="G44" s="74">
        <f>ROUND(pres!$C$2*calculo!F44,2)</f>
        <v>76.290000000000006</v>
      </c>
      <c r="H44" s="54">
        <f>IFERROR(VLOOKUP(C44,consumo_agua!$A$7:$AA$202,27,0),0)</f>
        <v>0</v>
      </c>
      <c r="I44" s="74">
        <f t="shared" si="0"/>
        <v>76.290000000000006</v>
      </c>
    </row>
    <row r="45" spans="1:9" x14ac:dyDescent="0.25">
      <c r="A45" s="71" t="s">
        <v>59</v>
      </c>
      <c r="B45" s="72" t="s">
        <v>60</v>
      </c>
      <c r="C45" s="71" t="s">
        <v>61</v>
      </c>
      <c r="D45" s="54">
        <v>76.150000000000006</v>
      </c>
      <c r="E45" s="54">
        <v>76.150000000000006</v>
      </c>
      <c r="F45" s="73">
        <v>4.4973999999999995E-3</v>
      </c>
      <c r="G45" s="74">
        <f>ROUND(pres!$C$2*calculo!F45,2)</f>
        <v>270.37</v>
      </c>
      <c r="H45" s="54">
        <f>IFERROR(VLOOKUP(C45,consumo_agua!$A$7:$AA$202,27,0),0)</f>
        <v>12.4</v>
      </c>
      <c r="I45" s="74">
        <f t="shared" si="0"/>
        <v>282.77</v>
      </c>
    </row>
    <row r="46" spans="1:9" x14ac:dyDescent="0.25">
      <c r="A46" s="71" t="s">
        <v>59</v>
      </c>
      <c r="B46" s="72" t="s">
        <v>60</v>
      </c>
      <c r="C46" s="71" t="s">
        <v>695</v>
      </c>
      <c r="D46" s="54">
        <v>0</v>
      </c>
      <c r="E46" s="54">
        <v>0</v>
      </c>
      <c r="F46" s="73">
        <v>1.2690000000000002E-3</v>
      </c>
      <c r="G46" s="74">
        <f>ROUND(pres!$C$2*calculo!F46,2)</f>
        <v>76.290000000000006</v>
      </c>
      <c r="H46" s="54">
        <f>IFERROR(VLOOKUP(C46,consumo_agua!$A$7:$AA$202,27,0),0)</f>
        <v>0</v>
      </c>
      <c r="I46" s="74">
        <f t="shared" si="0"/>
        <v>76.290000000000006</v>
      </c>
    </row>
    <row r="47" spans="1:9" x14ac:dyDescent="0.25">
      <c r="A47" s="71" t="s">
        <v>62</v>
      </c>
      <c r="B47" s="72" t="s">
        <v>63</v>
      </c>
      <c r="C47" s="71" t="s">
        <v>64</v>
      </c>
      <c r="D47" s="54">
        <v>81</v>
      </c>
      <c r="E47" s="54">
        <v>81</v>
      </c>
      <c r="F47" s="73">
        <v>4.4973999999999995E-3</v>
      </c>
      <c r="G47" s="74">
        <f>ROUND(pres!$C$2*calculo!F47,2)</f>
        <v>270.37</v>
      </c>
      <c r="H47" s="54">
        <f>IFERROR(VLOOKUP(C47,consumo_agua!$A$7:$AA$202,27,0),0)</f>
        <v>58.88</v>
      </c>
      <c r="I47" s="74">
        <f t="shared" si="0"/>
        <v>329.25</v>
      </c>
    </row>
    <row r="48" spans="1:9" x14ac:dyDescent="0.25">
      <c r="A48" s="71" t="s">
        <v>62</v>
      </c>
      <c r="B48" s="72" t="s">
        <v>63</v>
      </c>
      <c r="C48" s="71" t="s">
        <v>696</v>
      </c>
      <c r="D48" s="54">
        <v>0</v>
      </c>
      <c r="E48" s="54">
        <v>0</v>
      </c>
      <c r="F48" s="73">
        <v>1.2690000000000002E-3</v>
      </c>
      <c r="G48" s="74">
        <f>ROUND(pres!$C$2*calculo!F48,2)</f>
        <v>76.290000000000006</v>
      </c>
      <c r="H48" s="54">
        <f>IFERROR(VLOOKUP(C48,consumo_agua!$A$7:$AA$202,27,0),0)</f>
        <v>0</v>
      </c>
      <c r="I48" s="74">
        <f t="shared" si="0"/>
        <v>76.290000000000006</v>
      </c>
    </row>
    <row r="49" spans="1:9" x14ac:dyDescent="0.25">
      <c r="A49" s="71" t="s">
        <v>65</v>
      </c>
      <c r="B49" s="72" t="s">
        <v>66</v>
      </c>
      <c r="C49" s="71" t="s">
        <v>67</v>
      </c>
      <c r="D49" s="54">
        <v>81</v>
      </c>
      <c r="E49" s="54">
        <v>81</v>
      </c>
      <c r="F49" s="73">
        <v>4.4973999999999995E-3</v>
      </c>
      <c r="G49" s="74">
        <f>ROUND(pres!$C$2*calculo!F49,2)</f>
        <v>270.37</v>
      </c>
      <c r="H49" s="54">
        <f>IFERROR(VLOOKUP(C49,consumo_agua!$A$7:$AA$202,27,0),0)</f>
        <v>15.49</v>
      </c>
      <c r="I49" s="74">
        <f t="shared" si="0"/>
        <v>285.86</v>
      </c>
    </row>
    <row r="50" spans="1:9" x14ac:dyDescent="0.25">
      <c r="A50" s="71" t="s">
        <v>65</v>
      </c>
      <c r="B50" s="72" t="s">
        <v>66</v>
      </c>
      <c r="C50" s="71" t="s">
        <v>697</v>
      </c>
      <c r="D50" s="54">
        <v>0</v>
      </c>
      <c r="E50" s="54">
        <v>0</v>
      </c>
      <c r="F50" s="73">
        <v>1.2690000000000002E-3</v>
      </c>
      <c r="G50" s="74">
        <f>ROUND(pres!$C$2*calculo!F50,2)</f>
        <v>76.290000000000006</v>
      </c>
      <c r="H50" s="54">
        <f>IFERROR(VLOOKUP(C50,consumo_agua!$A$7:$AA$202,27,0),0)</f>
        <v>0</v>
      </c>
      <c r="I50" s="74">
        <f t="shared" si="0"/>
        <v>76.290000000000006</v>
      </c>
    </row>
    <row r="51" spans="1:9" x14ac:dyDescent="0.25">
      <c r="A51" s="71" t="s">
        <v>68</v>
      </c>
      <c r="B51" s="72" t="s">
        <v>69</v>
      </c>
      <c r="C51" s="71" t="s">
        <v>70</v>
      </c>
      <c r="D51" s="54">
        <v>66.45</v>
      </c>
      <c r="E51" s="54">
        <v>66.45</v>
      </c>
      <c r="F51" s="73">
        <v>4.4973999999999995E-3</v>
      </c>
      <c r="G51" s="74">
        <f>ROUND(pres!$C$2*calculo!F51,2)</f>
        <v>270.37</v>
      </c>
      <c r="H51" s="54">
        <f>IFERROR(VLOOKUP(C51,consumo_agua!$A$7:$AA$202,27,0),0)</f>
        <v>21.69</v>
      </c>
      <c r="I51" s="74">
        <f t="shared" si="0"/>
        <v>292.06</v>
      </c>
    </row>
    <row r="52" spans="1:9" x14ac:dyDescent="0.25">
      <c r="A52" s="71" t="s">
        <v>68</v>
      </c>
      <c r="B52" s="72" t="s">
        <v>69</v>
      </c>
      <c r="C52" s="71" t="s">
        <v>698</v>
      </c>
      <c r="D52" s="54">
        <v>0</v>
      </c>
      <c r="E52" s="54">
        <v>0</v>
      </c>
      <c r="F52" s="73">
        <v>3.6749999999999999E-4</v>
      </c>
      <c r="G52" s="74">
        <f>ROUND(pres!$C$2*calculo!F52,2)</f>
        <v>22.09</v>
      </c>
      <c r="H52" s="54">
        <f>IFERROR(VLOOKUP(C52,consumo_agua!$A$7:$AA$202,27,0),0)</f>
        <v>0</v>
      </c>
      <c r="I52" s="74">
        <f t="shared" si="0"/>
        <v>22.09</v>
      </c>
    </row>
    <row r="53" spans="1:9" x14ac:dyDescent="0.25">
      <c r="A53" s="71" t="s">
        <v>71</v>
      </c>
      <c r="B53" s="72" t="s">
        <v>72</v>
      </c>
      <c r="C53" s="71" t="s">
        <v>73</v>
      </c>
      <c r="D53" s="54">
        <v>66.45</v>
      </c>
      <c r="E53" s="54">
        <v>66.45</v>
      </c>
      <c r="F53" s="73">
        <v>4.4973999999999995E-3</v>
      </c>
      <c r="G53" s="74">
        <f>ROUND(pres!$C$2*calculo!F53,2)</f>
        <v>270.37</v>
      </c>
      <c r="H53" s="54">
        <f>IFERROR(VLOOKUP(C53,consumo_agua!$A$7:$AA$202,27,0),0)</f>
        <v>34.090000000000003</v>
      </c>
      <c r="I53" s="74">
        <f t="shared" si="0"/>
        <v>304.46000000000004</v>
      </c>
    </row>
    <row r="54" spans="1:9" x14ac:dyDescent="0.25">
      <c r="A54" s="71" t="s">
        <v>71</v>
      </c>
      <c r="B54" s="72" t="s">
        <v>72</v>
      </c>
      <c r="C54" s="71" t="s">
        <v>699</v>
      </c>
      <c r="D54" s="54">
        <v>0</v>
      </c>
      <c r="E54" s="54">
        <v>0</v>
      </c>
      <c r="F54" s="73">
        <v>3.6749999999999999E-4</v>
      </c>
      <c r="G54" s="74">
        <f>ROUND(pres!$C$2*calculo!F54,2)</f>
        <v>22.09</v>
      </c>
      <c r="H54" s="54">
        <f>IFERROR(VLOOKUP(C54,consumo_agua!$A$7:$AA$202,27,0),0)</f>
        <v>0</v>
      </c>
      <c r="I54" s="74">
        <f t="shared" si="0"/>
        <v>22.09</v>
      </c>
    </row>
    <row r="55" spans="1:9" x14ac:dyDescent="0.25">
      <c r="A55" s="71" t="s">
        <v>74</v>
      </c>
      <c r="B55" s="72" t="s">
        <v>75</v>
      </c>
      <c r="C55" s="71" t="s">
        <v>76</v>
      </c>
      <c r="D55" s="54">
        <v>248.79</v>
      </c>
      <c r="E55" s="54">
        <v>248.79</v>
      </c>
      <c r="F55" s="73">
        <v>9.9965000000000002E-3</v>
      </c>
      <c r="G55" s="74">
        <f>ROUND(pres!$C$2*calculo!F55,2)</f>
        <v>600.95000000000005</v>
      </c>
      <c r="H55" s="54">
        <f>IFERROR(VLOOKUP(C55,consumo_agua!$A$7:$AA$202,27,0),0)</f>
        <v>68.180000000000007</v>
      </c>
      <c r="I55" s="74">
        <f t="shared" si="0"/>
        <v>669.13000000000011</v>
      </c>
    </row>
    <row r="56" spans="1:9" x14ac:dyDescent="0.25">
      <c r="A56" s="71" t="s">
        <v>74</v>
      </c>
      <c r="B56" s="72" t="s">
        <v>75</v>
      </c>
      <c r="C56" s="71" t="s">
        <v>700</v>
      </c>
      <c r="D56" s="54">
        <v>0</v>
      </c>
      <c r="E56" s="54">
        <v>0</v>
      </c>
      <c r="F56" s="73">
        <v>3.6749999999999999E-4</v>
      </c>
      <c r="G56" s="74">
        <f>ROUND(pres!$C$2*calculo!F56,2)</f>
        <v>22.09</v>
      </c>
      <c r="H56" s="54">
        <f>IFERROR(VLOOKUP(C56,consumo_agua!$A$7:$AA$202,27,0),0)</f>
        <v>0</v>
      </c>
      <c r="I56" s="74">
        <f t="shared" si="0"/>
        <v>22.09</v>
      </c>
    </row>
    <row r="57" spans="1:9" x14ac:dyDescent="0.25">
      <c r="A57" s="71" t="s">
        <v>74</v>
      </c>
      <c r="B57" s="72" t="s">
        <v>75</v>
      </c>
      <c r="C57" s="71" t="s">
        <v>701</v>
      </c>
      <c r="D57" s="54">
        <v>0</v>
      </c>
      <c r="E57" s="54">
        <v>0</v>
      </c>
      <c r="F57" s="73">
        <v>1.2690000000000002E-3</v>
      </c>
      <c r="G57" s="74">
        <f>ROUND(pres!$C$2*calculo!F57,2)</f>
        <v>76.290000000000006</v>
      </c>
      <c r="H57" s="54">
        <f>IFERROR(VLOOKUP(C57,consumo_agua!$A$7:$AA$202,27,0),0)</f>
        <v>0</v>
      </c>
      <c r="I57" s="74">
        <f t="shared" si="0"/>
        <v>76.290000000000006</v>
      </c>
    </row>
    <row r="58" spans="1:9" x14ac:dyDescent="0.25">
      <c r="A58" s="71" t="s">
        <v>74</v>
      </c>
      <c r="B58" s="72" t="s">
        <v>75</v>
      </c>
      <c r="C58" s="71" t="s">
        <v>702</v>
      </c>
      <c r="D58" s="54">
        <v>0</v>
      </c>
      <c r="E58" s="54">
        <v>0</v>
      </c>
      <c r="F58" s="73">
        <v>1.2690000000000002E-3</v>
      </c>
      <c r="G58" s="74">
        <f>ROUND(pres!$C$2*calculo!F58,2)</f>
        <v>76.290000000000006</v>
      </c>
      <c r="H58" s="54">
        <f>IFERROR(VLOOKUP(C58,consumo_agua!$A$7:$AA$202,27,0),0)</f>
        <v>0</v>
      </c>
      <c r="I58" s="74">
        <f t="shared" si="0"/>
        <v>76.290000000000006</v>
      </c>
    </row>
    <row r="59" spans="1:9" x14ac:dyDescent="0.25">
      <c r="A59" s="71" t="s">
        <v>74</v>
      </c>
      <c r="B59" s="72" t="s">
        <v>75</v>
      </c>
      <c r="C59" s="71" t="s">
        <v>703</v>
      </c>
      <c r="D59" s="54">
        <v>0</v>
      </c>
      <c r="E59" s="54">
        <v>0</v>
      </c>
      <c r="F59" s="73">
        <v>1.2690000000000002E-3</v>
      </c>
      <c r="G59" s="74">
        <f>ROUND(pres!$C$2*calculo!F59,2)</f>
        <v>76.290000000000006</v>
      </c>
      <c r="H59" s="54">
        <f>IFERROR(VLOOKUP(C59,consumo_agua!$A$7:$AA$202,27,0),0)</f>
        <v>0</v>
      </c>
      <c r="I59" s="74">
        <f t="shared" si="0"/>
        <v>76.290000000000006</v>
      </c>
    </row>
    <row r="60" spans="1:9" x14ac:dyDescent="0.25">
      <c r="A60" s="71" t="s">
        <v>77</v>
      </c>
      <c r="B60" s="72" t="s">
        <v>78</v>
      </c>
      <c r="C60" s="71" t="s">
        <v>79</v>
      </c>
      <c r="D60" s="54">
        <v>43.35</v>
      </c>
      <c r="E60" s="54">
        <v>43.35</v>
      </c>
      <c r="F60" s="73">
        <v>2.6939000000000004E-3</v>
      </c>
      <c r="G60" s="74">
        <f>ROUND(pres!$C$2*calculo!F60,2)</f>
        <v>161.94999999999999</v>
      </c>
      <c r="H60" s="54">
        <f>IFERROR(VLOOKUP(C60,consumo_agua!$A$7:$AA$202,27,0),0)</f>
        <v>0</v>
      </c>
      <c r="I60" s="74">
        <f t="shared" si="0"/>
        <v>161.94999999999999</v>
      </c>
    </row>
    <row r="61" spans="1:9" x14ac:dyDescent="0.25">
      <c r="A61" s="71" t="s">
        <v>77</v>
      </c>
      <c r="B61" s="72" t="s">
        <v>78</v>
      </c>
      <c r="C61" s="71" t="s">
        <v>704</v>
      </c>
      <c r="D61" s="54">
        <v>0</v>
      </c>
      <c r="E61" s="54">
        <v>0</v>
      </c>
      <c r="F61" s="73">
        <v>1.2690000000000002E-3</v>
      </c>
      <c r="G61" s="74">
        <f>ROUND(pres!$C$2*calculo!F61,2)</f>
        <v>76.290000000000006</v>
      </c>
      <c r="H61" s="54">
        <f>IFERROR(VLOOKUP(C61,consumo_agua!$A$7:$AA$202,27,0),0)</f>
        <v>0</v>
      </c>
      <c r="I61" s="74">
        <f t="shared" si="0"/>
        <v>76.290000000000006</v>
      </c>
    </row>
    <row r="62" spans="1:9" x14ac:dyDescent="0.25">
      <c r="A62" s="71" t="s">
        <v>80</v>
      </c>
      <c r="B62" s="72" t="s">
        <v>81</v>
      </c>
      <c r="C62" s="71" t="s">
        <v>82</v>
      </c>
      <c r="D62" s="54">
        <v>33</v>
      </c>
      <c r="E62" s="54">
        <v>33</v>
      </c>
      <c r="F62" s="73">
        <v>2.6939000000000004E-3</v>
      </c>
      <c r="G62" s="74">
        <f>ROUND(pres!$C$2*calculo!F62,2)</f>
        <v>161.94999999999999</v>
      </c>
      <c r="H62" s="54">
        <f>IFERROR(VLOOKUP(C62,consumo_agua!$A$7:$AA$202,27,0),0)</f>
        <v>15.49</v>
      </c>
      <c r="I62" s="74">
        <f t="shared" si="0"/>
        <v>177.44</v>
      </c>
    </row>
    <row r="63" spans="1:9" x14ac:dyDescent="0.25">
      <c r="A63" s="71" t="s">
        <v>83</v>
      </c>
      <c r="B63" s="72" t="s">
        <v>84</v>
      </c>
      <c r="C63" s="71" t="s">
        <v>85</v>
      </c>
      <c r="D63" s="54">
        <v>0</v>
      </c>
      <c r="E63" s="54">
        <v>0</v>
      </c>
      <c r="F63" s="73">
        <v>1.2690000000000002E-3</v>
      </c>
      <c r="G63" s="74">
        <f>ROUND(pres!$C$2*calculo!F63,2)</f>
        <v>76.290000000000006</v>
      </c>
      <c r="H63" s="54">
        <f>IFERROR(VLOOKUP(C63,consumo_agua!$A$7:$AA$202,27,0),0)</f>
        <v>0</v>
      </c>
      <c r="I63" s="74">
        <f t="shared" si="0"/>
        <v>76.290000000000006</v>
      </c>
    </row>
    <row r="64" spans="1:9" x14ac:dyDescent="0.25">
      <c r="A64" s="71" t="s">
        <v>86</v>
      </c>
      <c r="B64" s="72" t="s">
        <v>705</v>
      </c>
      <c r="C64" s="71" t="s">
        <v>88</v>
      </c>
      <c r="D64" s="54">
        <v>77.05</v>
      </c>
      <c r="E64" s="54">
        <v>77.05</v>
      </c>
      <c r="F64" s="73">
        <v>4.4973999999999995E-3</v>
      </c>
      <c r="G64" s="74">
        <f>ROUND(pres!$C$2*calculo!F64,2)</f>
        <v>270.37</v>
      </c>
      <c r="H64" s="54">
        <f>IFERROR(VLOOKUP(C64,consumo_agua!$A$7:$AA$202,27,0),0)</f>
        <v>30.99</v>
      </c>
      <c r="I64" s="74">
        <f t="shared" si="0"/>
        <v>301.36</v>
      </c>
    </row>
    <row r="65" spans="1:9" x14ac:dyDescent="0.25">
      <c r="A65" s="71" t="s">
        <v>86</v>
      </c>
      <c r="B65" s="72" t="s">
        <v>705</v>
      </c>
      <c r="C65" s="71" t="s">
        <v>706</v>
      </c>
      <c r="D65" s="54">
        <v>0</v>
      </c>
      <c r="E65" s="54">
        <v>0</v>
      </c>
      <c r="F65" s="73">
        <v>1.2690000000000002E-3</v>
      </c>
      <c r="G65" s="74">
        <f>ROUND(pres!$C$2*calculo!F65,2)</f>
        <v>76.290000000000006</v>
      </c>
      <c r="H65" s="54">
        <f>IFERROR(VLOOKUP(C65,consumo_agua!$A$7:$AA$202,27,0),0)</f>
        <v>0</v>
      </c>
      <c r="I65" s="74">
        <f t="shared" si="0"/>
        <v>76.290000000000006</v>
      </c>
    </row>
    <row r="66" spans="1:9" x14ac:dyDescent="0.25">
      <c r="A66" s="71" t="s">
        <v>89</v>
      </c>
      <c r="B66" s="72" t="s">
        <v>90</v>
      </c>
      <c r="C66" s="71" t="s">
        <v>91</v>
      </c>
      <c r="D66" s="54">
        <v>76.150000000000006</v>
      </c>
      <c r="E66" s="54">
        <v>76.150000000000006</v>
      </c>
      <c r="F66" s="73">
        <v>4.4973999999999995E-3</v>
      </c>
      <c r="G66" s="74">
        <f>ROUND(pres!$C$2*calculo!F66,2)</f>
        <v>270.37</v>
      </c>
      <c r="H66" s="54">
        <f>IFERROR(VLOOKUP(C66,consumo_agua!$A$7:$AA$202,27,0),0)</f>
        <v>12.4</v>
      </c>
      <c r="I66" s="74">
        <f t="shared" ref="I66:I129" si="1">SUM(G66:H66)</f>
        <v>282.77</v>
      </c>
    </row>
    <row r="67" spans="1:9" x14ac:dyDescent="0.25">
      <c r="A67" s="71" t="s">
        <v>89</v>
      </c>
      <c r="B67" s="72" t="s">
        <v>90</v>
      </c>
      <c r="C67" s="71" t="s">
        <v>707</v>
      </c>
      <c r="D67" s="54">
        <v>0</v>
      </c>
      <c r="E67" s="54">
        <v>0</v>
      </c>
      <c r="F67" s="73">
        <v>1.2690000000000002E-3</v>
      </c>
      <c r="G67" s="74">
        <f>ROUND(pres!$C$2*calculo!F67,2)</f>
        <v>76.290000000000006</v>
      </c>
      <c r="H67" s="54">
        <f>IFERROR(VLOOKUP(C67,consumo_agua!$A$7:$AA$202,27,0),0)</f>
        <v>0</v>
      </c>
      <c r="I67" s="74">
        <f t="shared" si="1"/>
        <v>76.290000000000006</v>
      </c>
    </row>
    <row r="68" spans="1:9" x14ac:dyDescent="0.25">
      <c r="A68" s="71" t="s">
        <v>92</v>
      </c>
      <c r="B68" s="72" t="s">
        <v>93</v>
      </c>
      <c r="C68" s="71" t="s">
        <v>94</v>
      </c>
      <c r="D68" s="54">
        <v>68</v>
      </c>
      <c r="E68" s="54">
        <v>68</v>
      </c>
      <c r="F68" s="73">
        <v>4.4973999999999995E-3</v>
      </c>
      <c r="G68" s="74">
        <f>ROUND(pres!$C$2*calculo!F68,2)</f>
        <v>270.37</v>
      </c>
      <c r="H68" s="54">
        <f>IFERROR(VLOOKUP(C68,consumo_agua!$A$7:$AA$202,27,0),0)</f>
        <v>30.99</v>
      </c>
      <c r="I68" s="74">
        <f t="shared" si="1"/>
        <v>301.36</v>
      </c>
    </row>
    <row r="69" spans="1:9" x14ac:dyDescent="0.25">
      <c r="A69" s="71" t="s">
        <v>92</v>
      </c>
      <c r="B69" s="72" t="s">
        <v>93</v>
      </c>
      <c r="C69" s="71" t="s">
        <v>708</v>
      </c>
      <c r="D69" s="54">
        <v>0</v>
      </c>
      <c r="E69" s="54">
        <v>0</v>
      </c>
      <c r="F69" s="73">
        <v>1.2690000000000002E-3</v>
      </c>
      <c r="G69" s="74">
        <f>ROUND(pres!$C$2*calculo!F69,2)</f>
        <v>76.290000000000006</v>
      </c>
      <c r="H69" s="54">
        <f>IFERROR(VLOOKUP(C69,consumo_agua!$A$7:$AA$202,27,0),0)</f>
        <v>0</v>
      </c>
      <c r="I69" s="74">
        <f t="shared" si="1"/>
        <v>76.290000000000006</v>
      </c>
    </row>
    <row r="70" spans="1:9" x14ac:dyDescent="0.25">
      <c r="A70" s="71" t="s">
        <v>95</v>
      </c>
      <c r="B70" s="72" t="s">
        <v>96</v>
      </c>
      <c r="C70" s="71" t="s">
        <v>97</v>
      </c>
      <c r="D70" s="54">
        <v>66.45</v>
      </c>
      <c r="E70" s="54">
        <v>66.45</v>
      </c>
      <c r="F70" s="73">
        <v>4.4973999999999995E-3</v>
      </c>
      <c r="G70" s="74">
        <f>ROUND(pres!$C$2*calculo!F70,2)</f>
        <v>270.37</v>
      </c>
      <c r="H70" s="54">
        <f>IFERROR(VLOOKUP(C70,consumo_agua!$A$7:$AA$202,27,0),0)</f>
        <v>34.090000000000003</v>
      </c>
      <c r="I70" s="74">
        <f t="shared" si="1"/>
        <v>304.46000000000004</v>
      </c>
    </row>
    <row r="71" spans="1:9" x14ac:dyDescent="0.25">
      <c r="A71" s="71" t="s">
        <v>95</v>
      </c>
      <c r="B71" s="72" t="s">
        <v>96</v>
      </c>
      <c r="C71" s="71" t="s">
        <v>709</v>
      </c>
      <c r="D71" s="54">
        <v>0</v>
      </c>
      <c r="E71" s="54">
        <v>0</v>
      </c>
      <c r="F71" s="73">
        <v>1.2690000000000002E-3</v>
      </c>
      <c r="G71" s="74">
        <f>ROUND(pres!$C$2*calculo!F71,2)</f>
        <v>76.290000000000006</v>
      </c>
      <c r="H71" s="54">
        <f>IFERROR(VLOOKUP(C71,consumo_agua!$A$7:$AA$202,27,0),0)</f>
        <v>0</v>
      </c>
      <c r="I71" s="74">
        <f t="shared" si="1"/>
        <v>76.290000000000006</v>
      </c>
    </row>
    <row r="72" spans="1:9" x14ac:dyDescent="0.25">
      <c r="A72" s="71" t="s">
        <v>98</v>
      </c>
      <c r="B72" s="72" t="s">
        <v>99</v>
      </c>
      <c r="C72" s="71" t="s">
        <v>100</v>
      </c>
      <c r="D72" s="54">
        <v>66.45</v>
      </c>
      <c r="E72" s="54">
        <v>66.45</v>
      </c>
      <c r="F72" s="73">
        <v>4.4973999999999995E-3</v>
      </c>
      <c r="G72" s="74">
        <f>ROUND(pres!$C$2*calculo!F72,2)</f>
        <v>270.37</v>
      </c>
      <c r="H72" s="54">
        <f>IFERROR(VLOOKUP(C72,consumo_agua!$A$7:$AA$202,27,0),0)</f>
        <v>0</v>
      </c>
      <c r="I72" s="74">
        <f t="shared" si="1"/>
        <v>270.37</v>
      </c>
    </row>
    <row r="73" spans="1:9" x14ac:dyDescent="0.25">
      <c r="A73" s="71" t="s">
        <v>101</v>
      </c>
      <c r="B73" s="72" t="s">
        <v>102</v>
      </c>
      <c r="C73" s="71" t="s">
        <v>103</v>
      </c>
      <c r="D73" s="54">
        <v>74.599999999999994</v>
      </c>
      <c r="E73" s="54">
        <v>74.599999999999994</v>
      </c>
      <c r="F73" s="73">
        <v>4.4973999999999995E-3</v>
      </c>
      <c r="G73" s="74">
        <f>ROUND(pres!$C$2*calculo!F73,2)</f>
        <v>270.37</v>
      </c>
      <c r="H73" s="54">
        <f>IFERROR(VLOOKUP(C73,consumo_agua!$A$7:$AA$202,27,0),0)</f>
        <v>37.19</v>
      </c>
      <c r="I73" s="74">
        <f t="shared" si="1"/>
        <v>307.56</v>
      </c>
    </row>
    <row r="74" spans="1:9" x14ac:dyDescent="0.25">
      <c r="A74" s="71" t="s">
        <v>104</v>
      </c>
      <c r="B74" s="72" t="s">
        <v>105</v>
      </c>
      <c r="C74" s="71" t="s">
        <v>106</v>
      </c>
      <c r="D74" s="54">
        <v>33</v>
      </c>
      <c r="E74" s="54">
        <v>33</v>
      </c>
      <c r="F74" s="73">
        <v>2.6939000000000004E-3</v>
      </c>
      <c r="G74" s="74">
        <f>ROUND(pres!$C$2*calculo!F74,2)</f>
        <v>161.94999999999999</v>
      </c>
      <c r="H74" s="54">
        <f>IFERROR(VLOOKUP(C74,consumo_agua!$A$7:$AA$202,27,0),0)</f>
        <v>24.79</v>
      </c>
      <c r="I74" s="74">
        <f t="shared" si="1"/>
        <v>186.73999999999998</v>
      </c>
    </row>
    <row r="75" spans="1:9" x14ac:dyDescent="0.25">
      <c r="A75" s="71" t="s">
        <v>107</v>
      </c>
      <c r="B75" s="72" t="s">
        <v>108</v>
      </c>
      <c r="C75" s="71" t="s">
        <v>109</v>
      </c>
      <c r="D75" s="54">
        <v>44.45</v>
      </c>
      <c r="E75" s="54">
        <v>44.45</v>
      </c>
      <c r="F75" s="73">
        <v>2.6939000000000004E-3</v>
      </c>
      <c r="G75" s="74">
        <f>ROUND(pres!$C$2*calculo!F75,2)</f>
        <v>161.94999999999999</v>
      </c>
      <c r="H75" s="54">
        <f>IFERROR(VLOOKUP(C75,consumo_agua!$A$7:$AA$202,27,0),0)</f>
        <v>24.79</v>
      </c>
      <c r="I75" s="74">
        <f t="shared" si="1"/>
        <v>186.73999999999998</v>
      </c>
    </row>
    <row r="76" spans="1:9" x14ac:dyDescent="0.25">
      <c r="A76" s="71" t="s">
        <v>110</v>
      </c>
      <c r="B76" s="72" t="s">
        <v>111</v>
      </c>
      <c r="C76" s="71" t="s">
        <v>112</v>
      </c>
      <c r="D76" s="54">
        <v>81</v>
      </c>
      <c r="E76" s="54">
        <v>81</v>
      </c>
      <c r="F76" s="73">
        <v>4.4973999999999995E-3</v>
      </c>
      <c r="G76" s="74">
        <f>ROUND(pres!$C$2*calculo!F76,2)</f>
        <v>270.37</v>
      </c>
      <c r="H76" s="54">
        <f>IFERROR(VLOOKUP(C76,consumo_agua!$A$7:$AA$202,27,0),0)</f>
        <v>18.59</v>
      </c>
      <c r="I76" s="74">
        <f t="shared" si="1"/>
        <v>288.95999999999998</v>
      </c>
    </row>
    <row r="77" spans="1:9" x14ac:dyDescent="0.25">
      <c r="A77" s="71" t="s">
        <v>113</v>
      </c>
      <c r="B77" s="72" t="s">
        <v>114</v>
      </c>
      <c r="C77" s="71" t="s">
        <v>115</v>
      </c>
      <c r="D77" s="54">
        <v>68</v>
      </c>
      <c r="E77" s="54">
        <v>68</v>
      </c>
      <c r="F77" s="73">
        <v>4.4973999999999995E-3</v>
      </c>
      <c r="G77" s="74">
        <f>ROUND(pres!$C$2*calculo!F77,2)</f>
        <v>270.37</v>
      </c>
      <c r="H77" s="54">
        <f>IFERROR(VLOOKUP(C77,consumo_agua!$A$7:$AA$202,27,0),0)</f>
        <v>21.69</v>
      </c>
      <c r="I77" s="74">
        <f t="shared" si="1"/>
        <v>292.06</v>
      </c>
    </row>
    <row r="78" spans="1:9" x14ac:dyDescent="0.25">
      <c r="A78" s="71" t="s">
        <v>116</v>
      </c>
      <c r="B78" s="72" t="s">
        <v>117</v>
      </c>
      <c r="C78" s="71" t="s">
        <v>118</v>
      </c>
      <c r="D78" s="54">
        <v>33</v>
      </c>
      <c r="E78" s="54">
        <v>33</v>
      </c>
      <c r="F78" s="73">
        <v>2.6939000000000004E-3</v>
      </c>
      <c r="G78" s="74">
        <f>ROUND(pres!$C$2*calculo!F78,2)</f>
        <v>161.94999999999999</v>
      </c>
      <c r="H78" s="54">
        <f>IFERROR(VLOOKUP(C78,consumo_agua!$A$7:$AA$202,27,0),0)</f>
        <v>12.4</v>
      </c>
      <c r="I78" s="74">
        <f t="shared" si="1"/>
        <v>174.35</v>
      </c>
    </row>
    <row r="79" spans="1:9" x14ac:dyDescent="0.25">
      <c r="A79" s="71" t="s">
        <v>119</v>
      </c>
      <c r="B79" s="72" t="s">
        <v>120</v>
      </c>
      <c r="C79" s="71" t="s">
        <v>121</v>
      </c>
      <c r="D79" s="54">
        <v>0</v>
      </c>
      <c r="E79" s="54">
        <v>0</v>
      </c>
      <c r="F79" s="73">
        <v>3.6749999999999999E-4</v>
      </c>
      <c r="G79" s="74">
        <f>ROUND(pres!$C$2*calculo!F79,2)</f>
        <v>22.09</v>
      </c>
      <c r="H79" s="54">
        <f>IFERROR(VLOOKUP(C79,consumo_agua!$A$7:$AA$202,27,0),0)</f>
        <v>0</v>
      </c>
      <c r="I79" s="74">
        <f t="shared" si="1"/>
        <v>22.09</v>
      </c>
    </row>
    <row r="80" spans="1:9" x14ac:dyDescent="0.25">
      <c r="A80" s="71" t="s">
        <v>122</v>
      </c>
      <c r="B80" s="72" t="s">
        <v>123</v>
      </c>
      <c r="C80" s="71" t="s">
        <v>124</v>
      </c>
      <c r="D80" s="54">
        <v>81</v>
      </c>
      <c r="E80" s="54">
        <v>81</v>
      </c>
      <c r="F80" s="73">
        <v>4.4973999999999995E-3</v>
      </c>
      <c r="G80" s="74">
        <f>ROUND(pres!$C$2*calculo!F80,2)</f>
        <v>270.37</v>
      </c>
      <c r="H80" s="54">
        <f>IFERROR(VLOOKUP(C80,consumo_agua!$A$7:$AA$202,27,0),0)</f>
        <v>24.79</v>
      </c>
      <c r="I80" s="74">
        <f t="shared" si="1"/>
        <v>295.16000000000003</v>
      </c>
    </row>
    <row r="81" spans="1:9" x14ac:dyDescent="0.25">
      <c r="A81" s="71" t="s">
        <v>122</v>
      </c>
      <c r="B81" s="72" t="s">
        <v>123</v>
      </c>
      <c r="C81" s="71" t="s">
        <v>710</v>
      </c>
      <c r="D81" s="54">
        <v>0</v>
      </c>
      <c r="E81" s="54">
        <v>0</v>
      </c>
      <c r="F81" s="73">
        <v>1.2690000000000002E-3</v>
      </c>
      <c r="G81" s="74">
        <f>ROUND(pres!$C$2*calculo!F81,2)</f>
        <v>76.290000000000006</v>
      </c>
      <c r="H81" s="54">
        <f>IFERROR(VLOOKUP(C81,consumo_agua!$A$7:$AA$202,27,0),0)</f>
        <v>0</v>
      </c>
      <c r="I81" s="74">
        <f t="shared" si="1"/>
        <v>76.290000000000006</v>
      </c>
    </row>
    <row r="82" spans="1:9" x14ac:dyDescent="0.25">
      <c r="A82" s="71" t="s">
        <v>125</v>
      </c>
      <c r="B82" s="72" t="s">
        <v>126</v>
      </c>
      <c r="C82" s="71" t="s">
        <v>127</v>
      </c>
      <c r="D82" s="54">
        <v>85.5</v>
      </c>
      <c r="E82" s="54">
        <v>85.5</v>
      </c>
      <c r="F82" s="73">
        <v>4.4973999999999995E-3</v>
      </c>
      <c r="G82" s="74">
        <f>ROUND(pres!$C$2*calculo!F82,2)</f>
        <v>270.37</v>
      </c>
      <c r="H82" s="54">
        <f>IFERROR(VLOOKUP(C82,consumo_agua!$A$7:$AA$202,27,0),0)</f>
        <v>37.19</v>
      </c>
      <c r="I82" s="74">
        <f t="shared" si="1"/>
        <v>307.56</v>
      </c>
    </row>
    <row r="83" spans="1:9" x14ac:dyDescent="0.25">
      <c r="A83" s="71" t="s">
        <v>125</v>
      </c>
      <c r="B83" s="72" t="s">
        <v>126</v>
      </c>
      <c r="C83" s="71" t="s">
        <v>711</v>
      </c>
      <c r="D83" s="54">
        <v>0</v>
      </c>
      <c r="E83" s="54">
        <v>0</v>
      </c>
      <c r="F83" s="73">
        <v>1.2690000000000002E-3</v>
      </c>
      <c r="G83" s="74">
        <f>ROUND(pres!$C$2*calculo!F83,2)</f>
        <v>76.290000000000006</v>
      </c>
      <c r="H83" s="54">
        <f>IFERROR(VLOOKUP(C83,consumo_agua!$A$7:$AA$202,27,0),0)</f>
        <v>0</v>
      </c>
      <c r="I83" s="74">
        <f t="shared" si="1"/>
        <v>76.290000000000006</v>
      </c>
    </row>
    <row r="84" spans="1:9" x14ac:dyDescent="0.25">
      <c r="A84" s="71" t="s">
        <v>128</v>
      </c>
      <c r="B84" s="72" t="s">
        <v>129</v>
      </c>
      <c r="C84" s="71" t="s">
        <v>130</v>
      </c>
      <c r="D84" s="54">
        <v>68</v>
      </c>
      <c r="E84" s="54">
        <v>68</v>
      </c>
      <c r="F84" s="73">
        <v>4.4973999999999995E-3</v>
      </c>
      <c r="G84" s="74">
        <f>ROUND(pres!$C$2*calculo!F84,2)</f>
        <v>270.37</v>
      </c>
      <c r="H84" s="54">
        <f>IFERROR(VLOOKUP(C84,consumo_agua!$A$7:$AA$202,27,0),0)</f>
        <v>21.69</v>
      </c>
      <c r="I84" s="74">
        <f t="shared" si="1"/>
        <v>292.06</v>
      </c>
    </row>
    <row r="85" spans="1:9" x14ac:dyDescent="0.25">
      <c r="A85" s="71" t="s">
        <v>128</v>
      </c>
      <c r="B85" s="72" t="s">
        <v>129</v>
      </c>
      <c r="C85" s="71" t="s">
        <v>712</v>
      </c>
      <c r="D85" s="54">
        <v>0</v>
      </c>
      <c r="E85" s="54">
        <v>0</v>
      </c>
      <c r="F85" s="73">
        <v>1.2690000000000002E-3</v>
      </c>
      <c r="G85" s="74">
        <f>ROUND(pres!$C$2*calculo!F85,2)</f>
        <v>76.290000000000006</v>
      </c>
      <c r="H85" s="54">
        <f>IFERROR(VLOOKUP(C85,consumo_agua!$A$7:$AA$202,27,0),0)</f>
        <v>0</v>
      </c>
      <c r="I85" s="74">
        <f t="shared" si="1"/>
        <v>76.290000000000006</v>
      </c>
    </row>
    <row r="86" spans="1:9" x14ac:dyDescent="0.25">
      <c r="A86" s="71" t="s">
        <v>131</v>
      </c>
      <c r="B86" s="72" t="s">
        <v>132</v>
      </c>
      <c r="C86" s="71" t="s">
        <v>133</v>
      </c>
      <c r="D86" s="54">
        <v>127.96</v>
      </c>
      <c r="E86" s="54">
        <v>185.73</v>
      </c>
      <c r="F86" s="73">
        <v>6.2785000000000002E-3</v>
      </c>
      <c r="G86" s="74">
        <f>ROUND(pres!$C$2*calculo!F86,2)</f>
        <v>377.44</v>
      </c>
      <c r="H86" s="54">
        <f>IFERROR(VLOOKUP(C86,consumo_agua!$A$7:$AA$202,27,0),0)</f>
        <v>43.38</v>
      </c>
      <c r="I86" s="74">
        <f t="shared" si="1"/>
        <v>420.82</v>
      </c>
    </row>
    <row r="87" spans="1:9" x14ac:dyDescent="0.25">
      <c r="A87" s="71" t="s">
        <v>131</v>
      </c>
      <c r="B87" s="72" t="s">
        <v>132</v>
      </c>
      <c r="C87" s="71" t="s">
        <v>655</v>
      </c>
      <c r="D87" s="54">
        <v>78.95</v>
      </c>
      <c r="E87" s="54">
        <v>78.95</v>
      </c>
      <c r="F87" s="73">
        <v>4.4973999999999995E-3</v>
      </c>
      <c r="G87" s="74">
        <f>ROUND(pres!$C$2*calculo!F87,2)</f>
        <v>270.37</v>
      </c>
      <c r="H87" s="54">
        <f>IFERROR(VLOOKUP(C87,consumo_agua!$A$7:$AA$202,27,0),0)</f>
        <v>21.69</v>
      </c>
      <c r="I87" s="74">
        <f t="shared" si="1"/>
        <v>292.06</v>
      </c>
    </row>
    <row r="88" spans="1:9" x14ac:dyDescent="0.25">
      <c r="A88" s="71" t="s">
        <v>131</v>
      </c>
      <c r="B88" s="72" t="s">
        <v>132</v>
      </c>
      <c r="C88" s="71" t="s">
        <v>713</v>
      </c>
      <c r="D88" s="54">
        <v>0</v>
      </c>
      <c r="E88" s="54">
        <v>0</v>
      </c>
      <c r="F88" s="73">
        <v>1.2690000000000002E-3</v>
      </c>
      <c r="G88" s="74">
        <f>ROUND(pres!$C$2*calculo!F88,2)</f>
        <v>76.290000000000006</v>
      </c>
      <c r="H88" s="54">
        <f>IFERROR(VLOOKUP(C88,consumo_agua!$A$7:$AA$202,27,0),0)</f>
        <v>0</v>
      </c>
      <c r="I88" s="74">
        <f t="shared" si="1"/>
        <v>76.290000000000006</v>
      </c>
    </row>
    <row r="89" spans="1:9" x14ac:dyDescent="0.25">
      <c r="A89" s="71" t="s">
        <v>131</v>
      </c>
      <c r="B89" s="72" t="s">
        <v>132</v>
      </c>
      <c r="C89" s="71" t="s">
        <v>714</v>
      </c>
      <c r="D89" s="54">
        <v>0</v>
      </c>
      <c r="E89" s="54">
        <v>0</v>
      </c>
      <c r="F89" s="73">
        <v>1.2690000000000002E-3</v>
      </c>
      <c r="G89" s="74">
        <f>ROUND(pres!$C$2*calculo!F89,2)</f>
        <v>76.290000000000006</v>
      </c>
      <c r="H89" s="54">
        <f>IFERROR(VLOOKUP(C89,consumo_agua!$A$7:$AA$202,27,0),0)</f>
        <v>0</v>
      </c>
      <c r="I89" s="74">
        <f t="shared" si="1"/>
        <v>76.290000000000006</v>
      </c>
    </row>
    <row r="90" spans="1:9" x14ac:dyDescent="0.25">
      <c r="A90" s="71" t="s">
        <v>134</v>
      </c>
      <c r="B90" s="72" t="s">
        <v>135</v>
      </c>
      <c r="C90" s="71" t="s">
        <v>136</v>
      </c>
      <c r="D90" s="54">
        <v>81</v>
      </c>
      <c r="E90" s="54">
        <v>81</v>
      </c>
      <c r="F90" s="73">
        <v>4.4973999999999995E-3</v>
      </c>
      <c r="G90" s="74">
        <f>ROUND(pres!$C$2*calculo!F90,2)</f>
        <v>270.37</v>
      </c>
      <c r="H90" s="54">
        <f>IFERROR(VLOOKUP(C90,consumo_agua!$A$7:$AA$202,27,0),0)</f>
        <v>34.090000000000003</v>
      </c>
      <c r="I90" s="74">
        <f t="shared" si="1"/>
        <v>304.46000000000004</v>
      </c>
    </row>
    <row r="91" spans="1:9" x14ac:dyDescent="0.25">
      <c r="A91" s="71" t="s">
        <v>134</v>
      </c>
      <c r="B91" s="72" t="s">
        <v>135</v>
      </c>
      <c r="C91" s="71" t="s">
        <v>715</v>
      </c>
      <c r="D91" s="54">
        <v>0</v>
      </c>
      <c r="E91" s="54">
        <v>0</v>
      </c>
      <c r="F91" s="73">
        <v>1.2690000000000002E-3</v>
      </c>
      <c r="G91" s="74">
        <f>ROUND(pres!$C$2*calculo!F91,2)</f>
        <v>76.290000000000006</v>
      </c>
      <c r="H91" s="54">
        <f>IFERROR(VLOOKUP(C91,consumo_agua!$A$7:$AA$202,27,0),0)</f>
        <v>0</v>
      </c>
      <c r="I91" s="74">
        <f t="shared" si="1"/>
        <v>76.290000000000006</v>
      </c>
    </row>
    <row r="92" spans="1:9" x14ac:dyDescent="0.25">
      <c r="A92" s="71" t="s">
        <v>137</v>
      </c>
      <c r="B92" s="72" t="s">
        <v>716</v>
      </c>
      <c r="C92" s="71" t="s">
        <v>139</v>
      </c>
      <c r="D92" s="54">
        <v>66.45</v>
      </c>
      <c r="E92" s="54">
        <v>66.45</v>
      </c>
      <c r="F92" s="73">
        <v>4.4973999999999995E-3</v>
      </c>
      <c r="G92" s="74">
        <f>ROUND(pres!$C$2*calculo!F92,2)</f>
        <v>270.37</v>
      </c>
      <c r="H92" s="54">
        <f>IFERROR(VLOOKUP(C92,consumo_agua!$A$7:$AA$202,27,0),0)</f>
        <v>30.99</v>
      </c>
      <c r="I92" s="74">
        <f t="shared" si="1"/>
        <v>301.36</v>
      </c>
    </row>
    <row r="93" spans="1:9" x14ac:dyDescent="0.25">
      <c r="A93" s="71" t="s">
        <v>137</v>
      </c>
      <c r="B93" s="72" t="s">
        <v>716</v>
      </c>
      <c r="C93" s="71" t="s">
        <v>717</v>
      </c>
      <c r="D93" s="54">
        <v>0</v>
      </c>
      <c r="E93" s="54">
        <v>0</v>
      </c>
      <c r="F93" s="73">
        <v>1.2690000000000002E-3</v>
      </c>
      <c r="G93" s="74">
        <f>ROUND(pres!$C$2*calculo!F93,2)</f>
        <v>76.290000000000006</v>
      </c>
      <c r="H93" s="54">
        <f>IFERROR(VLOOKUP(C93,consumo_agua!$A$7:$AA$202,27,0),0)</f>
        <v>0</v>
      </c>
      <c r="I93" s="74">
        <f t="shared" si="1"/>
        <v>76.290000000000006</v>
      </c>
    </row>
    <row r="94" spans="1:9" x14ac:dyDescent="0.25">
      <c r="A94" s="71" t="s">
        <v>140</v>
      </c>
      <c r="B94" s="72" t="s">
        <v>141</v>
      </c>
      <c r="C94" s="71" t="s">
        <v>142</v>
      </c>
      <c r="D94" s="54">
        <v>44.45</v>
      </c>
      <c r="E94" s="54">
        <v>44.45</v>
      </c>
      <c r="F94" s="73">
        <v>2.6939000000000004E-3</v>
      </c>
      <c r="G94" s="74">
        <f>ROUND(pres!$C$2*calculo!F94,2)</f>
        <v>161.94999999999999</v>
      </c>
      <c r="H94" s="54">
        <f>IFERROR(VLOOKUP(C94,consumo_agua!$A$7:$AA$202,27,0),0)</f>
        <v>12.4</v>
      </c>
      <c r="I94" s="74">
        <f t="shared" si="1"/>
        <v>174.35</v>
      </c>
    </row>
    <row r="95" spans="1:9" x14ac:dyDescent="0.25">
      <c r="A95" s="71" t="s">
        <v>140</v>
      </c>
      <c r="B95" s="72" t="s">
        <v>141</v>
      </c>
      <c r="C95" s="71" t="s">
        <v>718</v>
      </c>
      <c r="D95" s="54">
        <v>0</v>
      </c>
      <c r="E95" s="54">
        <v>0</v>
      </c>
      <c r="F95" s="73">
        <v>1.2690000000000002E-3</v>
      </c>
      <c r="G95" s="74">
        <f>ROUND(pres!$C$2*calculo!F95,2)</f>
        <v>76.290000000000006</v>
      </c>
      <c r="H95" s="54">
        <f>IFERROR(VLOOKUP(C95,consumo_agua!$A$7:$AA$202,27,0),0)</f>
        <v>0</v>
      </c>
      <c r="I95" s="74">
        <f t="shared" si="1"/>
        <v>76.290000000000006</v>
      </c>
    </row>
    <row r="96" spans="1:9" x14ac:dyDescent="0.25">
      <c r="A96" s="71" t="s">
        <v>143</v>
      </c>
      <c r="B96" s="72" t="s">
        <v>144</v>
      </c>
      <c r="C96" s="71" t="s">
        <v>145</v>
      </c>
      <c r="D96" s="54">
        <v>76.150000000000006</v>
      </c>
      <c r="E96" s="54">
        <v>76.150000000000006</v>
      </c>
      <c r="F96" s="73">
        <v>4.4973999999999995E-3</v>
      </c>
      <c r="G96" s="74">
        <f>ROUND(pres!$C$2*calculo!F96,2)</f>
        <v>270.37</v>
      </c>
      <c r="H96" s="54">
        <f>IFERROR(VLOOKUP(C96,consumo_agua!$A$7:$AA$202,27,0),0)</f>
        <v>27.89</v>
      </c>
      <c r="I96" s="74">
        <f t="shared" si="1"/>
        <v>298.26</v>
      </c>
    </row>
    <row r="97" spans="1:9" x14ac:dyDescent="0.25">
      <c r="A97" s="71" t="s">
        <v>143</v>
      </c>
      <c r="B97" s="72" t="s">
        <v>144</v>
      </c>
      <c r="C97" s="71" t="s">
        <v>719</v>
      </c>
      <c r="D97" s="54">
        <v>0</v>
      </c>
      <c r="E97" s="54">
        <v>0</v>
      </c>
      <c r="F97" s="73">
        <v>1.2690000000000002E-3</v>
      </c>
      <c r="G97" s="74">
        <f>ROUND(pres!$C$2*calculo!F97,2)</f>
        <v>76.290000000000006</v>
      </c>
      <c r="H97" s="54">
        <f>IFERROR(VLOOKUP(C97,consumo_agua!$A$7:$AA$202,27,0),0)</f>
        <v>0</v>
      </c>
      <c r="I97" s="74">
        <f t="shared" si="1"/>
        <v>76.290000000000006</v>
      </c>
    </row>
    <row r="98" spans="1:9" x14ac:dyDescent="0.25">
      <c r="A98" s="71" t="s">
        <v>146</v>
      </c>
      <c r="B98" s="72" t="s">
        <v>147</v>
      </c>
      <c r="C98" s="71" t="s">
        <v>148</v>
      </c>
      <c r="D98" s="54">
        <v>81</v>
      </c>
      <c r="E98" s="54">
        <v>81</v>
      </c>
      <c r="F98" s="73">
        <v>4.4973999999999995E-3</v>
      </c>
      <c r="G98" s="74">
        <f>ROUND(pres!$C$2*calculo!F98,2)</f>
        <v>270.37</v>
      </c>
      <c r="H98" s="54">
        <f>IFERROR(VLOOKUP(C98,consumo_agua!$A$7:$AA$202,27,0),0)</f>
        <v>55.78</v>
      </c>
      <c r="I98" s="74">
        <f t="shared" si="1"/>
        <v>326.14999999999998</v>
      </c>
    </row>
    <row r="99" spans="1:9" x14ac:dyDescent="0.25">
      <c r="A99" s="71" t="s">
        <v>149</v>
      </c>
      <c r="B99" s="72" t="s">
        <v>150</v>
      </c>
      <c r="C99" s="71" t="s">
        <v>151</v>
      </c>
      <c r="D99" s="54">
        <v>76.150000000000006</v>
      </c>
      <c r="E99" s="54">
        <v>76.150000000000006</v>
      </c>
      <c r="F99" s="73">
        <v>4.4973999999999995E-3</v>
      </c>
      <c r="G99" s="74">
        <f>ROUND(pres!$C$2*calculo!F99,2)</f>
        <v>270.37</v>
      </c>
      <c r="H99" s="54">
        <f>IFERROR(VLOOKUP(C99,consumo_agua!$A$7:$AA$202,27,0),0)</f>
        <v>30.99</v>
      </c>
      <c r="I99" s="74">
        <f t="shared" si="1"/>
        <v>301.36</v>
      </c>
    </row>
    <row r="100" spans="1:9" x14ac:dyDescent="0.25">
      <c r="A100" s="71" t="s">
        <v>149</v>
      </c>
      <c r="B100" s="72" t="s">
        <v>150</v>
      </c>
      <c r="C100" s="71" t="s">
        <v>720</v>
      </c>
      <c r="D100" s="54">
        <v>0</v>
      </c>
      <c r="E100" s="54">
        <v>0</v>
      </c>
      <c r="F100" s="73">
        <v>3.6749999999999999E-4</v>
      </c>
      <c r="G100" s="74">
        <f>ROUND(pres!$C$2*calculo!F100,2)</f>
        <v>22.09</v>
      </c>
      <c r="H100" s="54">
        <f>IFERROR(VLOOKUP(C100,consumo_agua!$A$7:$AA$202,27,0),0)</f>
        <v>0</v>
      </c>
      <c r="I100" s="74">
        <f t="shared" si="1"/>
        <v>22.09</v>
      </c>
    </row>
    <row r="101" spans="1:9" x14ac:dyDescent="0.25">
      <c r="A101" s="71" t="s">
        <v>149</v>
      </c>
      <c r="B101" s="72" t="s">
        <v>150</v>
      </c>
      <c r="C101" s="71" t="s">
        <v>721</v>
      </c>
      <c r="D101" s="54">
        <v>0</v>
      </c>
      <c r="E101" s="54">
        <v>0</v>
      </c>
      <c r="F101" s="73">
        <v>1.2690000000000002E-3</v>
      </c>
      <c r="G101" s="74">
        <f>ROUND(pres!$C$2*calculo!F101,2)</f>
        <v>76.290000000000006</v>
      </c>
      <c r="H101" s="54">
        <f>IFERROR(VLOOKUP(C101,consumo_agua!$A$7:$AA$202,27,0),0)</f>
        <v>0</v>
      </c>
      <c r="I101" s="74">
        <f t="shared" si="1"/>
        <v>76.290000000000006</v>
      </c>
    </row>
    <row r="102" spans="1:9" x14ac:dyDescent="0.25">
      <c r="A102" s="71" t="s">
        <v>152</v>
      </c>
      <c r="B102" s="72" t="s">
        <v>153</v>
      </c>
      <c r="C102" s="71" t="s">
        <v>154</v>
      </c>
      <c r="D102" s="54">
        <v>44.45</v>
      </c>
      <c r="E102" s="54">
        <v>44.45</v>
      </c>
      <c r="F102" s="73">
        <v>2.6939000000000004E-3</v>
      </c>
      <c r="G102" s="74">
        <f>ROUND(pres!$C$2*calculo!F102,2)</f>
        <v>161.94999999999999</v>
      </c>
      <c r="H102" s="54">
        <f>IFERROR(VLOOKUP(C102,consumo_agua!$A$7:$AA$202,27,0),0)</f>
        <v>0</v>
      </c>
      <c r="I102" s="74">
        <f t="shared" si="1"/>
        <v>161.94999999999999</v>
      </c>
    </row>
    <row r="103" spans="1:9" x14ac:dyDescent="0.25">
      <c r="A103" s="71" t="s">
        <v>155</v>
      </c>
      <c r="B103" s="72" t="s">
        <v>156</v>
      </c>
      <c r="C103" s="71" t="s">
        <v>157</v>
      </c>
      <c r="D103" s="54">
        <v>77.05</v>
      </c>
      <c r="E103" s="54">
        <v>77.05</v>
      </c>
      <c r="F103" s="73">
        <v>4.4973999999999995E-3</v>
      </c>
      <c r="G103" s="74">
        <f>ROUND(pres!$C$2*calculo!F103,2)</f>
        <v>270.37</v>
      </c>
      <c r="H103" s="54">
        <f>IFERROR(VLOOKUP(C103,consumo_agua!$A$7:$AA$202,27,0),0)</f>
        <v>18.59</v>
      </c>
      <c r="I103" s="74">
        <f t="shared" si="1"/>
        <v>288.95999999999998</v>
      </c>
    </row>
    <row r="104" spans="1:9" x14ac:dyDescent="0.25">
      <c r="A104" s="71" t="s">
        <v>158</v>
      </c>
      <c r="B104" s="72" t="s">
        <v>159</v>
      </c>
      <c r="C104" s="71" t="s">
        <v>160</v>
      </c>
      <c r="D104" s="54">
        <v>66.45</v>
      </c>
      <c r="E104" s="54">
        <v>66.45</v>
      </c>
      <c r="F104" s="73">
        <v>4.4973999999999995E-3</v>
      </c>
      <c r="G104" s="74">
        <f>ROUND(pres!$C$2*calculo!F104,2)</f>
        <v>270.37</v>
      </c>
      <c r="H104" s="54">
        <f>IFERROR(VLOOKUP(C104,consumo_agua!$A$7:$AA$202,27,0),0)</f>
        <v>40.29</v>
      </c>
      <c r="I104" s="74">
        <f t="shared" si="1"/>
        <v>310.66000000000003</v>
      </c>
    </row>
    <row r="105" spans="1:9" x14ac:dyDescent="0.25">
      <c r="A105" s="71" t="s">
        <v>161</v>
      </c>
      <c r="B105" s="72" t="s">
        <v>162</v>
      </c>
      <c r="C105" s="71" t="s">
        <v>163</v>
      </c>
      <c r="D105" s="54">
        <v>76.150000000000006</v>
      </c>
      <c r="E105" s="54">
        <v>76.150000000000006</v>
      </c>
      <c r="F105" s="73">
        <v>4.4973999999999995E-3</v>
      </c>
      <c r="G105" s="74">
        <f>ROUND(pres!$C$2*calculo!F105,2)</f>
        <v>270.37</v>
      </c>
      <c r="H105" s="54">
        <f>IFERROR(VLOOKUP(C105,consumo_agua!$A$7:$AA$202,27,0),0)</f>
        <v>34.090000000000003</v>
      </c>
      <c r="I105" s="74">
        <f t="shared" si="1"/>
        <v>304.46000000000004</v>
      </c>
    </row>
    <row r="106" spans="1:9" x14ac:dyDescent="0.25">
      <c r="A106" s="71" t="s">
        <v>161</v>
      </c>
      <c r="B106" s="72" t="s">
        <v>162</v>
      </c>
      <c r="C106" s="71" t="s">
        <v>722</v>
      </c>
      <c r="D106" s="54">
        <v>0</v>
      </c>
      <c r="E106" s="54">
        <v>0</v>
      </c>
      <c r="F106" s="73">
        <v>1.2690000000000002E-3</v>
      </c>
      <c r="G106" s="74">
        <f>ROUND(pres!$C$2*calculo!F106,2)</f>
        <v>76.290000000000006</v>
      </c>
      <c r="H106" s="54">
        <f>IFERROR(VLOOKUP(C106,consumo_agua!$A$7:$AA$202,27,0),0)</f>
        <v>0</v>
      </c>
      <c r="I106" s="74">
        <f t="shared" si="1"/>
        <v>76.290000000000006</v>
      </c>
    </row>
    <row r="107" spans="1:9" x14ac:dyDescent="0.25">
      <c r="A107" s="71" t="s">
        <v>164</v>
      </c>
      <c r="B107" s="72" t="s">
        <v>165</v>
      </c>
      <c r="C107" s="71" t="s">
        <v>166</v>
      </c>
      <c r="D107" s="54">
        <v>76.150000000000006</v>
      </c>
      <c r="E107" s="54">
        <v>76.150000000000006</v>
      </c>
      <c r="F107" s="73">
        <v>4.4973999999999995E-3</v>
      </c>
      <c r="G107" s="74">
        <f>ROUND(pres!$C$2*calculo!F107,2)</f>
        <v>270.37</v>
      </c>
      <c r="H107" s="54">
        <f>IFERROR(VLOOKUP(C107,consumo_agua!$A$7:$AA$202,27,0),0)</f>
        <v>21.69</v>
      </c>
      <c r="I107" s="74">
        <f t="shared" si="1"/>
        <v>292.06</v>
      </c>
    </row>
    <row r="108" spans="1:9" x14ac:dyDescent="0.25">
      <c r="A108" s="71" t="s">
        <v>164</v>
      </c>
      <c r="B108" s="72" t="s">
        <v>165</v>
      </c>
      <c r="C108" s="71" t="s">
        <v>723</v>
      </c>
      <c r="D108" s="54">
        <v>0</v>
      </c>
      <c r="E108" s="54">
        <v>0</v>
      </c>
      <c r="F108" s="73">
        <v>1.2690000000000002E-3</v>
      </c>
      <c r="G108" s="74">
        <f>ROUND(pres!$C$2*calculo!F108,2)</f>
        <v>76.290000000000006</v>
      </c>
      <c r="H108" s="54">
        <f>IFERROR(VLOOKUP(C108,consumo_agua!$A$7:$AA$202,27,0),0)</f>
        <v>0</v>
      </c>
      <c r="I108" s="74">
        <f t="shared" si="1"/>
        <v>76.290000000000006</v>
      </c>
    </row>
    <row r="109" spans="1:9" x14ac:dyDescent="0.25">
      <c r="A109" s="71" t="s">
        <v>167</v>
      </c>
      <c r="B109" s="72" t="s">
        <v>168</v>
      </c>
      <c r="C109" s="71" t="s">
        <v>169</v>
      </c>
      <c r="D109" s="54">
        <v>74.599999999999994</v>
      </c>
      <c r="E109" s="54">
        <v>74.599999999999994</v>
      </c>
      <c r="F109" s="73">
        <v>4.4973999999999995E-3</v>
      </c>
      <c r="G109" s="74">
        <f>ROUND(pres!$C$2*calculo!F109,2)</f>
        <v>270.37</v>
      </c>
      <c r="H109" s="54">
        <f>IFERROR(VLOOKUP(C109,consumo_agua!$A$7:$AA$202,27,0),0)</f>
        <v>21.69</v>
      </c>
      <c r="I109" s="74">
        <f t="shared" si="1"/>
        <v>292.06</v>
      </c>
    </row>
    <row r="110" spans="1:9" x14ac:dyDescent="0.25">
      <c r="A110" s="71" t="s">
        <v>167</v>
      </c>
      <c r="B110" s="72" t="s">
        <v>168</v>
      </c>
      <c r="C110" s="71" t="s">
        <v>724</v>
      </c>
      <c r="D110" s="54">
        <v>0</v>
      </c>
      <c r="E110" s="54">
        <v>0</v>
      </c>
      <c r="F110" s="73">
        <v>1.2690000000000002E-3</v>
      </c>
      <c r="G110" s="74">
        <f>ROUND(pres!$C$2*calculo!F110,2)</f>
        <v>76.290000000000006</v>
      </c>
      <c r="H110" s="54">
        <f>IFERROR(VLOOKUP(C110,consumo_agua!$A$7:$AA$202,27,0),0)</f>
        <v>0</v>
      </c>
      <c r="I110" s="74">
        <f t="shared" si="1"/>
        <v>76.290000000000006</v>
      </c>
    </row>
    <row r="111" spans="1:9" x14ac:dyDescent="0.25">
      <c r="A111" s="71" t="s">
        <v>170</v>
      </c>
      <c r="B111" s="72" t="s">
        <v>171</v>
      </c>
      <c r="C111" s="71" t="s">
        <v>172</v>
      </c>
      <c r="D111" s="54">
        <v>68</v>
      </c>
      <c r="E111" s="54">
        <v>68</v>
      </c>
      <c r="F111" s="73">
        <v>4.4973999999999995E-3</v>
      </c>
      <c r="G111" s="74">
        <f>ROUND(pres!$C$2*calculo!F111,2)</f>
        <v>270.37</v>
      </c>
      <c r="H111" s="54">
        <f>IFERROR(VLOOKUP(C111,consumo_agua!$A$7:$AA$202,27,0),0)</f>
        <v>21.69</v>
      </c>
      <c r="I111" s="74">
        <f t="shared" si="1"/>
        <v>292.06</v>
      </c>
    </row>
    <row r="112" spans="1:9" x14ac:dyDescent="0.25">
      <c r="A112" s="71" t="s">
        <v>170</v>
      </c>
      <c r="B112" s="72" t="s">
        <v>171</v>
      </c>
      <c r="C112" s="71" t="s">
        <v>725</v>
      </c>
      <c r="D112" s="54">
        <v>0</v>
      </c>
      <c r="E112" s="54">
        <v>0</v>
      </c>
      <c r="F112" s="73">
        <v>1.2690000000000002E-3</v>
      </c>
      <c r="G112" s="74">
        <f>ROUND(pres!$C$2*calculo!F112,2)</f>
        <v>76.290000000000006</v>
      </c>
      <c r="H112" s="54">
        <f>IFERROR(VLOOKUP(C112,consumo_agua!$A$7:$AA$202,27,0),0)</f>
        <v>0</v>
      </c>
      <c r="I112" s="74">
        <f t="shared" si="1"/>
        <v>76.290000000000006</v>
      </c>
    </row>
    <row r="113" spans="1:9" x14ac:dyDescent="0.25">
      <c r="A113" s="71" t="s">
        <v>173</v>
      </c>
      <c r="B113" s="72" t="s">
        <v>174</v>
      </c>
      <c r="C113" s="71" t="s">
        <v>175</v>
      </c>
      <c r="D113" s="54">
        <v>77.05</v>
      </c>
      <c r="E113" s="54">
        <v>77.05</v>
      </c>
      <c r="F113" s="73">
        <v>4.4973999999999995E-3</v>
      </c>
      <c r="G113" s="74">
        <f>ROUND(pres!$C$2*calculo!F113,2)</f>
        <v>270.37</v>
      </c>
      <c r="H113" s="54">
        <f>IFERROR(VLOOKUP(C113,consumo_agua!$A$7:$AA$202,27,0),0)</f>
        <v>27.89</v>
      </c>
      <c r="I113" s="74">
        <f t="shared" si="1"/>
        <v>298.26</v>
      </c>
    </row>
    <row r="114" spans="1:9" x14ac:dyDescent="0.25">
      <c r="A114" s="71" t="s">
        <v>176</v>
      </c>
      <c r="B114" s="72" t="s">
        <v>177</v>
      </c>
      <c r="C114" s="71" t="s">
        <v>178</v>
      </c>
      <c r="D114" s="54">
        <v>92.5</v>
      </c>
      <c r="E114" s="54">
        <v>92.5</v>
      </c>
      <c r="F114" s="73">
        <v>5.6772999999999997E-3</v>
      </c>
      <c r="G114" s="74">
        <f>ROUND(pres!$C$2*calculo!F114,2)</f>
        <v>341.3</v>
      </c>
      <c r="H114" s="54">
        <f>IFERROR(VLOOKUP(C114,consumo_agua!$A$7:$AA$202,27,0),0)</f>
        <v>3.1</v>
      </c>
      <c r="I114" s="74">
        <f t="shared" si="1"/>
        <v>344.40000000000003</v>
      </c>
    </row>
    <row r="115" spans="1:9" x14ac:dyDescent="0.25">
      <c r="A115" s="71" t="s">
        <v>176</v>
      </c>
      <c r="B115" s="72" t="s">
        <v>177</v>
      </c>
      <c r="C115" s="71" t="s">
        <v>726</v>
      </c>
      <c r="D115" s="54">
        <v>0</v>
      </c>
      <c r="E115" s="54">
        <v>0</v>
      </c>
      <c r="F115" s="73">
        <v>1.2690000000000002E-3</v>
      </c>
      <c r="G115" s="74">
        <f>ROUND(pres!$C$2*calculo!F115,2)</f>
        <v>76.290000000000006</v>
      </c>
      <c r="H115" s="54">
        <f>IFERROR(VLOOKUP(C115,consumo_agua!$A$7:$AA$202,27,0),0)</f>
        <v>0</v>
      </c>
      <c r="I115" s="74">
        <f t="shared" si="1"/>
        <v>76.290000000000006</v>
      </c>
    </row>
    <row r="116" spans="1:9" x14ac:dyDescent="0.25">
      <c r="A116" s="71" t="s">
        <v>179</v>
      </c>
      <c r="B116" s="72" t="s">
        <v>180</v>
      </c>
      <c r="C116" s="71" t="s">
        <v>181</v>
      </c>
      <c r="D116" s="54">
        <v>77.05</v>
      </c>
      <c r="E116" s="54">
        <v>77.05</v>
      </c>
      <c r="F116" s="73">
        <v>4.4973999999999995E-3</v>
      </c>
      <c r="G116" s="74">
        <f>ROUND(pres!$C$2*calculo!F116,2)</f>
        <v>270.37</v>
      </c>
      <c r="H116" s="54">
        <f>IFERROR(VLOOKUP(C116,consumo_agua!$A$7:$AA$202,27,0),0)</f>
        <v>34.090000000000003</v>
      </c>
      <c r="I116" s="74">
        <f t="shared" si="1"/>
        <v>304.46000000000004</v>
      </c>
    </row>
    <row r="117" spans="1:9" x14ac:dyDescent="0.25">
      <c r="A117" s="71" t="s">
        <v>179</v>
      </c>
      <c r="B117" s="72" t="s">
        <v>180</v>
      </c>
      <c r="C117" s="71" t="s">
        <v>727</v>
      </c>
      <c r="D117" s="54">
        <v>0</v>
      </c>
      <c r="E117" s="54">
        <v>0</v>
      </c>
      <c r="F117" s="73">
        <v>1.2690000000000002E-3</v>
      </c>
      <c r="G117" s="74">
        <f>ROUND(pres!$C$2*calculo!F117,2)</f>
        <v>76.290000000000006</v>
      </c>
      <c r="H117" s="54">
        <f>IFERROR(VLOOKUP(C117,consumo_agua!$A$7:$AA$202,27,0),0)</f>
        <v>0</v>
      </c>
      <c r="I117" s="74">
        <f t="shared" si="1"/>
        <v>76.290000000000006</v>
      </c>
    </row>
    <row r="118" spans="1:9" x14ac:dyDescent="0.25">
      <c r="A118" s="71" t="s">
        <v>179</v>
      </c>
      <c r="B118" s="72" t="s">
        <v>180</v>
      </c>
      <c r="C118" s="71" t="s">
        <v>728</v>
      </c>
      <c r="D118" s="54">
        <v>0</v>
      </c>
      <c r="E118" s="54">
        <v>0</v>
      </c>
      <c r="F118" s="73">
        <v>1.2690000000000002E-3</v>
      </c>
      <c r="G118" s="74">
        <f>ROUND(pres!$C$2*calculo!F118,2)</f>
        <v>76.290000000000006</v>
      </c>
      <c r="H118" s="54">
        <f>IFERROR(VLOOKUP(C118,consumo_agua!$A$7:$AA$202,27,0),0)</f>
        <v>0</v>
      </c>
      <c r="I118" s="74">
        <f t="shared" si="1"/>
        <v>76.290000000000006</v>
      </c>
    </row>
    <row r="119" spans="1:9" x14ac:dyDescent="0.25">
      <c r="A119" s="71" t="s">
        <v>182</v>
      </c>
      <c r="B119" s="72" t="s">
        <v>183</v>
      </c>
      <c r="C119" s="71" t="s">
        <v>184</v>
      </c>
      <c r="D119" s="54">
        <v>0</v>
      </c>
      <c r="E119" s="54">
        <v>0</v>
      </c>
      <c r="F119" s="73">
        <v>1.2690000000000002E-3</v>
      </c>
      <c r="G119" s="74">
        <f>ROUND(pres!$C$2*calculo!F119,2)</f>
        <v>76.290000000000006</v>
      </c>
      <c r="H119" s="54">
        <f>IFERROR(VLOOKUP(C119,consumo_agua!$A$7:$AA$202,27,0),0)</f>
        <v>0</v>
      </c>
      <c r="I119" s="74">
        <f t="shared" si="1"/>
        <v>76.290000000000006</v>
      </c>
    </row>
    <row r="120" spans="1:9" x14ac:dyDescent="0.25">
      <c r="A120" s="71" t="s">
        <v>185</v>
      </c>
      <c r="B120" s="72" t="s">
        <v>186</v>
      </c>
      <c r="C120" s="71" t="s">
        <v>187</v>
      </c>
      <c r="D120" s="54">
        <v>74.599999999999994</v>
      </c>
      <c r="E120" s="54">
        <v>74.599999999999994</v>
      </c>
      <c r="F120" s="73">
        <v>4.4973999999999995E-3</v>
      </c>
      <c r="G120" s="74">
        <f>ROUND(pres!$C$2*calculo!F120,2)</f>
        <v>270.37</v>
      </c>
      <c r="H120" s="54">
        <f>IFERROR(VLOOKUP(C120,consumo_agua!$A$7:$AA$202,27,0),0)</f>
        <v>28.93</v>
      </c>
      <c r="I120" s="74">
        <f t="shared" si="1"/>
        <v>299.3</v>
      </c>
    </row>
    <row r="121" spans="1:9" x14ac:dyDescent="0.25">
      <c r="A121" s="71" t="s">
        <v>185</v>
      </c>
      <c r="B121" s="72" t="s">
        <v>186</v>
      </c>
      <c r="C121" s="71" t="s">
        <v>729</v>
      </c>
      <c r="D121" s="54">
        <v>0</v>
      </c>
      <c r="E121" s="54">
        <v>0</v>
      </c>
      <c r="F121" s="73">
        <v>1.2690000000000002E-3</v>
      </c>
      <c r="G121" s="74">
        <f>ROUND(pres!$C$2*calculo!F121,2)</f>
        <v>76.290000000000006</v>
      </c>
      <c r="H121" s="54">
        <f>IFERROR(VLOOKUP(C121,consumo_agua!$A$7:$AA$202,27,0),0)</f>
        <v>0</v>
      </c>
      <c r="I121" s="74">
        <f t="shared" si="1"/>
        <v>76.290000000000006</v>
      </c>
    </row>
    <row r="122" spans="1:9" x14ac:dyDescent="0.25">
      <c r="A122" s="71" t="s">
        <v>188</v>
      </c>
      <c r="B122" s="72" t="s">
        <v>189</v>
      </c>
      <c r="C122" s="71" t="s">
        <v>190</v>
      </c>
      <c r="D122" s="54">
        <v>68</v>
      </c>
      <c r="E122" s="54">
        <v>68</v>
      </c>
      <c r="F122" s="73">
        <v>4.4973999999999995E-3</v>
      </c>
      <c r="G122" s="74">
        <f>ROUND(pres!$C$2*calculo!F122,2)</f>
        <v>270.37</v>
      </c>
      <c r="H122" s="54">
        <f>IFERROR(VLOOKUP(C122,consumo_agua!$A$7:$AA$202,27,0),0)</f>
        <v>18.59</v>
      </c>
      <c r="I122" s="74">
        <f t="shared" si="1"/>
        <v>288.95999999999998</v>
      </c>
    </row>
    <row r="123" spans="1:9" x14ac:dyDescent="0.25">
      <c r="A123" s="71" t="s">
        <v>188</v>
      </c>
      <c r="B123" s="72" t="s">
        <v>189</v>
      </c>
      <c r="C123" s="71" t="s">
        <v>730</v>
      </c>
      <c r="D123" s="54">
        <v>0</v>
      </c>
      <c r="E123" s="54">
        <v>0</v>
      </c>
      <c r="F123" s="73">
        <v>1.2690000000000002E-3</v>
      </c>
      <c r="G123" s="74">
        <f>ROUND(pres!$C$2*calculo!F123,2)</f>
        <v>76.290000000000006</v>
      </c>
      <c r="H123" s="54">
        <f>IFERROR(VLOOKUP(C123,consumo_agua!$A$7:$AA$202,27,0),0)</f>
        <v>0</v>
      </c>
      <c r="I123" s="74">
        <f t="shared" si="1"/>
        <v>76.290000000000006</v>
      </c>
    </row>
    <row r="124" spans="1:9" x14ac:dyDescent="0.25">
      <c r="A124" s="71" t="s">
        <v>191</v>
      </c>
      <c r="B124" s="72" t="s">
        <v>192</v>
      </c>
      <c r="C124" s="71" t="s">
        <v>193</v>
      </c>
      <c r="D124" s="54">
        <v>77.05</v>
      </c>
      <c r="E124" s="54">
        <v>77.05</v>
      </c>
      <c r="F124" s="73">
        <v>4.4973999999999995E-3</v>
      </c>
      <c r="G124" s="74">
        <f>ROUND(pres!$C$2*calculo!F124,2)</f>
        <v>270.37</v>
      </c>
      <c r="H124" s="54">
        <f>IFERROR(VLOOKUP(C124,consumo_agua!$A$7:$AA$202,27,0),0)</f>
        <v>6.2</v>
      </c>
      <c r="I124" s="74">
        <f t="shared" si="1"/>
        <v>276.57</v>
      </c>
    </row>
    <row r="125" spans="1:9" x14ac:dyDescent="0.25">
      <c r="A125" s="71" t="s">
        <v>191</v>
      </c>
      <c r="B125" s="72" t="s">
        <v>192</v>
      </c>
      <c r="C125" s="71" t="s">
        <v>731</v>
      </c>
      <c r="D125" s="54">
        <v>0</v>
      </c>
      <c r="E125" s="54">
        <v>0</v>
      </c>
      <c r="F125" s="73">
        <v>1.2690000000000002E-3</v>
      </c>
      <c r="G125" s="74">
        <f>ROUND(pres!$C$2*calculo!F125,2)</f>
        <v>76.290000000000006</v>
      </c>
      <c r="H125" s="54">
        <f>IFERROR(VLOOKUP(C125,consumo_agua!$A$7:$AA$202,27,0),0)</f>
        <v>0</v>
      </c>
      <c r="I125" s="74">
        <f t="shared" si="1"/>
        <v>76.290000000000006</v>
      </c>
    </row>
    <row r="126" spans="1:9" x14ac:dyDescent="0.25">
      <c r="A126" s="71" t="s">
        <v>194</v>
      </c>
      <c r="B126" s="72" t="s">
        <v>195</v>
      </c>
      <c r="C126" s="71" t="s">
        <v>196</v>
      </c>
      <c r="D126" s="54">
        <v>178.72</v>
      </c>
      <c r="E126" s="54">
        <v>178.72</v>
      </c>
      <c r="F126" s="73">
        <v>9.9965000000000002E-3</v>
      </c>
      <c r="G126" s="74">
        <f>ROUND(pres!$C$2*calculo!F126,2)</f>
        <v>600.95000000000005</v>
      </c>
      <c r="H126" s="54">
        <f>IFERROR(VLOOKUP(C126,consumo_agua!$A$7:$AA$202,27,0),0)</f>
        <v>34.090000000000003</v>
      </c>
      <c r="I126" s="74">
        <f t="shared" si="1"/>
        <v>635.04000000000008</v>
      </c>
    </row>
    <row r="127" spans="1:9" x14ac:dyDescent="0.25">
      <c r="A127" s="71" t="s">
        <v>194</v>
      </c>
      <c r="B127" s="72" t="s">
        <v>195</v>
      </c>
      <c r="C127" s="71" t="s">
        <v>732</v>
      </c>
      <c r="D127" s="54">
        <v>0</v>
      </c>
      <c r="E127" s="54">
        <v>0</v>
      </c>
      <c r="F127" s="73">
        <v>3.6749999999999999E-4</v>
      </c>
      <c r="G127" s="74">
        <f>ROUND(pres!$C$2*calculo!F127,2)</f>
        <v>22.09</v>
      </c>
      <c r="H127" s="54">
        <f>IFERROR(VLOOKUP(C127,consumo_agua!$A$7:$AA$202,27,0),0)</f>
        <v>0</v>
      </c>
      <c r="I127" s="74">
        <f t="shared" si="1"/>
        <v>22.09</v>
      </c>
    </row>
    <row r="128" spans="1:9" x14ac:dyDescent="0.25">
      <c r="A128" s="71" t="s">
        <v>194</v>
      </c>
      <c r="B128" s="72" t="s">
        <v>195</v>
      </c>
      <c r="C128" s="71" t="s">
        <v>733</v>
      </c>
      <c r="D128" s="54">
        <v>0</v>
      </c>
      <c r="E128" s="54">
        <v>0</v>
      </c>
      <c r="F128" s="73">
        <v>1.2690000000000002E-3</v>
      </c>
      <c r="G128" s="74">
        <f>ROUND(pres!$C$2*calculo!F128,2)</f>
        <v>76.290000000000006</v>
      </c>
      <c r="H128" s="54">
        <f>IFERROR(VLOOKUP(C128,consumo_agua!$A$7:$AA$202,27,0),0)</f>
        <v>0</v>
      </c>
      <c r="I128" s="74">
        <f t="shared" si="1"/>
        <v>76.290000000000006</v>
      </c>
    </row>
    <row r="129" spans="1:9" x14ac:dyDescent="0.25">
      <c r="A129" s="71" t="s">
        <v>197</v>
      </c>
      <c r="B129" s="72" t="s">
        <v>198</v>
      </c>
      <c r="C129" s="71" t="s">
        <v>199</v>
      </c>
      <c r="D129" s="54">
        <v>76.150000000000006</v>
      </c>
      <c r="E129" s="54">
        <v>76.150000000000006</v>
      </c>
      <c r="F129" s="73">
        <v>4.4973999999999995E-3</v>
      </c>
      <c r="G129" s="74">
        <f>ROUND(pres!$C$2*calculo!F129,2)</f>
        <v>270.37</v>
      </c>
      <c r="H129" s="54">
        <f>IFERROR(VLOOKUP(C129,consumo_agua!$A$7:$AA$202,27,0),0)</f>
        <v>21.69</v>
      </c>
      <c r="I129" s="74">
        <f t="shared" si="1"/>
        <v>292.06</v>
      </c>
    </row>
    <row r="130" spans="1:9" x14ac:dyDescent="0.25">
      <c r="A130" s="71" t="s">
        <v>197</v>
      </c>
      <c r="B130" s="72" t="s">
        <v>198</v>
      </c>
      <c r="C130" s="71" t="s">
        <v>734</v>
      </c>
      <c r="D130" s="54">
        <v>0</v>
      </c>
      <c r="E130" s="54">
        <v>0</v>
      </c>
      <c r="F130" s="73">
        <v>1.2690000000000002E-3</v>
      </c>
      <c r="G130" s="74">
        <f>ROUND(pres!$C$2*calculo!F130,2)</f>
        <v>76.290000000000006</v>
      </c>
      <c r="H130" s="54">
        <f>IFERROR(VLOOKUP(C130,consumo_agua!$A$7:$AA$202,27,0),0)</f>
        <v>0</v>
      </c>
      <c r="I130" s="74">
        <f t="shared" ref="I130:I193" si="2">SUM(G130:H130)</f>
        <v>76.290000000000006</v>
      </c>
    </row>
    <row r="131" spans="1:9" x14ac:dyDescent="0.25">
      <c r="A131" s="71" t="s">
        <v>200</v>
      </c>
      <c r="B131" s="72" t="s">
        <v>201</v>
      </c>
      <c r="C131" s="71" t="s">
        <v>202</v>
      </c>
      <c r="D131" s="54">
        <v>74.599999999999994</v>
      </c>
      <c r="E131" s="54">
        <v>74.599999999999994</v>
      </c>
      <c r="F131" s="73">
        <v>4.4973999999999995E-3</v>
      </c>
      <c r="G131" s="74">
        <f>ROUND(pres!$C$2*calculo!F131,2)</f>
        <v>270.37</v>
      </c>
      <c r="H131" s="54">
        <f>IFERROR(VLOOKUP(C131,consumo_agua!$A$7:$AA$202,27,0),0)</f>
        <v>46.48</v>
      </c>
      <c r="I131" s="74">
        <f t="shared" si="2"/>
        <v>316.85000000000002</v>
      </c>
    </row>
    <row r="132" spans="1:9" x14ac:dyDescent="0.25">
      <c r="A132" s="71" t="s">
        <v>200</v>
      </c>
      <c r="B132" s="72" t="s">
        <v>201</v>
      </c>
      <c r="C132" s="71" t="s">
        <v>735</v>
      </c>
      <c r="D132" s="54">
        <v>0</v>
      </c>
      <c r="E132" s="54">
        <v>0</v>
      </c>
      <c r="F132" s="73">
        <v>1.2690000000000002E-3</v>
      </c>
      <c r="G132" s="74">
        <f>ROUND(pres!$C$2*calculo!F132,2)</f>
        <v>76.290000000000006</v>
      </c>
      <c r="H132" s="54">
        <f>IFERROR(VLOOKUP(C132,consumo_agua!$A$7:$AA$202,27,0),0)</f>
        <v>0</v>
      </c>
      <c r="I132" s="74">
        <f t="shared" si="2"/>
        <v>76.290000000000006</v>
      </c>
    </row>
    <row r="133" spans="1:9" x14ac:dyDescent="0.25">
      <c r="A133" s="71" t="s">
        <v>203</v>
      </c>
      <c r="B133" s="72" t="s">
        <v>204</v>
      </c>
      <c r="C133" s="71" t="s">
        <v>205</v>
      </c>
      <c r="D133" s="54">
        <v>43.35</v>
      </c>
      <c r="E133" s="54">
        <v>43.35</v>
      </c>
      <c r="F133" s="73">
        <v>2.6939000000000004E-3</v>
      </c>
      <c r="G133" s="74">
        <f>ROUND(pres!$C$2*calculo!F133,2)</f>
        <v>161.94999999999999</v>
      </c>
      <c r="H133" s="54">
        <f>IFERROR(VLOOKUP(C133,consumo_agua!$A$7:$AA$202,27,0),0)</f>
        <v>9.3000000000000007</v>
      </c>
      <c r="I133" s="74">
        <f t="shared" si="2"/>
        <v>171.25</v>
      </c>
    </row>
    <row r="134" spans="1:9" x14ac:dyDescent="0.25">
      <c r="A134" s="71" t="s">
        <v>203</v>
      </c>
      <c r="B134" s="72" t="s">
        <v>204</v>
      </c>
      <c r="C134" s="71" t="s">
        <v>736</v>
      </c>
      <c r="D134" s="54">
        <v>0</v>
      </c>
      <c r="E134" s="54">
        <v>0</v>
      </c>
      <c r="F134" s="73">
        <v>1.2690000000000002E-3</v>
      </c>
      <c r="G134" s="74">
        <f>ROUND(pres!$C$2*calculo!F134,2)</f>
        <v>76.290000000000006</v>
      </c>
      <c r="H134" s="54">
        <f>IFERROR(VLOOKUP(C134,consumo_agua!$A$7:$AA$202,27,0),0)</f>
        <v>0</v>
      </c>
      <c r="I134" s="74">
        <f t="shared" si="2"/>
        <v>76.290000000000006</v>
      </c>
    </row>
    <row r="135" spans="1:9" x14ac:dyDescent="0.25">
      <c r="A135" s="71" t="s">
        <v>206</v>
      </c>
      <c r="B135" s="72" t="s">
        <v>207</v>
      </c>
      <c r="C135" s="71" t="s">
        <v>208</v>
      </c>
      <c r="D135" s="54">
        <v>66.45</v>
      </c>
      <c r="E135" s="54">
        <v>66.45</v>
      </c>
      <c r="F135" s="73">
        <v>4.4973999999999995E-3</v>
      </c>
      <c r="G135" s="74">
        <f>ROUND(pres!$C$2*calculo!F135,2)</f>
        <v>270.37</v>
      </c>
      <c r="H135" s="54">
        <f>IFERROR(VLOOKUP(C135,consumo_agua!$A$7:$AA$202,27,0),0)</f>
        <v>30.99</v>
      </c>
      <c r="I135" s="74">
        <f t="shared" si="2"/>
        <v>301.36</v>
      </c>
    </row>
    <row r="136" spans="1:9" x14ac:dyDescent="0.25">
      <c r="A136" s="71" t="s">
        <v>209</v>
      </c>
      <c r="B136" s="72" t="s">
        <v>210</v>
      </c>
      <c r="C136" s="71" t="s">
        <v>211</v>
      </c>
      <c r="D136" s="54">
        <v>33.200000000000003</v>
      </c>
      <c r="E136" s="54">
        <v>33.200000000000003</v>
      </c>
      <c r="F136" s="73">
        <v>2.6939000000000004E-3</v>
      </c>
      <c r="G136" s="74">
        <f>ROUND(pres!$C$2*calculo!F136,2)</f>
        <v>161.94999999999999</v>
      </c>
      <c r="H136" s="54">
        <f>IFERROR(VLOOKUP(C136,consumo_agua!$A$7:$AA$202,27,0),0)</f>
        <v>9.3000000000000007</v>
      </c>
      <c r="I136" s="74">
        <f t="shared" si="2"/>
        <v>171.25</v>
      </c>
    </row>
    <row r="137" spans="1:9" x14ac:dyDescent="0.25">
      <c r="A137" s="71" t="s">
        <v>212</v>
      </c>
      <c r="B137" s="72" t="s">
        <v>213</v>
      </c>
      <c r="C137" s="71" t="s">
        <v>214</v>
      </c>
      <c r="D137" s="54">
        <v>44.45</v>
      </c>
      <c r="E137" s="54">
        <v>44.45</v>
      </c>
      <c r="F137" s="73">
        <v>2.6939000000000004E-3</v>
      </c>
      <c r="G137" s="74">
        <f>ROUND(pres!$C$2*calculo!F137,2)</f>
        <v>161.94999999999999</v>
      </c>
      <c r="H137" s="54">
        <f>IFERROR(VLOOKUP(C137,consumo_agua!$A$7:$AA$202,27,0),0)</f>
        <v>15.49</v>
      </c>
      <c r="I137" s="74">
        <f t="shared" si="2"/>
        <v>177.44</v>
      </c>
    </row>
    <row r="138" spans="1:9" x14ac:dyDescent="0.25">
      <c r="A138" s="71" t="s">
        <v>215</v>
      </c>
      <c r="B138" s="72" t="s">
        <v>216</v>
      </c>
      <c r="C138" s="71" t="s">
        <v>217</v>
      </c>
      <c r="D138" s="54">
        <v>77.05</v>
      </c>
      <c r="E138" s="54">
        <v>77.05</v>
      </c>
      <c r="F138" s="73">
        <v>4.4973999999999995E-3</v>
      </c>
      <c r="G138" s="74">
        <f>ROUND(pres!$C$2*calculo!F138,2)</f>
        <v>270.37</v>
      </c>
      <c r="H138" s="54">
        <f>IFERROR(VLOOKUP(C138,consumo_agua!$A$7:$AA$202,27,0),0)</f>
        <v>34.090000000000003</v>
      </c>
      <c r="I138" s="74">
        <f t="shared" si="2"/>
        <v>304.46000000000004</v>
      </c>
    </row>
    <row r="139" spans="1:9" x14ac:dyDescent="0.25">
      <c r="A139" s="71" t="s">
        <v>218</v>
      </c>
      <c r="B139" s="72" t="s">
        <v>737</v>
      </c>
      <c r="C139" s="71" t="s">
        <v>220</v>
      </c>
      <c r="D139" s="54">
        <v>68</v>
      </c>
      <c r="E139" s="54">
        <v>68</v>
      </c>
      <c r="F139" s="73">
        <v>4.4973999999999995E-3</v>
      </c>
      <c r="G139" s="74">
        <f>ROUND(pres!$C$2*calculo!F139,2)</f>
        <v>270.37</v>
      </c>
      <c r="H139" s="54">
        <f>IFERROR(VLOOKUP(C139,consumo_agua!$A$7:$AA$202,27,0),0)</f>
        <v>24.79</v>
      </c>
      <c r="I139" s="74">
        <f t="shared" si="2"/>
        <v>295.16000000000003</v>
      </c>
    </row>
    <row r="140" spans="1:9" x14ac:dyDescent="0.25">
      <c r="A140" s="71" t="s">
        <v>218</v>
      </c>
      <c r="B140" s="72" t="s">
        <v>737</v>
      </c>
      <c r="C140" s="71" t="s">
        <v>738</v>
      </c>
      <c r="D140" s="54">
        <v>0</v>
      </c>
      <c r="E140" s="54">
        <v>0</v>
      </c>
      <c r="F140" s="73">
        <v>1.2690000000000002E-3</v>
      </c>
      <c r="G140" s="74">
        <f>ROUND(pres!$C$2*calculo!F140,2)</f>
        <v>76.290000000000006</v>
      </c>
      <c r="H140" s="54">
        <f>IFERROR(VLOOKUP(C140,consumo_agua!$A$7:$AA$202,27,0),0)</f>
        <v>0</v>
      </c>
      <c r="I140" s="74">
        <f t="shared" si="2"/>
        <v>76.290000000000006</v>
      </c>
    </row>
    <row r="141" spans="1:9" x14ac:dyDescent="0.25">
      <c r="A141" s="71" t="s">
        <v>221</v>
      </c>
      <c r="B141" s="72" t="s">
        <v>222</v>
      </c>
      <c r="C141" s="71" t="s">
        <v>223</v>
      </c>
      <c r="D141" s="54">
        <v>33</v>
      </c>
      <c r="E141" s="54">
        <v>33</v>
      </c>
      <c r="F141" s="73">
        <v>2.6939000000000004E-3</v>
      </c>
      <c r="G141" s="74">
        <f>ROUND(pres!$C$2*calculo!F141,2)</f>
        <v>161.94999999999999</v>
      </c>
      <c r="H141" s="54">
        <f>IFERROR(VLOOKUP(C141,consumo_agua!$A$7:$AA$202,27,0),0)</f>
        <v>3.1</v>
      </c>
      <c r="I141" s="74">
        <f t="shared" si="2"/>
        <v>165.04999999999998</v>
      </c>
    </row>
    <row r="142" spans="1:9" x14ac:dyDescent="0.25">
      <c r="A142" s="71" t="s">
        <v>224</v>
      </c>
      <c r="B142" s="72" t="s">
        <v>225</v>
      </c>
      <c r="C142" s="71" t="s">
        <v>226</v>
      </c>
      <c r="D142" s="54">
        <v>68</v>
      </c>
      <c r="E142" s="54">
        <v>68</v>
      </c>
      <c r="F142" s="73">
        <v>4.4973999999999995E-3</v>
      </c>
      <c r="G142" s="74">
        <f>ROUND(pres!$C$2*calculo!F142,2)</f>
        <v>270.37</v>
      </c>
      <c r="H142" s="54">
        <f>IFERROR(VLOOKUP(C142,consumo_agua!$A$7:$AA$202,27,0),0)</f>
        <v>9.3000000000000007</v>
      </c>
      <c r="I142" s="74">
        <f t="shared" si="2"/>
        <v>279.67</v>
      </c>
    </row>
    <row r="143" spans="1:9" x14ac:dyDescent="0.25">
      <c r="A143" s="71" t="s">
        <v>224</v>
      </c>
      <c r="B143" s="72" t="s">
        <v>225</v>
      </c>
      <c r="C143" s="71" t="s">
        <v>739</v>
      </c>
      <c r="D143" s="54">
        <v>0</v>
      </c>
      <c r="E143" s="54">
        <v>0</v>
      </c>
      <c r="F143" s="73">
        <v>1.2690000000000002E-3</v>
      </c>
      <c r="G143" s="74">
        <f>ROUND(pres!$C$2*calculo!F143,2)</f>
        <v>76.290000000000006</v>
      </c>
      <c r="H143" s="54">
        <f>IFERROR(VLOOKUP(C143,consumo_agua!$A$7:$AA$202,27,0),0)</f>
        <v>0</v>
      </c>
      <c r="I143" s="74">
        <f t="shared" si="2"/>
        <v>76.290000000000006</v>
      </c>
    </row>
    <row r="144" spans="1:9" x14ac:dyDescent="0.25">
      <c r="A144" s="71" t="s">
        <v>227</v>
      </c>
      <c r="B144" s="72" t="s">
        <v>228</v>
      </c>
      <c r="C144" s="71" t="s">
        <v>229</v>
      </c>
      <c r="D144" s="54">
        <v>77.05</v>
      </c>
      <c r="E144" s="54">
        <v>77.05</v>
      </c>
      <c r="F144" s="73">
        <v>4.4973999999999995E-3</v>
      </c>
      <c r="G144" s="74">
        <f>ROUND(pres!$C$2*calculo!F144,2)</f>
        <v>270.37</v>
      </c>
      <c r="H144" s="54">
        <f>IFERROR(VLOOKUP(C144,consumo_agua!$A$7:$AA$202,27,0),0)</f>
        <v>27.89</v>
      </c>
      <c r="I144" s="74">
        <f t="shared" si="2"/>
        <v>298.26</v>
      </c>
    </row>
    <row r="145" spans="1:9" x14ac:dyDescent="0.25">
      <c r="A145" s="71" t="s">
        <v>227</v>
      </c>
      <c r="B145" s="72" t="s">
        <v>228</v>
      </c>
      <c r="C145" s="71" t="s">
        <v>740</v>
      </c>
      <c r="D145" s="54">
        <v>0</v>
      </c>
      <c r="E145" s="54">
        <v>0</v>
      </c>
      <c r="F145" s="73">
        <v>3.6749999999999999E-4</v>
      </c>
      <c r="G145" s="74">
        <f>ROUND(pres!$C$2*calculo!F145,2)</f>
        <v>22.09</v>
      </c>
      <c r="H145" s="54">
        <f>IFERROR(VLOOKUP(C145,consumo_agua!$A$7:$AA$202,27,0),0)</f>
        <v>0</v>
      </c>
      <c r="I145" s="74">
        <f t="shared" si="2"/>
        <v>22.09</v>
      </c>
    </row>
    <row r="146" spans="1:9" x14ac:dyDescent="0.25">
      <c r="A146" s="71" t="s">
        <v>227</v>
      </c>
      <c r="B146" s="72" t="s">
        <v>228</v>
      </c>
      <c r="C146" s="71" t="s">
        <v>741</v>
      </c>
      <c r="D146" s="54">
        <v>0</v>
      </c>
      <c r="E146" s="54">
        <v>0</v>
      </c>
      <c r="F146" s="73">
        <v>3.6749999999999999E-4</v>
      </c>
      <c r="G146" s="74">
        <f>ROUND(pres!$C$2*calculo!F146,2)</f>
        <v>22.09</v>
      </c>
      <c r="H146" s="54">
        <f>IFERROR(VLOOKUP(C146,consumo_agua!$A$7:$AA$202,27,0),0)</f>
        <v>0</v>
      </c>
      <c r="I146" s="74">
        <f t="shared" si="2"/>
        <v>22.09</v>
      </c>
    </row>
    <row r="147" spans="1:9" x14ac:dyDescent="0.25">
      <c r="A147" s="71" t="s">
        <v>227</v>
      </c>
      <c r="B147" s="72" t="s">
        <v>228</v>
      </c>
      <c r="C147" s="71" t="s">
        <v>742</v>
      </c>
      <c r="D147" s="54">
        <v>0</v>
      </c>
      <c r="E147" s="54">
        <v>0</v>
      </c>
      <c r="F147" s="73">
        <v>1.2690000000000002E-3</v>
      </c>
      <c r="G147" s="74">
        <f>ROUND(pres!$C$2*calculo!F147,2)</f>
        <v>76.290000000000006</v>
      </c>
      <c r="H147" s="54">
        <f>IFERROR(VLOOKUP(C147,consumo_agua!$A$7:$AA$202,27,0),0)</f>
        <v>0</v>
      </c>
      <c r="I147" s="74">
        <f t="shared" si="2"/>
        <v>76.290000000000006</v>
      </c>
    </row>
    <row r="148" spans="1:9" x14ac:dyDescent="0.25">
      <c r="A148" s="71" t="s">
        <v>227</v>
      </c>
      <c r="B148" s="72" t="s">
        <v>228</v>
      </c>
      <c r="C148" s="71" t="s">
        <v>743</v>
      </c>
      <c r="D148" s="54">
        <v>0</v>
      </c>
      <c r="E148" s="54">
        <v>0</v>
      </c>
      <c r="F148" s="73">
        <v>1.2690000000000002E-3</v>
      </c>
      <c r="G148" s="74">
        <f>ROUND(pres!$C$2*calculo!F148,2)</f>
        <v>76.290000000000006</v>
      </c>
      <c r="H148" s="54">
        <f>IFERROR(VLOOKUP(C148,consumo_agua!$A$7:$AA$202,27,0),0)</f>
        <v>0</v>
      </c>
      <c r="I148" s="74">
        <f t="shared" si="2"/>
        <v>76.290000000000006</v>
      </c>
    </row>
    <row r="149" spans="1:9" x14ac:dyDescent="0.25">
      <c r="A149" s="71" t="s">
        <v>230</v>
      </c>
      <c r="B149" s="72" t="s">
        <v>231</v>
      </c>
      <c r="C149" s="71" t="s">
        <v>232</v>
      </c>
      <c r="D149" s="54">
        <v>92.5</v>
      </c>
      <c r="E149" s="54">
        <v>92.5</v>
      </c>
      <c r="F149" s="73">
        <v>5.6772999999999997E-3</v>
      </c>
      <c r="G149" s="74">
        <f>ROUND(pres!$C$2*calculo!F149,2)</f>
        <v>341.3</v>
      </c>
      <c r="H149" s="54">
        <f>IFERROR(VLOOKUP(C149,consumo_agua!$A$7:$AA$202,27,0),0)</f>
        <v>52.68</v>
      </c>
      <c r="I149" s="74">
        <f t="shared" si="2"/>
        <v>393.98</v>
      </c>
    </row>
    <row r="150" spans="1:9" x14ac:dyDescent="0.25">
      <c r="A150" s="71" t="s">
        <v>230</v>
      </c>
      <c r="B150" s="72" t="s">
        <v>231</v>
      </c>
      <c r="C150" s="71" t="s">
        <v>744</v>
      </c>
      <c r="D150" s="54">
        <v>0</v>
      </c>
      <c r="E150" s="54">
        <v>0</v>
      </c>
      <c r="F150" s="73">
        <v>1.2690000000000002E-3</v>
      </c>
      <c r="G150" s="74">
        <f>ROUND(pres!$C$2*calculo!F150,2)</f>
        <v>76.290000000000006</v>
      </c>
      <c r="H150" s="54">
        <f>IFERROR(VLOOKUP(C150,consumo_agua!$A$7:$AA$202,27,0),0)</f>
        <v>0</v>
      </c>
      <c r="I150" s="74">
        <f t="shared" si="2"/>
        <v>76.290000000000006</v>
      </c>
    </row>
    <row r="151" spans="1:9" x14ac:dyDescent="0.25">
      <c r="A151" s="71" t="s">
        <v>233</v>
      </c>
      <c r="B151" s="72" t="s">
        <v>234</v>
      </c>
      <c r="C151" s="71" t="s">
        <v>235</v>
      </c>
      <c r="D151" s="54">
        <v>81</v>
      </c>
      <c r="E151" s="54">
        <v>81</v>
      </c>
      <c r="F151" s="73">
        <v>4.4973999999999995E-3</v>
      </c>
      <c r="G151" s="74">
        <f>ROUND(pres!$C$2*calculo!F151,2)</f>
        <v>270.37</v>
      </c>
      <c r="H151" s="54">
        <f>IFERROR(VLOOKUP(C151,consumo_agua!$A$7:$AA$202,27,0),0)</f>
        <v>58.88</v>
      </c>
      <c r="I151" s="74">
        <f t="shared" si="2"/>
        <v>329.25</v>
      </c>
    </row>
    <row r="152" spans="1:9" x14ac:dyDescent="0.25">
      <c r="A152" s="71" t="s">
        <v>233</v>
      </c>
      <c r="B152" s="72" t="s">
        <v>234</v>
      </c>
      <c r="C152" s="71" t="s">
        <v>745</v>
      </c>
      <c r="D152" s="54">
        <v>0</v>
      </c>
      <c r="E152" s="54">
        <v>0</v>
      </c>
      <c r="F152" s="73">
        <v>1.2690000000000002E-3</v>
      </c>
      <c r="G152" s="74">
        <f>ROUND(pres!$C$2*calculo!F152,2)</f>
        <v>76.290000000000006</v>
      </c>
      <c r="H152" s="54">
        <f>IFERROR(VLOOKUP(C152,consumo_agua!$A$7:$AA$202,27,0),0)</f>
        <v>0</v>
      </c>
      <c r="I152" s="74">
        <f t="shared" si="2"/>
        <v>76.290000000000006</v>
      </c>
    </row>
    <row r="153" spans="1:9" x14ac:dyDescent="0.25">
      <c r="A153" s="71" t="s">
        <v>236</v>
      </c>
      <c r="B153" s="72" t="s">
        <v>237</v>
      </c>
      <c r="C153" s="71" t="s">
        <v>238</v>
      </c>
      <c r="D153" s="54">
        <v>81</v>
      </c>
      <c r="E153" s="54">
        <v>81</v>
      </c>
      <c r="F153" s="73">
        <v>4.4973999999999995E-3</v>
      </c>
      <c r="G153" s="74">
        <f>ROUND(pres!$C$2*calculo!F153,2)</f>
        <v>270.37</v>
      </c>
      <c r="H153" s="54">
        <f>IFERROR(VLOOKUP(C153,consumo_agua!$A$7:$AA$202,27,0),0)</f>
        <v>46.48</v>
      </c>
      <c r="I153" s="74">
        <f t="shared" si="2"/>
        <v>316.85000000000002</v>
      </c>
    </row>
    <row r="154" spans="1:9" x14ac:dyDescent="0.25">
      <c r="A154" s="71" t="s">
        <v>236</v>
      </c>
      <c r="B154" s="72" t="s">
        <v>237</v>
      </c>
      <c r="C154" s="71" t="s">
        <v>746</v>
      </c>
      <c r="D154" s="54">
        <v>0</v>
      </c>
      <c r="E154" s="54">
        <v>0</v>
      </c>
      <c r="F154" s="73">
        <v>1.2690000000000002E-3</v>
      </c>
      <c r="G154" s="74">
        <f>ROUND(pres!$C$2*calculo!F154,2)</f>
        <v>76.290000000000006</v>
      </c>
      <c r="H154" s="54">
        <f>IFERROR(VLOOKUP(C154,consumo_agua!$A$7:$AA$202,27,0),0)</f>
        <v>0</v>
      </c>
      <c r="I154" s="74">
        <f t="shared" si="2"/>
        <v>76.290000000000006</v>
      </c>
    </row>
    <row r="155" spans="1:9" x14ac:dyDescent="0.25">
      <c r="A155" s="71" t="s">
        <v>239</v>
      </c>
      <c r="B155" s="72" t="s">
        <v>240</v>
      </c>
      <c r="C155" s="71" t="s">
        <v>241</v>
      </c>
      <c r="D155" s="54">
        <v>43.35</v>
      </c>
      <c r="E155" s="54">
        <v>43.35</v>
      </c>
      <c r="F155" s="73">
        <v>2.6939000000000004E-3</v>
      </c>
      <c r="G155" s="74">
        <f>ROUND(pres!$C$2*calculo!F155,2)</f>
        <v>161.94999999999999</v>
      </c>
      <c r="H155" s="54">
        <f>IFERROR(VLOOKUP(C155,consumo_agua!$A$7:$AA$202,27,0),0)</f>
        <v>0</v>
      </c>
      <c r="I155" s="74">
        <f t="shared" si="2"/>
        <v>161.94999999999999</v>
      </c>
    </row>
    <row r="156" spans="1:9" x14ac:dyDescent="0.25">
      <c r="A156" s="71" t="s">
        <v>239</v>
      </c>
      <c r="B156" s="72" t="s">
        <v>240</v>
      </c>
      <c r="C156" s="71" t="s">
        <v>747</v>
      </c>
      <c r="D156" s="54">
        <v>0</v>
      </c>
      <c r="E156" s="54">
        <v>0</v>
      </c>
      <c r="F156" s="73">
        <v>3.6749999999999999E-4</v>
      </c>
      <c r="G156" s="74">
        <f>ROUND(pres!$C$2*calculo!F156,2)</f>
        <v>22.09</v>
      </c>
      <c r="H156" s="54">
        <f>IFERROR(VLOOKUP(C156,consumo_agua!$A$7:$AA$202,27,0),0)</f>
        <v>0</v>
      </c>
      <c r="I156" s="74">
        <f t="shared" si="2"/>
        <v>22.09</v>
      </c>
    </row>
    <row r="157" spans="1:9" x14ac:dyDescent="0.25">
      <c r="A157" s="71" t="s">
        <v>239</v>
      </c>
      <c r="B157" s="72" t="s">
        <v>240</v>
      </c>
      <c r="C157" s="71" t="s">
        <v>748</v>
      </c>
      <c r="D157" s="54">
        <v>0</v>
      </c>
      <c r="E157" s="54">
        <v>0</v>
      </c>
      <c r="F157" s="73">
        <v>1.2690000000000002E-3</v>
      </c>
      <c r="G157" s="74">
        <f>ROUND(pres!$C$2*calculo!F157,2)</f>
        <v>76.290000000000006</v>
      </c>
      <c r="H157" s="54">
        <f>IFERROR(VLOOKUP(C157,consumo_agua!$A$7:$AA$202,27,0),0)</f>
        <v>0</v>
      </c>
      <c r="I157" s="74">
        <f t="shared" si="2"/>
        <v>76.290000000000006</v>
      </c>
    </row>
    <row r="158" spans="1:9" x14ac:dyDescent="0.25">
      <c r="A158" s="71" t="s">
        <v>242</v>
      </c>
      <c r="B158" s="72" t="s">
        <v>243</v>
      </c>
      <c r="C158" s="71" t="s">
        <v>244</v>
      </c>
      <c r="D158" s="54">
        <v>81</v>
      </c>
      <c r="E158" s="54">
        <v>81</v>
      </c>
      <c r="F158" s="73">
        <v>4.4973999999999995E-3</v>
      </c>
      <c r="G158" s="74">
        <f>ROUND(pres!$C$2*calculo!F158,2)</f>
        <v>270.37</v>
      </c>
      <c r="H158" s="54">
        <f>IFERROR(VLOOKUP(C158,consumo_agua!$A$7:$AA$202,27,0),0)</f>
        <v>12.4</v>
      </c>
      <c r="I158" s="74">
        <f t="shared" si="2"/>
        <v>282.77</v>
      </c>
    </row>
    <row r="159" spans="1:9" x14ac:dyDescent="0.25">
      <c r="A159" s="71" t="s">
        <v>242</v>
      </c>
      <c r="B159" s="72" t="s">
        <v>243</v>
      </c>
      <c r="C159" s="71" t="s">
        <v>749</v>
      </c>
      <c r="D159" s="54">
        <v>0</v>
      </c>
      <c r="E159" s="54">
        <v>0</v>
      </c>
      <c r="F159" s="73">
        <v>1.2690000000000002E-3</v>
      </c>
      <c r="G159" s="74">
        <f>ROUND(pres!$C$2*calculo!F159,2)</f>
        <v>76.290000000000006</v>
      </c>
      <c r="H159" s="54">
        <f>IFERROR(VLOOKUP(C159,consumo_agua!$A$7:$AA$202,27,0),0)</f>
        <v>0</v>
      </c>
      <c r="I159" s="74">
        <f t="shared" si="2"/>
        <v>76.290000000000006</v>
      </c>
    </row>
    <row r="160" spans="1:9" x14ac:dyDescent="0.25">
      <c r="A160" s="71" t="s">
        <v>245</v>
      </c>
      <c r="B160" s="72" t="s">
        <v>246</v>
      </c>
      <c r="C160" s="71" t="s">
        <v>247</v>
      </c>
      <c r="D160" s="54">
        <v>33</v>
      </c>
      <c r="E160" s="54">
        <v>33</v>
      </c>
      <c r="F160" s="73">
        <v>2.6939000000000004E-3</v>
      </c>
      <c r="G160" s="74">
        <f>ROUND(pres!$C$2*calculo!F160,2)</f>
        <v>161.94999999999999</v>
      </c>
      <c r="H160" s="54">
        <f>IFERROR(VLOOKUP(C160,consumo_agua!$A$7:$AA$202,27,0),0)</f>
        <v>9.3000000000000007</v>
      </c>
      <c r="I160" s="74">
        <f t="shared" si="2"/>
        <v>171.25</v>
      </c>
    </row>
    <row r="161" spans="1:9" x14ac:dyDescent="0.25">
      <c r="A161" s="71" t="s">
        <v>248</v>
      </c>
      <c r="B161" s="72" t="s">
        <v>249</v>
      </c>
      <c r="C161" s="71" t="s">
        <v>250</v>
      </c>
      <c r="D161" s="54">
        <v>33.200000000000003</v>
      </c>
      <c r="E161" s="54">
        <v>33.200000000000003</v>
      </c>
      <c r="F161" s="73">
        <v>2.6939000000000004E-3</v>
      </c>
      <c r="G161" s="74">
        <f>ROUND(pres!$C$2*calculo!F161,2)</f>
        <v>161.94999999999999</v>
      </c>
      <c r="H161" s="54">
        <f>IFERROR(VLOOKUP(C161,consumo_agua!$A$7:$AA$202,27,0),0)</f>
        <v>6.2</v>
      </c>
      <c r="I161" s="74">
        <f t="shared" si="2"/>
        <v>168.14999999999998</v>
      </c>
    </row>
    <row r="162" spans="1:9" x14ac:dyDescent="0.25">
      <c r="A162" s="71" t="s">
        <v>251</v>
      </c>
      <c r="B162" s="72" t="s">
        <v>252</v>
      </c>
      <c r="C162" s="71" t="s">
        <v>253</v>
      </c>
      <c r="D162" s="54">
        <v>78.95</v>
      </c>
      <c r="E162" s="54">
        <v>78.95</v>
      </c>
      <c r="F162" s="73">
        <v>4.4973999999999995E-3</v>
      </c>
      <c r="G162" s="74">
        <f>ROUND(pres!$C$2*calculo!F162,2)</f>
        <v>270.37</v>
      </c>
      <c r="H162" s="54">
        <f>IFERROR(VLOOKUP(C162,consumo_agua!$A$7:$AA$202,27,0),0)</f>
        <v>30.99</v>
      </c>
      <c r="I162" s="74">
        <f t="shared" si="2"/>
        <v>301.36</v>
      </c>
    </row>
    <row r="163" spans="1:9" x14ac:dyDescent="0.25">
      <c r="A163" s="71" t="s">
        <v>251</v>
      </c>
      <c r="B163" s="72" t="s">
        <v>252</v>
      </c>
      <c r="C163" s="71" t="s">
        <v>750</v>
      </c>
      <c r="D163" s="54">
        <v>0</v>
      </c>
      <c r="E163" s="54">
        <v>0</v>
      </c>
      <c r="F163" s="73">
        <v>1.2690000000000002E-3</v>
      </c>
      <c r="G163" s="74">
        <f>ROUND(pres!$C$2*calculo!F163,2)</f>
        <v>76.290000000000006</v>
      </c>
      <c r="H163" s="54">
        <f>IFERROR(VLOOKUP(C163,consumo_agua!$A$7:$AA$202,27,0),0)</f>
        <v>0</v>
      </c>
      <c r="I163" s="74">
        <f t="shared" si="2"/>
        <v>76.290000000000006</v>
      </c>
    </row>
    <row r="164" spans="1:9" x14ac:dyDescent="0.25">
      <c r="A164" s="71" t="s">
        <v>254</v>
      </c>
      <c r="B164" s="72" t="s">
        <v>255</v>
      </c>
      <c r="C164" s="71"/>
      <c r="D164" s="54"/>
      <c r="E164" s="54"/>
      <c r="F164" s="73"/>
      <c r="G164" s="74">
        <f>ROUND(pres!$C$2*calculo!F164,2)</f>
        <v>0</v>
      </c>
      <c r="H164" s="54">
        <f>IFERROR(VLOOKUP(C164,consumo_agua!$A$7:$AA$202,27,0),0)</f>
        <v>0</v>
      </c>
      <c r="I164" s="74">
        <f t="shared" si="2"/>
        <v>0</v>
      </c>
    </row>
    <row r="165" spans="1:9" x14ac:dyDescent="0.25">
      <c r="A165" s="71" t="s">
        <v>254</v>
      </c>
      <c r="B165" s="72" t="s">
        <v>255</v>
      </c>
      <c r="C165" s="71" t="s">
        <v>751</v>
      </c>
      <c r="D165" s="54">
        <v>0</v>
      </c>
      <c r="E165" s="54">
        <v>0</v>
      </c>
      <c r="F165" s="73">
        <v>1.2690000000000002E-3</v>
      </c>
      <c r="G165" s="74">
        <f>ROUND(pres!$C$2*calculo!F165,2)</f>
        <v>76.290000000000006</v>
      </c>
      <c r="H165" s="54">
        <f>IFERROR(VLOOKUP(C165,consumo_agua!$A$7:$AA$202,27,0),0)</f>
        <v>0</v>
      </c>
      <c r="I165" s="74">
        <f t="shared" si="2"/>
        <v>76.290000000000006</v>
      </c>
    </row>
    <row r="166" spans="1:9" x14ac:dyDescent="0.25">
      <c r="A166" s="71" t="s">
        <v>257</v>
      </c>
      <c r="B166" s="72" t="s">
        <v>258</v>
      </c>
      <c r="C166" s="71" t="s">
        <v>259</v>
      </c>
      <c r="D166" s="54">
        <v>74.599999999999994</v>
      </c>
      <c r="E166" s="54">
        <v>74.599999999999994</v>
      </c>
      <c r="F166" s="73">
        <v>4.4973999999999995E-3</v>
      </c>
      <c r="G166" s="74">
        <f>ROUND(pres!$C$2*calculo!F166,2)</f>
        <v>270.37</v>
      </c>
      <c r="H166" s="54">
        <f>IFERROR(VLOOKUP(C166,consumo_agua!$A$7:$AA$202,27,0),0)</f>
        <v>58.88</v>
      </c>
      <c r="I166" s="74">
        <f t="shared" si="2"/>
        <v>329.25</v>
      </c>
    </row>
    <row r="167" spans="1:9" x14ac:dyDescent="0.25">
      <c r="A167" s="71" t="s">
        <v>257</v>
      </c>
      <c r="B167" s="72" t="s">
        <v>258</v>
      </c>
      <c r="C167" s="71" t="s">
        <v>752</v>
      </c>
      <c r="D167" s="54">
        <v>0</v>
      </c>
      <c r="E167" s="54">
        <v>0</v>
      </c>
      <c r="F167" s="73">
        <v>1.2690000000000002E-3</v>
      </c>
      <c r="G167" s="74">
        <f>ROUND(pres!$C$2*calculo!F167,2)</f>
        <v>76.290000000000006</v>
      </c>
      <c r="H167" s="54">
        <f>IFERROR(VLOOKUP(C167,consumo_agua!$A$7:$AA$202,27,0),0)</f>
        <v>0</v>
      </c>
      <c r="I167" s="74">
        <f t="shared" si="2"/>
        <v>76.290000000000006</v>
      </c>
    </row>
    <row r="168" spans="1:9" x14ac:dyDescent="0.25">
      <c r="A168" s="71" t="s">
        <v>260</v>
      </c>
      <c r="B168" s="72" t="s">
        <v>261</v>
      </c>
      <c r="C168" s="71" t="s">
        <v>262</v>
      </c>
      <c r="D168" s="54">
        <v>81</v>
      </c>
      <c r="E168" s="54">
        <v>81</v>
      </c>
      <c r="F168" s="73">
        <v>4.4973999999999995E-3</v>
      </c>
      <c r="G168" s="74">
        <f>ROUND(pres!$C$2*calculo!F168,2)</f>
        <v>270.37</v>
      </c>
      <c r="H168" s="54">
        <f>IFERROR(VLOOKUP(C168,consumo_agua!$A$7:$AA$202,27,0),0)</f>
        <v>24.79</v>
      </c>
      <c r="I168" s="74">
        <f t="shared" si="2"/>
        <v>295.16000000000003</v>
      </c>
    </row>
    <row r="169" spans="1:9" x14ac:dyDescent="0.25">
      <c r="A169" s="71" t="s">
        <v>260</v>
      </c>
      <c r="B169" s="72" t="s">
        <v>261</v>
      </c>
      <c r="C169" s="71" t="s">
        <v>753</v>
      </c>
      <c r="D169" s="54">
        <v>0</v>
      </c>
      <c r="E169" s="54">
        <v>0</v>
      </c>
      <c r="F169" s="73">
        <v>1.2690000000000002E-3</v>
      </c>
      <c r="G169" s="74">
        <f>ROUND(pres!$C$2*calculo!F169,2)</f>
        <v>76.290000000000006</v>
      </c>
      <c r="H169" s="54">
        <f>IFERROR(VLOOKUP(C169,consumo_agua!$A$7:$AA$202,27,0),0)</f>
        <v>0</v>
      </c>
      <c r="I169" s="74">
        <f t="shared" si="2"/>
        <v>76.290000000000006</v>
      </c>
    </row>
    <row r="170" spans="1:9" x14ac:dyDescent="0.25">
      <c r="A170" s="71" t="s">
        <v>263</v>
      </c>
      <c r="B170" s="72" t="s">
        <v>264</v>
      </c>
      <c r="C170" s="71" t="s">
        <v>265</v>
      </c>
      <c r="D170" s="54">
        <v>76.150000000000006</v>
      </c>
      <c r="E170" s="54">
        <v>76.150000000000006</v>
      </c>
      <c r="F170" s="73">
        <v>4.4973999999999995E-3</v>
      </c>
      <c r="G170" s="74">
        <f>ROUND(pres!$C$2*calculo!F170,2)</f>
        <v>270.37</v>
      </c>
      <c r="H170" s="54">
        <f>IFERROR(VLOOKUP(C170,consumo_agua!$A$7:$AA$202,27,0),0)</f>
        <v>9.3000000000000007</v>
      </c>
      <c r="I170" s="74">
        <f t="shared" si="2"/>
        <v>279.67</v>
      </c>
    </row>
    <row r="171" spans="1:9" x14ac:dyDescent="0.25">
      <c r="A171" s="71" t="s">
        <v>263</v>
      </c>
      <c r="B171" s="72" t="s">
        <v>264</v>
      </c>
      <c r="C171" s="71" t="s">
        <v>754</v>
      </c>
      <c r="D171" s="54">
        <v>0</v>
      </c>
      <c r="E171" s="54">
        <v>0</v>
      </c>
      <c r="F171" s="73">
        <v>1.2690000000000002E-3</v>
      </c>
      <c r="G171" s="74">
        <f>ROUND(pres!$C$2*calculo!F171,2)</f>
        <v>76.290000000000006</v>
      </c>
      <c r="H171" s="54">
        <f>IFERROR(VLOOKUP(C171,consumo_agua!$A$7:$AA$202,27,0),0)</f>
        <v>0</v>
      </c>
      <c r="I171" s="74">
        <f t="shared" si="2"/>
        <v>76.290000000000006</v>
      </c>
    </row>
    <row r="172" spans="1:9" x14ac:dyDescent="0.25">
      <c r="A172" s="71" t="s">
        <v>266</v>
      </c>
      <c r="B172" s="72" t="s">
        <v>267</v>
      </c>
      <c r="C172" s="71" t="s">
        <v>268</v>
      </c>
      <c r="D172" s="54">
        <v>33.200000000000003</v>
      </c>
      <c r="E172" s="54">
        <v>33.200000000000003</v>
      </c>
      <c r="F172" s="73">
        <v>2.6939000000000004E-3</v>
      </c>
      <c r="G172" s="74">
        <f>ROUND(pres!$C$2*calculo!F172,2)</f>
        <v>161.94999999999999</v>
      </c>
      <c r="H172" s="54">
        <f>IFERROR(VLOOKUP(C172,consumo_agua!$A$7:$AA$202,27,0),0)</f>
        <v>0</v>
      </c>
      <c r="I172" s="74">
        <f t="shared" si="2"/>
        <v>161.94999999999999</v>
      </c>
    </row>
    <row r="173" spans="1:9" x14ac:dyDescent="0.25">
      <c r="A173" s="71" t="s">
        <v>266</v>
      </c>
      <c r="B173" s="72" t="s">
        <v>267</v>
      </c>
      <c r="C173" s="71" t="s">
        <v>755</v>
      </c>
      <c r="D173" s="54">
        <v>0</v>
      </c>
      <c r="E173" s="54">
        <v>0</v>
      </c>
      <c r="F173" s="73">
        <v>3.6749999999999999E-4</v>
      </c>
      <c r="G173" s="74">
        <f>ROUND(pres!$C$2*calculo!F173,2)</f>
        <v>22.09</v>
      </c>
      <c r="H173" s="54">
        <f>IFERROR(VLOOKUP(C173,consumo_agua!$A$7:$AA$202,27,0),0)</f>
        <v>0</v>
      </c>
      <c r="I173" s="74">
        <f t="shared" si="2"/>
        <v>22.09</v>
      </c>
    </row>
    <row r="174" spans="1:9" x14ac:dyDescent="0.25">
      <c r="A174" s="71" t="s">
        <v>269</v>
      </c>
      <c r="B174" s="72" t="s">
        <v>270</v>
      </c>
      <c r="C174" s="71" t="s">
        <v>271</v>
      </c>
      <c r="D174" s="54">
        <v>74.599999999999994</v>
      </c>
      <c r="E174" s="54">
        <v>74.599999999999994</v>
      </c>
      <c r="F174" s="73">
        <v>4.4973999999999995E-3</v>
      </c>
      <c r="G174" s="74">
        <f>ROUND(pres!$C$2*calculo!F174,2)</f>
        <v>270.37</v>
      </c>
      <c r="H174" s="54">
        <f>IFERROR(VLOOKUP(C174,consumo_agua!$A$7:$AA$202,27,0),0)</f>
        <v>49.58</v>
      </c>
      <c r="I174" s="74">
        <f t="shared" si="2"/>
        <v>319.95</v>
      </c>
    </row>
    <row r="175" spans="1:9" x14ac:dyDescent="0.25">
      <c r="A175" s="71" t="s">
        <v>269</v>
      </c>
      <c r="B175" s="72" t="s">
        <v>270</v>
      </c>
      <c r="C175" s="71" t="s">
        <v>756</v>
      </c>
      <c r="D175" s="54">
        <v>0</v>
      </c>
      <c r="E175" s="54">
        <v>0</v>
      </c>
      <c r="F175" s="73">
        <v>1.2690000000000002E-3</v>
      </c>
      <c r="G175" s="74">
        <f>ROUND(pres!$C$2*calculo!F175,2)</f>
        <v>76.290000000000006</v>
      </c>
      <c r="H175" s="54">
        <f>IFERROR(VLOOKUP(C175,consumo_agua!$A$7:$AA$202,27,0),0)</f>
        <v>0</v>
      </c>
      <c r="I175" s="74">
        <f t="shared" si="2"/>
        <v>76.290000000000006</v>
      </c>
    </row>
    <row r="176" spans="1:9" x14ac:dyDescent="0.25">
      <c r="A176" s="71" t="s">
        <v>272</v>
      </c>
      <c r="B176" s="72" t="s">
        <v>273</v>
      </c>
      <c r="C176" s="71" t="s">
        <v>274</v>
      </c>
      <c r="D176" s="54">
        <v>68</v>
      </c>
      <c r="E176" s="54">
        <v>68</v>
      </c>
      <c r="F176" s="73">
        <v>4.4973999999999995E-3</v>
      </c>
      <c r="G176" s="74">
        <f>ROUND(pres!$C$2*calculo!F176,2)</f>
        <v>270.37</v>
      </c>
      <c r="H176" s="54">
        <f>IFERROR(VLOOKUP(C176,consumo_agua!$A$7:$AA$202,27,0),0)</f>
        <v>0</v>
      </c>
      <c r="I176" s="74">
        <f t="shared" si="2"/>
        <v>270.37</v>
      </c>
    </row>
    <row r="177" spans="1:9" x14ac:dyDescent="0.25">
      <c r="A177" s="71" t="s">
        <v>275</v>
      </c>
      <c r="B177" s="72" t="s">
        <v>276</v>
      </c>
      <c r="C177" s="71" t="s">
        <v>277</v>
      </c>
      <c r="D177" s="54">
        <v>44.45</v>
      </c>
      <c r="E177" s="54">
        <v>44.45</v>
      </c>
      <c r="F177" s="73">
        <v>2.6939000000000004E-3</v>
      </c>
      <c r="G177" s="74">
        <f>ROUND(pres!$C$2*calculo!F177,2)</f>
        <v>161.94999999999999</v>
      </c>
      <c r="H177" s="54">
        <f>IFERROR(VLOOKUP(C177,consumo_agua!$A$7:$AA$202,27,0),0)</f>
        <v>6.2</v>
      </c>
      <c r="I177" s="74">
        <f t="shared" si="2"/>
        <v>168.14999999999998</v>
      </c>
    </row>
    <row r="178" spans="1:9" x14ac:dyDescent="0.25">
      <c r="A178" s="71" t="s">
        <v>275</v>
      </c>
      <c r="B178" s="72" t="s">
        <v>276</v>
      </c>
      <c r="C178" s="71" t="s">
        <v>757</v>
      </c>
      <c r="D178" s="54">
        <v>0</v>
      </c>
      <c r="E178" s="54">
        <v>0</v>
      </c>
      <c r="F178" s="73">
        <v>1.2690000000000002E-3</v>
      </c>
      <c r="G178" s="74">
        <f>ROUND(pres!$C$2*calculo!F178,2)</f>
        <v>76.290000000000006</v>
      </c>
      <c r="H178" s="54">
        <f>IFERROR(VLOOKUP(C178,consumo_agua!$A$7:$AA$202,27,0),0)</f>
        <v>0</v>
      </c>
      <c r="I178" s="74">
        <f t="shared" si="2"/>
        <v>76.290000000000006</v>
      </c>
    </row>
    <row r="179" spans="1:9" x14ac:dyDescent="0.25">
      <c r="A179" s="71" t="s">
        <v>278</v>
      </c>
      <c r="B179" s="72" t="s">
        <v>279</v>
      </c>
      <c r="C179" s="71" t="s">
        <v>280</v>
      </c>
      <c r="D179" s="54">
        <v>66.45</v>
      </c>
      <c r="E179" s="54">
        <v>66.45</v>
      </c>
      <c r="F179" s="73">
        <v>4.4973999999999995E-3</v>
      </c>
      <c r="G179" s="74">
        <f>ROUND(pres!$C$2*calculo!F179,2)</f>
        <v>270.37</v>
      </c>
      <c r="H179" s="54">
        <f>IFERROR(VLOOKUP(C179,consumo_agua!$A$7:$AA$202,27,0),0)</f>
        <v>12.4</v>
      </c>
      <c r="I179" s="74">
        <f t="shared" si="2"/>
        <v>282.77</v>
      </c>
    </row>
    <row r="180" spans="1:9" x14ac:dyDescent="0.25">
      <c r="A180" s="71" t="s">
        <v>278</v>
      </c>
      <c r="B180" s="72" t="s">
        <v>279</v>
      </c>
      <c r="C180" s="71" t="s">
        <v>758</v>
      </c>
      <c r="D180" s="54">
        <v>0</v>
      </c>
      <c r="E180" s="54">
        <v>0</v>
      </c>
      <c r="F180" s="73">
        <v>1.2690000000000002E-3</v>
      </c>
      <c r="G180" s="74">
        <f>ROUND(pres!$C$2*calculo!F180,2)</f>
        <v>76.290000000000006</v>
      </c>
      <c r="H180" s="54">
        <f>IFERROR(VLOOKUP(C180,consumo_agua!$A$7:$AA$202,27,0),0)</f>
        <v>0</v>
      </c>
      <c r="I180" s="74">
        <f t="shared" si="2"/>
        <v>76.290000000000006</v>
      </c>
    </row>
    <row r="181" spans="1:9" x14ac:dyDescent="0.25">
      <c r="A181" s="71" t="s">
        <v>281</v>
      </c>
      <c r="B181" s="72" t="s">
        <v>282</v>
      </c>
      <c r="C181" s="71" t="s">
        <v>283</v>
      </c>
      <c r="D181" s="54">
        <v>43.35</v>
      </c>
      <c r="E181" s="54">
        <v>43.35</v>
      </c>
      <c r="F181" s="73">
        <v>2.6939000000000004E-3</v>
      </c>
      <c r="G181" s="74">
        <f>ROUND(pres!$C$2*calculo!F181,2)</f>
        <v>161.94999999999999</v>
      </c>
      <c r="H181" s="54">
        <f>IFERROR(VLOOKUP(C181,consumo_agua!$A$7:$AA$202,27,0),0)</f>
        <v>9.3000000000000007</v>
      </c>
      <c r="I181" s="74">
        <f t="shared" si="2"/>
        <v>171.25</v>
      </c>
    </row>
    <row r="182" spans="1:9" x14ac:dyDescent="0.25">
      <c r="A182" s="71" t="s">
        <v>281</v>
      </c>
      <c r="B182" s="72" t="s">
        <v>282</v>
      </c>
      <c r="C182" s="71" t="s">
        <v>759</v>
      </c>
      <c r="D182" s="54">
        <v>0</v>
      </c>
      <c r="E182" s="54">
        <v>0</v>
      </c>
      <c r="F182" s="73">
        <v>1.2690000000000002E-3</v>
      </c>
      <c r="G182" s="74">
        <f>ROUND(pres!$C$2*calculo!F182,2)</f>
        <v>76.290000000000006</v>
      </c>
      <c r="H182" s="54">
        <f>IFERROR(VLOOKUP(C182,consumo_agua!$A$7:$AA$202,27,0),0)</f>
        <v>0</v>
      </c>
      <c r="I182" s="74">
        <f t="shared" si="2"/>
        <v>76.290000000000006</v>
      </c>
    </row>
    <row r="183" spans="1:9" x14ac:dyDescent="0.25">
      <c r="A183" s="71" t="s">
        <v>284</v>
      </c>
      <c r="B183" s="72" t="s">
        <v>285</v>
      </c>
      <c r="C183" s="71" t="s">
        <v>286</v>
      </c>
      <c r="D183" s="54">
        <v>44.45</v>
      </c>
      <c r="E183" s="54">
        <v>44.45</v>
      </c>
      <c r="F183" s="73">
        <v>2.6939000000000004E-3</v>
      </c>
      <c r="G183" s="74">
        <f>ROUND(pres!$C$2*calculo!F183,2)</f>
        <v>161.94999999999999</v>
      </c>
      <c r="H183" s="54">
        <f>IFERROR(VLOOKUP(C183,consumo_agua!$A$7:$AA$202,27,0),0)</f>
        <v>12.4</v>
      </c>
      <c r="I183" s="74">
        <f t="shared" si="2"/>
        <v>174.35</v>
      </c>
    </row>
    <row r="184" spans="1:9" x14ac:dyDescent="0.25">
      <c r="A184" s="71" t="s">
        <v>284</v>
      </c>
      <c r="B184" s="72" t="s">
        <v>285</v>
      </c>
      <c r="C184" s="71" t="s">
        <v>760</v>
      </c>
      <c r="D184" s="54">
        <v>0</v>
      </c>
      <c r="E184" s="54">
        <v>0</v>
      </c>
      <c r="F184" s="73">
        <v>1.2690000000000002E-3</v>
      </c>
      <c r="G184" s="74">
        <f>ROUND(pres!$C$2*calculo!F184,2)</f>
        <v>76.290000000000006</v>
      </c>
      <c r="H184" s="54">
        <f>IFERROR(VLOOKUP(C184,consumo_agua!$A$7:$AA$202,27,0),0)</f>
        <v>0</v>
      </c>
      <c r="I184" s="74">
        <f t="shared" si="2"/>
        <v>76.290000000000006</v>
      </c>
    </row>
    <row r="185" spans="1:9" x14ac:dyDescent="0.25">
      <c r="A185" s="71" t="s">
        <v>287</v>
      </c>
      <c r="B185" s="72" t="s">
        <v>288</v>
      </c>
      <c r="C185" s="71" t="s">
        <v>289</v>
      </c>
      <c r="D185" s="54">
        <v>76.150000000000006</v>
      </c>
      <c r="E185" s="54">
        <v>76.150000000000006</v>
      </c>
      <c r="F185" s="73">
        <v>4.4973999999999995E-3</v>
      </c>
      <c r="G185" s="74">
        <f>ROUND(pres!$C$2*calculo!F185,2)</f>
        <v>270.37</v>
      </c>
      <c r="H185" s="54">
        <f>IFERROR(VLOOKUP(C185,consumo_agua!$A$7:$AA$202,27,0),0)</f>
        <v>9.3000000000000007</v>
      </c>
      <c r="I185" s="74">
        <f t="shared" si="2"/>
        <v>279.67</v>
      </c>
    </row>
    <row r="186" spans="1:9" x14ac:dyDescent="0.25">
      <c r="A186" s="71" t="s">
        <v>290</v>
      </c>
      <c r="B186" s="72" t="s">
        <v>291</v>
      </c>
      <c r="C186" s="71" t="s">
        <v>292</v>
      </c>
      <c r="D186" s="54">
        <v>78.95</v>
      </c>
      <c r="E186" s="54">
        <v>78.95</v>
      </c>
      <c r="F186" s="73">
        <v>4.4973999999999995E-3</v>
      </c>
      <c r="G186" s="74">
        <f>ROUND(pres!$C$2*calculo!F186,2)</f>
        <v>270.37</v>
      </c>
      <c r="H186" s="54">
        <f>IFERROR(VLOOKUP(C186,consumo_agua!$A$7:$AA$202,27,0),0)</f>
        <v>0</v>
      </c>
      <c r="I186" s="74">
        <f t="shared" si="2"/>
        <v>270.37</v>
      </c>
    </row>
    <row r="187" spans="1:9" x14ac:dyDescent="0.25">
      <c r="A187" s="71" t="s">
        <v>290</v>
      </c>
      <c r="B187" s="72" t="s">
        <v>291</v>
      </c>
      <c r="C187" s="71" t="s">
        <v>761</v>
      </c>
      <c r="D187" s="54">
        <v>0</v>
      </c>
      <c r="E187" s="54">
        <v>0</v>
      </c>
      <c r="F187" s="73">
        <v>1.2690000000000002E-3</v>
      </c>
      <c r="G187" s="74">
        <f>ROUND(pres!$C$2*calculo!F187,2)</f>
        <v>76.290000000000006</v>
      </c>
      <c r="H187" s="54">
        <f>IFERROR(VLOOKUP(C187,consumo_agua!$A$7:$AA$202,27,0),0)</f>
        <v>0</v>
      </c>
      <c r="I187" s="74">
        <f t="shared" si="2"/>
        <v>76.290000000000006</v>
      </c>
    </row>
    <row r="188" spans="1:9" x14ac:dyDescent="0.25">
      <c r="A188" s="71" t="s">
        <v>293</v>
      </c>
      <c r="B188" s="72" t="s">
        <v>294</v>
      </c>
      <c r="C188" s="71" t="s">
        <v>295</v>
      </c>
      <c r="D188" s="54">
        <v>76.150000000000006</v>
      </c>
      <c r="E188" s="54">
        <v>76.150000000000006</v>
      </c>
      <c r="F188" s="73">
        <v>4.4973999999999995E-3</v>
      </c>
      <c r="G188" s="74">
        <f>ROUND(pres!$C$2*calculo!F188,2)</f>
        <v>270.37</v>
      </c>
      <c r="H188" s="54">
        <f>IFERROR(VLOOKUP(C188,consumo_agua!$A$7:$AA$202,27,0),0)</f>
        <v>176.64</v>
      </c>
      <c r="I188" s="74">
        <f t="shared" si="2"/>
        <v>447.01</v>
      </c>
    </row>
    <row r="189" spans="1:9" x14ac:dyDescent="0.25">
      <c r="A189" s="71" t="s">
        <v>293</v>
      </c>
      <c r="B189" s="72" t="s">
        <v>294</v>
      </c>
      <c r="C189" s="71" t="s">
        <v>657</v>
      </c>
      <c r="D189" s="54">
        <v>43.35</v>
      </c>
      <c r="E189" s="54">
        <v>43.35</v>
      </c>
      <c r="F189" s="73">
        <v>2.6939000000000004E-3</v>
      </c>
      <c r="G189" s="74">
        <f>ROUND(pres!$C$2*calculo!F189,2)</f>
        <v>161.94999999999999</v>
      </c>
      <c r="H189" s="54">
        <f>IFERROR(VLOOKUP(C189,consumo_agua!$A$7:$AA$202,27,0),0)</f>
        <v>18.59</v>
      </c>
      <c r="I189" s="74">
        <f t="shared" si="2"/>
        <v>180.54</v>
      </c>
    </row>
    <row r="190" spans="1:9" x14ac:dyDescent="0.25">
      <c r="A190" s="71" t="s">
        <v>293</v>
      </c>
      <c r="B190" s="72" t="s">
        <v>294</v>
      </c>
      <c r="C190" s="71" t="s">
        <v>762</v>
      </c>
      <c r="D190" s="54">
        <v>0</v>
      </c>
      <c r="E190" s="54">
        <v>0</v>
      </c>
      <c r="F190" s="73">
        <v>3.6749999999999999E-4</v>
      </c>
      <c r="G190" s="74">
        <f>ROUND(pres!$C$2*calculo!F190,2)</f>
        <v>22.09</v>
      </c>
      <c r="H190" s="54">
        <f>IFERROR(VLOOKUP(C190,consumo_agua!$A$7:$AA$202,27,0),0)</f>
        <v>0</v>
      </c>
      <c r="I190" s="74">
        <f t="shared" si="2"/>
        <v>22.09</v>
      </c>
    </row>
    <row r="191" spans="1:9" x14ac:dyDescent="0.25">
      <c r="A191" s="71" t="s">
        <v>293</v>
      </c>
      <c r="B191" s="72" t="s">
        <v>294</v>
      </c>
      <c r="C191" s="71" t="s">
        <v>763</v>
      </c>
      <c r="D191" s="54">
        <v>0</v>
      </c>
      <c r="E191" s="54">
        <v>0</v>
      </c>
      <c r="F191" s="73">
        <v>1.2690000000000002E-3</v>
      </c>
      <c r="G191" s="74">
        <f>ROUND(pres!$C$2*calculo!F191,2)</f>
        <v>76.290000000000006</v>
      </c>
      <c r="H191" s="54">
        <f>IFERROR(VLOOKUP(C191,consumo_agua!$A$7:$AA$202,27,0),0)</f>
        <v>0</v>
      </c>
      <c r="I191" s="74">
        <f t="shared" si="2"/>
        <v>76.290000000000006</v>
      </c>
    </row>
    <row r="192" spans="1:9" x14ac:dyDescent="0.25">
      <c r="A192" s="71" t="s">
        <v>293</v>
      </c>
      <c r="B192" s="72" t="s">
        <v>294</v>
      </c>
      <c r="C192" s="71" t="s">
        <v>764</v>
      </c>
      <c r="D192" s="54">
        <v>0</v>
      </c>
      <c r="E192" s="54">
        <v>0</v>
      </c>
      <c r="F192" s="73">
        <v>1.2690000000000002E-3</v>
      </c>
      <c r="G192" s="74">
        <f>ROUND(pres!$C$2*calculo!F192,2)</f>
        <v>76.290000000000006</v>
      </c>
      <c r="H192" s="54">
        <f>IFERROR(VLOOKUP(C192,consumo_agua!$A$7:$AA$202,27,0),0)</f>
        <v>0</v>
      </c>
      <c r="I192" s="74">
        <f t="shared" si="2"/>
        <v>76.290000000000006</v>
      </c>
    </row>
    <row r="193" spans="1:9" x14ac:dyDescent="0.25">
      <c r="A193" s="71" t="s">
        <v>296</v>
      </c>
      <c r="B193" s="72" t="s">
        <v>297</v>
      </c>
      <c r="C193" s="71" t="s">
        <v>298</v>
      </c>
      <c r="D193" s="54">
        <v>74.599999999999994</v>
      </c>
      <c r="E193" s="54">
        <v>74.599999999999994</v>
      </c>
      <c r="F193" s="73">
        <v>4.4973999999999995E-3</v>
      </c>
      <c r="G193" s="74">
        <f>ROUND(pres!$C$2*calculo!F193,2)</f>
        <v>270.37</v>
      </c>
      <c r="H193" s="54">
        <f>IFERROR(VLOOKUP(C193,consumo_agua!$A$7:$AA$202,27,0),0)</f>
        <v>18.59</v>
      </c>
      <c r="I193" s="74">
        <f t="shared" si="2"/>
        <v>288.95999999999998</v>
      </c>
    </row>
    <row r="194" spans="1:9" x14ac:dyDescent="0.25">
      <c r="A194" s="71" t="s">
        <v>299</v>
      </c>
      <c r="B194" s="72" t="s">
        <v>300</v>
      </c>
      <c r="C194" s="71" t="s">
        <v>301</v>
      </c>
      <c r="D194" s="54">
        <v>68</v>
      </c>
      <c r="E194" s="54">
        <v>68</v>
      </c>
      <c r="F194" s="73">
        <v>4.4973999999999995E-3</v>
      </c>
      <c r="G194" s="74">
        <f>ROUND(pres!$C$2*calculo!F194,2)</f>
        <v>270.37</v>
      </c>
      <c r="H194" s="54">
        <f>IFERROR(VLOOKUP(C194,consumo_agua!$A$7:$AA$202,27,0),0)</f>
        <v>21.69</v>
      </c>
      <c r="I194" s="74">
        <f t="shared" ref="I194:I257" si="3">SUM(G194:H194)</f>
        <v>292.06</v>
      </c>
    </row>
    <row r="195" spans="1:9" x14ac:dyDescent="0.25">
      <c r="A195" s="71" t="s">
        <v>299</v>
      </c>
      <c r="B195" s="72" t="s">
        <v>300</v>
      </c>
      <c r="C195" s="71" t="s">
        <v>765</v>
      </c>
      <c r="D195" s="54">
        <v>0</v>
      </c>
      <c r="E195" s="54">
        <v>0</v>
      </c>
      <c r="F195" s="73">
        <v>1.2690000000000002E-3</v>
      </c>
      <c r="G195" s="74">
        <f>ROUND(pres!$C$2*calculo!F195,2)</f>
        <v>76.290000000000006</v>
      </c>
      <c r="H195" s="54">
        <f>IFERROR(VLOOKUP(C195,consumo_agua!$A$7:$AA$202,27,0),0)</f>
        <v>0</v>
      </c>
      <c r="I195" s="74">
        <f t="shared" si="3"/>
        <v>76.290000000000006</v>
      </c>
    </row>
    <row r="196" spans="1:9" x14ac:dyDescent="0.25">
      <c r="A196" s="71" t="s">
        <v>302</v>
      </c>
      <c r="B196" s="72" t="s">
        <v>303</v>
      </c>
      <c r="C196" s="71" t="s">
        <v>304</v>
      </c>
      <c r="D196" s="54">
        <v>92.5</v>
      </c>
      <c r="E196" s="54">
        <v>92.5</v>
      </c>
      <c r="F196" s="73">
        <v>5.6772999999999997E-3</v>
      </c>
      <c r="G196" s="74">
        <f>ROUND(pres!$C$2*calculo!F196,2)</f>
        <v>341.3</v>
      </c>
      <c r="H196" s="54">
        <f>IFERROR(VLOOKUP(C196,consumo_agua!$A$7:$AA$202,27,0),0)</f>
        <v>3.1</v>
      </c>
      <c r="I196" s="74">
        <f t="shared" si="3"/>
        <v>344.40000000000003</v>
      </c>
    </row>
    <row r="197" spans="1:9" x14ac:dyDescent="0.25">
      <c r="A197" s="71" t="s">
        <v>302</v>
      </c>
      <c r="B197" s="72" t="s">
        <v>303</v>
      </c>
      <c r="C197" s="75" t="s">
        <v>766</v>
      </c>
      <c r="D197" s="54">
        <v>0</v>
      </c>
      <c r="E197" s="54">
        <v>0</v>
      </c>
      <c r="F197" s="73">
        <v>1.2690000000000002E-3</v>
      </c>
      <c r="G197" s="74">
        <f>ROUND(pres!$C$2*calculo!F197,2)</f>
        <v>76.290000000000006</v>
      </c>
      <c r="H197" s="54">
        <f>IFERROR(VLOOKUP(C197,consumo_agua!$A$7:$AA$202,27,0),0)</f>
        <v>0</v>
      </c>
      <c r="I197" s="74">
        <f t="shared" si="3"/>
        <v>76.290000000000006</v>
      </c>
    </row>
    <row r="198" spans="1:9" x14ac:dyDescent="0.25">
      <c r="A198" s="71" t="s">
        <v>302</v>
      </c>
      <c r="B198" s="72" t="s">
        <v>303</v>
      </c>
      <c r="C198" s="71" t="s">
        <v>767</v>
      </c>
      <c r="D198" s="54">
        <v>0</v>
      </c>
      <c r="E198" s="54">
        <v>0</v>
      </c>
      <c r="F198" s="73">
        <v>1.2690000000000002E-3</v>
      </c>
      <c r="G198" s="74">
        <f>ROUND(pres!$C$2*calculo!F198,2)</f>
        <v>76.290000000000006</v>
      </c>
      <c r="H198" s="54">
        <f>IFERROR(VLOOKUP(C198,consumo_agua!$A$7:$AA$202,27,0),0)</f>
        <v>0</v>
      </c>
      <c r="I198" s="74">
        <f t="shared" si="3"/>
        <v>76.290000000000006</v>
      </c>
    </row>
    <row r="199" spans="1:9" x14ac:dyDescent="0.25">
      <c r="A199" s="71" t="s">
        <v>305</v>
      </c>
      <c r="B199" s="72" t="s">
        <v>306</v>
      </c>
      <c r="C199" s="71" t="s">
        <v>307</v>
      </c>
      <c r="D199" s="54">
        <v>92.5</v>
      </c>
      <c r="E199" s="54">
        <v>92.5</v>
      </c>
      <c r="F199" s="73">
        <v>5.6772999999999997E-3</v>
      </c>
      <c r="G199" s="74">
        <f>ROUND(pres!$C$2*calculo!F199,2)</f>
        <v>341.3</v>
      </c>
      <c r="H199" s="54">
        <f>IFERROR(VLOOKUP(C199,consumo_agua!$A$7:$AA$202,27,0),0)</f>
        <v>37.19</v>
      </c>
      <c r="I199" s="74">
        <f t="shared" si="3"/>
        <v>378.49</v>
      </c>
    </row>
    <row r="200" spans="1:9" x14ac:dyDescent="0.25">
      <c r="A200" s="71" t="s">
        <v>305</v>
      </c>
      <c r="B200" s="72" t="s">
        <v>306</v>
      </c>
      <c r="C200" s="71" t="s">
        <v>768</v>
      </c>
      <c r="D200" s="54">
        <v>0</v>
      </c>
      <c r="E200" s="54">
        <v>0</v>
      </c>
      <c r="F200" s="73">
        <v>1.2690000000000002E-3</v>
      </c>
      <c r="G200" s="74">
        <f>ROUND(pres!$C$2*calculo!F200,2)</f>
        <v>76.290000000000006</v>
      </c>
      <c r="H200" s="54">
        <f>IFERROR(VLOOKUP(C200,consumo_agua!$A$7:$AA$202,27,0),0)</f>
        <v>0</v>
      </c>
      <c r="I200" s="74">
        <f t="shared" si="3"/>
        <v>76.290000000000006</v>
      </c>
    </row>
    <row r="201" spans="1:9" x14ac:dyDescent="0.25">
      <c r="A201" s="71" t="s">
        <v>305</v>
      </c>
      <c r="B201" s="72" t="s">
        <v>306</v>
      </c>
      <c r="C201" s="71" t="s">
        <v>769</v>
      </c>
      <c r="D201" s="54">
        <v>0</v>
      </c>
      <c r="E201" s="54">
        <v>0</v>
      </c>
      <c r="F201" s="73">
        <v>1.2690000000000002E-3</v>
      </c>
      <c r="G201" s="74">
        <f>ROUND(pres!$C$2*calculo!F201,2)</f>
        <v>76.290000000000006</v>
      </c>
      <c r="H201" s="54">
        <f>IFERROR(VLOOKUP(C201,consumo_agua!$A$7:$AA$202,27,0),0)</f>
        <v>0</v>
      </c>
      <c r="I201" s="74">
        <f t="shared" si="3"/>
        <v>76.290000000000006</v>
      </c>
    </row>
    <row r="202" spans="1:9" x14ac:dyDescent="0.25">
      <c r="A202" s="71" t="s">
        <v>308</v>
      </c>
      <c r="B202" s="72" t="s">
        <v>309</v>
      </c>
      <c r="C202" s="71" t="s">
        <v>310</v>
      </c>
      <c r="D202" s="54">
        <v>33</v>
      </c>
      <c r="E202" s="54">
        <v>33</v>
      </c>
      <c r="F202" s="73">
        <v>2.6939000000000004E-3</v>
      </c>
      <c r="G202" s="74">
        <f>ROUND(pres!$C$2*calculo!F202,2)</f>
        <v>161.94999999999999</v>
      </c>
      <c r="H202" s="54">
        <f>IFERROR(VLOOKUP(C202,consumo_agua!$A$7:$AA$202,27,0),0)</f>
        <v>0</v>
      </c>
      <c r="I202" s="74">
        <f t="shared" si="3"/>
        <v>161.94999999999999</v>
      </c>
    </row>
    <row r="203" spans="1:9" x14ac:dyDescent="0.25">
      <c r="A203" s="71" t="s">
        <v>311</v>
      </c>
      <c r="B203" s="72" t="s">
        <v>312</v>
      </c>
      <c r="C203" s="71" t="s">
        <v>313</v>
      </c>
      <c r="D203" s="54">
        <v>78.95</v>
      </c>
      <c r="E203" s="54">
        <v>78.95</v>
      </c>
      <c r="F203" s="73">
        <v>4.4973999999999995E-3</v>
      </c>
      <c r="G203" s="74">
        <f>ROUND(pres!$C$2*calculo!F203,2)</f>
        <v>270.37</v>
      </c>
      <c r="H203" s="54">
        <f>IFERROR(VLOOKUP(C203,consumo_agua!$A$7:$AA$202,27,0),0)</f>
        <v>21.69</v>
      </c>
      <c r="I203" s="74">
        <f t="shared" si="3"/>
        <v>292.06</v>
      </c>
    </row>
    <row r="204" spans="1:9" x14ac:dyDescent="0.25">
      <c r="A204" s="71" t="s">
        <v>311</v>
      </c>
      <c r="B204" s="72" t="s">
        <v>312</v>
      </c>
      <c r="C204" s="71" t="s">
        <v>770</v>
      </c>
      <c r="D204" s="54">
        <v>0</v>
      </c>
      <c r="E204" s="54">
        <v>0</v>
      </c>
      <c r="F204" s="73">
        <v>1.2690000000000002E-3</v>
      </c>
      <c r="G204" s="74">
        <f>ROUND(pres!$C$2*calculo!F204,2)</f>
        <v>76.290000000000006</v>
      </c>
      <c r="H204" s="54">
        <f>IFERROR(VLOOKUP(C204,consumo_agua!$A$7:$AA$202,27,0),0)</f>
        <v>0</v>
      </c>
      <c r="I204" s="74">
        <f t="shared" si="3"/>
        <v>76.290000000000006</v>
      </c>
    </row>
    <row r="205" spans="1:9" x14ac:dyDescent="0.25">
      <c r="A205" s="71" t="s">
        <v>314</v>
      </c>
      <c r="B205" s="72" t="s">
        <v>315</v>
      </c>
      <c r="C205" s="71" t="s">
        <v>316</v>
      </c>
      <c r="D205" s="54">
        <v>33.200000000000003</v>
      </c>
      <c r="E205" s="54">
        <v>33.200000000000003</v>
      </c>
      <c r="F205" s="73">
        <v>2.6939000000000004E-3</v>
      </c>
      <c r="G205" s="74">
        <f>ROUND(pres!$C$2*calculo!F205,2)</f>
        <v>161.94999999999999</v>
      </c>
      <c r="H205" s="54">
        <f>IFERROR(VLOOKUP(C205,consumo_agua!$A$7:$AA$202,27,0),0)</f>
        <v>18.59</v>
      </c>
      <c r="I205" s="74">
        <f t="shared" si="3"/>
        <v>180.54</v>
      </c>
    </row>
    <row r="206" spans="1:9" x14ac:dyDescent="0.25">
      <c r="A206" s="71" t="s">
        <v>317</v>
      </c>
      <c r="B206" s="72" t="s">
        <v>318</v>
      </c>
      <c r="C206" s="71" t="s">
        <v>319</v>
      </c>
      <c r="D206" s="54">
        <v>44.45</v>
      </c>
      <c r="E206" s="54">
        <v>44.45</v>
      </c>
      <c r="F206" s="73">
        <v>2.6939000000000004E-3</v>
      </c>
      <c r="G206" s="74">
        <f>ROUND(pres!$C$2*calculo!F206,2)</f>
        <v>161.94999999999999</v>
      </c>
      <c r="H206" s="54">
        <f>IFERROR(VLOOKUP(C206,consumo_agua!$A$7:$AA$202,27,0),0)</f>
        <v>12.4</v>
      </c>
      <c r="I206" s="74">
        <f t="shared" si="3"/>
        <v>174.35</v>
      </c>
    </row>
    <row r="207" spans="1:9" x14ac:dyDescent="0.25">
      <c r="A207" s="71" t="s">
        <v>317</v>
      </c>
      <c r="B207" s="72" t="s">
        <v>318</v>
      </c>
      <c r="C207" s="71" t="s">
        <v>771</v>
      </c>
      <c r="D207" s="54">
        <v>0</v>
      </c>
      <c r="E207" s="54">
        <v>0</v>
      </c>
      <c r="F207" s="73">
        <v>1.2690000000000002E-3</v>
      </c>
      <c r="G207" s="74">
        <f>ROUND(pres!$C$2*calculo!F207,2)</f>
        <v>76.290000000000006</v>
      </c>
      <c r="H207" s="54">
        <f>IFERROR(VLOOKUP(C207,consumo_agua!$A$7:$AA$202,27,0),0)</f>
        <v>0</v>
      </c>
      <c r="I207" s="74">
        <f t="shared" si="3"/>
        <v>76.290000000000006</v>
      </c>
    </row>
    <row r="208" spans="1:9" x14ac:dyDescent="0.25">
      <c r="A208" s="71" t="s">
        <v>317</v>
      </c>
      <c r="B208" s="72" t="s">
        <v>318</v>
      </c>
      <c r="C208" s="71" t="s">
        <v>772</v>
      </c>
      <c r="D208" s="54">
        <v>0</v>
      </c>
      <c r="E208" s="54">
        <v>0</v>
      </c>
      <c r="F208" s="73">
        <v>1.2690000000000002E-3</v>
      </c>
      <c r="G208" s="74">
        <f>ROUND(pres!$C$2*calculo!F208,2)</f>
        <v>76.290000000000006</v>
      </c>
      <c r="H208" s="54">
        <f>IFERROR(VLOOKUP(C208,consumo_agua!$A$7:$AA$202,27,0),0)</f>
        <v>0</v>
      </c>
      <c r="I208" s="74">
        <f t="shared" si="3"/>
        <v>76.290000000000006</v>
      </c>
    </row>
    <row r="209" spans="1:9" x14ac:dyDescent="0.25">
      <c r="A209" s="71" t="s">
        <v>320</v>
      </c>
      <c r="B209" s="72" t="s">
        <v>321</v>
      </c>
      <c r="C209" s="71" t="s">
        <v>322</v>
      </c>
      <c r="D209" s="54">
        <v>78.95</v>
      </c>
      <c r="E209" s="54">
        <v>78.95</v>
      </c>
      <c r="F209" s="73">
        <v>4.4973999999999995E-3</v>
      </c>
      <c r="G209" s="74">
        <f>ROUND(pres!$C$2*calculo!F209,2)</f>
        <v>270.37</v>
      </c>
      <c r="H209" s="54">
        <f>IFERROR(VLOOKUP(C209,consumo_agua!$A$7:$AA$202,27,0),0)</f>
        <v>40.29</v>
      </c>
      <c r="I209" s="74">
        <f t="shared" si="3"/>
        <v>310.66000000000003</v>
      </c>
    </row>
    <row r="210" spans="1:9" x14ac:dyDescent="0.25">
      <c r="A210" s="71" t="s">
        <v>320</v>
      </c>
      <c r="B210" s="72" t="s">
        <v>321</v>
      </c>
      <c r="C210" s="71" t="s">
        <v>773</v>
      </c>
      <c r="D210" s="54">
        <v>0</v>
      </c>
      <c r="E210" s="54">
        <v>0</v>
      </c>
      <c r="F210" s="73">
        <v>1.2690000000000002E-3</v>
      </c>
      <c r="G210" s="74">
        <f>ROUND(pres!$C$2*calculo!F210,2)</f>
        <v>76.290000000000006</v>
      </c>
      <c r="H210" s="54">
        <f>IFERROR(VLOOKUP(C210,consumo_agua!$A$7:$AA$202,27,0),0)</f>
        <v>0</v>
      </c>
      <c r="I210" s="74">
        <f t="shared" si="3"/>
        <v>76.290000000000006</v>
      </c>
    </row>
    <row r="211" spans="1:9" x14ac:dyDescent="0.25">
      <c r="A211" s="71" t="s">
        <v>323</v>
      </c>
      <c r="B211" s="72" t="s">
        <v>324</v>
      </c>
      <c r="C211" s="71" t="s">
        <v>325</v>
      </c>
      <c r="D211" s="54">
        <v>0</v>
      </c>
      <c r="E211" s="54">
        <v>0</v>
      </c>
      <c r="F211" s="73">
        <v>1.2690000000000002E-3</v>
      </c>
      <c r="G211" s="74">
        <f>ROUND(pres!$C$2*calculo!F211,2)</f>
        <v>76.290000000000006</v>
      </c>
      <c r="H211" s="54">
        <f>IFERROR(VLOOKUP(C211,consumo_agua!$A$7:$AA$202,27,0),0)</f>
        <v>0</v>
      </c>
      <c r="I211" s="74">
        <f t="shared" si="3"/>
        <v>76.290000000000006</v>
      </c>
    </row>
    <row r="212" spans="1:9" x14ac:dyDescent="0.25">
      <c r="A212" s="71" t="s">
        <v>326</v>
      </c>
      <c r="B212" s="72" t="s">
        <v>327</v>
      </c>
      <c r="C212" s="71" t="s">
        <v>328</v>
      </c>
      <c r="D212" s="54">
        <v>64.900000000000006</v>
      </c>
      <c r="E212" s="54">
        <v>64.900000000000006</v>
      </c>
      <c r="F212" s="73">
        <v>4.4973999999999995E-3</v>
      </c>
      <c r="G212" s="74">
        <f>ROUND(pres!$C$2*calculo!F212,2)</f>
        <v>270.37</v>
      </c>
      <c r="H212" s="54">
        <f>IFERROR(VLOOKUP(C212,consumo_agua!$A$7:$AA$202,27,0),0)</f>
        <v>12.4</v>
      </c>
      <c r="I212" s="74">
        <f t="shared" si="3"/>
        <v>282.77</v>
      </c>
    </row>
    <row r="213" spans="1:9" x14ac:dyDescent="0.25">
      <c r="A213" s="71" t="s">
        <v>329</v>
      </c>
      <c r="B213" s="72" t="s">
        <v>330</v>
      </c>
      <c r="C213" s="71" t="s">
        <v>331</v>
      </c>
      <c r="D213" s="54">
        <v>44.45</v>
      </c>
      <c r="E213" s="54">
        <v>44.45</v>
      </c>
      <c r="F213" s="73">
        <v>2.6939000000000004E-3</v>
      </c>
      <c r="G213" s="74">
        <f>ROUND(pres!$C$2*calculo!F213,2)</f>
        <v>161.94999999999999</v>
      </c>
      <c r="H213" s="54">
        <f>IFERROR(VLOOKUP(C213,consumo_agua!$A$7:$AA$202,27,0),0)</f>
        <v>18.59</v>
      </c>
      <c r="I213" s="74">
        <f t="shared" si="3"/>
        <v>180.54</v>
      </c>
    </row>
    <row r="214" spans="1:9" x14ac:dyDescent="0.25">
      <c r="A214" s="71" t="s">
        <v>329</v>
      </c>
      <c r="B214" s="72" t="s">
        <v>330</v>
      </c>
      <c r="C214" s="71" t="s">
        <v>774</v>
      </c>
      <c r="D214" s="54">
        <v>0</v>
      </c>
      <c r="E214" s="54">
        <v>0</v>
      </c>
      <c r="F214" s="73">
        <v>1.2690000000000002E-3</v>
      </c>
      <c r="G214" s="74">
        <f>ROUND(pres!$C$2*calculo!F214,2)</f>
        <v>76.290000000000006</v>
      </c>
      <c r="H214" s="54">
        <f>IFERROR(VLOOKUP(C214,consumo_agua!$A$7:$AA$202,27,0),0)</f>
        <v>0</v>
      </c>
      <c r="I214" s="74">
        <f t="shared" si="3"/>
        <v>76.290000000000006</v>
      </c>
    </row>
    <row r="215" spans="1:9" x14ac:dyDescent="0.25">
      <c r="A215" s="71" t="s">
        <v>332</v>
      </c>
      <c r="B215" s="72" t="s">
        <v>333</v>
      </c>
      <c r="C215" s="71" t="s">
        <v>334</v>
      </c>
      <c r="D215" s="54">
        <v>33</v>
      </c>
      <c r="E215" s="54">
        <v>33</v>
      </c>
      <c r="F215" s="73">
        <v>2.6939000000000004E-3</v>
      </c>
      <c r="G215" s="74">
        <f>ROUND(pres!$C$2*calculo!F215,2)</f>
        <v>161.94999999999999</v>
      </c>
      <c r="H215" s="54">
        <f>IFERROR(VLOOKUP(C215,consumo_agua!$A$7:$AA$202,27,0),0)</f>
        <v>18.59</v>
      </c>
      <c r="I215" s="74">
        <f t="shared" si="3"/>
        <v>180.54</v>
      </c>
    </row>
    <row r="216" spans="1:9" x14ac:dyDescent="0.25">
      <c r="A216" s="71" t="s">
        <v>332</v>
      </c>
      <c r="B216" s="72" t="s">
        <v>333</v>
      </c>
      <c r="C216" s="71" t="s">
        <v>775</v>
      </c>
      <c r="D216" s="54">
        <v>0</v>
      </c>
      <c r="E216" s="54">
        <v>0</v>
      </c>
      <c r="F216" s="73">
        <v>1.2690000000000002E-3</v>
      </c>
      <c r="G216" s="74">
        <f>ROUND(pres!$C$2*calculo!F216,2)</f>
        <v>76.290000000000006</v>
      </c>
      <c r="H216" s="54">
        <f>IFERROR(VLOOKUP(C216,consumo_agua!$A$7:$AA$202,27,0),0)</f>
        <v>0</v>
      </c>
      <c r="I216" s="74">
        <f t="shared" si="3"/>
        <v>76.290000000000006</v>
      </c>
    </row>
    <row r="217" spans="1:9" x14ac:dyDescent="0.25">
      <c r="A217" s="71" t="s">
        <v>335</v>
      </c>
      <c r="B217" s="72" t="s">
        <v>336</v>
      </c>
      <c r="C217" s="71" t="s">
        <v>337</v>
      </c>
      <c r="D217" s="54">
        <v>92.5</v>
      </c>
      <c r="E217" s="54">
        <v>92.5</v>
      </c>
      <c r="F217" s="73">
        <v>5.6772999999999997E-3</v>
      </c>
      <c r="G217" s="74">
        <f>ROUND(pres!$C$2*calculo!F217,2)</f>
        <v>341.3</v>
      </c>
      <c r="H217" s="54">
        <f>IFERROR(VLOOKUP(C217,consumo_agua!$A$7:$AA$202,27,0),0)</f>
        <v>65.08</v>
      </c>
      <c r="I217" s="74">
        <f t="shared" si="3"/>
        <v>406.38</v>
      </c>
    </row>
    <row r="218" spans="1:9" x14ac:dyDescent="0.25">
      <c r="A218" s="71" t="s">
        <v>335</v>
      </c>
      <c r="B218" s="72" t="s">
        <v>336</v>
      </c>
      <c r="C218" s="71" t="s">
        <v>776</v>
      </c>
      <c r="D218" s="54">
        <v>0</v>
      </c>
      <c r="E218" s="54">
        <v>0</v>
      </c>
      <c r="F218" s="73">
        <v>1.2690000000000002E-3</v>
      </c>
      <c r="G218" s="74">
        <f>ROUND(pres!$C$2*calculo!F218,2)</f>
        <v>76.290000000000006</v>
      </c>
      <c r="H218" s="54">
        <f>IFERROR(VLOOKUP(C218,consumo_agua!$A$7:$AA$202,27,0),0)</f>
        <v>0</v>
      </c>
      <c r="I218" s="74">
        <f t="shared" si="3"/>
        <v>76.290000000000006</v>
      </c>
    </row>
    <row r="219" spans="1:9" x14ac:dyDescent="0.25">
      <c r="A219" s="71" t="s">
        <v>338</v>
      </c>
      <c r="B219" s="72" t="s">
        <v>339</v>
      </c>
      <c r="C219" s="71" t="s">
        <v>340</v>
      </c>
      <c r="D219" s="54">
        <v>44.45</v>
      </c>
      <c r="E219" s="54">
        <v>44.45</v>
      </c>
      <c r="F219" s="73">
        <v>2.6939000000000004E-3</v>
      </c>
      <c r="G219" s="74">
        <f>ROUND(pres!$C$2*calculo!F219,2)</f>
        <v>161.94999999999999</v>
      </c>
      <c r="H219" s="54">
        <f>IFERROR(VLOOKUP(C219,consumo_agua!$A$7:$AA$202,27,0),0)</f>
        <v>27.89</v>
      </c>
      <c r="I219" s="74">
        <f t="shared" si="3"/>
        <v>189.83999999999997</v>
      </c>
    </row>
    <row r="220" spans="1:9" x14ac:dyDescent="0.25">
      <c r="A220" s="71" t="s">
        <v>338</v>
      </c>
      <c r="B220" s="72" t="s">
        <v>339</v>
      </c>
      <c r="C220" s="71" t="s">
        <v>777</v>
      </c>
      <c r="D220" s="54">
        <v>0</v>
      </c>
      <c r="E220" s="54">
        <v>0</v>
      </c>
      <c r="F220" s="73">
        <v>1.2690000000000002E-3</v>
      </c>
      <c r="G220" s="74">
        <f>ROUND(pres!$C$2*calculo!F220,2)</f>
        <v>76.290000000000006</v>
      </c>
      <c r="H220" s="54">
        <f>IFERROR(VLOOKUP(C220,consumo_agua!$A$7:$AA$202,27,0),0)</f>
        <v>0</v>
      </c>
      <c r="I220" s="74">
        <f t="shared" si="3"/>
        <v>76.290000000000006</v>
      </c>
    </row>
    <row r="221" spans="1:9" x14ac:dyDescent="0.25">
      <c r="A221" s="71" t="s">
        <v>341</v>
      </c>
      <c r="B221" s="72" t="s">
        <v>342</v>
      </c>
      <c r="C221" s="71" t="s">
        <v>343</v>
      </c>
      <c r="D221" s="54">
        <v>78.95</v>
      </c>
      <c r="E221" s="54">
        <v>78.95</v>
      </c>
      <c r="F221" s="73">
        <v>4.4973999999999995E-3</v>
      </c>
      <c r="G221" s="74">
        <f>ROUND(pres!$C$2*calculo!F221,2)</f>
        <v>270.37</v>
      </c>
      <c r="H221" s="54">
        <f>IFERROR(VLOOKUP(C221,consumo_agua!$A$7:$AA$202,27,0),0)</f>
        <v>3.1</v>
      </c>
      <c r="I221" s="74">
        <f t="shared" si="3"/>
        <v>273.47000000000003</v>
      </c>
    </row>
    <row r="222" spans="1:9" x14ac:dyDescent="0.25">
      <c r="A222" s="71" t="s">
        <v>341</v>
      </c>
      <c r="B222" s="72" t="s">
        <v>342</v>
      </c>
      <c r="C222" s="71" t="s">
        <v>778</v>
      </c>
      <c r="D222" s="54">
        <v>0</v>
      </c>
      <c r="E222" s="54">
        <v>0</v>
      </c>
      <c r="F222" s="73">
        <v>1.2690000000000002E-3</v>
      </c>
      <c r="G222" s="74">
        <f>ROUND(pres!$C$2*calculo!F222,2)</f>
        <v>76.290000000000006</v>
      </c>
      <c r="H222" s="54">
        <f>IFERROR(VLOOKUP(C222,consumo_agua!$A$7:$AA$202,27,0),0)</f>
        <v>0</v>
      </c>
      <c r="I222" s="74">
        <f t="shared" si="3"/>
        <v>76.290000000000006</v>
      </c>
    </row>
    <row r="223" spans="1:9" x14ac:dyDescent="0.25">
      <c r="A223" s="71" t="s">
        <v>341</v>
      </c>
      <c r="B223" s="72" t="s">
        <v>342</v>
      </c>
      <c r="C223" s="71" t="s">
        <v>779</v>
      </c>
      <c r="D223" s="54">
        <v>0</v>
      </c>
      <c r="E223" s="54">
        <v>0</v>
      </c>
      <c r="F223" s="73">
        <v>1.2690000000000002E-3</v>
      </c>
      <c r="G223" s="74">
        <f>ROUND(pres!$C$2*calculo!F223,2)</f>
        <v>76.290000000000006</v>
      </c>
      <c r="H223" s="54">
        <f>IFERROR(VLOOKUP(C223,consumo_agua!$A$7:$AA$202,27,0),0)</f>
        <v>0</v>
      </c>
      <c r="I223" s="74">
        <f t="shared" si="3"/>
        <v>76.290000000000006</v>
      </c>
    </row>
    <row r="224" spans="1:9" x14ac:dyDescent="0.25">
      <c r="A224" s="71" t="s">
        <v>344</v>
      </c>
      <c r="B224" s="72" t="s">
        <v>345</v>
      </c>
      <c r="C224" s="71" t="s">
        <v>346</v>
      </c>
      <c r="D224" s="54">
        <v>81</v>
      </c>
      <c r="E224" s="54">
        <v>81</v>
      </c>
      <c r="F224" s="73">
        <v>4.4973999999999995E-3</v>
      </c>
      <c r="G224" s="74">
        <f>ROUND(pres!$C$2*calculo!F224,2)</f>
        <v>270.37</v>
      </c>
      <c r="H224" s="54">
        <f>IFERROR(VLOOKUP(C224,consumo_agua!$A$7:$AA$202,27,0),0)</f>
        <v>21.69</v>
      </c>
      <c r="I224" s="74">
        <f t="shared" si="3"/>
        <v>292.06</v>
      </c>
    </row>
    <row r="225" spans="1:9" x14ac:dyDescent="0.25">
      <c r="A225" s="71" t="s">
        <v>347</v>
      </c>
      <c r="B225" s="72" t="s">
        <v>348</v>
      </c>
      <c r="C225" s="71" t="s">
        <v>349</v>
      </c>
      <c r="D225" s="54">
        <v>81</v>
      </c>
      <c r="E225" s="54">
        <v>81</v>
      </c>
      <c r="F225" s="73">
        <v>4.4973999999999995E-3</v>
      </c>
      <c r="G225" s="74">
        <f>ROUND(pres!$C$2*calculo!F225,2)</f>
        <v>270.37</v>
      </c>
      <c r="H225" s="54">
        <f>IFERROR(VLOOKUP(C225,consumo_agua!$A$7:$AA$202,27,0),0)</f>
        <v>40.29</v>
      </c>
      <c r="I225" s="74">
        <f t="shared" si="3"/>
        <v>310.66000000000003</v>
      </c>
    </row>
    <row r="226" spans="1:9" x14ac:dyDescent="0.25">
      <c r="A226" s="71" t="s">
        <v>347</v>
      </c>
      <c r="B226" s="72" t="s">
        <v>348</v>
      </c>
      <c r="C226" s="71" t="s">
        <v>780</v>
      </c>
      <c r="D226" s="54">
        <v>0</v>
      </c>
      <c r="E226" s="54">
        <v>0</v>
      </c>
      <c r="F226" s="73">
        <v>1.2690000000000002E-3</v>
      </c>
      <c r="G226" s="74">
        <f>ROUND(pres!$C$2*calculo!F226,2)</f>
        <v>76.290000000000006</v>
      </c>
      <c r="H226" s="54">
        <f>IFERROR(VLOOKUP(C226,consumo_agua!$A$7:$AA$202,27,0),0)</f>
        <v>0</v>
      </c>
      <c r="I226" s="74">
        <f t="shared" si="3"/>
        <v>76.290000000000006</v>
      </c>
    </row>
    <row r="227" spans="1:9" x14ac:dyDescent="0.25">
      <c r="A227" s="71" t="s">
        <v>350</v>
      </c>
      <c r="B227" s="72" t="s">
        <v>351</v>
      </c>
      <c r="C227" s="75" t="s">
        <v>687</v>
      </c>
      <c r="D227" s="54">
        <v>0</v>
      </c>
      <c r="E227" s="54">
        <v>0</v>
      </c>
      <c r="F227" s="73">
        <v>1.2690000000000002E-3</v>
      </c>
      <c r="G227" s="74">
        <f>ROUND(pres!$C$2*calculo!F227,2)</f>
        <v>76.290000000000006</v>
      </c>
      <c r="H227" s="54">
        <f>IFERROR(VLOOKUP(C227,consumo_agua!$A$7:$AA$202,27,0),0)</f>
        <v>0</v>
      </c>
      <c r="I227" s="74">
        <f t="shared" si="3"/>
        <v>76.290000000000006</v>
      </c>
    </row>
    <row r="228" spans="1:9" x14ac:dyDescent="0.25">
      <c r="A228" s="71" t="s">
        <v>350</v>
      </c>
      <c r="B228" s="72" t="s">
        <v>351</v>
      </c>
      <c r="C228" s="75" t="s">
        <v>689</v>
      </c>
      <c r="D228" s="54">
        <v>0</v>
      </c>
      <c r="E228" s="54">
        <v>0</v>
      </c>
      <c r="F228" s="73">
        <v>1.2690000000000002E-3</v>
      </c>
      <c r="G228" s="74">
        <f>ROUND(pres!$C$2*calculo!F228,2)</f>
        <v>76.290000000000006</v>
      </c>
      <c r="H228" s="54">
        <f>IFERROR(VLOOKUP(C228,consumo_agua!$A$7:$AA$202,27,0),0)</f>
        <v>0</v>
      </c>
      <c r="I228" s="74">
        <f t="shared" si="3"/>
        <v>76.290000000000006</v>
      </c>
    </row>
    <row r="229" spans="1:9" x14ac:dyDescent="0.25">
      <c r="A229" s="71" t="s">
        <v>350</v>
      </c>
      <c r="B229" s="72" t="s">
        <v>351</v>
      </c>
      <c r="C229" s="71" t="s">
        <v>352</v>
      </c>
      <c r="D229" s="54">
        <v>0</v>
      </c>
      <c r="E229" s="54">
        <v>0</v>
      </c>
      <c r="F229" s="73">
        <v>1.2690000000000002E-3</v>
      </c>
      <c r="G229" s="74">
        <f>ROUND(pres!$C$2*calculo!F229,2)</f>
        <v>76.290000000000006</v>
      </c>
      <c r="H229" s="54">
        <f>IFERROR(VLOOKUP(C229,consumo_agua!$A$7:$AA$202,27,0),0)</f>
        <v>0</v>
      </c>
      <c r="I229" s="74">
        <f t="shared" si="3"/>
        <v>76.290000000000006</v>
      </c>
    </row>
    <row r="230" spans="1:9" x14ac:dyDescent="0.25">
      <c r="A230" s="71" t="s">
        <v>353</v>
      </c>
      <c r="B230" s="72" t="s">
        <v>354</v>
      </c>
      <c r="C230" s="71" t="s">
        <v>355</v>
      </c>
      <c r="D230" s="54">
        <v>78.95</v>
      </c>
      <c r="E230" s="54">
        <v>78.95</v>
      </c>
      <c r="F230" s="73">
        <v>4.4973999999999995E-3</v>
      </c>
      <c r="G230" s="74">
        <f>ROUND(pres!$C$2*calculo!F230,2)</f>
        <v>270.37</v>
      </c>
      <c r="H230" s="54">
        <f>IFERROR(VLOOKUP(C230,consumo_agua!$A$7:$AA$202,27,0),0)</f>
        <v>43.38</v>
      </c>
      <c r="I230" s="74">
        <f t="shared" si="3"/>
        <v>313.75</v>
      </c>
    </row>
    <row r="231" spans="1:9" x14ac:dyDescent="0.25">
      <c r="A231" s="71" t="s">
        <v>356</v>
      </c>
      <c r="B231" s="72" t="s">
        <v>357</v>
      </c>
      <c r="C231" s="71" t="s">
        <v>358</v>
      </c>
      <c r="D231" s="54">
        <v>74.599999999999994</v>
      </c>
      <c r="E231" s="54">
        <v>74.599999999999994</v>
      </c>
      <c r="F231" s="73">
        <v>4.4973999999999995E-3</v>
      </c>
      <c r="G231" s="74">
        <f>ROUND(pres!$C$2*calculo!F231,2)</f>
        <v>270.37</v>
      </c>
      <c r="H231" s="54">
        <f>IFERROR(VLOOKUP(C231,consumo_agua!$A$7:$AA$202,27,0),0)</f>
        <v>9.3000000000000007</v>
      </c>
      <c r="I231" s="74">
        <f t="shared" si="3"/>
        <v>279.67</v>
      </c>
    </row>
    <row r="232" spans="1:9" x14ac:dyDescent="0.25">
      <c r="A232" s="71" t="s">
        <v>356</v>
      </c>
      <c r="B232" s="72" t="s">
        <v>357</v>
      </c>
      <c r="C232" s="71" t="s">
        <v>781</v>
      </c>
      <c r="D232" s="54">
        <v>0</v>
      </c>
      <c r="E232" s="54">
        <v>0</v>
      </c>
      <c r="F232" s="73">
        <v>1.2690000000000002E-3</v>
      </c>
      <c r="G232" s="74">
        <f>ROUND(pres!$C$2*calculo!F232,2)</f>
        <v>76.290000000000006</v>
      </c>
      <c r="H232" s="54">
        <f>IFERROR(VLOOKUP(C232,consumo_agua!$A$7:$AA$202,27,0),0)</f>
        <v>0</v>
      </c>
      <c r="I232" s="74">
        <f t="shared" si="3"/>
        <v>76.290000000000006</v>
      </c>
    </row>
    <row r="233" spans="1:9" x14ac:dyDescent="0.25">
      <c r="A233" s="71" t="s">
        <v>359</v>
      </c>
      <c r="B233" s="72" t="s">
        <v>360</v>
      </c>
      <c r="C233" s="71" t="s">
        <v>361</v>
      </c>
      <c r="D233" s="54">
        <v>92.5</v>
      </c>
      <c r="E233" s="54">
        <v>92.5</v>
      </c>
      <c r="F233" s="73">
        <v>5.6772999999999997E-3</v>
      </c>
      <c r="G233" s="74">
        <f>ROUND(pres!$C$2*calculo!F233,2)</f>
        <v>341.3</v>
      </c>
      <c r="H233" s="54">
        <f>IFERROR(VLOOKUP(C233,consumo_agua!$A$7:$AA$202,27,0),0)</f>
        <v>34.090000000000003</v>
      </c>
      <c r="I233" s="74">
        <f t="shared" si="3"/>
        <v>375.39</v>
      </c>
    </row>
    <row r="234" spans="1:9" x14ac:dyDescent="0.25">
      <c r="A234" s="71" t="s">
        <v>359</v>
      </c>
      <c r="B234" s="72" t="s">
        <v>360</v>
      </c>
      <c r="C234" s="71" t="s">
        <v>782</v>
      </c>
      <c r="D234" s="54">
        <v>0</v>
      </c>
      <c r="E234" s="54">
        <v>0</v>
      </c>
      <c r="F234" s="73">
        <v>1.2690000000000002E-3</v>
      </c>
      <c r="G234" s="74">
        <f>ROUND(pres!$C$2*calculo!F234,2)</f>
        <v>76.290000000000006</v>
      </c>
      <c r="H234" s="54">
        <f>IFERROR(VLOOKUP(C234,consumo_agua!$A$7:$AA$202,27,0),0)</f>
        <v>0</v>
      </c>
      <c r="I234" s="74">
        <f t="shared" si="3"/>
        <v>76.290000000000006</v>
      </c>
    </row>
    <row r="235" spans="1:9" x14ac:dyDescent="0.25">
      <c r="A235" s="71" t="s">
        <v>362</v>
      </c>
      <c r="B235" s="72" t="s">
        <v>363</v>
      </c>
      <c r="C235" s="71" t="s">
        <v>364</v>
      </c>
      <c r="D235" s="54">
        <v>66.45</v>
      </c>
      <c r="E235" s="54">
        <v>66.45</v>
      </c>
      <c r="F235" s="73">
        <v>4.4973999999999995E-3</v>
      </c>
      <c r="G235" s="74">
        <f>ROUND(pres!$C$2*calculo!F235,2)</f>
        <v>270.37</v>
      </c>
      <c r="H235" s="54">
        <f>IFERROR(VLOOKUP(C235,consumo_agua!$A$7:$AA$202,27,0),0)</f>
        <v>24.79</v>
      </c>
      <c r="I235" s="74">
        <f t="shared" si="3"/>
        <v>295.16000000000003</v>
      </c>
    </row>
    <row r="236" spans="1:9" x14ac:dyDescent="0.25">
      <c r="A236" s="71" t="s">
        <v>362</v>
      </c>
      <c r="B236" s="72" t="s">
        <v>363</v>
      </c>
      <c r="C236" s="71" t="s">
        <v>783</v>
      </c>
      <c r="D236" s="54">
        <v>0</v>
      </c>
      <c r="E236" s="54">
        <v>0</v>
      </c>
      <c r="F236" s="73">
        <v>1.2690000000000002E-3</v>
      </c>
      <c r="G236" s="74">
        <f>ROUND(pres!$C$2*calculo!F236,2)</f>
        <v>76.290000000000006</v>
      </c>
      <c r="H236" s="54">
        <f>IFERROR(VLOOKUP(C236,consumo_agua!$A$7:$AA$202,27,0),0)</f>
        <v>0</v>
      </c>
      <c r="I236" s="74">
        <f t="shared" si="3"/>
        <v>76.290000000000006</v>
      </c>
    </row>
    <row r="237" spans="1:9" x14ac:dyDescent="0.25">
      <c r="A237" s="71" t="s">
        <v>365</v>
      </c>
      <c r="B237" s="72" t="s">
        <v>366</v>
      </c>
      <c r="C237" s="71" t="s">
        <v>367</v>
      </c>
      <c r="D237" s="54">
        <v>33.200000000000003</v>
      </c>
      <c r="E237" s="54">
        <v>33.200000000000003</v>
      </c>
      <c r="F237" s="73">
        <v>2.6939000000000004E-3</v>
      </c>
      <c r="G237" s="74">
        <f>ROUND(pres!$C$2*calculo!F237,2)</f>
        <v>161.94999999999999</v>
      </c>
      <c r="H237" s="54">
        <f>IFERROR(VLOOKUP(C237,consumo_agua!$A$7:$AA$202,27,0),0)</f>
        <v>9.3000000000000007</v>
      </c>
      <c r="I237" s="74">
        <f t="shared" si="3"/>
        <v>171.25</v>
      </c>
    </row>
    <row r="238" spans="1:9" x14ac:dyDescent="0.25">
      <c r="A238" s="71" t="s">
        <v>368</v>
      </c>
      <c r="B238" s="72" t="s">
        <v>369</v>
      </c>
      <c r="C238" s="71" t="s">
        <v>370</v>
      </c>
      <c r="D238" s="54">
        <v>33.200000000000003</v>
      </c>
      <c r="E238" s="54">
        <v>33.200000000000003</v>
      </c>
      <c r="F238" s="73">
        <v>2.6939000000000004E-3</v>
      </c>
      <c r="G238" s="74">
        <f>ROUND(pres!$C$2*calculo!F238,2)</f>
        <v>161.94999999999999</v>
      </c>
      <c r="H238" s="54">
        <f>IFERROR(VLOOKUP(C238,consumo_agua!$A$7:$AA$202,27,0),0)</f>
        <v>9.3000000000000007</v>
      </c>
      <c r="I238" s="74">
        <f t="shared" si="3"/>
        <v>171.25</v>
      </c>
    </row>
    <row r="239" spans="1:9" x14ac:dyDescent="0.25">
      <c r="A239" s="71" t="s">
        <v>371</v>
      </c>
      <c r="B239" s="72" t="s">
        <v>372</v>
      </c>
      <c r="C239" s="71" t="s">
        <v>373</v>
      </c>
      <c r="D239" s="54">
        <v>44.45</v>
      </c>
      <c r="E239" s="54">
        <v>44.45</v>
      </c>
      <c r="F239" s="73">
        <v>2.6939000000000004E-3</v>
      </c>
      <c r="G239" s="74">
        <f>ROUND(pres!$C$2*calculo!F239,2)</f>
        <v>161.94999999999999</v>
      </c>
      <c r="H239" s="54">
        <f>IFERROR(VLOOKUP(C239,consumo_agua!$A$7:$AA$202,27,0),0)</f>
        <v>12.4</v>
      </c>
      <c r="I239" s="74">
        <f t="shared" si="3"/>
        <v>174.35</v>
      </c>
    </row>
    <row r="240" spans="1:9" x14ac:dyDescent="0.25">
      <c r="A240" s="71" t="s">
        <v>371</v>
      </c>
      <c r="B240" s="72" t="s">
        <v>372</v>
      </c>
      <c r="C240" s="71" t="s">
        <v>784</v>
      </c>
      <c r="D240" s="54">
        <v>0</v>
      </c>
      <c r="E240" s="54">
        <v>0</v>
      </c>
      <c r="F240" s="73">
        <v>1.2690000000000002E-3</v>
      </c>
      <c r="G240" s="74">
        <f>ROUND(pres!$C$2*calculo!F240,2)</f>
        <v>76.290000000000006</v>
      </c>
      <c r="H240" s="54">
        <f>IFERROR(VLOOKUP(C240,consumo_agua!$A$7:$AA$202,27,0),0)</f>
        <v>0</v>
      </c>
      <c r="I240" s="74">
        <f t="shared" si="3"/>
        <v>76.290000000000006</v>
      </c>
    </row>
    <row r="241" spans="1:9" x14ac:dyDescent="0.25">
      <c r="A241" s="71" t="s">
        <v>374</v>
      </c>
      <c r="B241" s="72" t="s">
        <v>375</v>
      </c>
      <c r="C241" s="71" t="s">
        <v>376</v>
      </c>
      <c r="D241" s="54">
        <v>74.599999999999994</v>
      </c>
      <c r="E241" s="54">
        <v>74.599999999999994</v>
      </c>
      <c r="F241" s="73">
        <v>4.4973999999999995E-3</v>
      </c>
      <c r="G241" s="74">
        <f>ROUND(pres!$C$2*calculo!F241,2)</f>
        <v>270.37</v>
      </c>
      <c r="H241" s="54">
        <f>IFERROR(VLOOKUP(C241,consumo_agua!$A$7:$AA$202,27,0),0)</f>
        <v>24.79</v>
      </c>
      <c r="I241" s="74">
        <f t="shared" si="3"/>
        <v>295.16000000000003</v>
      </c>
    </row>
    <row r="242" spans="1:9" x14ac:dyDescent="0.25">
      <c r="A242" s="71" t="s">
        <v>377</v>
      </c>
      <c r="B242" s="72" t="s">
        <v>378</v>
      </c>
      <c r="C242" s="71" t="s">
        <v>379</v>
      </c>
      <c r="D242" s="54">
        <v>33.200000000000003</v>
      </c>
      <c r="E242" s="54">
        <v>33.200000000000003</v>
      </c>
      <c r="F242" s="73">
        <v>2.6939000000000004E-3</v>
      </c>
      <c r="G242" s="74">
        <f>ROUND(pres!$C$2*calculo!F242,2)</f>
        <v>161.94999999999999</v>
      </c>
      <c r="H242" s="54">
        <f>IFERROR(VLOOKUP(C242,consumo_agua!$A$7:$AA$202,27,0),0)</f>
        <v>0</v>
      </c>
      <c r="I242" s="74">
        <f t="shared" si="3"/>
        <v>161.94999999999999</v>
      </c>
    </row>
    <row r="243" spans="1:9" x14ac:dyDescent="0.25">
      <c r="A243" s="71" t="s">
        <v>380</v>
      </c>
      <c r="B243" s="72" t="s">
        <v>381</v>
      </c>
      <c r="C243" s="71" t="s">
        <v>382</v>
      </c>
      <c r="D243" s="54">
        <v>74.599999999999994</v>
      </c>
      <c r="E243" s="54">
        <v>74.599999999999994</v>
      </c>
      <c r="F243" s="73">
        <v>4.4973999999999995E-3</v>
      </c>
      <c r="G243" s="74">
        <f>ROUND(pres!$C$2*calculo!F243,2)</f>
        <v>270.37</v>
      </c>
      <c r="H243" s="54">
        <f>IFERROR(VLOOKUP(C243,consumo_agua!$A$7:$AA$202,27,0),0)</f>
        <v>139.44999999999999</v>
      </c>
      <c r="I243" s="74">
        <f t="shared" si="3"/>
        <v>409.82</v>
      </c>
    </row>
    <row r="244" spans="1:9" x14ac:dyDescent="0.25">
      <c r="A244" s="71" t="s">
        <v>383</v>
      </c>
      <c r="B244" s="72" t="s">
        <v>384</v>
      </c>
      <c r="C244" s="71" t="s">
        <v>385</v>
      </c>
      <c r="D244" s="54">
        <v>78.95</v>
      </c>
      <c r="E244" s="54">
        <v>78.95</v>
      </c>
      <c r="F244" s="73">
        <v>4.4973999999999995E-3</v>
      </c>
      <c r="G244" s="74">
        <f>ROUND(pres!$C$2*calculo!F244,2)</f>
        <v>270.37</v>
      </c>
      <c r="H244" s="54">
        <f>IFERROR(VLOOKUP(C244,consumo_agua!$A$7:$AA$202,27,0),0)</f>
        <v>12.4</v>
      </c>
      <c r="I244" s="74">
        <f t="shared" si="3"/>
        <v>282.77</v>
      </c>
    </row>
    <row r="245" spans="1:9" x14ac:dyDescent="0.25">
      <c r="A245" s="71" t="s">
        <v>383</v>
      </c>
      <c r="B245" s="72" t="s">
        <v>384</v>
      </c>
      <c r="C245" s="71" t="s">
        <v>785</v>
      </c>
      <c r="D245" s="54">
        <v>0</v>
      </c>
      <c r="E245" s="54">
        <v>0</v>
      </c>
      <c r="F245" s="73">
        <v>1.2690000000000002E-3</v>
      </c>
      <c r="G245" s="74">
        <f>ROUND(pres!$C$2*calculo!F245,2)</f>
        <v>76.290000000000006</v>
      </c>
      <c r="H245" s="54">
        <f>IFERROR(VLOOKUP(C245,consumo_agua!$A$7:$AA$202,27,0),0)</f>
        <v>0</v>
      </c>
      <c r="I245" s="74">
        <f t="shared" si="3"/>
        <v>76.290000000000006</v>
      </c>
    </row>
    <row r="246" spans="1:9" x14ac:dyDescent="0.25">
      <c r="A246" s="71" t="s">
        <v>386</v>
      </c>
      <c r="B246" s="72" t="s">
        <v>387</v>
      </c>
      <c r="C246" s="71" t="s">
        <v>388</v>
      </c>
      <c r="D246" s="54">
        <v>74.599999999999994</v>
      </c>
      <c r="E246" s="54">
        <v>74.599999999999994</v>
      </c>
      <c r="F246" s="73">
        <v>4.4973999999999995E-3</v>
      </c>
      <c r="G246" s="74">
        <f>ROUND(pres!$C$2*calculo!F246,2)</f>
        <v>270.37</v>
      </c>
      <c r="H246" s="54">
        <f>IFERROR(VLOOKUP(C246,consumo_agua!$A$7:$AA$202,27,0),0)</f>
        <v>37.19</v>
      </c>
      <c r="I246" s="74">
        <f t="shared" si="3"/>
        <v>307.56</v>
      </c>
    </row>
    <row r="247" spans="1:9" x14ac:dyDescent="0.25">
      <c r="A247" s="71" t="s">
        <v>386</v>
      </c>
      <c r="B247" s="72" t="s">
        <v>387</v>
      </c>
      <c r="C247" s="71" t="s">
        <v>786</v>
      </c>
      <c r="D247" s="54">
        <v>0</v>
      </c>
      <c r="E247" s="54">
        <v>0</v>
      </c>
      <c r="F247" s="73">
        <v>1.2690000000000002E-3</v>
      </c>
      <c r="G247" s="74">
        <f>ROUND(pres!$C$2*calculo!F247,2)</f>
        <v>76.290000000000006</v>
      </c>
      <c r="H247" s="54">
        <f>IFERROR(VLOOKUP(C247,consumo_agua!$A$7:$AA$202,27,0),0)</f>
        <v>0</v>
      </c>
      <c r="I247" s="74">
        <f t="shared" si="3"/>
        <v>76.290000000000006</v>
      </c>
    </row>
    <row r="248" spans="1:9" x14ac:dyDescent="0.25">
      <c r="A248" s="71" t="s">
        <v>389</v>
      </c>
      <c r="B248" s="72" t="s">
        <v>390</v>
      </c>
      <c r="C248" s="71" t="s">
        <v>391</v>
      </c>
      <c r="D248" s="54">
        <v>78.95</v>
      </c>
      <c r="E248" s="54">
        <v>78.95</v>
      </c>
      <c r="F248" s="73">
        <v>4.4973999999999995E-3</v>
      </c>
      <c r="G248" s="74">
        <f>ROUND(pres!$C$2*calculo!F248,2)</f>
        <v>270.37</v>
      </c>
      <c r="H248" s="54">
        <f>IFERROR(VLOOKUP(C248,consumo_agua!$A$7:$AA$202,27,0),0)</f>
        <v>46.48</v>
      </c>
      <c r="I248" s="74">
        <f t="shared" si="3"/>
        <v>316.85000000000002</v>
      </c>
    </row>
    <row r="249" spans="1:9" x14ac:dyDescent="0.25">
      <c r="A249" s="71" t="s">
        <v>389</v>
      </c>
      <c r="B249" s="72" t="s">
        <v>390</v>
      </c>
      <c r="C249" s="71" t="s">
        <v>787</v>
      </c>
      <c r="D249" s="54">
        <v>0</v>
      </c>
      <c r="E249" s="54">
        <v>0</v>
      </c>
      <c r="F249" s="73">
        <v>1.2690000000000002E-3</v>
      </c>
      <c r="G249" s="74">
        <f>ROUND(pres!$C$2*calculo!F249,2)</f>
        <v>76.290000000000006</v>
      </c>
      <c r="H249" s="54">
        <f>IFERROR(VLOOKUP(C249,consumo_agua!$A$7:$AA$202,27,0),0)</f>
        <v>0</v>
      </c>
      <c r="I249" s="74">
        <f t="shared" si="3"/>
        <v>76.290000000000006</v>
      </c>
    </row>
    <row r="250" spans="1:9" x14ac:dyDescent="0.25">
      <c r="A250" s="71" t="s">
        <v>392</v>
      </c>
      <c r="B250" s="72" t="s">
        <v>393</v>
      </c>
      <c r="C250" s="71" t="s">
        <v>394</v>
      </c>
      <c r="D250" s="54">
        <v>33</v>
      </c>
      <c r="E250" s="54">
        <v>33</v>
      </c>
      <c r="F250" s="73">
        <v>2.6939000000000004E-3</v>
      </c>
      <c r="G250" s="74">
        <f>ROUND(pres!$C$2*calculo!F250,2)</f>
        <v>161.94999999999999</v>
      </c>
      <c r="H250" s="54">
        <f>IFERROR(VLOOKUP(C250,consumo_agua!$A$7:$AA$202,27,0),0)</f>
        <v>9.3000000000000007</v>
      </c>
      <c r="I250" s="74">
        <f t="shared" si="3"/>
        <v>171.25</v>
      </c>
    </row>
    <row r="251" spans="1:9" x14ac:dyDescent="0.25">
      <c r="A251" s="71" t="s">
        <v>395</v>
      </c>
      <c r="B251" s="72" t="s">
        <v>396</v>
      </c>
      <c r="C251" s="71" t="s">
        <v>397</v>
      </c>
      <c r="D251" s="54">
        <v>44.45</v>
      </c>
      <c r="E251" s="54">
        <v>44.45</v>
      </c>
      <c r="F251" s="73">
        <v>2.6939000000000004E-3</v>
      </c>
      <c r="G251" s="74">
        <f>ROUND(pres!$C$2*calculo!F251,2)</f>
        <v>161.94999999999999</v>
      </c>
      <c r="H251" s="54">
        <f>IFERROR(VLOOKUP(C251,consumo_agua!$A$7:$AA$202,27,0),0)</f>
        <v>24.79</v>
      </c>
      <c r="I251" s="74">
        <f t="shared" si="3"/>
        <v>186.73999999999998</v>
      </c>
    </row>
    <row r="252" spans="1:9" x14ac:dyDescent="0.25">
      <c r="A252" s="71" t="s">
        <v>395</v>
      </c>
      <c r="B252" s="72" t="s">
        <v>396</v>
      </c>
      <c r="C252" s="71" t="s">
        <v>788</v>
      </c>
      <c r="D252" s="54">
        <v>0</v>
      </c>
      <c r="E252" s="54">
        <v>0</v>
      </c>
      <c r="F252" s="73">
        <v>1.2690000000000002E-3</v>
      </c>
      <c r="G252" s="74">
        <f>ROUND(pres!$C$2*calculo!F252,2)</f>
        <v>76.290000000000006</v>
      </c>
      <c r="H252" s="54">
        <f>IFERROR(VLOOKUP(C252,consumo_agua!$A$7:$AA$202,27,0),0)</f>
        <v>0</v>
      </c>
      <c r="I252" s="74">
        <f t="shared" si="3"/>
        <v>76.290000000000006</v>
      </c>
    </row>
    <row r="253" spans="1:9" x14ac:dyDescent="0.25">
      <c r="A253" s="71" t="s">
        <v>398</v>
      </c>
      <c r="B253" s="72" t="s">
        <v>399</v>
      </c>
      <c r="C253" s="71" t="s">
        <v>400</v>
      </c>
      <c r="D253" s="54">
        <v>66.45</v>
      </c>
      <c r="E253" s="54">
        <v>66.45</v>
      </c>
      <c r="F253" s="73">
        <v>4.4973999999999995E-3</v>
      </c>
      <c r="G253" s="74">
        <f>ROUND(pres!$C$2*calculo!F253,2)</f>
        <v>270.37</v>
      </c>
      <c r="H253" s="54">
        <f>IFERROR(VLOOKUP(C253,consumo_agua!$A$7:$AA$202,27,0),0)</f>
        <v>49.58</v>
      </c>
      <c r="I253" s="74">
        <f t="shared" si="3"/>
        <v>319.95</v>
      </c>
    </row>
    <row r="254" spans="1:9" x14ac:dyDescent="0.25">
      <c r="A254" s="71" t="s">
        <v>401</v>
      </c>
      <c r="B254" s="72" t="s">
        <v>402</v>
      </c>
      <c r="C254" s="71" t="s">
        <v>403</v>
      </c>
      <c r="D254" s="54">
        <v>43.35</v>
      </c>
      <c r="E254" s="54">
        <v>43.35</v>
      </c>
      <c r="F254" s="73">
        <v>2.6939000000000004E-3</v>
      </c>
      <c r="G254" s="74">
        <f>ROUND(pres!$C$2*calculo!F254,2)</f>
        <v>161.94999999999999</v>
      </c>
      <c r="H254" s="54">
        <f>IFERROR(VLOOKUP(C254,consumo_agua!$A$7:$AA$202,27,0),0)</f>
        <v>30.99</v>
      </c>
      <c r="I254" s="74">
        <f t="shared" si="3"/>
        <v>192.94</v>
      </c>
    </row>
    <row r="255" spans="1:9" x14ac:dyDescent="0.25">
      <c r="A255" s="71" t="s">
        <v>401</v>
      </c>
      <c r="B255" s="72" t="s">
        <v>402</v>
      </c>
      <c r="C255" s="71" t="s">
        <v>789</v>
      </c>
      <c r="D255" s="54">
        <v>0</v>
      </c>
      <c r="E255" s="54">
        <v>0</v>
      </c>
      <c r="F255" s="73">
        <v>1.2690000000000002E-3</v>
      </c>
      <c r="G255" s="74">
        <f>ROUND(pres!$C$2*calculo!F255,2)</f>
        <v>76.290000000000006</v>
      </c>
      <c r="H255" s="54">
        <f>IFERROR(VLOOKUP(C255,consumo_agua!$A$7:$AA$202,27,0),0)</f>
        <v>0</v>
      </c>
      <c r="I255" s="74">
        <f t="shared" si="3"/>
        <v>76.290000000000006</v>
      </c>
    </row>
    <row r="256" spans="1:9" x14ac:dyDescent="0.25">
      <c r="A256" s="71" t="s">
        <v>404</v>
      </c>
      <c r="B256" s="72" t="s">
        <v>405</v>
      </c>
      <c r="C256" s="71" t="s">
        <v>406</v>
      </c>
      <c r="D256" s="54">
        <v>44.45</v>
      </c>
      <c r="E256" s="54">
        <v>44.45</v>
      </c>
      <c r="F256" s="73">
        <v>2.6939000000000004E-3</v>
      </c>
      <c r="G256" s="74">
        <f>ROUND(pres!$C$2*calculo!F256,2)</f>
        <v>161.94999999999999</v>
      </c>
      <c r="H256" s="54">
        <f>IFERROR(VLOOKUP(C256,consumo_agua!$A$7:$AA$202,27,0),0)</f>
        <v>9.3000000000000007</v>
      </c>
      <c r="I256" s="74">
        <f t="shared" si="3"/>
        <v>171.25</v>
      </c>
    </row>
    <row r="257" spans="1:9" x14ac:dyDescent="0.25">
      <c r="A257" s="71" t="s">
        <v>404</v>
      </c>
      <c r="B257" s="72" t="s">
        <v>405</v>
      </c>
      <c r="C257" s="71" t="s">
        <v>790</v>
      </c>
      <c r="D257" s="54">
        <v>0</v>
      </c>
      <c r="E257" s="54">
        <v>0</v>
      </c>
      <c r="F257" s="73">
        <v>3.6749999999999999E-4</v>
      </c>
      <c r="G257" s="74">
        <f>ROUND(pres!$C$2*calculo!F257,2)</f>
        <v>22.09</v>
      </c>
      <c r="H257" s="54">
        <f>IFERROR(VLOOKUP(C257,consumo_agua!$A$7:$AA$202,27,0),0)</f>
        <v>0</v>
      </c>
      <c r="I257" s="74">
        <f t="shared" si="3"/>
        <v>22.09</v>
      </c>
    </row>
    <row r="258" spans="1:9" x14ac:dyDescent="0.25">
      <c r="A258" s="71" t="s">
        <v>404</v>
      </c>
      <c r="B258" s="72" t="s">
        <v>405</v>
      </c>
      <c r="C258" s="71" t="s">
        <v>791</v>
      </c>
      <c r="D258" s="54">
        <v>0</v>
      </c>
      <c r="E258" s="54">
        <v>0</v>
      </c>
      <c r="F258" s="73">
        <v>1.2690000000000002E-3</v>
      </c>
      <c r="G258" s="74">
        <f>ROUND(pres!$C$2*calculo!F258,2)</f>
        <v>76.290000000000006</v>
      </c>
      <c r="H258" s="54">
        <f>IFERROR(VLOOKUP(C258,consumo_agua!$A$7:$AA$202,27,0),0)</f>
        <v>0</v>
      </c>
      <c r="I258" s="74">
        <f t="shared" ref="I258:I321" si="4">SUM(G258:H258)</f>
        <v>76.290000000000006</v>
      </c>
    </row>
    <row r="259" spans="1:9" x14ac:dyDescent="0.25">
      <c r="A259" s="71" t="s">
        <v>407</v>
      </c>
      <c r="B259" s="72" t="s">
        <v>408</v>
      </c>
      <c r="C259" s="71" t="s">
        <v>409</v>
      </c>
      <c r="D259" s="54">
        <v>68</v>
      </c>
      <c r="E259" s="54">
        <v>68</v>
      </c>
      <c r="F259" s="73">
        <v>4.4973999999999995E-3</v>
      </c>
      <c r="G259" s="74">
        <f>ROUND(pres!$C$2*calculo!F259,2)</f>
        <v>270.37</v>
      </c>
      <c r="H259" s="54">
        <f>IFERROR(VLOOKUP(C259,consumo_agua!$A$7:$AA$202,27,0),0)</f>
        <v>15.49</v>
      </c>
      <c r="I259" s="74">
        <f t="shared" si="4"/>
        <v>285.86</v>
      </c>
    </row>
    <row r="260" spans="1:9" x14ac:dyDescent="0.25">
      <c r="A260" s="71" t="s">
        <v>407</v>
      </c>
      <c r="B260" s="72" t="s">
        <v>408</v>
      </c>
      <c r="C260" s="71" t="s">
        <v>792</v>
      </c>
      <c r="D260" s="54">
        <v>0</v>
      </c>
      <c r="E260" s="54">
        <v>0</v>
      </c>
      <c r="F260" s="73">
        <v>1.2690000000000002E-3</v>
      </c>
      <c r="G260" s="74">
        <f>ROUND(pres!$C$2*calculo!F260,2)</f>
        <v>76.290000000000006</v>
      </c>
      <c r="H260" s="54">
        <f>IFERROR(VLOOKUP(C260,consumo_agua!$A$7:$AA$202,27,0),0)</f>
        <v>0</v>
      </c>
      <c r="I260" s="74">
        <f t="shared" si="4"/>
        <v>76.290000000000006</v>
      </c>
    </row>
    <row r="261" spans="1:9" x14ac:dyDescent="0.25">
      <c r="A261" s="71" t="s">
        <v>410</v>
      </c>
      <c r="B261" s="72" t="s">
        <v>411</v>
      </c>
      <c r="C261" s="71" t="s">
        <v>412</v>
      </c>
      <c r="D261" s="54">
        <v>33.200000000000003</v>
      </c>
      <c r="E261" s="54">
        <v>33.200000000000003</v>
      </c>
      <c r="F261" s="73">
        <v>2.6939000000000004E-3</v>
      </c>
      <c r="G261" s="74">
        <f>ROUND(pres!$C$2*calculo!F261,2)</f>
        <v>161.94999999999999</v>
      </c>
      <c r="H261" s="54">
        <f>IFERROR(VLOOKUP(C261,consumo_agua!$A$7:$AA$202,27,0),0)</f>
        <v>6.2</v>
      </c>
      <c r="I261" s="74">
        <f t="shared" si="4"/>
        <v>168.14999999999998</v>
      </c>
    </row>
    <row r="262" spans="1:9" x14ac:dyDescent="0.25">
      <c r="A262" s="71" t="s">
        <v>410</v>
      </c>
      <c r="B262" s="72" t="s">
        <v>411</v>
      </c>
      <c r="C262" s="71" t="s">
        <v>793</v>
      </c>
      <c r="D262" s="54">
        <v>0</v>
      </c>
      <c r="E262" s="54">
        <v>0</v>
      </c>
      <c r="F262" s="73">
        <v>1.2690000000000002E-3</v>
      </c>
      <c r="G262" s="74">
        <f>ROUND(pres!$C$2*calculo!F262,2)</f>
        <v>76.290000000000006</v>
      </c>
      <c r="H262" s="54">
        <f>IFERROR(VLOOKUP(C262,consumo_agua!$A$7:$AA$202,27,0),0)</f>
        <v>0</v>
      </c>
      <c r="I262" s="74">
        <f t="shared" si="4"/>
        <v>76.290000000000006</v>
      </c>
    </row>
    <row r="263" spans="1:9" x14ac:dyDescent="0.25">
      <c r="A263" s="71" t="s">
        <v>413</v>
      </c>
      <c r="B263" s="72" t="s">
        <v>414</v>
      </c>
      <c r="C263" s="71" t="s">
        <v>415</v>
      </c>
      <c r="D263" s="54">
        <v>92.5</v>
      </c>
      <c r="E263" s="54">
        <v>92.5</v>
      </c>
      <c r="F263" s="73">
        <v>5.6772999999999997E-3</v>
      </c>
      <c r="G263" s="74">
        <f>ROUND(pres!$C$2*calculo!F263,2)</f>
        <v>341.3</v>
      </c>
      <c r="H263" s="54">
        <f>IFERROR(VLOOKUP(C263,consumo_agua!$A$7:$AA$202,27,0),0)</f>
        <v>74.37</v>
      </c>
      <c r="I263" s="74">
        <f t="shared" si="4"/>
        <v>415.67</v>
      </c>
    </row>
    <row r="264" spans="1:9" x14ac:dyDescent="0.25">
      <c r="A264" s="71" t="s">
        <v>413</v>
      </c>
      <c r="B264" s="72" t="s">
        <v>414</v>
      </c>
      <c r="C264" s="71" t="s">
        <v>794</v>
      </c>
      <c r="D264" s="54">
        <v>0</v>
      </c>
      <c r="E264" s="54">
        <v>0</v>
      </c>
      <c r="F264" s="73">
        <v>3.6749999999999999E-4</v>
      </c>
      <c r="G264" s="74">
        <f>ROUND(pres!$C$2*calculo!F264,2)</f>
        <v>22.09</v>
      </c>
      <c r="H264" s="54">
        <f>IFERROR(VLOOKUP(C264,consumo_agua!$A$7:$AA$202,27,0),0)</f>
        <v>0</v>
      </c>
      <c r="I264" s="74">
        <f t="shared" si="4"/>
        <v>22.09</v>
      </c>
    </row>
    <row r="265" spans="1:9" x14ac:dyDescent="0.25">
      <c r="A265" s="71" t="s">
        <v>413</v>
      </c>
      <c r="B265" s="72" t="s">
        <v>414</v>
      </c>
      <c r="C265" s="71" t="s">
        <v>795</v>
      </c>
      <c r="D265" s="54">
        <v>0</v>
      </c>
      <c r="E265" s="54">
        <v>0</v>
      </c>
      <c r="F265" s="73">
        <v>1.2690000000000002E-3</v>
      </c>
      <c r="G265" s="74">
        <f>ROUND(pres!$C$2*calculo!F265,2)</f>
        <v>76.290000000000006</v>
      </c>
      <c r="H265" s="54">
        <f>IFERROR(VLOOKUP(C265,consumo_agua!$A$7:$AA$202,27,0),0)</f>
        <v>0</v>
      </c>
      <c r="I265" s="74">
        <f t="shared" si="4"/>
        <v>76.290000000000006</v>
      </c>
    </row>
    <row r="266" spans="1:9" x14ac:dyDescent="0.25">
      <c r="A266" s="71" t="s">
        <v>416</v>
      </c>
      <c r="B266" s="72" t="s">
        <v>417</v>
      </c>
      <c r="C266" s="71" t="s">
        <v>418</v>
      </c>
      <c r="D266" s="54">
        <v>0</v>
      </c>
      <c r="E266" s="54">
        <v>0</v>
      </c>
      <c r="F266" s="73">
        <v>3.6749999999999999E-4</v>
      </c>
      <c r="G266" s="74">
        <f>ROUND(pres!$C$2*calculo!F266,2)</f>
        <v>22.09</v>
      </c>
      <c r="H266" s="54">
        <f>IFERROR(VLOOKUP(C266,consumo_agua!$A$7:$AA$202,27,0),0)</f>
        <v>0</v>
      </c>
      <c r="I266" s="74">
        <f t="shared" si="4"/>
        <v>22.09</v>
      </c>
    </row>
    <row r="267" spans="1:9" x14ac:dyDescent="0.25">
      <c r="A267" s="71" t="s">
        <v>419</v>
      </c>
      <c r="B267" s="72" t="s">
        <v>420</v>
      </c>
      <c r="C267" s="71" t="s">
        <v>421</v>
      </c>
      <c r="D267" s="54">
        <v>33</v>
      </c>
      <c r="E267" s="54">
        <v>33</v>
      </c>
      <c r="F267" s="73">
        <v>2.6939000000000004E-3</v>
      </c>
      <c r="G267" s="74">
        <f>ROUND(pres!$C$2*calculo!F267,2)</f>
        <v>161.94999999999999</v>
      </c>
      <c r="H267" s="54">
        <f>IFERROR(VLOOKUP(C267,consumo_agua!$A$7:$AA$202,27,0),0)</f>
        <v>0</v>
      </c>
      <c r="I267" s="74">
        <f t="shared" si="4"/>
        <v>161.94999999999999</v>
      </c>
    </row>
    <row r="268" spans="1:9" x14ac:dyDescent="0.25">
      <c r="A268" s="71" t="s">
        <v>422</v>
      </c>
      <c r="B268" s="72" t="s">
        <v>423</v>
      </c>
      <c r="C268" s="71" t="s">
        <v>424</v>
      </c>
      <c r="D268" s="54">
        <v>0</v>
      </c>
      <c r="E268" s="54">
        <v>0</v>
      </c>
      <c r="F268" s="73">
        <v>1.2690000000000002E-3</v>
      </c>
      <c r="G268" s="74">
        <f>ROUND(pres!$C$2*calculo!F268,2)</f>
        <v>76.290000000000006</v>
      </c>
      <c r="H268" s="54">
        <f>IFERROR(VLOOKUP(C268,consumo_agua!$A$7:$AA$202,27,0),0)</f>
        <v>0</v>
      </c>
      <c r="I268" s="74">
        <f t="shared" si="4"/>
        <v>76.290000000000006</v>
      </c>
    </row>
    <row r="269" spans="1:9" x14ac:dyDescent="0.25">
      <c r="A269" s="71" t="s">
        <v>425</v>
      </c>
      <c r="B269" s="72" t="s">
        <v>426</v>
      </c>
      <c r="C269" s="71" t="s">
        <v>427</v>
      </c>
      <c r="D269" s="54">
        <v>43.35</v>
      </c>
      <c r="E269" s="54">
        <v>43.35</v>
      </c>
      <c r="F269" s="73">
        <v>2.6939000000000004E-3</v>
      </c>
      <c r="G269" s="74">
        <f>ROUND(pres!$C$2*calculo!F269,2)</f>
        <v>161.94999999999999</v>
      </c>
      <c r="H269" s="54">
        <f>IFERROR(VLOOKUP(C269,consumo_agua!$A$7:$AA$202,27,0),0)</f>
        <v>15.49</v>
      </c>
      <c r="I269" s="74">
        <f t="shared" si="4"/>
        <v>177.44</v>
      </c>
    </row>
    <row r="270" spans="1:9" x14ac:dyDescent="0.25">
      <c r="A270" s="71" t="s">
        <v>428</v>
      </c>
      <c r="B270" s="72" t="s">
        <v>429</v>
      </c>
      <c r="C270" s="71" t="s">
        <v>430</v>
      </c>
      <c r="D270" s="54">
        <v>67.400000000000006</v>
      </c>
      <c r="E270" s="54">
        <v>67.400000000000006</v>
      </c>
      <c r="F270" s="73">
        <v>4.4973999999999995E-3</v>
      </c>
      <c r="G270" s="74">
        <f>ROUND(pres!$C$2*calculo!F270,2)</f>
        <v>270.37</v>
      </c>
      <c r="H270" s="54">
        <f>IFERROR(VLOOKUP(C270,consumo_agua!$A$7:$AA$202,27,0),0)</f>
        <v>27.89</v>
      </c>
      <c r="I270" s="74">
        <f t="shared" si="4"/>
        <v>298.26</v>
      </c>
    </row>
    <row r="271" spans="1:9" x14ac:dyDescent="0.25">
      <c r="A271" s="71" t="s">
        <v>431</v>
      </c>
      <c r="B271" s="72" t="s">
        <v>432</v>
      </c>
      <c r="C271" s="71" t="s">
        <v>433</v>
      </c>
      <c r="D271" s="54">
        <v>74.599999999999994</v>
      </c>
      <c r="E271" s="54">
        <v>74.599999999999994</v>
      </c>
      <c r="F271" s="73">
        <v>4.4973999999999995E-3</v>
      </c>
      <c r="G271" s="74">
        <f>ROUND(pres!$C$2*calculo!F271,2)</f>
        <v>270.37</v>
      </c>
      <c r="H271" s="54">
        <f>IFERROR(VLOOKUP(C271,consumo_agua!$A$7:$AA$202,27,0),0)</f>
        <v>9.3000000000000007</v>
      </c>
      <c r="I271" s="74">
        <f t="shared" si="4"/>
        <v>279.67</v>
      </c>
    </row>
    <row r="272" spans="1:9" x14ac:dyDescent="0.25">
      <c r="A272" s="71" t="s">
        <v>434</v>
      </c>
      <c r="B272" s="72" t="s">
        <v>435</v>
      </c>
      <c r="C272" s="71" t="s">
        <v>436</v>
      </c>
      <c r="D272" s="54">
        <v>44.45</v>
      </c>
      <c r="E272" s="54">
        <v>44.45</v>
      </c>
      <c r="F272" s="73">
        <v>2.6939000000000004E-3</v>
      </c>
      <c r="G272" s="74">
        <f>ROUND(pres!$C$2*calculo!F272,2)</f>
        <v>161.94999999999999</v>
      </c>
      <c r="H272" s="54">
        <f>IFERROR(VLOOKUP(C272,consumo_agua!$A$7:$AA$202,27,0),0)</f>
        <v>27.89</v>
      </c>
      <c r="I272" s="74">
        <f t="shared" si="4"/>
        <v>189.83999999999997</v>
      </c>
    </row>
    <row r="273" spans="1:9" x14ac:dyDescent="0.25">
      <c r="A273" s="71" t="s">
        <v>434</v>
      </c>
      <c r="B273" s="72" t="s">
        <v>435</v>
      </c>
      <c r="C273" s="71" t="s">
        <v>796</v>
      </c>
      <c r="D273" s="54">
        <v>0</v>
      </c>
      <c r="E273" s="54">
        <v>0</v>
      </c>
      <c r="F273" s="73">
        <v>1.2690000000000002E-3</v>
      </c>
      <c r="G273" s="74">
        <f>ROUND(pres!$C$2*calculo!F273,2)</f>
        <v>76.290000000000006</v>
      </c>
      <c r="H273" s="54">
        <f>IFERROR(VLOOKUP(C273,consumo_agua!$A$7:$AA$202,27,0),0)</f>
        <v>0</v>
      </c>
      <c r="I273" s="74">
        <f t="shared" si="4"/>
        <v>76.290000000000006</v>
      </c>
    </row>
    <row r="274" spans="1:9" x14ac:dyDescent="0.25">
      <c r="A274" s="71" t="s">
        <v>437</v>
      </c>
      <c r="B274" s="72" t="s">
        <v>438</v>
      </c>
      <c r="C274" s="71" t="s">
        <v>439</v>
      </c>
      <c r="D274" s="54">
        <v>81</v>
      </c>
      <c r="E274" s="54">
        <v>81</v>
      </c>
      <c r="F274" s="73">
        <v>4.4973999999999995E-3</v>
      </c>
      <c r="G274" s="74">
        <f>ROUND(pres!$C$2*calculo!F274,2)</f>
        <v>270.37</v>
      </c>
      <c r="H274" s="54">
        <f>IFERROR(VLOOKUP(C274,consumo_agua!$A$7:$AA$202,27,0),0)</f>
        <v>24.79</v>
      </c>
      <c r="I274" s="74">
        <f t="shared" si="4"/>
        <v>295.16000000000003</v>
      </c>
    </row>
    <row r="275" spans="1:9" x14ac:dyDescent="0.25">
      <c r="A275" s="71" t="s">
        <v>437</v>
      </c>
      <c r="B275" s="72" t="s">
        <v>438</v>
      </c>
      <c r="C275" s="71" t="s">
        <v>797</v>
      </c>
      <c r="D275" s="54">
        <v>0</v>
      </c>
      <c r="E275" s="54">
        <v>0</v>
      </c>
      <c r="F275" s="73">
        <v>1.2690000000000002E-3</v>
      </c>
      <c r="G275" s="74">
        <f>ROUND(pres!$C$2*calculo!F275,2)</f>
        <v>76.290000000000006</v>
      </c>
      <c r="H275" s="54">
        <f>IFERROR(VLOOKUP(C275,consumo_agua!$A$7:$AA$202,27,0),0)</f>
        <v>0</v>
      </c>
      <c r="I275" s="74">
        <f t="shared" si="4"/>
        <v>76.290000000000006</v>
      </c>
    </row>
    <row r="276" spans="1:9" x14ac:dyDescent="0.25">
      <c r="A276" s="71" t="s">
        <v>440</v>
      </c>
      <c r="B276" s="72" t="s">
        <v>441</v>
      </c>
      <c r="C276" s="71" t="s">
        <v>442</v>
      </c>
      <c r="D276" s="54">
        <v>43.35</v>
      </c>
      <c r="E276" s="54">
        <v>43.35</v>
      </c>
      <c r="F276" s="73">
        <v>2.6939000000000004E-3</v>
      </c>
      <c r="G276" s="74">
        <f>ROUND(pres!$C$2*calculo!F276,2)</f>
        <v>161.94999999999999</v>
      </c>
      <c r="H276" s="54">
        <f>IFERROR(VLOOKUP(C276,consumo_agua!$A$7:$AA$202,27,0),0)</f>
        <v>21.69</v>
      </c>
      <c r="I276" s="74">
        <f t="shared" si="4"/>
        <v>183.64</v>
      </c>
    </row>
    <row r="277" spans="1:9" x14ac:dyDescent="0.25">
      <c r="A277" s="71" t="s">
        <v>440</v>
      </c>
      <c r="B277" s="72" t="s">
        <v>441</v>
      </c>
      <c r="C277" s="71" t="s">
        <v>798</v>
      </c>
      <c r="D277" s="54">
        <v>0</v>
      </c>
      <c r="E277" s="54">
        <v>0</v>
      </c>
      <c r="F277" s="73">
        <v>3.6749999999999999E-4</v>
      </c>
      <c r="G277" s="74">
        <f>ROUND(pres!$C$2*calculo!F277,2)</f>
        <v>22.09</v>
      </c>
      <c r="H277" s="54">
        <f>IFERROR(VLOOKUP(C277,consumo_agua!$A$7:$AA$202,27,0),0)</f>
        <v>0</v>
      </c>
      <c r="I277" s="74">
        <f t="shared" si="4"/>
        <v>22.09</v>
      </c>
    </row>
    <row r="278" spans="1:9" x14ac:dyDescent="0.25">
      <c r="A278" s="71" t="s">
        <v>443</v>
      </c>
      <c r="B278" s="72" t="s">
        <v>444</v>
      </c>
      <c r="C278" s="71" t="s">
        <v>445</v>
      </c>
      <c r="D278" s="54">
        <v>66.45</v>
      </c>
      <c r="E278" s="54">
        <v>66.45</v>
      </c>
      <c r="F278" s="73">
        <v>4.4973999999999995E-3</v>
      </c>
      <c r="G278" s="74">
        <f>ROUND(pres!$C$2*calculo!F278,2)</f>
        <v>270.37</v>
      </c>
      <c r="H278" s="54">
        <f>IFERROR(VLOOKUP(C278,consumo_agua!$A$7:$AA$202,27,0),0)</f>
        <v>52.68</v>
      </c>
      <c r="I278" s="74">
        <f t="shared" si="4"/>
        <v>323.05</v>
      </c>
    </row>
    <row r="279" spans="1:9" x14ac:dyDescent="0.25">
      <c r="A279" s="71" t="s">
        <v>443</v>
      </c>
      <c r="B279" s="72" t="s">
        <v>444</v>
      </c>
      <c r="C279" s="71" t="s">
        <v>799</v>
      </c>
      <c r="D279" s="54">
        <v>0</v>
      </c>
      <c r="E279" s="54">
        <v>0</v>
      </c>
      <c r="F279" s="73">
        <v>3.6749999999999999E-4</v>
      </c>
      <c r="G279" s="74">
        <f>ROUND(pres!$C$2*calculo!F279,2)</f>
        <v>22.09</v>
      </c>
      <c r="H279" s="54">
        <f>IFERROR(VLOOKUP(C279,consumo_agua!$A$7:$AA$202,27,0),0)</f>
        <v>0</v>
      </c>
      <c r="I279" s="74">
        <f t="shared" si="4"/>
        <v>22.09</v>
      </c>
    </row>
    <row r="280" spans="1:9" x14ac:dyDescent="0.25">
      <c r="A280" s="71" t="s">
        <v>446</v>
      </c>
      <c r="B280" s="72" t="s">
        <v>447</v>
      </c>
      <c r="C280" s="71" t="s">
        <v>448</v>
      </c>
      <c r="D280" s="54">
        <v>76.150000000000006</v>
      </c>
      <c r="E280" s="54">
        <v>76.150000000000006</v>
      </c>
      <c r="F280" s="73">
        <v>4.4973999999999995E-3</v>
      </c>
      <c r="G280" s="74">
        <f>ROUND(pres!$C$2*calculo!F280,2)</f>
        <v>270.37</v>
      </c>
      <c r="H280" s="54">
        <f>IFERROR(VLOOKUP(C280,consumo_agua!$A$7:$AA$202,27,0),0)</f>
        <v>6.2</v>
      </c>
      <c r="I280" s="74">
        <f t="shared" si="4"/>
        <v>276.57</v>
      </c>
    </row>
    <row r="281" spans="1:9" x14ac:dyDescent="0.25">
      <c r="A281" s="71" t="s">
        <v>446</v>
      </c>
      <c r="B281" s="72" t="s">
        <v>447</v>
      </c>
      <c r="C281" s="71" t="s">
        <v>800</v>
      </c>
      <c r="D281" s="54">
        <v>0</v>
      </c>
      <c r="E281" s="54">
        <v>0</v>
      </c>
      <c r="F281" s="73">
        <v>1.2690000000000002E-3</v>
      </c>
      <c r="G281" s="74">
        <f>ROUND(pres!$C$2*calculo!F281,2)</f>
        <v>76.290000000000006</v>
      </c>
      <c r="H281" s="54">
        <f>IFERROR(VLOOKUP(C281,consumo_agua!$A$7:$AA$202,27,0),0)</f>
        <v>0</v>
      </c>
      <c r="I281" s="74">
        <f t="shared" si="4"/>
        <v>76.290000000000006</v>
      </c>
    </row>
    <row r="282" spans="1:9" x14ac:dyDescent="0.25">
      <c r="A282" s="71" t="s">
        <v>449</v>
      </c>
      <c r="B282" s="72" t="s">
        <v>450</v>
      </c>
      <c r="C282" s="71" t="s">
        <v>451</v>
      </c>
      <c r="D282" s="54">
        <v>68</v>
      </c>
      <c r="E282" s="54">
        <v>68</v>
      </c>
      <c r="F282" s="73">
        <v>4.4973999999999995E-3</v>
      </c>
      <c r="G282" s="74">
        <f>ROUND(pres!$C$2*calculo!F282,2)</f>
        <v>270.37</v>
      </c>
      <c r="H282" s="54">
        <f>IFERROR(VLOOKUP(C282,consumo_agua!$A$7:$AA$202,27,0),0)</f>
        <v>6.2</v>
      </c>
      <c r="I282" s="74">
        <f t="shared" si="4"/>
        <v>276.57</v>
      </c>
    </row>
    <row r="283" spans="1:9" x14ac:dyDescent="0.25">
      <c r="A283" s="71" t="s">
        <v>452</v>
      </c>
      <c r="B283" s="72" t="s">
        <v>453</v>
      </c>
      <c r="C283" s="71" t="s">
        <v>454</v>
      </c>
      <c r="D283" s="54">
        <v>43.35</v>
      </c>
      <c r="E283" s="54">
        <v>43.35</v>
      </c>
      <c r="F283" s="73">
        <v>2.6939000000000004E-3</v>
      </c>
      <c r="G283" s="74">
        <f>ROUND(pres!$C$2*calculo!F283,2)</f>
        <v>161.94999999999999</v>
      </c>
      <c r="H283" s="54">
        <f>IFERROR(VLOOKUP(C283,consumo_agua!$A$7:$AA$202,27,0),0)</f>
        <v>3.1</v>
      </c>
      <c r="I283" s="74">
        <f t="shared" si="4"/>
        <v>165.04999999999998</v>
      </c>
    </row>
    <row r="284" spans="1:9" x14ac:dyDescent="0.25">
      <c r="A284" s="71" t="s">
        <v>452</v>
      </c>
      <c r="B284" s="72" t="s">
        <v>453</v>
      </c>
      <c r="C284" s="71" t="s">
        <v>801</v>
      </c>
      <c r="D284" s="54">
        <v>0</v>
      </c>
      <c r="E284" s="54">
        <v>0</v>
      </c>
      <c r="F284" s="73">
        <v>3.6749999999999999E-4</v>
      </c>
      <c r="G284" s="74">
        <f>ROUND(pres!$C$2*calculo!F284,2)</f>
        <v>22.09</v>
      </c>
      <c r="H284" s="54">
        <f>IFERROR(VLOOKUP(C284,consumo_agua!$A$7:$AA$202,27,0),0)</f>
        <v>0</v>
      </c>
      <c r="I284" s="74">
        <f t="shared" si="4"/>
        <v>22.09</v>
      </c>
    </row>
    <row r="285" spans="1:9" x14ac:dyDescent="0.25">
      <c r="A285" s="71" t="s">
        <v>452</v>
      </c>
      <c r="B285" s="72" t="s">
        <v>453</v>
      </c>
      <c r="C285" s="71" t="s">
        <v>802</v>
      </c>
      <c r="D285" s="54">
        <v>0</v>
      </c>
      <c r="E285" s="54">
        <v>0</v>
      </c>
      <c r="F285" s="73">
        <v>1.2690000000000002E-3</v>
      </c>
      <c r="G285" s="74">
        <f>ROUND(pres!$C$2*calculo!F285,2)</f>
        <v>76.290000000000006</v>
      </c>
      <c r="H285" s="54">
        <f>IFERROR(VLOOKUP(C285,consumo_agua!$A$7:$AA$202,27,0),0)</f>
        <v>0</v>
      </c>
      <c r="I285" s="74">
        <f t="shared" si="4"/>
        <v>76.290000000000006</v>
      </c>
    </row>
    <row r="286" spans="1:9" x14ac:dyDescent="0.25">
      <c r="A286" s="71" t="s">
        <v>455</v>
      </c>
      <c r="B286" s="72" t="s">
        <v>456</v>
      </c>
      <c r="C286" s="71" t="s">
        <v>457</v>
      </c>
      <c r="D286" s="54">
        <v>78.95</v>
      </c>
      <c r="E286" s="54">
        <v>78.95</v>
      </c>
      <c r="F286" s="73">
        <v>4.4973999999999995E-3</v>
      </c>
      <c r="G286" s="74">
        <f>ROUND(pres!$C$2*calculo!F286,2)</f>
        <v>270.37</v>
      </c>
      <c r="H286" s="54">
        <f>IFERROR(VLOOKUP(C286,consumo_agua!$A$7:$AA$202,27,0),0)</f>
        <v>30.99</v>
      </c>
      <c r="I286" s="74">
        <f t="shared" si="4"/>
        <v>301.36</v>
      </c>
    </row>
    <row r="287" spans="1:9" x14ac:dyDescent="0.25">
      <c r="A287" s="71" t="s">
        <v>455</v>
      </c>
      <c r="B287" s="72" t="s">
        <v>456</v>
      </c>
      <c r="C287" s="71" t="s">
        <v>803</v>
      </c>
      <c r="D287" s="54">
        <v>0</v>
      </c>
      <c r="E287" s="54">
        <v>0</v>
      </c>
      <c r="F287" s="73">
        <v>1.2690000000000002E-3</v>
      </c>
      <c r="G287" s="74">
        <f>ROUND(pres!$C$2*calculo!F287,2)</f>
        <v>76.290000000000006</v>
      </c>
      <c r="H287" s="54">
        <f>IFERROR(VLOOKUP(C287,consumo_agua!$A$7:$AA$202,27,0),0)</f>
        <v>0</v>
      </c>
      <c r="I287" s="74">
        <f t="shared" si="4"/>
        <v>76.290000000000006</v>
      </c>
    </row>
    <row r="288" spans="1:9" x14ac:dyDescent="0.25">
      <c r="A288" s="71" t="s">
        <v>458</v>
      </c>
      <c r="B288" s="72" t="s">
        <v>459</v>
      </c>
      <c r="C288" s="71" t="s">
        <v>460</v>
      </c>
      <c r="D288" s="54">
        <v>43.35</v>
      </c>
      <c r="E288" s="54">
        <v>43.35</v>
      </c>
      <c r="F288" s="73">
        <v>2.6939000000000004E-3</v>
      </c>
      <c r="G288" s="74">
        <f>ROUND(pres!$C$2*calculo!F288,2)</f>
        <v>161.94999999999999</v>
      </c>
      <c r="H288" s="54">
        <f>IFERROR(VLOOKUP(C288,consumo_agua!$A$7:$AA$202,27,0),0)</f>
        <v>0</v>
      </c>
      <c r="I288" s="74">
        <f t="shared" si="4"/>
        <v>161.94999999999999</v>
      </c>
    </row>
    <row r="289" spans="1:9" x14ac:dyDescent="0.25">
      <c r="A289" s="71" t="s">
        <v>458</v>
      </c>
      <c r="B289" s="72" t="s">
        <v>459</v>
      </c>
      <c r="C289" s="71" t="s">
        <v>804</v>
      </c>
      <c r="D289" s="54">
        <v>0</v>
      </c>
      <c r="E289" s="54">
        <v>0</v>
      </c>
      <c r="F289" s="73">
        <v>1.2690000000000002E-3</v>
      </c>
      <c r="G289" s="74">
        <f>ROUND(pres!$C$2*calculo!F289,2)</f>
        <v>76.290000000000006</v>
      </c>
      <c r="H289" s="54">
        <f>IFERROR(VLOOKUP(C289,consumo_agua!$A$7:$AA$202,27,0),0)</f>
        <v>0</v>
      </c>
      <c r="I289" s="74">
        <f t="shared" si="4"/>
        <v>76.290000000000006</v>
      </c>
    </row>
    <row r="290" spans="1:9" x14ac:dyDescent="0.25">
      <c r="A290" s="71" t="s">
        <v>461</v>
      </c>
      <c r="B290" s="72" t="s">
        <v>462</v>
      </c>
      <c r="C290" s="71" t="s">
        <v>463</v>
      </c>
      <c r="D290" s="54">
        <v>33</v>
      </c>
      <c r="E290" s="54">
        <v>33</v>
      </c>
      <c r="F290" s="73">
        <v>2.6939000000000004E-3</v>
      </c>
      <c r="G290" s="74">
        <f>ROUND(pres!$C$2*calculo!F290,2)</f>
        <v>161.94999999999999</v>
      </c>
      <c r="H290" s="54">
        <f>IFERROR(VLOOKUP(C290,consumo_agua!$A$7:$AA$202,27,0),0)</f>
        <v>18.59</v>
      </c>
      <c r="I290" s="74">
        <f t="shared" si="4"/>
        <v>180.54</v>
      </c>
    </row>
    <row r="291" spans="1:9" x14ac:dyDescent="0.25">
      <c r="A291" s="71" t="s">
        <v>464</v>
      </c>
      <c r="B291" s="72" t="s">
        <v>465</v>
      </c>
      <c r="C291" s="71" t="s">
        <v>466</v>
      </c>
      <c r="D291" s="54">
        <v>33.200000000000003</v>
      </c>
      <c r="E291" s="54">
        <v>33.200000000000003</v>
      </c>
      <c r="F291" s="73">
        <v>2.6939000000000004E-3</v>
      </c>
      <c r="G291" s="74">
        <f>ROUND(pres!$C$2*calculo!F291,2)</f>
        <v>161.94999999999999</v>
      </c>
      <c r="H291" s="54">
        <f>IFERROR(VLOOKUP(C291,consumo_agua!$A$7:$AA$202,27,0),0)</f>
        <v>3.1</v>
      </c>
      <c r="I291" s="74">
        <f t="shared" si="4"/>
        <v>165.04999999999998</v>
      </c>
    </row>
    <row r="292" spans="1:9" x14ac:dyDescent="0.25">
      <c r="A292" s="71" t="s">
        <v>464</v>
      </c>
      <c r="B292" s="72" t="s">
        <v>465</v>
      </c>
      <c r="C292" s="71" t="s">
        <v>656</v>
      </c>
      <c r="D292" s="54">
        <v>33.200000000000003</v>
      </c>
      <c r="E292" s="54">
        <v>33.200000000000003</v>
      </c>
      <c r="F292" s="73">
        <v>2.6939000000000004E-3</v>
      </c>
      <c r="G292" s="74">
        <f>ROUND(pres!$C$2*calculo!F292,2)</f>
        <v>161.94999999999999</v>
      </c>
      <c r="H292" s="54">
        <f>IFERROR(VLOOKUP(C292,consumo_agua!$A$7:$AA$202,27,0),0)</f>
        <v>12.4</v>
      </c>
      <c r="I292" s="74">
        <f t="shared" si="4"/>
        <v>174.35</v>
      </c>
    </row>
    <row r="293" spans="1:9" x14ac:dyDescent="0.25">
      <c r="A293" s="71" t="s">
        <v>467</v>
      </c>
      <c r="B293" s="72" t="s">
        <v>468</v>
      </c>
      <c r="C293" s="71" t="s">
        <v>469</v>
      </c>
      <c r="D293" s="54">
        <v>81</v>
      </c>
      <c r="E293" s="54">
        <v>81</v>
      </c>
      <c r="F293" s="73">
        <v>4.4973999999999995E-3</v>
      </c>
      <c r="G293" s="74">
        <f>ROUND(pres!$C$2*calculo!F293,2)</f>
        <v>270.37</v>
      </c>
      <c r="H293" s="54">
        <f>IFERROR(VLOOKUP(C293,consumo_agua!$A$7:$AA$202,27,0),0)</f>
        <v>21.69</v>
      </c>
      <c r="I293" s="74">
        <f t="shared" si="4"/>
        <v>292.06</v>
      </c>
    </row>
    <row r="294" spans="1:9" x14ac:dyDescent="0.25">
      <c r="A294" s="71" t="s">
        <v>467</v>
      </c>
      <c r="B294" s="72" t="s">
        <v>468</v>
      </c>
      <c r="C294" s="71" t="s">
        <v>805</v>
      </c>
      <c r="D294" s="54">
        <v>0</v>
      </c>
      <c r="E294" s="54">
        <v>0</v>
      </c>
      <c r="F294" s="73">
        <v>3.6749999999999999E-4</v>
      </c>
      <c r="G294" s="74">
        <f>ROUND(pres!$C$2*calculo!F294,2)</f>
        <v>22.09</v>
      </c>
      <c r="H294" s="54">
        <f>IFERROR(VLOOKUP(C294,consumo_agua!$A$7:$AA$202,27,0),0)</f>
        <v>0</v>
      </c>
      <c r="I294" s="74">
        <f t="shared" si="4"/>
        <v>22.09</v>
      </c>
    </row>
    <row r="295" spans="1:9" x14ac:dyDescent="0.25">
      <c r="A295" s="71" t="s">
        <v>467</v>
      </c>
      <c r="B295" s="72" t="s">
        <v>468</v>
      </c>
      <c r="C295" s="71" t="s">
        <v>806</v>
      </c>
      <c r="D295" s="54">
        <v>0</v>
      </c>
      <c r="E295" s="54">
        <v>0</v>
      </c>
      <c r="F295" s="73">
        <v>1.2690000000000002E-3</v>
      </c>
      <c r="G295" s="74">
        <f>ROUND(pres!$C$2*calculo!F295,2)</f>
        <v>76.290000000000006</v>
      </c>
      <c r="H295" s="54">
        <f>IFERROR(VLOOKUP(C295,consumo_agua!$A$7:$AA$202,27,0),0)</f>
        <v>0</v>
      </c>
      <c r="I295" s="74">
        <f t="shared" si="4"/>
        <v>76.290000000000006</v>
      </c>
    </row>
    <row r="296" spans="1:9" x14ac:dyDescent="0.25">
      <c r="A296" s="71" t="s">
        <v>470</v>
      </c>
      <c r="B296" s="72" t="s">
        <v>471</v>
      </c>
      <c r="C296" s="71" t="s">
        <v>472</v>
      </c>
      <c r="D296" s="54">
        <v>76.150000000000006</v>
      </c>
      <c r="E296" s="54">
        <v>76.150000000000006</v>
      </c>
      <c r="F296" s="73">
        <v>4.4973999999999995E-3</v>
      </c>
      <c r="G296" s="74">
        <f>ROUND(pres!$C$2*calculo!F296,2)</f>
        <v>270.37</v>
      </c>
      <c r="H296" s="54">
        <f>IFERROR(VLOOKUP(C296,consumo_agua!$A$7:$AA$202,27,0),0)</f>
        <v>3.1</v>
      </c>
      <c r="I296" s="74">
        <f t="shared" si="4"/>
        <v>273.47000000000003</v>
      </c>
    </row>
    <row r="297" spans="1:9" x14ac:dyDescent="0.25">
      <c r="A297" s="71" t="s">
        <v>470</v>
      </c>
      <c r="B297" s="72" t="s">
        <v>471</v>
      </c>
      <c r="C297" s="71" t="s">
        <v>807</v>
      </c>
      <c r="D297" s="54">
        <v>0</v>
      </c>
      <c r="E297" s="54">
        <v>0</v>
      </c>
      <c r="F297" s="73">
        <v>1.2690000000000002E-3</v>
      </c>
      <c r="G297" s="74">
        <f>ROUND(pres!$C$2*calculo!F297,2)</f>
        <v>76.290000000000006</v>
      </c>
      <c r="H297" s="54">
        <f>IFERROR(VLOOKUP(C297,consumo_agua!$A$7:$AA$202,27,0),0)</f>
        <v>0</v>
      </c>
      <c r="I297" s="74">
        <f t="shared" si="4"/>
        <v>76.290000000000006</v>
      </c>
    </row>
    <row r="298" spans="1:9" x14ac:dyDescent="0.25">
      <c r="A298" s="71" t="s">
        <v>473</v>
      </c>
      <c r="B298" s="72" t="s">
        <v>474</v>
      </c>
      <c r="C298" s="71" t="s">
        <v>475</v>
      </c>
      <c r="D298" s="54">
        <v>78.95</v>
      </c>
      <c r="E298" s="54">
        <v>78.95</v>
      </c>
      <c r="F298" s="73">
        <v>4.4973999999999995E-3</v>
      </c>
      <c r="G298" s="74">
        <f>ROUND(pres!$C$2*calculo!F298,2)</f>
        <v>270.37</v>
      </c>
      <c r="H298" s="54">
        <f>IFERROR(VLOOKUP(C298,consumo_agua!$A$7:$AA$202,27,0),0)</f>
        <v>43.38</v>
      </c>
      <c r="I298" s="74">
        <f t="shared" si="4"/>
        <v>313.75</v>
      </c>
    </row>
    <row r="299" spans="1:9" x14ac:dyDescent="0.25">
      <c r="A299" s="71" t="s">
        <v>473</v>
      </c>
      <c r="B299" s="72" t="s">
        <v>474</v>
      </c>
      <c r="C299" s="71" t="s">
        <v>808</v>
      </c>
      <c r="D299" s="54">
        <v>0</v>
      </c>
      <c r="E299" s="54">
        <v>0</v>
      </c>
      <c r="F299" s="73">
        <v>3.6749999999999999E-4</v>
      </c>
      <c r="G299" s="74">
        <f>ROUND(pres!$C$2*calculo!F299,2)</f>
        <v>22.09</v>
      </c>
      <c r="H299" s="54">
        <f>IFERROR(VLOOKUP(C299,consumo_agua!$A$7:$AA$202,27,0),0)</f>
        <v>0</v>
      </c>
      <c r="I299" s="74">
        <f t="shared" si="4"/>
        <v>22.09</v>
      </c>
    </row>
    <row r="300" spans="1:9" x14ac:dyDescent="0.25">
      <c r="A300" s="71" t="s">
        <v>473</v>
      </c>
      <c r="B300" s="72" t="s">
        <v>474</v>
      </c>
      <c r="C300" s="71" t="s">
        <v>809</v>
      </c>
      <c r="D300" s="54">
        <v>0</v>
      </c>
      <c r="E300" s="54">
        <v>0</v>
      </c>
      <c r="F300" s="73">
        <v>1.2690000000000002E-3</v>
      </c>
      <c r="G300" s="74">
        <f>ROUND(pres!$C$2*calculo!F300,2)</f>
        <v>76.290000000000006</v>
      </c>
      <c r="H300" s="54">
        <f>IFERROR(VLOOKUP(C300,consumo_agua!$A$7:$AA$202,27,0),0)</f>
        <v>0</v>
      </c>
      <c r="I300" s="74">
        <f t="shared" si="4"/>
        <v>76.290000000000006</v>
      </c>
    </row>
    <row r="301" spans="1:9" x14ac:dyDescent="0.25">
      <c r="A301" s="71" t="s">
        <v>476</v>
      </c>
      <c r="B301" s="72" t="s">
        <v>477</v>
      </c>
      <c r="C301" s="71" t="s">
        <v>478</v>
      </c>
      <c r="D301" s="54">
        <v>33</v>
      </c>
      <c r="E301" s="54">
        <v>33</v>
      </c>
      <c r="F301" s="73">
        <v>2.6939000000000004E-3</v>
      </c>
      <c r="G301" s="74">
        <f>ROUND(pres!$C$2*calculo!F301,2)</f>
        <v>161.94999999999999</v>
      </c>
      <c r="H301" s="54">
        <f>IFERROR(VLOOKUP(C301,consumo_agua!$A$7:$AA$202,27,0),0)</f>
        <v>18.59</v>
      </c>
      <c r="I301" s="74">
        <f t="shared" si="4"/>
        <v>180.54</v>
      </c>
    </row>
    <row r="302" spans="1:9" x14ac:dyDescent="0.25">
      <c r="A302" s="71" t="s">
        <v>479</v>
      </c>
      <c r="B302" s="72" t="s">
        <v>480</v>
      </c>
      <c r="C302" s="71" t="s">
        <v>481</v>
      </c>
      <c r="D302" s="54">
        <v>66.45</v>
      </c>
      <c r="E302" s="54">
        <v>66.45</v>
      </c>
      <c r="F302" s="73">
        <v>4.4973999999999995E-3</v>
      </c>
      <c r="G302" s="74">
        <f>ROUND(pres!$C$2*calculo!F302,2)</f>
        <v>270.37</v>
      </c>
      <c r="H302" s="54">
        <f>IFERROR(VLOOKUP(C302,consumo_agua!$A$7:$AA$202,27,0),0)</f>
        <v>15.49</v>
      </c>
      <c r="I302" s="74">
        <f t="shared" si="4"/>
        <v>285.86</v>
      </c>
    </row>
    <row r="303" spans="1:9" x14ac:dyDescent="0.25">
      <c r="A303" s="71" t="s">
        <v>479</v>
      </c>
      <c r="B303" s="72" t="s">
        <v>480</v>
      </c>
      <c r="C303" s="71" t="s">
        <v>810</v>
      </c>
      <c r="D303" s="54">
        <v>0</v>
      </c>
      <c r="E303" s="54">
        <v>0</v>
      </c>
      <c r="F303" s="73">
        <v>1.2690000000000002E-3</v>
      </c>
      <c r="G303" s="74">
        <f>ROUND(pres!$C$2*calculo!F303,2)</f>
        <v>76.290000000000006</v>
      </c>
      <c r="H303" s="54">
        <f>IFERROR(VLOOKUP(C303,consumo_agua!$A$7:$AA$202,27,0),0)</f>
        <v>0</v>
      </c>
      <c r="I303" s="74">
        <f t="shared" si="4"/>
        <v>76.290000000000006</v>
      </c>
    </row>
    <row r="304" spans="1:9" x14ac:dyDescent="0.25">
      <c r="A304" s="71" t="s">
        <v>482</v>
      </c>
      <c r="B304" s="72" t="s">
        <v>483</v>
      </c>
      <c r="C304" s="71" t="s">
        <v>484</v>
      </c>
      <c r="D304" s="54">
        <v>33</v>
      </c>
      <c r="E304" s="54">
        <v>33</v>
      </c>
      <c r="F304" s="73">
        <v>2.6939000000000004E-3</v>
      </c>
      <c r="G304" s="74">
        <f>ROUND(pres!$C$2*calculo!F304,2)</f>
        <v>161.94999999999999</v>
      </c>
      <c r="H304" s="54">
        <f>IFERROR(VLOOKUP(C304,consumo_agua!$A$7:$AA$202,27,0),0)</f>
        <v>0</v>
      </c>
      <c r="I304" s="74">
        <f t="shared" si="4"/>
        <v>161.94999999999999</v>
      </c>
    </row>
    <row r="305" spans="1:9" x14ac:dyDescent="0.25">
      <c r="A305" s="71" t="s">
        <v>485</v>
      </c>
      <c r="B305" s="72" t="s">
        <v>811</v>
      </c>
      <c r="C305" s="71" t="s">
        <v>487</v>
      </c>
      <c r="D305" s="54">
        <v>44.45</v>
      </c>
      <c r="E305" s="54">
        <v>44.45</v>
      </c>
      <c r="F305" s="73">
        <v>2.6939000000000004E-3</v>
      </c>
      <c r="G305" s="74">
        <f>ROUND(pres!$C$2*calculo!F305,2)</f>
        <v>161.94999999999999</v>
      </c>
      <c r="H305" s="54">
        <f>IFERROR(VLOOKUP(C305,consumo_agua!$A$7:$AA$202,27,0),0)</f>
        <v>9.3000000000000007</v>
      </c>
      <c r="I305" s="74">
        <f t="shared" si="4"/>
        <v>171.25</v>
      </c>
    </row>
    <row r="306" spans="1:9" x14ac:dyDescent="0.25">
      <c r="A306" s="71" t="s">
        <v>485</v>
      </c>
      <c r="B306" s="72" t="s">
        <v>811</v>
      </c>
      <c r="C306" s="71" t="s">
        <v>659</v>
      </c>
      <c r="D306" s="54">
        <v>92.5</v>
      </c>
      <c r="E306" s="54">
        <v>92.5</v>
      </c>
      <c r="F306" s="73">
        <v>5.6772999999999997E-3</v>
      </c>
      <c r="G306" s="74">
        <f>ROUND(pres!$C$2*calculo!F306,2)</f>
        <v>341.3</v>
      </c>
      <c r="H306" s="54">
        <f>IFERROR(VLOOKUP(C306,consumo_agua!$A$7:$AA$202,27,0),0)</f>
        <v>18.59</v>
      </c>
      <c r="I306" s="74">
        <f t="shared" si="4"/>
        <v>359.89</v>
      </c>
    </row>
    <row r="307" spans="1:9" x14ac:dyDescent="0.25">
      <c r="A307" s="71" t="s">
        <v>488</v>
      </c>
      <c r="B307" s="72" t="s">
        <v>489</v>
      </c>
      <c r="C307" s="71" t="s">
        <v>490</v>
      </c>
      <c r="D307" s="54">
        <v>77.05</v>
      </c>
      <c r="E307" s="54">
        <v>77.05</v>
      </c>
      <c r="F307" s="73">
        <v>4.4973999999999995E-3</v>
      </c>
      <c r="G307" s="74">
        <f>ROUND(pres!$C$2*calculo!F307,2)</f>
        <v>270.37</v>
      </c>
      <c r="H307" s="54">
        <f>IFERROR(VLOOKUP(C307,consumo_agua!$A$7:$AA$202,27,0),0)</f>
        <v>12.4</v>
      </c>
      <c r="I307" s="74">
        <f t="shared" si="4"/>
        <v>282.77</v>
      </c>
    </row>
    <row r="308" spans="1:9" x14ac:dyDescent="0.25">
      <c r="A308" s="71" t="s">
        <v>488</v>
      </c>
      <c r="B308" s="72" t="s">
        <v>489</v>
      </c>
      <c r="C308" s="71" t="s">
        <v>812</v>
      </c>
      <c r="D308" s="54">
        <v>0</v>
      </c>
      <c r="E308" s="54">
        <v>0</v>
      </c>
      <c r="F308" s="73">
        <v>1.2690000000000002E-3</v>
      </c>
      <c r="G308" s="74">
        <f>ROUND(pres!$C$2*calculo!F308,2)</f>
        <v>76.290000000000006</v>
      </c>
      <c r="H308" s="54">
        <f>IFERROR(VLOOKUP(C308,consumo_agua!$A$7:$AA$202,27,0),0)</f>
        <v>0</v>
      </c>
      <c r="I308" s="74">
        <f t="shared" si="4"/>
        <v>76.290000000000006</v>
      </c>
    </row>
    <row r="309" spans="1:9" x14ac:dyDescent="0.25">
      <c r="A309" s="71" t="s">
        <v>491</v>
      </c>
      <c r="B309" s="72" t="s">
        <v>492</v>
      </c>
      <c r="C309" s="71" t="s">
        <v>493</v>
      </c>
      <c r="D309" s="54">
        <v>43.35</v>
      </c>
      <c r="E309" s="54">
        <v>43.35</v>
      </c>
      <c r="F309" s="73">
        <v>2.6939000000000004E-3</v>
      </c>
      <c r="G309" s="74">
        <f>ROUND(pres!$C$2*calculo!F309,2)</f>
        <v>161.94999999999999</v>
      </c>
      <c r="H309" s="54">
        <f>IFERROR(VLOOKUP(C309,consumo_agua!$A$7:$AA$202,27,0),0)</f>
        <v>15.49</v>
      </c>
      <c r="I309" s="74">
        <f t="shared" si="4"/>
        <v>177.44</v>
      </c>
    </row>
    <row r="310" spans="1:9" x14ac:dyDescent="0.25">
      <c r="A310" s="71" t="s">
        <v>491</v>
      </c>
      <c r="B310" s="72" t="s">
        <v>492</v>
      </c>
      <c r="C310" s="71" t="s">
        <v>813</v>
      </c>
      <c r="D310" s="54">
        <v>0</v>
      </c>
      <c r="E310" s="54">
        <v>0</v>
      </c>
      <c r="F310" s="73">
        <v>1.2690000000000002E-3</v>
      </c>
      <c r="G310" s="74">
        <f>ROUND(pres!$C$2*calculo!F310,2)</f>
        <v>76.290000000000006</v>
      </c>
      <c r="H310" s="54">
        <f>IFERROR(VLOOKUP(C310,consumo_agua!$A$7:$AA$202,27,0),0)</f>
        <v>0</v>
      </c>
      <c r="I310" s="74">
        <f t="shared" si="4"/>
        <v>76.290000000000006</v>
      </c>
    </row>
    <row r="311" spans="1:9" x14ac:dyDescent="0.25">
      <c r="A311" s="71" t="s">
        <v>494</v>
      </c>
      <c r="B311" s="72" t="s">
        <v>495</v>
      </c>
      <c r="C311" s="71" t="s">
        <v>496</v>
      </c>
      <c r="D311" s="54">
        <v>66.45</v>
      </c>
      <c r="E311" s="54">
        <v>66.45</v>
      </c>
      <c r="F311" s="73">
        <v>4.4973999999999995E-3</v>
      </c>
      <c r="G311" s="74">
        <f>ROUND(pres!$C$2*calculo!F311,2)</f>
        <v>270.37</v>
      </c>
      <c r="H311" s="54">
        <f>IFERROR(VLOOKUP(C311,consumo_agua!$A$7:$AA$202,27,0),0)</f>
        <v>27.89</v>
      </c>
      <c r="I311" s="74">
        <f t="shared" si="4"/>
        <v>298.26</v>
      </c>
    </row>
    <row r="312" spans="1:9" x14ac:dyDescent="0.25">
      <c r="A312" s="71" t="s">
        <v>494</v>
      </c>
      <c r="B312" s="72" t="s">
        <v>495</v>
      </c>
      <c r="C312" s="71" t="s">
        <v>814</v>
      </c>
      <c r="D312" s="54">
        <v>0</v>
      </c>
      <c r="E312" s="54">
        <v>0</v>
      </c>
      <c r="F312" s="73">
        <v>1.2690000000000002E-3</v>
      </c>
      <c r="G312" s="74">
        <f>ROUND(pres!$C$2*calculo!F312,2)</f>
        <v>76.290000000000006</v>
      </c>
      <c r="H312" s="54">
        <f>IFERROR(VLOOKUP(C312,consumo_agua!$A$7:$AA$202,27,0),0)</f>
        <v>0</v>
      </c>
      <c r="I312" s="74">
        <f t="shared" si="4"/>
        <v>76.290000000000006</v>
      </c>
    </row>
    <row r="313" spans="1:9" x14ac:dyDescent="0.25">
      <c r="A313" s="71" t="s">
        <v>497</v>
      </c>
      <c r="B313" s="72" t="s">
        <v>498</v>
      </c>
      <c r="C313" s="71" t="s">
        <v>499</v>
      </c>
      <c r="D313" s="54">
        <v>66.45</v>
      </c>
      <c r="E313" s="54">
        <v>66.45</v>
      </c>
      <c r="F313" s="73">
        <v>4.4973999999999995E-3</v>
      </c>
      <c r="G313" s="74">
        <f>ROUND(pres!$C$2*calculo!F313,2)</f>
        <v>270.37</v>
      </c>
      <c r="H313" s="54">
        <f>IFERROR(VLOOKUP(C313,consumo_agua!$A$7:$AA$202,27,0),0)</f>
        <v>21.69</v>
      </c>
      <c r="I313" s="74">
        <f t="shared" si="4"/>
        <v>292.06</v>
      </c>
    </row>
    <row r="314" spans="1:9" x14ac:dyDescent="0.25">
      <c r="A314" s="71" t="s">
        <v>497</v>
      </c>
      <c r="B314" s="72" t="s">
        <v>498</v>
      </c>
      <c r="C314" s="71" t="s">
        <v>815</v>
      </c>
      <c r="D314" s="54">
        <v>0</v>
      </c>
      <c r="E314" s="54">
        <v>0</v>
      </c>
      <c r="F314" s="73">
        <v>1.2690000000000002E-3</v>
      </c>
      <c r="G314" s="74">
        <f>ROUND(pres!$C$2*calculo!F314,2)</f>
        <v>76.290000000000006</v>
      </c>
      <c r="H314" s="54">
        <f>IFERROR(VLOOKUP(C314,consumo_agua!$A$7:$AA$202,27,0),0)</f>
        <v>0</v>
      </c>
      <c r="I314" s="74">
        <f t="shared" si="4"/>
        <v>76.290000000000006</v>
      </c>
    </row>
    <row r="315" spans="1:9" x14ac:dyDescent="0.25">
      <c r="A315" s="71" t="s">
        <v>500</v>
      </c>
      <c r="B315" s="72" t="s">
        <v>501</v>
      </c>
      <c r="C315" s="71" t="s">
        <v>502</v>
      </c>
      <c r="D315" s="54">
        <v>33</v>
      </c>
      <c r="E315" s="54">
        <v>33</v>
      </c>
      <c r="F315" s="73">
        <v>2.6939000000000004E-3</v>
      </c>
      <c r="G315" s="74">
        <f>ROUND(pres!$C$2*calculo!F315,2)</f>
        <v>161.94999999999999</v>
      </c>
      <c r="H315" s="54">
        <f>IFERROR(VLOOKUP(C315,consumo_agua!$A$7:$AA$202,27,0),0)</f>
        <v>6.2</v>
      </c>
      <c r="I315" s="74">
        <f t="shared" si="4"/>
        <v>168.14999999999998</v>
      </c>
    </row>
    <row r="316" spans="1:9" x14ac:dyDescent="0.25">
      <c r="A316" s="71" t="s">
        <v>500</v>
      </c>
      <c r="B316" s="72" t="s">
        <v>501</v>
      </c>
      <c r="C316" s="71" t="s">
        <v>816</v>
      </c>
      <c r="D316" s="54">
        <v>0</v>
      </c>
      <c r="E316" s="54">
        <v>0</v>
      </c>
      <c r="F316" s="73">
        <v>3.6749999999999999E-4</v>
      </c>
      <c r="G316" s="74">
        <f>ROUND(pres!$C$2*calculo!F316,2)</f>
        <v>22.09</v>
      </c>
      <c r="H316" s="54">
        <f>IFERROR(VLOOKUP(C316,consumo_agua!$A$7:$AA$202,27,0),0)</f>
        <v>0</v>
      </c>
      <c r="I316" s="74">
        <f t="shared" si="4"/>
        <v>22.09</v>
      </c>
    </row>
    <row r="317" spans="1:9" x14ac:dyDescent="0.25">
      <c r="A317" s="71" t="s">
        <v>503</v>
      </c>
      <c r="B317" s="72" t="s">
        <v>504</v>
      </c>
      <c r="C317" s="71" t="s">
        <v>505</v>
      </c>
      <c r="D317" s="54">
        <v>44.45</v>
      </c>
      <c r="E317" s="54">
        <v>44.45</v>
      </c>
      <c r="F317" s="73">
        <v>2.6939000000000004E-3</v>
      </c>
      <c r="G317" s="74">
        <f>ROUND(pres!$C$2*calculo!F317,2)</f>
        <v>161.94999999999999</v>
      </c>
      <c r="H317" s="54">
        <f>IFERROR(VLOOKUP(C317,consumo_agua!$A$7:$AA$202,27,0),0)</f>
        <v>6.2</v>
      </c>
      <c r="I317" s="74">
        <f t="shared" si="4"/>
        <v>168.14999999999998</v>
      </c>
    </row>
    <row r="318" spans="1:9" x14ac:dyDescent="0.25">
      <c r="A318" s="71" t="s">
        <v>503</v>
      </c>
      <c r="B318" s="72" t="s">
        <v>504</v>
      </c>
      <c r="C318" s="71" t="s">
        <v>817</v>
      </c>
      <c r="D318" s="54">
        <v>0</v>
      </c>
      <c r="E318" s="54">
        <v>0</v>
      </c>
      <c r="F318" s="73">
        <v>1.2690000000000002E-3</v>
      </c>
      <c r="G318" s="74">
        <f>ROUND(pres!$C$2*calculo!F318,2)</f>
        <v>76.290000000000006</v>
      </c>
      <c r="H318" s="54">
        <f>IFERROR(VLOOKUP(C318,consumo_agua!$A$7:$AA$202,27,0),0)</f>
        <v>0</v>
      </c>
      <c r="I318" s="74">
        <f t="shared" si="4"/>
        <v>76.290000000000006</v>
      </c>
    </row>
    <row r="319" spans="1:9" x14ac:dyDescent="0.25">
      <c r="A319" s="71" t="s">
        <v>506</v>
      </c>
      <c r="B319" s="72" t="s">
        <v>507</v>
      </c>
      <c r="C319" s="71" t="s">
        <v>508</v>
      </c>
      <c r="D319" s="54">
        <v>33.200000000000003</v>
      </c>
      <c r="E319" s="54">
        <v>33.200000000000003</v>
      </c>
      <c r="F319" s="73">
        <v>2.6939000000000004E-3</v>
      </c>
      <c r="G319" s="74">
        <f>ROUND(pres!$C$2*calculo!F319,2)</f>
        <v>161.94999999999999</v>
      </c>
      <c r="H319" s="54">
        <f>IFERROR(VLOOKUP(C319,consumo_agua!$A$7:$AA$202,27,0),0)</f>
        <v>15.49</v>
      </c>
      <c r="I319" s="74">
        <f t="shared" si="4"/>
        <v>177.44</v>
      </c>
    </row>
    <row r="320" spans="1:9" x14ac:dyDescent="0.25">
      <c r="A320" s="71" t="s">
        <v>509</v>
      </c>
      <c r="B320" s="72" t="s">
        <v>510</v>
      </c>
      <c r="C320" s="71" t="s">
        <v>511</v>
      </c>
      <c r="D320" s="54">
        <v>33.200000000000003</v>
      </c>
      <c r="E320" s="54">
        <v>33.200000000000003</v>
      </c>
      <c r="F320" s="73">
        <v>2.6939000000000004E-3</v>
      </c>
      <c r="G320" s="74">
        <f>ROUND(pres!$C$2*calculo!F320,2)</f>
        <v>161.94999999999999</v>
      </c>
      <c r="H320" s="54">
        <f>IFERROR(VLOOKUP(C320,consumo_agua!$A$7:$AA$202,27,0),0)</f>
        <v>9.3000000000000007</v>
      </c>
      <c r="I320" s="74">
        <f t="shared" si="4"/>
        <v>171.25</v>
      </c>
    </row>
    <row r="321" spans="1:9" x14ac:dyDescent="0.25">
      <c r="A321" s="71" t="s">
        <v>512</v>
      </c>
      <c r="B321" s="72" t="s">
        <v>513</v>
      </c>
      <c r="C321" s="71" t="s">
        <v>514</v>
      </c>
      <c r="D321" s="54">
        <v>40</v>
      </c>
      <c r="E321" s="54">
        <v>40</v>
      </c>
      <c r="F321" s="73">
        <v>2.6939000000000004E-3</v>
      </c>
      <c r="G321" s="74">
        <f>ROUND(pres!$C$2*calculo!F321,2)</f>
        <v>161.94999999999999</v>
      </c>
      <c r="H321" s="54">
        <f>IFERROR(VLOOKUP(C321,consumo_agua!$A$7:$AA$202,27,0),0)</f>
        <v>0</v>
      </c>
      <c r="I321" s="74">
        <f t="shared" si="4"/>
        <v>161.94999999999999</v>
      </c>
    </row>
    <row r="322" spans="1:9" x14ac:dyDescent="0.25">
      <c r="A322" s="71" t="s">
        <v>512</v>
      </c>
      <c r="B322" s="72" t="s">
        <v>513</v>
      </c>
      <c r="C322" s="71" t="s">
        <v>818</v>
      </c>
      <c r="D322" s="54">
        <v>0</v>
      </c>
      <c r="E322" s="54">
        <v>0</v>
      </c>
      <c r="F322" s="73">
        <v>1.2690000000000002E-3</v>
      </c>
      <c r="G322" s="74">
        <f>ROUND(pres!$C$2*calculo!F322,2)</f>
        <v>76.290000000000006</v>
      </c>
      <c r="H322" s="54">
        <f>IFERROR(VLOOKUP(C322,consumo_agua!$A$7:$AA$202,27,0),0)</f>
        <v>0</v>
      </c>
      <c r="I322" s="74">
        <f t="shared" ref="I322:I382" si="5">SUM(G322:H322)</f>
        <v>76.290000000000006</v>
      </c>
    </row>
    <row r="323" spans="1:9" x14ac:dyDescent="0.25">
      <c r="A323" s="71" t="s">
        <v>515</v>
      </c>
      <c r="B323" s="72" t="s">
        <v>516</v>
      </c>
      <c r="C323" s="71" t="s">
        <v>517</v>
      </c>
      <c r="D323" s="54">
        <v>74.599999999999994</v>
      </c>
      <c r="E323" s="54">
        <v>74.599999999999994</v>
      </c>
      <c r="F323" s="73">
        <v>4.4973999999999995E-3</v>
      </c>
      <c r="G323" s="74">
        <f>ROUND(pres!$C$2*calculo!F323,2)</f>
        <v>270.37</v>
      </c>
      <c r="H323" s="54">
        <f>IFERROR(VLOOKUP(C323,consumo_agua!$A$7:$AA$202,27,0),0)</f>
        <v>24.79</v>
      </c>
      <c r="I323" s="74">
        <f t="shared" si="5"/>
        <v>295.16000000000003</v>
      </c>
    </row>
    <row r="324" spans="1:9" x14ac:dyDescent="0.25">
      <c r="A324" s="71" t="s">
        <v>515</v>
      </c>
      <c r="B324" s="72" t="s">
        <v>516</v>
      </c>
      <c r="C324" s="71" t="s">
        <v>819</v>
      </c>
      <c r="D324" s="54">
        <v>0</v>
      </c>
      <c r="E324" s="54">
        <v>0</v>
      </c>
      <c r="F324" s="73">
        <v>1.2690000000000002E-3</v>
      </c>
      <c r="G324" s="74">
        <f>ROUND(pres!$C$2*calculo!F324,2)</f>
        <v>76.290000000000006</v>
      </c>
      <c r="H324" s="54">
        <f>IFERROR(VLOOKUP(C324,consumo_agua!$A$7:$AA$202,27,0),0)</f>
        <v>0</v>
      </c>
      <c r="I324" s="74">
        <f t="shared" si="5"/>
        <v>76.290000000000006</v>
      </c>
    </row>
    <row r="325" spans="1:9" x14ac:dyDescent="0.25">
      <c r="A325" s="71" t="s">
        <v>518</v>
      </c>
      <c r="B325" s="72" t="s">
        <v>519</v>
      </c>
      <c r="C325" s="71" t="s">
        <v>520</v>
      </c>
      <c r="D325" s="54">
        <v>77.05</v>
      </c>
      <c r="E325" s="54">
        <v>77.05</v>
      </c>
      <c r="F325" s="73">
        <v>4.4973999999999995E-3</v>
      </c>
      <c r="G325" s="74">
        <f>ROUND(pres!$C$2*calculo!F325,2)</f>
        <v>270.37</v>
      </c>
      <c r="H325" s="54">
        <f>IFERROR(VLOOKUP(C325,consumo_agua!$A$7:$AA$202,27,0),0)</f>
        <v>12.4</v>
      </c>
      <c r="I325" s="74">
        <f t="shared" si="5"/>
        <v>282.77</v>
      </c>
    </row>
    <row r="326" spans="1:9" x14ac:dyDescent="0.25">
      <c r="A326" s="71" t="s">
        <v>518</v>
      </c>
      <c r="B326" s="72" t="s">
        <v>519</v>
      </c>
      <c r="C326" s="71" t="s">
        <v>820</v>
      </c>
      <c r="D326" s="54">
        <v>0</v>
      </c>
      <c r="E326" s="54">
        <v>0</v>
      </c>
      <c r="F326" s="73">
        <v>1.2690000000000002E-3</v>
      </c>
      <c r="G326" s="74">
        <f>ROUND(pres!$C$2*calculo!F326,2)</f>
        <v>76.290000000000006</v>
      </c>
      <c r="H326" s="54">
        <f>IFERROR(VLOOKUP(C326,consumo_agua!$A$7:$AA$202,27,0),0)</f>
        <v>0</v>
      </c>
      <c r="I326" s="74">
        <f t="shared" si="5"/>
        <v>76.290000000000006</v>
      </c>
    </row>
    <row r="327" spans="1:9" x14ac:dyDescent="0.25">
      <c r="A327" s="71" t="s">
        <v>521</v>
      </c>
      <c r="B327" s="72" t="s">
        <v>522</v>
      </c>
      <c r="C327" s="71" t="s">
        <v>523</v>
      </c>
      <c r="D327" s="54">
        <v>33.200000000000003</v>
      </c>
      <c r="E327" s="54">
        <v>33.200000000000003</v>
      </c>
      <c r="F327" s="73">
        <v>2.6939000000000004E-3</v>
      </c>
      <c r="G327" s="74">
        <f>ROUND(pres!$C$2*calculo!F327,2)</f>
        <v>161.94999999999999</v>
      </c>
      <c r="H327" s="54">
        <f>IFERROR(VLOOKUP(C327,consumo_agua!$A$7:$AA$202,27,0),0)</f>
        <v>21.69</v>
      </c>
      <c r="I327" s="74">
        <f t="shared" si="5"/>
        <v>183.64</v>
      </c>
    </row>
    <row r="328" spans="1:9" x14ac:dyDescent="0.25">
      <c r="A328" s="71" t="s">
        <v>521</v>
      </c>
      <c r="B328" s="72" t="s">
        <v>522</v>
      </c>
      <c r="C328" s="71" t="s">
        <v>821</v>
      </c>
      <c r="D328" s="54">
        <v>0</v>
      </c>
      <c r="E328" s="54">
        <v>0</v>
      </c>
      <c r="F328" s="73">
        <v>1.2690000000000002E-3</v>
      </c>
      <c r="G328" s="74">
        <f>ROUND(pres!$C$2*calculo!F328,2)</f>
        <v>76.290000000000006</v>
      </c>
      <c r="H328" s="54">
        <f>IFERROR(VLOOKUP(C328,consumo_agua!$A$7:$AA$202,27,0),0)</f>
        <v>0</v>
      </c>
      <c r="I328" s="74">
        <f t="shared" si="5"/>
        <v>76.290000000000006</v>
      </c>
    </row>
    <row r="329" spans="1:9" x14ac:dyDescent="0.25">
      <c r="A329" s="71" t="s">
        <v>524</v>
      </c>
      <c r="B329" s="72" t="s">
        <v>525</v>
      </c>
      <c r="C329" s="71" t="s">
        <v>526</v>
      </c>
      <c r="D329" s="54">
        <v>43.35</v>
      </c>
      <c r="E329" s="54">
        <v>43.35</v>
      </c>
      <c r="F329" s="73">
        <v>2.6939000000000004E-3</v>
      </c>
      <c r="G329" s="74">
        <f>ROUND(pres!$C$2*calculo!F329,2)</f>
        <v>161.94999999999999</v>
      </c>
      <c r="H329" s="54">
        <f>IFERROR(VLOOKUP(C329,consumo_agua!$A$7:$AA$202,27,0),0)</f>
        <v>0</v>
      </c>
      <c r="I329" s="74">
        <f t="shared" si="5"/>
        <v>161.94999999999999</v>
      </c>
    </row>
    <row r="330" spans="1:9" x14ac:dyDescent="0.25">
      <c r="A330" s="71" t="s">
        <v>524</v>
      </c>
      <c r="B330" s="72" t="s">
        <v>525</v>
      </c>
      <c r="C330" s="71" t="s">
        <v>822</v>
      </c>
      <c r="D330" s="54">
        <v>0</v>
      </c>
      <c r="E330" s="54">
        <v>0</v>
      </c>
      <c r="F330" s="73">
        <v>3.6749999999999999E-4</v>
      </c>
      <c r="G330" s="74">
        <f>ROUND(pres!$C$2*calculo!F330,2)</f>
        <v>22.09</v>
      </c>
      <c r="H330" s="54">
        <f>IFERROR(VLOOKUP(C330,consumo_agua!$A$7:$AA$202,27,0),0)</f>
        <v>0</v>
      </c>
      <c r="I330" s="74">
        <f t="shared" si="5"/>
        <v>22.09</v>
      </c>
    </row>
    <row r="331" spans="1:9" x14ac:dyDescent="0.25">
      <c r="A331" s="71" t="s">
        <v>524</v>
      </c>
      <c r="B331" s="72" t="s">
        <v>525</v>
      </c>
      <c r="C331" s="71" t="s">
        <v>823</v>
      </c>
      <c r="D331" s="54">
        <v>0</v>
      </c>
      <c r="E331" s="54">
        <v>0</v>
      </c>
      <c r="F331" s="73">
        <v>1.2690000000000002E-3</v>
      </c>
      <c r="G331" s="74">
        <f>ROUND(pres!$C$2*calculo!F331,2)</f>
        <v>76.290000000000006</v>
      </c>
      <c r="H331" s="54">
        <f>IFERROR(VLOOKUP(C331,consumo_agua!$A$7:$AA$202,27,0),0)</f>
        <v>0</v>
      </c>
      <c r="I331" s="74">
        <f t="shared" si="5"/>
        <v>76.290000000000006</v>
      </c>
    </row>
    <row r="332" spans="1:9" x14ac:dyDescent="0.25">
      <c r="A332" s="71" t="s">
        <v>527</v>
      </c>
      <c r="B332" s="72" t="s">
        <v>528</v>
      </c>
      <c r="C332" s="71" t="s">
        <v>529</v>
      </c>
      <c r="D332" s="54">
        <v>33.200000000000003</v>
      </c>
      <c r="E332" s="54">
        <v>33.200000000000003</v>
      </c>
      <c r="F332" s="73">
        <v>2.6939000000000004E-3</v>
      </c>
      <c r="G332" s="74">
        <f>ROUND(pres!$C$2*calculo!F332,2)</f>
        <v>161.94999999999999</v>
      </c>
      <c r="H332" s="54">
        <f>IFERROR(VLOOKUP(C332,consumo_agua!$A$7:$AA$202,27,0),0)</f>
        <v>18.59</v>
      </c>
      <c r="I332" s="74">
        <f t="shared" si="5"/>
        <v>180.54</v>
      </c>
    </row>
    <row r="333" spans="1:9" x14ac:dyDescent="0.25">
      <c r="A333" s="71" t="s">
        <v>530</v>
      </c>
      <c r="B333" s="72" t="s">
        <v>531</v>
      </c>
      <c r="C333" s="71" t="s">
        <v>532</v>
      </c>
      <c r="D333" s="54">
        <v>68</v>
      </c>
      <c r="E333" s="54">
        <v>68</v>
      </c>
      <c r="F333" s="73">
        <v>4.4973999999999995E-3</v>
      </c>
      <c r="G333" s="74">
        <f>ROUND(pres!$C$2*calculo!F333,2)</f>
        <v>270.37</v>
      </c>
      <c r="H333" s="54">
        <f>IFERROR(VLOOKUP(C333,consumo_agua!$A$7:$AA$202,27,0),0)</f>
        <v>27.89</v>
      </c>
      <c r="I333" s="74">
        <f t="shared" si="5"/>
        <v>298.26</v>
      </c>
    </row>
    <row r="334" spans="1:9" x14ac:dyDescent="0.25">
      <c r="A334" s="71" t="s">
        <v>533</v>
      </c>
      <c r="B334" s="72" t="s">
        <v>824</v>
      </c>
      <c r="C334" s="71" t="s">
        <v>535</v>
      </c>
      <c r="D334" s="54">
        <v>43.35</v>
      </c>
      <c r="E334" s="54">
        <v>43.35</v>
      </c>
      <c r="F334" s="73">
        <v>2.6939000000000004E-3</v>
      </c>
      <c r="G334" s="74">
        <f>ROUND(pres!$C$2*calculo!F334,2)</f>
        <v>161.94999999999999</v>
      </c>
      <c r="H334" s="54">
        <f>IFERROR(VLOOKUP(C334,consumo_agua!$A$7:$AA$202,27,0),0)</f>
        <v>0</v>
      </c>
      <c r="I334" s="74">
        <f t="shared" si="5"/>
        <v>161.94999999999999</v>
      </c>
    </row>
    <row r="335" spans="1:9" x14ac:dyDescent="0.25">
      <c r="A335" s="71" t="s">
        <v>533</v>
      </c>
      <c r="B335" s="72" t="s">
        <v>824</v>
      </c>
      <c r="C335" s="71" t="s">
        <v>825</v>
      </c>
      <c r="D335" s="54">
        <v>0</v>
      </c>
      <c r="E335" s="54">
        <v>0</v>
      </c>
      <c r="F335" s="73">
        <v>3.6749999999999999E-4</v>
      </c>
      <c r="G335" s="74">
        <f>ROUND(pres!$C$2*calculo!F335,2)</f>
        <v>22.09</v>
      </c>
      <c r="H335" s="54">
        <f>IFERROR(VLOOKUP(C335,consumo_agua!$A$7:$AA$202,27,0),0)</f>
        <v>0</v>
      </c>
      <c r="I335" s="74">
        <f t="shared" si="5"/>
        <v>22.09</v>
      </c>
    </row>
    <row r="336" spans="1:9" x14ac:dyDescent="0.25">
      <c r="A336" s="71" t="s">
        <v>536</v>
      </c>
      <c r="B336" s="72" t="s">
        <v>537</v>
      </c>
      <c r="C336" s="71" t="s">
        <v>538</v>
      </c>
      <c r="D336" s="54">
        <v>74.599999999999994</v>
      </c>
      <c r="E336" s="54">
        <v>74.599999999999994</v>
      </c>
      <c r="F336" s="73">
        <v>4.4973999999999995E-3</v>
      </c>
      <c r="G336" s="74">
        <f>ROUND(pres!$C$2*calculo!F336,2)</f>
        <v>270.37</v>
      </c>
      <c r="H336" s="54">
        <f>IFERROR(VLOOKUP(C336,consumo_agua!$A$7:$AA$202,27,0),0)</f>
        <v>27.89</v>
      </c>
      <c r="I336" s="74">
        <f t="shared" si="5"/>
        <v>298.26</v>
      </c>
    </row>
    <row r="337" spans="1:9" x14ac:dyDescent="0.25">
      <c r="A337" s="71" t="s">
        <v>536</v>
      </c>
      <c r="B337" s="72" t="s">
        <v>537</v>
      </c>
      <c r="C337" s="71" t="s">
        <v>826</v>
      </c>
      <c r="D337" s="54">
        <v>0</v>
      </c>
      <c r="E337" s="54">
        <v>0</v>
      </c>
      <c r="F337" s="73">
        <v>1.2690000000000002E-3</v>
      </c>
      <c r="G337" s="74">
        <f>ROUND(pres!$C$2*calculo!F337,2)</f>
        <v>76.290000000000006</v>
      </c>
      <c r="H337" s="54">
        <f>IFERROR(VLOOKUP(C337,consumo_agua!$A$7:$AA$202,27,0),0)</f>
        <v>0</v>
      </c>
      <c r="I337" s="74">
        <f t="shared" si="5"/>
        <v>76.290000000000006</v>
      </c>
    </row>
    <row r="338" spans="1:9" x14ac:dyDescent="0.25">
      <c r="A338" s="71" t="s">
        <v>539</v>
      </c>
      <c r="B338" s="72" t="s">
        <v>540</v>
      </c>
      <c r="C338" s="71" t="s">
        <v>541</v>
      </c>
      <c r="D338" s="54">
        <v>66.45</v>
      </c>
      <c r="E338" s="54">
        <v>66.45</v>
      </c>
      <c r="F338" s="73">
        <v>4.4973999999999995E-3</v>
      </c>
      <c r="G338" s="74">
        <f>ROUND(pres!$C$2*calculo!F338,2)</f>
        <v>270.37</v>
      </c>
      <c r="H338" s="54">
        <f>IFERROR(VLOOKUP(C338,consumo_agua!$A$7:$AA$202,27,0),0)</f>
        <v>9.3000000000000007</v>
      </c>
      <c r="I338" s="74">
        <f t="shared" si="5"/>
        <v>279.67</v>
      </c>
    </row>
    <row r="339" spans="1:9" x14ac:dyDescent="0.25">
      <c r="A339" s="71" t="s">
        <v>542</v>
      </c>
      <c r="B339" s="72" t="s">
        <v>543</v>
      </c>
      <c r="C339" s="71" t="s">
        <v>544</v>
      </c>
      <c r="D339" s="54">
        <v>77.05</v>
      </c>
      <c r="E339" s="54">
        <v>77.05</v>
      </c>
      <c r="F339" s="73">
        <v>4.4973999999999995E-3</v>
      </c>
      <c r="G339" s="74">
        <f>ROUND(pres!$C$2*calculo!F339,2)</f>
        <v>270.37</v>
      </c>
      <c r="H339" s="54">
        <f>IFERROR(VLOOKUP(C339,consumo_agua!$A$7:$AA$202,27,0),0)</f>
        <v>34.090000000000003</v>
      </c>
      <c r="I339" s="74">
        <f t="shared" si="5"/>
        <v>304.46000000000004</v>
      </c>
    </row>
    <row r="340" spans="1:9" x14ac:dyDescent="0.25">
      <c r="A340" s="71" t="s">
        <v>542</v>
      </c>
      <c r="B340" s="72" t="s">
        <v>543</v>
      </c>
      <c r="C340" s="71" t="s">
        <v>827</v>
      </c>
      <c r="D340" s="54">
        <v>0</v>
      </c>
      <c r="E340" s="54">
        <v>0</v>
      </c>
      <c r="F340" s="73">
        <v>1.2690000000000002E-3</v>
      </c>
      <c r="G340" s="74">
        <f>ROUND(pres!$C$2*calculo!F340,2)</f>
        <v>76.290000000000006</v>
      </c>
      <c r="H340" s="54">
        <f>IFERROR(VLOOKUP(C340,consumo_agua!$A$7:$AA$202,27,0),0)</f>
        <v>0</v>
      </c>
      <c r="I340" s="74">
        <f t="shared" si="5"/>
        <v>76.290000000000006</v>
      </c>
    </row>
    <row r="341" spans="1:9" x14ac:dyDescent="0.25">
      <c r="A341" s="71" t="s">
        <v>545</v>
      </c>
      <c r="B341" s="72" t="s">
        <v>546</v>
      </c>
      <c r="C341" s="71" t="s">
        <v>547</v>
      </c>
      <c r="D341" s="54">
        <v>78.95</v>
      </c>
      <c r="E341" s="54">
        <v>78.95</v>
      </c>
      <c r="F341" s="73">
        <v>4.4973999999999995E-3</v>
      </c>
      <c r="G341" s="74">
        <f>ROUND(pres!$C$2*calculo!F341,2)</f>
        <v>270.37</v>
      </c>
      <c r="H341" s="54">
        <f>IFERROR(VLOOKUP(C341,consumo_agua!$A$7:$AA$202,27,0),0)</f>
        <v>37.19</v>
      </c>
      <c r="I341" s="74">
        <f t="shared" si="5"/>
        <v>307.56</v>
      </c>
    </row>
    <row r="342" spans="1:9" x14ac:dyDescent="0.25">
      <c r="A342" s="71" t="s">
        <v>545</v>
      </c>
      <c r="B342" s="72" t="s">
        <v>546</v>
      </c>
      <c r="C342" s="71" t="s">
        <v>828</v>
      </c>
      <c r="D342" s="54">
        <v>0</v>
      </c>
      <c r="E342" s="54">
        <v>0</v>
      </c>
      <c r="F342" s="73">
        <v>1.2690000000000002E-3</v>
      </c>
      <c r="G342" s="74">
        <f>ROUND(pres!$C$2*calculo!F342,2)</f>
        <v>76.290000000000006</v>
      </c>
      <c r="H342" s="54">
        <f>IFERROR(VLOOKUP(C342,consumo_agua!$A$7:$AA$202,27,0),0)</f>
        <v>0</v>
      </c>
      <c r="I342" s="74">
        <f t="shared" si="5"/>
        <v>76.290000000000006</v>
      </c>
    </row>
    <row r="343" spans="1:9" x14ac:dyDescent="0.25">
      <c r="A343" s="71" t="s">
        <v>548</v>
      </c>
      <c r="B343" s="72" t="s">
        <v>549</v>
      </c>
      <c r="C343" s="71" t="s">
        <v>550</v>
      </c>
      <c r="D343" s="54">
        <v>76.150000000000006</v>
      </c>
      <c r="E343" s="54">
        <v>76.150000000000006</v>
      </c>
      <c r="F343" s="73">
        <v>4.4973999999999995E-3</v>
      </c>
      <c r="G343" s="74">
        <f>ROUND(pres!$C$2*calculo!F343,2)</f>
        <v>270.37</v>
      </c>
      <c r="H343" s="54">
        <f>IFERROR(VLOOKUP(C343,consumo_agua!$A$7:$AA$202,27,0),0)</f>
        <v>105.36</v>
      </c>
      <c r="I343" s="74">
        <f t="shared" si="5"/>
        <v>375.73</v>
      </c>
    </row>
    <row r="344" spans="1:9" x14ac:dyDescent="0.25">
      <c r="A344" s="71" t="s">
        <v>548</v>
      </c>
      <c r="B344" s="72" t="s">
        <v>549</v>
      </c>
      <c r="C344" s="71" t="s">
        <v>829</v>
      </c>
      <c r="D344" s="54">
        <v>0</v>
      </c>
      <c r="E344" s="54">
        <v>0</v>
      </c>
      <c r="F344" s="73">
        <v>1.2690000000000002E-3</v>
      </c>
      <c r="G344" s="74">
        <f>ROUND(pres!$C$2*calculo!F344,2)</f>
        <v>76.290000000000006</v>
      </c>
      <c r="H344" s="54">
        <f>IFERROR(VLOOKUP(C344,consumo_agua!$A$7:$AA$202,27,0),0)</f>
        <v>0</v>
      </c>
      <c r="I344" s="74">
        <f t="shared" si="5"/>
        <v>76.290000000000006</v>
      </c>
    </row>
    <row r="345" spans="1:9" x14ac:dyDescent="0.25">
      <c r="A345" s="71" t="s">
        <v>551</v>
      </c>
      <c r="B345" s="72" t="s">
        <v>552</v>
      </c>
      <c r="C345" s="71" t="s">
        <v>553</v>
      </c>
      <c r="D345" s="54">
        <v>92.5</v>
      </c>
      <c r="E345" s="54">
        <v>92.5</v>
      </c>
      <c r="F345" s="73">
        <v>5.6772999999999997E-3</v>
      </c>
      <c r="G345" s="74">
        <f>ROUND(pres!$C$2*calculo!F345,2)</f>
        <v>341.3</v>
      </c>
      <c r="H345" s="54">
        <f>IFERROR(VLOOKUP(C345,consumo_agua!$A$7:$AA$202,27,0),0)</f>
        <v>12.4</v>
      </c>
      <c r="I345" s="74">
        <f t="shared" si="5"/>
        <v>353.7</v>
      </c>
    </row>
    <row r="346" spans="1:9" x14ac:dyDescent="0.25">
      <c r="A346" s="71" t="s">
        <v>551</v>
      </c>
      <c r="B346" s="72" t="s">
        <v>552</v>
      </c>
      <c r="C346" s="71" t="s">
        <v>830</v>
      </c>
      <c r="D346" s="54">
        <v>0</v>
      </c>
      <c r="E346" s="54">
        <v>0</v>
      </c>
      <c r="F346" s="73">
        <v>1.2690000000000002E-3</v>
      </c>
      <c r="G346" s="74">
        <f>ROUND(pres!$C$2*calculo!F346,2)</f>
        <v>76.290000000000006</v>
      </c>
      <c r="H346" s="54">
        <f>IFERROR(VLOOKUP(C346,consumo_agua!$A$7:$AA$202,27,0),0)</f>
        <v>0</v>
      </c>
      <c r="I346" s="74">
        <f t="shared" si="5"/>
        <v>76.290000000000006</v>
      </c>
    </row>
    <row r="347" spans="1:9" x14ac:dyDescent="0.25">
      <c r="A347" s="71" t="s">
        <v>551</v>
      </c>
      <c r="B347" s="72" t="s">
        <v>552</v>
      </c>
      <c r="C347" s="71" t="s">
        <v>831</v>
      </c>
      <c r="D347" s="54">
        <v>0</v>
      </c>
      <c r="E347" s="54">
        <v>0</v>
      </c>
      <c r="F347" s="73">
        <v>1.2690000000000002E-3</v>
      </c>
      <c r="G347" s="74">
        <f>ROUND(pres!$C$2*calculo!F347,2)</f>
        <v>76.290000000000006</v>
      </c>
      <c r="H347" s="54">
        <f>IFERROR(VLOOKUP(C347,consumo_agua!$A$7:$AA$202,27,0),0)</f>
        <v>0</v>
      </c>
      <c r="I347" s="74">
        <f t="shared" si="5"/>
        <v>76.290000000000006</v>
      </c>
    </row>
    <row r="348" spans="1:9" x14ac:dyDescent="0.25">
      <c r="A348" s="71" t="s">
        <v>554</v>
      </c>
      <c r="B348" s="72" t="s">
        <v>555</v>
      </c>
      <c r="C348" s="71" t="s">
        <v>556</v>
      </c>
      <c r="D348" s="54">
        <v>33.200000000000003</v>
      </c>
      <c r="E348" s="54">
        <v>33.200000000000003</v>
      </c>
      <c r="F348" s="73">
        <v>2.6939000000000004E-3</v>
      </c>
      <c r="G348" s="74">
        <f>ROUND(pres!$C$2*calculo!F348,2)</f>
        <v>161.94999999999999</v>
      </c>
      <c r="H348" s="54">
        <f>IFERROR(VLOOKUP(C348,consumo_agua!$A$7:$AA$202,27,0),0)</f>
        <v>0</v>
      </c>
      <c r="I348" s="74">
        <f t="shared" si="5"/>
        <v>161.94999999999999</v>
      </c>
    </row>
    <row r="349" spans="1:9" x14ac:dyDescent="0.25">
      <c r="A349" s="71" t="s">
        <v>554</v>
      </c>
      <c r="B349" s="72" t="s">
        <v>555</v>
      </c>
      <c r="C349" s="75" t="s">
        <v>832</v>
      </c>
      <c r="D349" s="54">
        <v>0</v>
      </c>
      <c r="E349" s="54">
        <v>0</v>
      </c>
      <c r="F349" s="73">
        <v>1.2690000000000002E-3</v>
      </c>
      <c r="G349" s="74">
        <f>ROUND(pres!$C$2*calculo!F349,2)</f>
        <v>76.290000000000006</v>
      </c>
      <c r="H349" s="54">
        <f>IFERROR(VLOOKUP(C349,consumo_agua!$A$7:$AA$202,27,0),0)</f>
        <v>0</v>
      </c>
      <c r="I349" s="74">
        <f t="shared" si="5"/>
        <v>76.290000000000006</v>
      </c>
    </row>
    <row r="350" spans="1:9" x14ac:dyDescent="0.25">
      <c r="A350" s="71" t="s">
        <v>557</v>
      </c>
      <c r="B350" s="72" t="s">
        <v>558</v>
      </c>
      <c r="C350" s="71" t="s">
        <v>559</v>
      </c>
      <c r="D350" s="54">
        <v>78.95</v>
      </c>
      <c r="E350" s="54">
        <v>78.95</v>
      </c>
      <c r="F350" s="73">
        <v>4.4973999999999995E-3</v>
      </c>
      <c r="G350" s="74">
        <f>ROUND(pres!$C$2*calculo!F350,2)</f>
        <v>270.37</v>
      </c>
      <c r="H350" s="54">
        <f>IFERROR(VLOOKUP(C350,consumo_agua!$A$7:$AA$202,27,0),0)</f>
        <v>61.98</v>
      </c>
      <c r="I350" s="74">
        <f t="shared" si="5"/>
        <v>332.35</v>
      </c>
    </row>
    <row r="351" spans="1:9" x14ac:dyDescent="0.25">
      <c r="A351" s="71" t="s">
        <v>557</v>
      </c>
      <c r="B351" s="72" t="s">
        <v>558</v>
      </c>
      <c r="C351" s="71" t="s">
        <v>833</v>
      </c>
      <c r="D351" s="54">
        <v>0</v>
      </c>
      <c r="E351" s="54">
        <v>0</v>
      </c>
      <c r="F351" s="73">
        <v>1.2690000000000002E-3</v>
      </c>
      <c r="G351" s="74">
        <f>ROUND(pres!$C$2*calculo!F351,2)</f>
        <v>76.290000000000006</v>
      </c>
      <c r="H351" s="54">
        <f>IFERROR(VLOOKUP(C351,consumo_agua!$A$7:$AA$202,27,0),0)</f>
        <v>0</v>
      </c>
      <c r="I351" s="74">
        <f t="shared" si="5"/>
        <v>76.290000000000006</v>
      </c>
    </row>
    <row r="352" spans="1:9" x14ac:dyDescent="0.25">
      <c r="A352" s="71" t="s">
        <v>560</v>
      </c>
      <c r="B352" s="72" t="s">
        <v>561</v>
      </c>
      <c r="C352" s="71" t="s">
        <v>562</v>
      </c>
      <c r="D352" s="54">
        <v>92.5</v>
      </c>
      <c r="E352" s="54">
        <v>92.5</v>
      </c>
      <c r="F352" s="73">
        <v>5.6772999999999997E-3</v>
      </c>
      <c r="G352" s="74">
        <f>ROUND(pres!$C$2*calculo!F352,2)</f>
        <v>341.3</v>
      </c>
      <c r="H352" s="54">
        <f>IFERROR(VLOOKUP(C352,consumo_agua!$A$7:$AA$202,27,0),0)</f>
        <v>3.1</v>
      </c>
      <c r="I352" s="74">
        <f t="shared" si="5"/>
        <v>344.40000000000003</v>
      </c>
    </row>
    <row r="353" spans="1:9" x14ac:dyDescent="0.25">
      <c r="A353" s="71" t="s">
        <v>560</v>
      </c>
      <c r="B353" s="72" t="s">
        <v>561</v>
      </c>
      <c r="C353" s="71" t="s">
        <v>834</v>
      </c>
      <c r="D353" s="54">
        <v>0</v>
      </c>
      <c r="E353" s="54">
        <v>0</v>
      </c>
      <c r="F353" s="73">
        <v>3.6749999999999999E-4</v>
      </c>
      <c r="G353" s="74">
        <f>ROUND(pres!$C$2*calculo!F353,2)</f>
        <v>22.09</v>
      </c>
      <c r="H353" s="54">
        <f>IFERROR(VLOOKUP(C353,consumo_agua!$A$7:$AA$202,27,0),0)</f>
        <v>0</v>
      </c>
      <c r="I353" s="74">
        <f t="shared" si="5"/>
        <v>22.09</v>
      </c>
    </row>
    <row r="354" spans="1:9" x14ac:dyDescent="0.25">
      <c r="A354" s="71" t="s">
        <v>560</v>
      </c>
      <c r="B354" s="72" t="s">
        <v>561</v>
      </c>
      <c r="C354" s="71" t="s">
        <v>835</v>
      </c>
      <c r="D354" s="54">
        <v>0</v>
      </c>
      <c r="E354" s="54">
        <v>0</v>
      </c>
      <c r="F354" s="73">
        <v>1.2690000000000002E-3</v>
      </c>
      <c r="G354" s="74">
        <f>ROUND(pres!$C$2*calculo!F354,2)</f>
        <v>76.290000000000006</v>
      </c>
      <c r="H354" s="54">
        <f>IFERROR(VLOOKUP(C354,consumo_agua!$A$7:$AA$202,27,0),0)</f>
        <v>0</v>
      </c>
      <c r="I354" s="74">
        <f t="shared" si="5"/>
        <v>76.290000000000006</v>
      </c>
    </row>
    <row r="355" spans="1:9" x14ac:dyDescent="0.25">
      <c r="A355" s="71" t="s">
        <v>563</v>
      </c>
      <c r="B355" s="72" t="s">
        <v>564</v>
      </c>
      <c r="C355" s="71" t="s">
        <v>565</v>
      </c>
      <c r="D355" s="54">
        <v>33.200000000000003</v>
      </c>
      <c r="E355" s="54">
        <v>33.200000000000003</v>
      </c>
      <c r="F355" s="73">
        <v>2.6939000000000004E-3</v>
      </c>
      <c r="G355" s="74">
        <f>ROUND(pres!$C$2*calculo!F355,2)</f>
        <v>161.94999999999999</v>
      </c>
      <c r="H355" s="54">
        <f>IFERROR(VLOOKUP(C355,consumo_agua!$A$7:$AA$202,27,0),0)</f>
        <v>0</v>
      </c>
      <c r="I355" s="74">
        <f t="shared" si="5"/>
        <v>161.94999999999999</v>
      </c>
    </row>
    <row r="356" spans="1:9" x14ac:dyDescent="0.25">
      <c r="A356" s="71" t="s">
        <v>566</v>
      </c>
      <c r="B356" s="72" t="s">
        <v>567</v>
      </c>
      <c r="C356" s="71" t="s">
        <v>568</v>
      </c>
      <c r="D356" s="54">
        <v>77.05</v>
      </c>
      <c r="E356" s="54">
        <v>77.05</v>
      </c>
      <c r="F356" s="73">
        <v>4.4973999999999995E-3</v>
      </c>
      <c r="G356" s="74">
        <f>ROUND(pres!$C$2*calculo!F356,2)</f>
        <v>270.37</v>
      </c>
      <c r="H356" s="54">
        <f>IFERROR(VLOOKUP(C356,consumo_agua!$A$7:$AA$202,27,0),0)</f>
        <v>24.79</v>
      </c>
      <c r="I356" s="74">
        <f t="shared" si="5"/>
        <v>295.16000000000003</v>
      </c>
    </row>
    <row r="357" spans="1:9" x14ac:dyDescent="0.25">
      <c r="A357" s="71" t="s">
        <v>566</v>
      </c>
      <c r="B357" s="72" t="s">
        <v>567</v>
      </c>
      <c r="C357" s="71" t="s">
        <v>836</v>
      </c>
      <c r="D357" s="54">
        <v>0</v>
      </c>
      <c r="E357" s="54">
        <v>0</v>
      </c>
      <c r="F357" s="73">
        <v>1.2690000000000002E-3</v>
      </c>
      <c r="G357" s="74">
        <f>ROUND(pres!$C$2*calculo!F357,2)</f>
        <v>76.290000000000006</v>
      </c>
      <c r="H357" s="54">
        <f>IFERROR(VLOOKUP(C357,consumo_agua!$A$7:$AA$202,27,0),0)</f>
        <v>0</v>
      </c>
      <c r="I357" s="74">
        <f t="shared" si="5"/>
        <v>76.290000000000006</v>
      </c>
    </row>
    <row r="358" spans="1:9" x14ac:dyDescent="0.25">
      <c r="A358" s="71" t="s">
        <v>566</v>
      </c>
      <c r="B358" s="72" t="s">
        <v>567</v>
      </c>
      <c r="C358" s="71" t="s">
        <v>837</v>
      </c>
      <c r="D358" s="54">
        <v>0</v>
      </c>
      <c r="E358" s="54">
        <v>0</v>
      </c>
      <c r="F358" s="73">
        <v>1.2690000000000002E-3</v>
      </c>
      <c r="G358" s="74">
        <f>ROUND(pres!$C$2*calculo!F358,2)</f>
        <v>76.290000000000006</v>
      </c>
      <c r="H358" s="54">
        <f>IFERROR(VLOOKUP(C358,consumo_agua!$A$7:$AA$202,27,0),0)</f>
        <v>0</v>
      </c>
      <c r="I358" s="74">
        <f t="shared" si="5"/>
        <v>76.290000000000006</v>
      </c>
    </row>
    <row r="359" spans="1:9" x14ac:dyDescent="0.25">
      <c r="A359" s="71" t="s">
        <v>569</v>
      </c>
      <c r="B359" s="72" t="s">
        <v>570</v>
      </c>
      <c r="C359" s="71" t="s">
        <v>571</v>
      </c>
      <c r="D359" s="54">
        <v>81</v>
      </c>
      <c r="E359" s="54">
        <v>81</v>
      </c>
      <c r="F359" s="73">
        <v>4.4973999999999995E-3</v>
      </c>
      <c r="G359" s="74">
        <f>ROUND(pres!$C$2*calculo!F359,2)</f>
        <v>270.37</v>
      </c>
      <c r="H359" s="54">
        <f>IFERROR(VLOOKUP(C359,consumo_agua!$A$7:$AA$202,27,0),0)</f>
        <v>24.79</v>
      </c>
      <c r="I359" s="74">
        <f t="shared" si="5"/>
        <v>295.16000000000003</v>
      </c>
    </row>
    <row r="360" spans="1:9" x14ac:dyDescent="0.25">
      <c r="A360" s="71" t="s">
        <v>569</v>
      </c>
      <c r="B360" s="72" t="s">
        <v>570</v>
      </c>
      <c r="C360" s="71" t="s">
        <v>838</v>
      </c>
      <c r="D360" s="54">
        <v>0</v>
      </c>
      <c r="E360" s="54">
        <v>0</v>
      </c>
      <c r="F360" s="73">
        <v>1.2690000000000002E-3</v>
      </c>
      <c r="G360" s="74">
        <f>ROUND(pres!$C$2*calculo!F360,2)</f>
        <v>76.290000000000006</v>
      </c>
      <c r="H360" s="54">
        <f>IFERROR(VLOOKUP(C360,consumo_agua!$A$7:$AA$202,27,0),0)</f>
        <v>0</v>
      </c>
      <c r="I360" s="74">
        <f t="shared" si="5"/>
        <v>76.290000000000006</v>
      </c>
    </row>
    <row r="361" spans="1:9" x14ac:dyDescent="0.25">
      <c r="A361" s="71" t="s">
        <v>572</v>
      </c>
      <c r="B361" s="72" t="s">
        <v>573</v>
      </c>
      <c r="C361" s="71" t="s">
        <v>574</v>
      </c>
      <c r="D361" s="54">
        <v>66.45</v>
      </c>
      <c r="E361" s="54">
        <v>66.45</v>
      </c>
      <c r="F361" s="73">
        <v>4.4973999999999995E-3</v>
      </c>
      <c r="G361" s="74">
        <f>ROUND(pres!$C$2*calculo!F361,2)</f>
        <v>270.37</v>
      </c>
      <c r="H361" s="54">
        <f>IFERROR(VLOOKUP(C361,consumo_agua!$A$7:$AA$202,27,0),0)</f>
        <v>15.49</v>
      </c>
      <c r="I361" s="74">
        <f t="shared" si="5"/>
        <v>285.86</v>
      </c>
    </row>
    <row r="362" spans="1:9" x14ac:dyDescent="0.25">
      <c r="A362" s="71" t="s">
        <v>572</v>
      </c>
      <c r="B362" s="72" t="s">
        <v>573</v>
      </c>
      <c r="C362" s="71" t="s">
        <v>839</v>
      </c>
      <c r="D362" s="54">
        <v>0</v>
      </c>
      <c r="E362" s="54">
        <v>0</v>
      </c>
      <c r="F362" s="73">
        <v>1.2690000000000002E-3</v>
      </c>
      <c r="G362" s="74">
        <f>ROUND(pres!$C$2*calculo!F362,2)</f>
        <v>76.290000000000006</v>
      </c>
      <c r="H362" s="54">
        <f>IFERROR(VLOOKUP(C362,consumo_agua!$A$7:$AA$202,27,0),0)</f>
        <v>0</v>
      </c>
      <c r="I362" s="74">
        <f t="shared" si="5"/>
        <v>76.290000000000006</v>
      </c>
    </row>
    <row r="363" spans="1:9" x14ac:dyDescent="0.25">
      <c r="A363" s="71" t="s">
        <v>575</v>
      </c>
      <c r="B363" s="72" t="s">
        <v>576</v>
      </c>
      <c r="C363" s="71" t="s">
        <v>577</v>
      </c>
      <c r="D363" s="54">
        <v>33</v>
      </c>
      <c r="E363" s="54">
        <v>33</v>
      </c>
      <c r="F363" s="73">
        <v>2.6939000000000004E-3</v>
      </c>
      <c r="G363" s="74">
        <f>ROUND(pres!$C$2*calculo!F363,2)</f>
        <v>161.94999999999999</v>
      </c>
      <c r="H363" s="54">
        <f>IFERROR(VLOOKUP(C363,consumo_agua!$A$7:$AA$202,27,0),0)</f>
        <v>12.4</v>
      </c>
      <c r="I363" s="74">
        <f t="shared" si="5"/>
        <v>174.35</v>
      </c>
    </row>
    <row r="364" spans="1:9" x14ac:dyDescent="0.25">
      <c r="A364" s="71" t="s">
        <v>578</v>
      </c>
      <c r="B364" s="72" t="s">
        <v>579</v>
      </c>
      <c r="C364" s="71" t="s">
        <v>580</v>
      </c>
      <c r="D364" s="54">
        <v>68</v>
      </c>
      <c r="E364" s="54">
        <v>68</v>
      </c>
      <c r="F364" s="73">
        <v>4.4973999999999995E-3</v>
      </c>
      <c r="G364" s="74">
        <f>ROUND(pres!$C$2*calculo!F364,2)</f>
        <v>270.37</v>
      </c>
      <c r="H364" s="54">
        <f>IFERROR(VLOOKUP(C364,consumo_agua!$A$7:$AA$202,27,0),0)</f>
        <v>3.1</v>
      </c>
      <c r="I364" s="74">
        <f t="shared" si="5"/>
        <v>273.47000000000003</v>
      </c>
    </row>
    <row r="365" spans="1:9" x14ac:dyDescent="0.25">
      <c r="A365" s="71" t="s">
        <v>578</v>
      </c>
      <c r="B365" s="72" t="s">
        <v>579</v>
      </c>
      <c r="C365" s="71" t="s">
        <v>840</v>
      </c>
      <c r="D365" s="54">
        <v>0</v>
      </c>
      <c r="E365" s="54">
        <v>0</v>
      </c>
      <c r="F365" s="73">
        <v>3.6749999999999999E-4</v>
      </c>
      <c r="G365" s="74">
        <f>ROUND(pres!$C$2*calculo!F365,2)</f>
        <v>22.09</v>
      </c>
      <c r="H365" s="54">
        <f>IFERROR(VLOOKUP(C365,consumo_agua!$A$7:$AA$202,27,0),0)</f>
        <v>0</v>
      </c>
      <c r="I365" s="74">
        <f t="shared" si="5"/>
        <v>22.09</v>
      </c>
    </row>
    <row r="366" spans="1:9" x14ac:dyDescent="0.25">
      <c r="A366" s="71" t="s">
        <v>578</v>
      </c>
      <c r="B366" s="72" t="s">
        <v>579</v>
      </c>
      <c r="C366" s="71" t="s">
        <v>841</v>
      </c>
      <c r="D366" s="54">
        <v>0</v>
      </c>
      <c r="E366" s="54">
        <v>0</v>
      </c>
      <c r="F366" s="73">
        <v>1.2690000000000002E-3</v>
      </c>
      <c r="G366" s="74">
        <f>ROUND(pres!$C$2*calculo!F366,2)</f>
        <v>76.290000000000006</v>
      </c>
      <c r="H366" s="54">
        <f>IFERROR(VLOOKUP(C366,consumo_agua!$A$7:$AA$202,27,0),0)</f>
        <v>0</v>
      </c>
      <c r="I366" s="74">
        <f t="shared" si="5"/>
        <v>76.290000000000006</v>
      </c>
    </row>
    <row r="367" spans="1:9" x14ac:dyDescent="0.25">
      <c r="A367" s="71" t="s">
        <v>581</v>
      </c>
      <c r="B367" s="72" t="s">
        <v>582</v>
      </c>
      <c r="C367" s="71" t="s">
        <v>583</v>
      </c>
      <c r="D367" s="54">
        <v>74.599999999999994</v>
      </c>
      <c r="E367" s="54">
        <v>74.599999999999994</v>
      </c>
      <c r="F367" s="73">
        <v>4.4973999999999995E-3</v>
      </c>
      <c r="G367" s="74">
        <f>ROUND(pres!$C$2*calculo!F367,2)</f>
        <v>270.37</v>
      </c>
      <c r="H367" s="54">
        <f>IFERROR(VLOOKUP(C367,consumo_agua!$A$7:$AA$202,27,0),0)</f>
        <v>0</v>
      </c>
      <c r="I367" s="74">
        <f t="shared" si="5"/>
        <v>270.37</v>
      </c>
    </row>
    <row r="368" spans="1:9" x14ac:dyDescent="0.25">
      <c r="A368" s="71" t="s">
        <v>581</v>
      </c>
      <c r="B368" s="72" t="s">
        <v>582</v>
      </c>
      <c r="C368" s="71" t="s">
        <v>842</v>
      </c>
      <c r="D368" s="54">
        <v>0</v>
      </c>
      <c r="E368" s="54">
        <v>0</v>
      </c>
      <c r="F368" s="73">
        <v>1.2689999999999999E-3</v>
      </c>
      <c r="G368" s="74">
        <f>ROUND(pres!$C$2*calculo!F368,2)</f>
        <v>76.290000000000006</v>
      </c>
      <c r="H368" s="54">
        <f>IFERROR(VLOOKUP(C368,consumo_agua!$A$7:$AA$202,27,0),0)</f>
        <v>0</v>
      </c>
      <c r="I368" s="74">
        <f t="shared" si="5"/>
        <v>76.290000000000006</v>
      </c>
    </row>
    <row r="369" spans="1:9" x14ac:dyDescent="0.25">
      <c r="A369" s="71" t="s">
        <v>584</v>
      </c>
      <c r="B369" s="72" t="s">
        <v>585</v>
      </c>
      <c r="C369" s="71" t="s">
        <v>586</v>
      </c>
      <c r="D369" s="54">
        <v>43.35</v>
      </c>
      <c r="E369" s="54">
        <v>43.35</v>
      </c>
      <c r="F369" s="73">
        <v>2.6939000000000004E-3</v>
      </c>
      <c r="G369" s="74">
        <f>ROUND(pres!$C$2*calculo!F369,2)</f>
        <v>161.94999999999999</v>
      </c>
      <c r="H369" s="54">
        <f>IFERROR(VLOOKUP(C369,consumo_agua!$A$7:$AA$202,27,0),0)</f>
        <v>9.3000000000000007</v>
      </c>
      <c r="I369" s="74">
        <f t="shared" si="5"/>
        <v>171.25</v>
      </c>
    </row>
    <row r="370" spans="1:9" x14ac:dyDescent="0.25">
      <c r="A370" s="71" t="s">
        <v>587</v>
      </c>
      <c r="B370" s="72" t="s">
        <v>588</v>
      </c>
      <c r="C370" s="71" t="s">
        <v>589</v>
      </c>
      <c r="D370" s="54">
        <v>76.150000000000006</v>
      </c>
      <c r="E370" s="54">
        <v>76.150000000000006</v>
      </c>
      <c r="F370" s="73">
        <v>4.4973999999999995E-3</v>
      </c>
      <c r="G370" s="74">
        <f>ROUND(pres!$C$2*calculo!F370,2)</f>
        <v>270.37</v>
      </c>
      <c r="H370" s="54">
        <f>IFERROR(VLOOKUP(C370,consumo_agua!$A$7:$AA$202,27,0),0)</f>
        <v>86.77</v>
      </c>
      <c r="I370" s="74">
        <f t="shared" si="5"/>
        <v>357.14</v>
      </c>
    </row>
    <row r="371" spans="1:9" x14ac:dyDescent="0.25">
      <c r="A371" s="71" t="s">
        <v>587</v>
      </c>
      <c r="B371" s="72" t="s">
        <v>588</v>
      </c>
      <c r="C371" s="71" t="s">
        <v>843</v>
      </c>
      <c r="D371" s="54">
        <v>0</v>
      </c>
      <c r="E371" s="54">
        <v>0</v>
      </c>
      <c r="F371" s="73">
        <v>1.2690000000000002E-3</v>
      </c>
      <c r="G371" s="74">
        <f>ROUND(pres!$C$2*calculo!F371,2)</f>
        <v>76.290000000000006</v>
      </c>
      <c r="H371" s="54">
        <f>IFERROR(VLOOKUP(C371,consumo_agua!$A$7:$AA$202,27,0),0)</f>
        <v>0</v>
      </c>
      <c r="I371" s="74">
        <f t="shared" si="5"/>
        <v>76.290000000000006</v>
      </c>
    </row>
    <row r="372" spans="1:9" x14ac:dyDescent="0.25">
      <c r="A372" s="71" t="s">
        <v>590</v>
      </c>
      <c r="B372" s="72" t="s">
        <v>591</v>
      </c>
      <c r="C372" s="71" t="s">
        <v>592</v>
      </c>
      <c r="D372" s="54">
        <v>76.150000000000006</v>
      </c>
      <c r="E372" s="54">
        <v>76.150000000000006</v>
      </c>
      <c r="F372" s="73">
        <v>4.4973999999999995E-3</v>
      </c>
      <c r="G372" s="74">
        <f>ROUND(pres!$C$2*calculo!F372,2)</f>
        <v>270.37</v>
      </c>
      <c r="H372" s="54">
        <f>IFERROR(VLOOKUP(C372,consumo_agua!$A$7:$AA$202,27,0),0)</f>
        <v>27.89</v>
      </c>
      <c r="I372" s="74">
        <f t="shared" si="5"/>
        <v>298.26</v>
      </c>
    </row>
    <row r="373" spans="1:9" x14ac:dyDescent="0.25">
      <c r="A373" s="71" t="s">
        <v>590</v>
      </c>
      <c r="B373" s="72" t="s">
        <v>591</v>
      </c>
      <c r="C373" s="71" t="s">
        <v>844</v>
      </c>
      <c r="D373" s="54">
        <v>0</v>
      </c>
      <c r="E373" s="54">
        <v>0</v>
      </c>
      <c r="F373" s="73">
        <v>1.2690000000000002E-3</v>
      </c>
      <c r="G373" s="74">
        <f>ROUND(pres!$C$2*calculo!F373,2)</f>
        <v>76.290000000000006</v>
      </c>
      <c r="H373" s="54">
        <f>IFERROR(VLOOKUP(C373,consumo_agua!$A$7:$AA$202,27,0),0)</f>
        <v>0</v>
      </c>
      <c r="I373" s="74">
        <f t="shared" si="5"/>
        <v>76.290000000000006</v>
      </c>
    </row>
    <row r="374" spans="1:9" x14ac:dyDescent="0.25">
      <c r="A374" s="71" t="s">
        <v>593</v>
      </c>
      <c r="B374" s="72" t="s">
        <v>594</v>
      </c>
      <c r="C374" s="71" t="s">
        <v>595</v>
      </c>
      <c r="D374" s="54">
        <v>128.6</v>
      </c>
      <c r="E374" s="54">
        <v>171.1</v>
      </c>
      <c r="F374" s="73">
        <v>6.2785000000000002E-3</v>
      </c>
      <c r="G374" s="74">
        <f>ROUND(pres!$C$2*calculo!F374,2)</f>
        <v>377.44</v>
      </c>
      <c r="H374" s="54">
        <f>IFERROR(VLOOKUP(C374,consumo_agua!$A$7:$AA$202,27,0),0)</f>
        <v>27.89</v>
      </c>
      <c r="I374" s="74">
        <f t="shared" si="5"/>
        <v>405.33</v>
      </c>
    </row>
    <row r="375" spans="1:9" x14ac:dyDescent="0.25">
      <c r="A375" s="71" t="s">
        <v>593</v>
      </c>
      <c r="B375" s="72" t="s">
        <v>594</v>
      </c>
      <c r="C375" s="71" t="s">
        <v>845</v>
      </c>
      <c r="D375" s="54">
        <v>0</v>
      </c>
      <c r="E375" s="54">
        <v>0</v>
      </c>
      <c r="F375" s="73">
        <v>1.2690000000000002E-3</v>
      </c>
      <c r="G375" s="74">
        <f>ROUND(pres!$C$2*calculo!F375,2)</f>
        <v>76.290000000000006</v>
      </c>
      <c r="H375" s="54">
        <f>IFERROR(VLOOKUP(C375,consumo_agua!$A$7:$AA$202,27,0),0)</f>
        <v>0</v>
      </c>
      <c r="I375" s="74">
        <f t="shared" si="5"/>
        <v>76.290000000000006</v>
      </c>
    </row>
    <row r="376" spans="1:9" x14ac:dyDescent="0.25">
      <c r="A376" s="71" t="s">
        <v>596</v>
      </c>
      <c r="B376" s="72" t="s">
        <v>597</v>
      </c>
      <c r="C376" s="71" t="s">
        <v>598</v>
      </c>
      <c r="D376" s="54">
        <v>0</v>
      </c>
      <c r="E376" s="54">
        <v>0</v>
      </c>
      <c r="F376" s="73">
        <v>1.2690000000000002E-3</v>
      </c>
      <c r="G376" s="74">
        <f>ROUND(pres!$C$2*calculo!F376,2)</f>
        <v>76.290000000000006</v>
      </c>
      <c r="H376" s="54">
        <f>IFERROR(VLOOKUP(C376,consumo_agua!$A$7:$AA$202,27,0),0)</f>
        <v>0</v>
      </c>
      <c r="I376" s="74">
        <f t="shared" si="5"/>
        <v>76.290000000000006</v>
      </c>
    </row>
    <row r="377" spans="1:9" x14ac:dyDescent="0.25">
      <c r="A377" s="71" t="s">
        <v>599</v>
      </c>
      <c r="B377" s="72" t="s">
        <v>600</v>
      </c>
      <c r="C377" s="71" t="s">
        <v>601</v>
      </c>
      <c r="D377" s="54">
        <v>0</v>
      </c>
      <c r="E377" s="54">
        <v>0</v>
      </c>
      <c r="F377" s="73">
        <v>1.2690000000000002E-3</v>
      </c>
      <c r="G377" s="74">
        <f>ROUND(pres!$C$2*calculo!F377,2)</f>
        <v>76.290000000000006</v>
      </c>
      <c r="H377" s="54">
        <f>IFERROR(VLOOKUP(C377,consumo_agua!$A$7:$AA$202,27,0),0)</f>
        <v>0</v>
      </c>
      <c r="I377" s="74">
        <f t="shared" si="5"/>
        <v>76.290000000000006</v>
      </c>
    </row>
    <row r="378" spans="1:9" x14ac:dyDescent="0.25">
      <c r="A378" s="71" t="s">
        <v>602</v>
      </c>
      <c r="B378" s="72" t="s">
        <v>603</v>
      </c>
      <c r="C378" s="71" t="s">
        <v>604</v>
      </c>
      <c r="D378" s="54">
        <v>0</v>
      </c>
      <c r="E378" s="54">
        <v>0</v>
      </c>
      <c r="F378" s="73">
        <v>3.6749999999999999E-4</v>
      </c>
      <c r="G378" s="74">
        <f>ROUND(pres!$C$2*calculo!F378,2)</f>
        <v>22.09</v>
      </c>
      <c r="H378" s="54">
        <f>IFERROR(VLOOKUP(C378,consumo_agua!$A$7:$AA$202,27,0),0)</f>
        <v>0</v>
      </c>
      <c r="I378" s="74">
        <f t="shared" si="5"/>
        <v>22.09</v>
      </c>
    </row>
    <row r="379" spans="1:9" x14ac:dyDescent="0.25">
      <c r="A379" s="71" t="s">
        <v>602</v>
      </c>
      <c r="B379" s="72" t="s">
        <v>603</v>
      </c>
      <c r="C379" s="71" t="s">
        <v>846</v>
      </c>
      <c r="D379" s="54">
        <v>0</v>
      </c>
      <c r="E379" s="54">
        <v>0</v>
      </c>
      <c r="F379" s="73">
        <v>3.6749999999999999E-4</v>
      </c>
      <c r="G379" s="74">
        <f>ROUND(pres!$C$2*calculo!F379,2)</f>
        <v>22.09</v>
      </c>
      <c r="H379" s="54">
        <f>IFERROR(VLOOKUP(C379,consumo_agua!$A$7:$AA$202,27,0),0)</f>
        <v>0</v>
      </c>
      <c r="I379" s="74">
        <f t="shared" si="5"/>
        <v>22.09</v>
      </c>
    </row>
    <row r="380" spans="1:9" x14ac:dyDescent="0.25">
      <c r="A380" s="71" t="s">
        <v>605</v>
      </c>
      <c r="B380" s="72" t="s">
        <v>606</v>
      </c>
      <c r="C380" s="71" t="s">
        <v>607</v>
      </c>
      <c r="D380" s="54">
        <v>0</v>
      </c>
      <c r="E380" s="54">
        <v>0</v>
      </c>
      <c r="F380" s="73">
        <v>1.2690000000000002E-3</v>
      </c>
      <c r="G380" s="74">
        <f>ROUND(pres!$C$2*calculo!F380,2)</f>
        <v>76.290000000000006</v>
      </c>
      <c r="H380" s="54">
        <f>IFERROR(VLOOKUP(C380,consumo_agua!$A$7:$AA$202,27,0),0)</f>
        <v>0</v>
      </c>
      <c r="I380" s="74">
        <f t="shared" si="5"/>
        <v>76.290000000000006</v>
      </c>
    </row>
    <row r="381" spans="1:9" x14ac:dyDescent="0.25">
      <c r="A381" s="71" t="s">
        <v>608</v>
      </c>
      <c r="B381" s="72" t="s">
        <v>609</v>
      </c>
      <c r="C381" s="71" t="s">
        <v>256</v>
      </c>
      <c r="D381" s="54">
        <v>68</v>
      </c>
      <c r="E381" s="54">
        <v>68</v>
      </c>
      <c r="F381" s="73">
        <v>4.4973999999999995E-3</v>
      </c>
      <c r="G381" s="74">
        <f>ROUND(pres!$C$2*calculo!F381,2)</f>
        <v>270.37</v>
      </c>
      <c r="H381" s="54">
        <f>IFERROR(VLOOKUP(C381,consumo_agua!$A$7:$AA$202,27,0),0)</f>
        <v>12.4</v>
      </c>
      <c r="I381" s="74">
        <f t="shared" si="5"/>
        <v>282.77</v>
      </c>
    </row>
    <row r="382" spans="1:9" x14ac:dyDescent="0.25">
      <c r="A382" s="71" t="s">
        <v>608</v>
      </c>
      <c r="B382" s="72" t="s">
        <v>609</v>
      </c>
      <c r="C382" s="71" t="s">
        <v>751</v>
      </c>
      <c r="D382" s="54">
        <v>0</v>
      </c>
      <c r="E382" s="54">
        <v>0</v>
      </c>
      <c r="F382" s="73">
        <v>1.2690000000000002E-3</v>
      </c>
      <c r="G382" s="74">
        <f>ROUND(pres!$C$2*calculo!F382,2)</f>
        <v>76.290000000000006</v>
      </c>
      <c r="H382" s="54">
        <f>IFERROR(VLOOKUP(C382,consumo_agua!$A$7:$AA$202,27,0),0)</f>
        <v>0</v>
      </c>
      <c r="I382" s="74">
        <f t="shared" si="5"/>
        <v>76.290000000000006</v>
      </c>
    </row>
    <row r="383" spans="1:9" x14ac:dyDescent="0.25">
      <c r="A383" s="71" t="s">
        <v>610</v>
      </c>
      <c r="B383" s="72" t="s">
        <v>611</v>
      </c>
      <c r="C383" s="71" t="s">
        <v>1257</v>
      </c>
      <c r="D383" s="54"/>
      <c r="E383" s="54"/>
      <c r="F383" s="73"/>
      <c r="G383" s="74"/>
      <c r="H383" s="54"/>
      <c r="I383" s="74"/>
    </row>
    <row r="384" spans="1:9" x14ac:dyDescent="0.25">
      <c r="A384" s="76"/>
      <c r="B384" s="7"/>
      <c r="C384" s="76"/>
      <c r="D384" s="54">
        <f>SUM(D1:D383)</f>
        <v>12767.370000000021</v>
      </c>
      <c r="E384" s="54">
        <f>SUM(E1:E383)</f>
        <v>12887.950000000023</v>
      </c>
      <c r="F384" s="82">
        <f>SUM(F2:F383)</f>
        <v>0.99998429999999783</v>
      </c>
      <c r="G384" s="54">
        <f>SUM(G2:G383)</f>
        <v>60116.18000000008</v>
      </c>
      <c r="H384" s="74">
        <f>SUM(H1:H383)</f>
        <v>4708.33</v>
      </c>
      <c r="I384" s="74">
        <f>SUM(I1:I383)</f>
        <v>64824.510000000038</v>
      </c>
    </row>
    <row r="386" spans="6:6" x14ac:dyDescent="0.25">
      <c r="F386" s="84"/>
    </row>
  </sheetData>
  <autoFilter ref="A1:I384" xr:uid="{FA908E48-694E-4B44-A7F0-92F57F82BFB8}">
    <sortState xmlns:xlrd2="http://schemas.microsoft.com/office/spreadsheetml/2017/richdata2" ref="A2:I384">
      <sortCondition ref="A1:A38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BB00-66D5-480A-BF89-2336604D4BAD}">
  <sheetPr codeName="Hoja5"/>
  <dimension ref="A3:F209"/>
  <sheetViews>
    <sheetView showGridLines="0" workbookViewId="0">
      <pane xSplit="2" ySplit="4" topLeftCell="C182" activePane="bottomRight" state="frozen"/>
      <selection pane="topRight" activeCell="C1" sqref="C1"/>
      <selection pane="bottomLeft" activeCell="A5" sqref="A5"/>
      <selection pane="bottomRight" activeCell="B3" sqref="B3"/>
    </sheetView>
  </sheetViews>
  <sheetFormatPr baseColWidth="10" defaultRowHeight="15" x14ac:dyDescent="0.25"/>
  <cols>
    <col min="1" max="1" width="14.140625" customWidth="1"/>
    <col min="2" max="2" width="44.42578125" customWidth="1"/>
    <col min="3" max="3" width="17.85546875" style="78" bestFit="1" customWidth="1"/>
    <col min="4" max="4" width="24.5703125" bestFit="1" customWidth="1"/>
    <col min="5" max="5" width="14.28515625" bestFit="1" customWidth="1"/>
  </cols>
  <sheetData>
    <row r="3" spans="1:6" x14ac:dyDescent="0.25">
      <c r="C3" s="105" t="s">
        <v>1258</v>
      </c>
    </row>
    <row r="4" spans="1:6" s="51" customFormat="1" ht="30" x14ac:dyDescent="0.25">
      <c r="A4" s="106" t="s">
        <v>661</v>
      </c>
      <c r="B4" s="106" t="s">
        <v>662</v>
      </c>
      <c r="C4" s="51" t="s">
        <v>1259</v>
      </c>
      <c r="D4" s="51" t="s">
        <v>1251</v>
      </c>
      <c r="E4" s="51" t="s">
        <v>1252</v>
      </c>
      <c r="F4" s="51" t="s">
        <v>1253</v>
      </c>
    </row>
    <row r="5" spans="1:6" x14ac:dyDescent="0.25">
      <c r="A5" t="s">
        <v>5</v>
      </c>
      <c r="B5" t="s">
        <v>6</v>
      </c>
      <c r="C5" s="78">
        <v>2</v>
      </c>
      <c r="D5" s="83">
        <v>346.66</v>
      </c>
      <c r="E5" s="83">
        <v>15.49</v>
      </c>
      <c r="F5">
        <v>362.15000000000003</v>
      </c>
    </row>
    <row r="6" spans="1:6" x14ac:dyDescent="0.25">
      <c r="A6" t="s">
        <v>8</v>
      </c>
      <c r="B6" t="s">
        <v>9</v>
      </c>
      <c r="C6" s="78">
        <v>2</v>
      </c>
      <c r="D6" s="83">
        <v>346.66</v>
      </c>
      <c r="E6" s="83">
        <v>24.79</v>
      </c>
      <c r="F6">
        <v>371.45000000000005</v>
      </c>
    </row>
    <row r="7" spans="1:6" x14ac:dyDescent="0.25">
      <c r="A7" t="s">
        <v>11</v>
      </c>
      <c r="B7" t="s">
        <v>12</v>
      </c>
      <c r="C7" s="78">
        <v>1</v>
      </c>
      <c r="D7" s="83">
        <v>161.94999999999999</v>
      </c>
      <c r="E7" s="83">
        <v>9.3000000000000007</v>
      </c>
      <c r="F7">
        <v>171.25</v>
      </c>
    </row>
    <row r="8" spans="1:6" x14ac:dyDescent="0.25">
      <c r="A8" t="s">
        <v>14</v>
      </c>
      <c r="B8" t="s">
        <v>15</v>
      </c>
      <c r="C8" s="78">
        <v>2</v>
      </c>
      <c r="D8" s="83">
        <v>346.66</v>
      </c>
      <c r="E8" s="83">
        <v>12.4</v>
      </c>
      <c r="F8">
        <v>359.06</v>
      </c>
    </row>
    <row r="9" spans="1:6" x14ac:dyDescent="0.25">
      <c r="A9" t="s">
        <v>17</v>
      </c>
      <c r="B9" t="s">
        <v>18</v>
      </c>
      <c r="C9" s="78">
        <v>2</v>
      </c>
      <c r="D9" s="83">
        <v>346.66</v>
      </c>
      <c r="E9" s="83">
        <v>55.78</v>
      </c>
      <c r="F9">
        <v>402.44</v>
      </c>
    </row>
    <row r="10" spans="1:6" x14ac:dyDescent="0.25">
      <c r="A10" t="s">
        <v>20</v>
      </c>
      <c r="B10" t="s">
        <v>21</v>
      </c>
      <c r="C10" s="78">
        <v>2</v>
      </c>
      <c r="D10" s="83">
        <v>417.59000000000003</v>
      </c>
      <c r="E10" s="83">
        <v>3.1</v>
      </c>
      <c r="F10">
        <v>420.69000000000005</v>
      </c>
    </row>
    <row r="11" spans="1:6" x14ac:dyDescent="0.25">
      <c r="A11" t="s">
        <v>23</v>
      </c>
      <c r="B11" t="s">
        <v>24</v>
      </c>
      <c r="C11" s="78">
        <v>1</v>
      </c>
      <c r="D11" s="83">
        <v>270.37</v>
      </c>
      <c r="E11" s="83">
        <v>15.49</v>
      </c>
      <c r="F11">
        <v>285.86</v>
      </c>
    </row>
    <row r="12" spans="1:6" x14ac:dyDescent="0.25">
      <c r="A12" t="s">
        <v>26</v>
      </c>
      <c r="B12" t="s">
        <v>27</v>
      </c>
      <c r="C12" s="78">
        <v>2</v>
      </c>
      <c r="D12" s="83">
        <v>238.24</v>
      </c>
      <c r="E12" s="83">
        <v>15.49</v>
      </c>
      <c r="F12">
        <v>253.73000000000002</v>
      </c>
    </row>
    <row r="13" spans="1:6" x14ac:dyDescent="0.25">
      <c r="A13" t="s">
        <v>29</v>
      </c>
      <c r="B13" t="s">
        <v>30</v>
      </c>
      <c r="C13" s="78">
        <v>1</v>
      </c>
      <c r="D13" s="83">
        <v>161.94999999999999</v>
      </c>
      <c r="E13" s="83">
        <v>9.3000000000000007</v>
      </c>
      <c r="F13">
        <v>171.25</v>
      </c>
    </row>
    <row r="14" spans="1:6" x14ac:dyDescent="0.25">
      <c r="A14" t="s">
        <v>32</v>
      </c>
      <c r="B14" t="s">
        <v>33</v>
      </c>
      <c r="C14" s="78">
        <v>1</v>
      </c>
      <c r="D14" s="83">
        <v>76.290000000000006</v>
      </c>
      <c r="E14" s="83">
        <v>0</v>
      </c>
      <c r="F14">
        <v>76.290000000000006</v>
      </c>
    </row>
    <row r="15" spans="1:6" x14ac:dyDescent="0.25">
      <c r="A15" t="s">
        <v>35</v>
      </c>
      <c r="B15" t="s">
        <v>36</v>
      </c>
      <c r="C15" s="78">
        <v>2</v>
      </c>
      <c r="D15" s="83">
        <v>346.66</v>
      </c>
      <c r="E15" s="83">
        <v>6.2</v>
      </c>
      <c r="F15">
        <v>352.86</v>
      </c>
    </row>
    <row r="16" spans="1:6" x14ac:dyDescent="0.25">
      <c r="A16" t="s">
        <v>38</v>
      </c>
      <c r="B16" t="s">
        <v>39</v>
      </c>
      <c r="C16" s="78">
        <v>2</v>
      </c>
      <c r="D16" s="83">
        <v>346.66</v>
      </c>
      <c r="E16" s="83">
        <v>9.3000000000000007</v>
      </c>
      <c r="F16">
        <v>355.96000000000004</v>
      </c>
    </row>
    <row r="17" spans="1:6" x14ac:dyDescent="0.25">
      <c r="A17" t="s">
        <v>41</v>
      </c>
      <c r="B17" t="s">
        <v>42</v>
      </c>
      <c r="C17" s="78">
        <v>3</v>
      </c>
      <c r="D17" s="83">
        <v>530.02</v>
      </c>
      <c r="E17" s="83">
        <v>71.27</v>
      </c>
      <c r="F17">
        <v>601.29</v>
      </c>
    </row>
    <row r="18" spans="1:6" x14ac:dyDescent="0.25">
      <c r="A18" t="s">
        <v>44</v>
      </c>
      <c r="B18" t="s">
        <v>45</v>
      </c>
      <c r="C18" s="78">
        <v>2</v>
      </c>
      <c r="D18" s="83">
        <v>417.59000000000003</v>
      </c>
      <c r="E18" s="83">
        <v>12.4</v>
      </c>
      <c r="F18">
        <v>429.99</v>
      </c>
    </row>
    <row r="19" spans="1:6" x14ac:dyDescent="0.25">
      <c r="A19" t="s">
        <v>47</v>
      </c>
      <c r="B19" t="s">
        <v>48</v>
      </c>
      <c r="C19" s="78">
        <v>3</v>
      </c>
      <c r="D19" s="83">
        <v>400.19</v>
      </c>
      <c r="E19" s="83">
        <v>46.480000000000004</v>
      </c>
      <c r="F19">
        <v>446.67</v>
      </c>
    </row>
    <row r="20" spans="1:6" x14ac:dyDescent="0.25">
      <c r="A20" t="s">
        <v>50</v>
      </c>
      <c r="B20" t="s">
        <v>51</v>
      </c>
      <c r="C20" s="78">
        <v>9</v>
      </c>
      <c r="D20" s="83">
        <v>880.68999999999994</v>
      </c>
      <c r="E20" s="83">
        <v>12.4</v>
      </c>
      <c r="F20">
        <v>893.08999999999992</v>
      </c>
    </row>
    <row r="21" spans="1:6" x14ac:dyDescent="0.25">
      <c r="A21" t="s">
        <v>53</v>
      </c>
      <c r="B21" t="s">
        <v>54</v>
      </c>
      <c r="C21" s="78">
        <v>3</v>
      </c>
      <c r="D21" s="83">
        <v>260.33</v>
      </c>
      <c r="E21" s="83">
        <v>49.58</v>
      </c>
      <c r="F21">
        <v>309.90999999999997</v>
      </c>
    </row>
    <row r="22" spans="1:6" x14ac:dyDescent="0.25">
      <c r="A22" t="s">
        <v>56</v>
      </c>
      <c r="B22" t="s">
        <v>57</v>
      </c>
      <c r="C22" s="78">
        <v>2</v>
      </c>
      <c r="D22" s="83">
        <v>417.59000000000003</v>
      </c>
      <c r="E22" s="83">
        <v>12.4</v>
      </c>
      <c r="F22">
        <v>429.99</v>
      </c>
    </row>
    <row r="23" spans="1:6" x14ac:dyDescent="0.25">
      <c r="A23" t="s">
        <v>59</v>
      </c>
      <c r="B23" t="s">
        <v>60</v>
      </c>
      <c r="C23" s="78">
        <v>2</v>
      </c>
      <c r="D23" s="83">
        <v>346.66</v>
      </c>
      <c r="E23" s="83">
        <v>12.4</v>
      </c>
      <c r="F23">
        <v>359.06</v>
      </c>
    </row>
    <row r="24" spans="1:6" x14ac:dyDescent="0.25">
      <c r="A24" t="s">
        <v>62</v>
      </c>
      <c r="B24" t="s">
        <v>63</v>
      </c>
      <c r="C24" s="78">
        <v>2</v>
      </c>
      <c r="D24" s="83">
        <v>346.66</v>
      </c>
      <c r="E24" s="83">
        <v>58.88</v>
      </c>
      <c r="F24">
        <v>405.54</v>
      </c>
    </row>
    <row r="25" spans="1:6" x14ac:dyDescent="0.25">
      <c r="A25" t="s">
        <v>65</v>
      </c>
      <c r="B25" t="s">
        <v>66</v>
      </c>
      <c r="C25" s="78">
        <v>2</v>
      </c>
      <c r="D25" s="83">
        <v>346.66</v>
      </c>
      <c r="E25" s="83">
        <v>15.49</v>
      </c>
      <c r="F25">
        <v>362.15000000000003</v>
      </c>
    </row>
    <row r="26" spans="1:6" x14ac:dyDescent="0.25">
      <c r="A26" t="s">
        <v>68</v>
      </c>
      <c r="B26" t="s">
        <v>69</v>
      </c>
      <c r="C26" s="78">
        <v>2</v>
      </c>
      <c r="D26" s="83">
        <v>292.45999999999998</v>
      </c>
      <c r="E26" s="83">
        <v>21.69</v>
      </c>
      <c r="F26">
        <v>314.14999999999998</v>
      </c>
    </row>
    <row r="27" spans="1:6" x14ac:dyDescent="0.25">
      <c r="A27" t="s">
        <v>71</v>
      </c>
      <c r="B27" t="s">
        <v>72</v>
      </c>
      <c r="C27" s="78">
        <v>2</v>
      </c>
      <c r="D27" s="83">
        <v>292.45999999999998</v>
      </c>
      <c r="E27" s="83">
        <v>34.090000000000003</v>
      </c>
      <c r="F27">
        <v>326.55</v>
      </c>
    </row>
    <row r="28" spans="1:6" x14ac:dyDescent="0.25">
      <c r="A28" t="s">
        <v>74</v>
      </c>
      <c r="B28" t="s">
        <v>75</v>
      </c>
      <c r="C28" s="78">
        <v>5</v>
      </c>
      <c r="D28" s="83">
        <v>851.91</v>
      </c>
      <c r="E28" s="83">
        <v>68.180000000000007</v>
      </c>
      <c r="F28">
        <v>920.09</v>
      </c>
    </row>
    <row r="29" spans="1:6" x14ac:dyDescent="0.25">
      <c r="A29" t="s">
        <v>77</v>
      </c>
      <c r="B29" t="s">
        <v>78</v>
      </c>
      <c r="C29" s="78">
        <v>2</v>
      </c>
      <c r="D29" s="83">
        <v>238.24</v>
      </c>
      <c r="E29" s="83">
        <v>0</v>
      </c>
      <c r="F29">
        <v>238.24</v>
      </c>
    </row>
    <row r="30" spans="1:6" x14ac:dyDescent="0.25">
      <c r="A30" t="s">
        <v>80</v>
      </c>
      <c r="B30" t="s">
        <v>81</v>
      </c>
      <c r="C30" s="78">
        <v>1</v>
      </c>
      <c r="D30" s="83">
        <v>161.94999999999999</v>
      </c>
      <c r="E30" s="83">
        <v>15.49</v>
      </c>
      <c r="F30">
        <v>177.44</v>
      </c>
    </row>
    <row r="31" spans="1:6" x14ac:dyDescent="0.25">
      <c r="A31" t="s">
        <v>83</v>
      </c>
      <c r="B31" t="s">
        <v>84</v>
      </c>
      <c r="C31" s="78">
        <v>1</v>
      </c>
      <c r="D31" s="83">
        <v>76.290000000000006</v>
      </c>
      <c r="E31" s="83">
        <v>0</v>
      </c>
      <c r="F31">
        <v>76.290000000000006</v>
      </c>
    </row>
    <row r="32" spans="1:6" x14ac:dyDescent="0.25">
      <c r="A32" t="s">
        <v>86</v>
      </c>
      <c r="B32" t="s">
        <v>705</v>
      </c>
      <c r="C32" s="78">
        <v>2</v>
      </c>
      <c r="D32" s="83">
        <v>346.66</v>
      </c>
      <c r="E32" s="83">
        <v>30.99</v>
      </c>
      <c r="F32">
        <v>377.65000000000003</v>
      </c>
    </row>
    <row r="33" spans="1:6" x14ac:dyDescent="0.25">
      <c r="A33" t="s">
        <v>89</v>
      </c>
      <c r="B33" t="s">
        <v>90</v>
      </c>
      <c r="C33" s="78">
        <v>2</v>
      </c>
      <c r="D33" s="83">
        <v>346.66</v>
      </c>
      <c r="E33" s="83">
        <v>12.4</v>
      </c>
      <c r="F33">
        <v>359.06</v>
      </c>
    </row>
    <row r="34" spans="1:6" x14ac:dyDescent="0.25">
      <c r="A34" t="s">
        <v>92</v>
      </c>
      <c r="B34" t="s">
        <v>93</v>
      </c>
      <c r="C34" s="78">
        <v>2</v>
      </c>
      <c r="D34" s="83">
        <v>346.66</v>
      </c>
      <c r="E34" s="83">
        <v>30.99</v>
      </c>
      <c r="F34">
        <v>377.65000000000003</v>
      </c>
    </row>
    <row r="35" spans="1:6" x14ac:dyDescent="0.25">
      <c r="A35" t="s">
        <v>95</v>
      </c>
      <c r="B35" t="s">
        <v>96</v>
      </c>
      <c r="C35" s="78">
        <v>2</v>
      </c>
      <c r="D35" s="83">
        <v>346.66</v>
      </c>
      <c r="E35" s="83">
        <v>34.090000000000003</v>
      </c>
      <c r="F35">
        <v>380.75000000000006</v>
      </c>
    </row>
    <row r="36" spans="1:6" x14ac:dyDescent="0.25">
      <c r="A36" t="s">
        <v>98</v>
      </c>
      <c r="B36" t="s">
        <v>99</v>
      </c>
      <c r="C36" s="78">
        <v>1</v>
      </c>
      <c r="D36" s="83">
        <v>270.37</v>
      </c>
      <c r="E36" s="83">
        <v>0</v>
      </c>
      <c r="F36">
        <v>270.37</v>
      </c>
    </row>
    <row r="37" spans="1:6" x14ac:dyDescent="0.25">
      <c r="A37" t="s">
        <v>101</v>
      </c>
      <c r="B37" t="s">
        <v>102</v>
      </c>
      <c r="C37" s="78">
        <v>1</v>
      </c>
      <c r="D37" s="83">
        <v>270.37</v>
      </c>
      <c r="E37" s="83">
        <v>37.19</v>
      </c>
      <c r="F37">
        <v>307.56</v>
      </c>
    </row>
    <row r="38" spans="1:6" x14ac:dyDescent="0.25">
      <c r="A38" t="s">
        <v>104</v>
      </c>
      <c r="B38" t="s">
        <v>105</v>
      </c>
      <c r="C38" s="78">
        <v>1</v>
      </c>
      <c r="D38" s="83">
        <v>161.94999999999999</v>
      </c>
      <c r="E38" s="83">
        <v>24.79</v>
      </c>
      <c r="F38">
        <v>186.73999999999998</v>
      </c>
    </row>
    <row r="39" spans="1:6" x14ac:dyDescent="0.25">
      <c r="A39" t="s">
        <v>107</v>
      </c>
      <c r="B39" t="s">
        <v>108</v>
      </c>
      <c r="C39" s="78">
        <v>1</v>
      </c>
      <c r="D39" s="83">
        <v>161.94999999999999</v>
      </c>
      <c r="E39" s="83">
        <v>24.79</v>
      </c>
      <c r="F39">
        <v>186.73999999999998</v>
      </c>
    </row>
    <row r="40" spans="1:6" x14ac:dyDescent="0.25">
      <c r="A40" t="s">
        <v>110</v>
      </c>
      <c r="B40" t="s">
        <v>111</v>
      </c>
      <c r="C40" s="78">
        <v>1</v>
      </c>
      <c r="D40" s="83">
        <v>270.37</v>
      </c>
      <c r="E40" s="83">
        <v>18.59</v>
      </c>
      <c r="F40">
        <v>288.95999999999998</v>
      </c>
    </row>
    <row r="41" spans="1:6" x14ac:dyDescent="0.25">
      <c r="A41" t="s">
        <v>113</v>
      </c>
      <c r="B41" t="s">
        <v>114</v>
      </c>
      <c r="C41" s="78">
        <v>1</v>
      </c>
      <c r="D41" s="83">
        <v>270.37</v>
      </c>
      <c r="E41" s="83">
        <v>21.69</v>
      </c>
      <c r="F41">
        <v>292.06</v>
      </c>
    </row>
    <row r="42" spans="1:6" x14ac:dyDescent="0.25">
      <c r="A42" t="s">
        <v>116</v>
      </c>
      <c r="B42" t="s">
        <v>117</v>
      </c>
      <c r="C42" s="78">
        <v>1</v>
      </c>
      <c r="D42" s="83">
        <v>161.94999999999999</v>
      </c>
      <c r="E42" s="83">
        <v>12.4</v>
      </c>
      <c r="F42">
        <v>174.35</v>
      </c>
    </row>
    <row r="43" spans="1:6" x14ac:dyDescent="0.25">
      <c r="A43" t="s">
        <v>119</v>
      </c>
      <c r="B43" t="s">
        <v>120</v>
      </c>
      <c r="C43" s="78">
        <v>1</v>
      </c>
      <c r="D43" s="83">
        <v>22.09</v>
      </c>
      <c r="E43" s="83">
        <v>0</v>
      </c>
      <c r="F43">
        <v>22.09</v>
      </c>
    </row>
    <row r="44" spans="1:6" x14ac:dyDescent="0.25">
      <c r="A44" t="s">
        <v>122</v>
      </c>
      <c r="B44" t="s">
        <v>123</v>
      </c>
      <c r="C44" s="78">
        <v>2</v>
      </c>
      <c r="D44" s="83">
        <v>346.66</v>
      </c>
      <c r="E44" s="83">
        <v>24.79</v>
      </c>
      <c r="F44">
        <v>371.45000000000005</v>
      </c>
    </row>
    <row r="45" spans="1:6" x14ac:dyDescent="0.25">
      <c r="A45" t="s">
        <v>125</v>
      </c>
      <c r="B45" t="s">
        <v>126</v>
      </c>
      <c r="C45" s="78">
        <v>2</v>
      </c>
      <c r="D45" s="83">
        <v>346.66</v>
      </c>
      <c r="E45" s="83">
        <v>37.19</v>
      </c>
      <c r="F45">
        <v>383.85</v>
      </c>
    </row>
    <row r="46" spans="1:6" x14ac:dyDescent="0.25">
      <c r="A46" t="s">
        <v>128</v>
      </c>
      <c r="B46" t="s">
        <v>129</v>
      </c>
      <c r="C46" s="78">
        <v>2</v>
      </c>
      <c r="D46" s="83">
        <v>346.66</v>
      </c>
      <c r="E46" s="83">
        <v>21.69</v>
      </c>
      <c r="F46">
        <v>368.35</v>
      </c>
    </row>
    <row r="47" spans="1:6" x14ac:dyDescent="0.25">
      <c r="A47" t="s">
        <v>131</v>
      </c>
      <c r="B47" t="s">
        <v>132</v>
      </c>
      <c r="C47" s="78">
        <v>4</v>
      </c>
      <c r="D47" s="83">
        <v>800.38999999999987</v>
      </c>
      <c r="E47" s="83">
        <v>65.070000000000007</v>
      </c>
      <c r="F47">
        <v>865.45999999999992</v>
      </c>
    </row>
    <row r="48" spans="1:6" x14ac:dyDescent="0.25">
      <c r="A48" t="s">
        <v>134</v>
      </c>
      <c r="B48" t="s">
        <v>135</v>
      </c>
      <c r="C48" s="78">
        <v>2</v>
      </c>
      <c r="D48" s="83">
        <v>346.66</v>
      </c>
      <c r="E48" s="83">
        <v>34.090000000000003</v>
      </c>
      <c r="F48">
        <v>380.75000000000006</v>
      </c>
    </row>
    <row r="49" spans="1:6" x14ac:dyDescent="0.25">
      <c r="A49" t="s">
        <v>137</v>
      </c>
      <c r="B49" t="s">
        <v>716</v>
      </c>
      <c r="C49" s="78">
        <v>2</v>
      </c>
      <c r="D49" s="83">
        <v>346.66</v>
      </c>
      <c r="E49" s="83">
        <v>30.99</v>
      </c>
      <c r="F49">
        <v>377.65000000000003</v>
      </c>
    </row>
    <row r="50" spans="1:6" x14ac:dyDescent="0.25">
      <c r="A50" t="s">
        <v>140</v>
      </c>
      <c r="B50" t="s">
        <v>141</v>
      </c>
      <c r="C50" s="78">
        <v>2</v>
      </c>
      <c r="D50" s="83">
        <v>238.24</v>
      </c>
      <c r="E50" s="83">
        <v>12.4</v>
      </c>
      <c r="F50">
        <v>250.64</v>
      </c>
    </row>
    <row r="51" spans="1:6" x14ac:dyDescent="0.25">
      <c r="A51" t="s">
        <v>143</v>
      </c>
      <c r="B51" t="s">
        <v>144</v>
      </c>
      <c r="C51" s="78">
        <v>2</v>
      </c>
      <c r="D51" s="83">
        <v>346.66</v>
      </c>
      <c r="E51" s="83">
        <v>27.89</v>
      </c>
      <c r="F51">
        <v>374.55</v>
      </c>
    </row>
    <row r="52" spans="1:6" x14ac:dyDescent="0.25">
      <c r="A52" t="s">
        <v>146</v>
      </c>
      <c r="B52" t="s">
        <v>147</v>
      </c>
      <c r="C52" s="78">
        <v>1</v>
      </c>
      <c r="D52" s="83">
        <v>270.37</v>
      </c>
      <c r="E52" s="83">
        <v>55.78</v>
      </c>
      <c r="F52">
        <v>326.14999999999998</v>
      </c>
    </row>
    <row r="53" spans="1:6" x14ac:dyDescent="0.25">
      <c r="A53" t="s">
        <v>149</v>
      </c>
      <c r="B53" t="s">
        <v>150</v>
      </c>
      <c r="C53" s="78">
        <v>3</v>
      </c>
      <c r="D53" s="83">
        <v>368.75</v>
      </c>
      <c r="E53" s="83">
        <v>30.99</v>
      </c>
      <c r="F53">
        <v>399.74</v>
      </c>
    </row>
    <row r="54" spans="1:6" x14ac:dyDescent="0.25">
      <c r="A54" t="s">
        <v>152</v>
      </c>
      <c r="B54" t="s">
        <v>153</v>
      </c>
      <c r="C54" s="78">
        <v>1</v>
      </c>
      <c r="D54" s="83">
        <v>161.94999999999999</v>
      </c>
      <c r="E54" s="83">
        <v>0</v>
      </c>
      <c r="F54">
        <v>161.94999999999999</v>
      </c>
    </row>
    <row r="55" spans="1:6" x14ac:dyDescent="0.25">
      <c r="A55" t="s">
        <v>155</v>
      </c>
      <c r="B55" t="s">
        <v>156</v>
      </c>
      <c r="C55" s="78">
        <v>1</v>
      </c>
      <c r="D55" s="83">
        <v>270.37</v>
      </c>
      <c r="E55" s="83">
        <v>18.59</v>
      </c>
      <c r="F55">
        <v>288.95999999999998</v>
      </c>
    </row>
    <row r="56" spans="1:6" x14ac:dyDescent="0.25">
      <c r="A56" t="s">
        <v>158</v>
      </c>
      <c r="B56" t="s">
        <v>159</v>
      </c>
      <c r="C56" s="78">
        <v>1</v>
      </c>
      <c r="D56" s="83">
        <v>270.37</v>
      </c>
      <c r="E56" s="83">
        <v>40.29</v>
      </c>
      <c r="F56">
        <v>310.66000000000003</v>
      </c>
    </row>
    <row r="57" spans="1:6" x14ac:dyDescent="0.25">
      <c r="A57" t="s">
        <v>161</v>
      </c>
      <c r="B57" t="s">
        <v>162</v>
      </c>
      <c r="C57" s="78">
        <v>2</v>
      </c>
      <c r="D57" s="83">
        <v>346.66</v>
      </c>
      <c r="E57" s="83">
        <v>34.090000000000003</v>
      </c>
      <c r="F57">
        <v>380.75000000000006</v>
      </c>
    </row>
    <row r="58" spans="1:6" x14ac:dyDescent="0.25">
      <c r="A58" t="s">
        <v>164</v>
      </c>
      <c r="B58" t="s">
        <v>165</v>
      </c>
      <c r="C58" s="78">
        <v>2</v>
      </c>
      <c r="D58" s="83">
        <v>346.66</v>
      </c>
      <c r="E58" s="83">
        <v>21.69</v>
      </c>
      <c r="F58">
        <v>368.35</v>
      </c>
    </row>
    <row r="59" spans="1:6" x14ac:dyDescent="0.25">
      <c r="A59" t="s">
        <v>167</v>
      </c>
      <c r="B59" t="s">
        <v>168</v>
      </c>
      <c r="C59" s="78">
        <v>2</v>
      </c>
      <c r="D59" s="83">
        <v>346.66</v>
      </c>
      <c r="E59" s="83">
        <v>21.69</v>
      </c>
      <c r="F59">
        <v>368.35</v>
      </c>
    </row>
    <row r="60" spans="1:6" x14ac:dyDescent="0.25">
      <c r="A60" t="s">
        <v>170</v>
      </c>
      <c r="B60" t="s">
        <v>171</v>
      </c>
      <c r="C60" s="78">
        <v>2</v>
      </c>
      <c r="D60" s="83">
        <v>346.66</v>
      </c>
      <c r="E60" s="83">
        <v>21.69</v>
      </c>
      <c r="F60">
        <v>368.35</v>
      </c>
    </row>
    <row r="61" spans="1:6" x14ac:dyDescent="0.25">
      <c r="A61" t="s">
        <v>173</v>
      </c>
      <c r="B61" t="s">
        <v>174</v>
      </c>
      <c r="C61" s="78">
        <v>1</v>
      </c>
      <c r="D61" s="83">
        <v>270.37</v>
      </c>
      <c r="E61" s="83">
        <v>27.89</v>
      </c>
      <c r="F61">
        <v>298.26</v>
      </c>
    </row>
    <row r="62" spans="1:6" x14ac:dyDescent="0.25">
      <c r="A62" t="s">
        <v>176</v>
      </c>
      <c r="B62" t="s">
        <v>177</v>
      </c>
      <c r="C62" s="78">
        <v>2</v>
      </c>
      <c r="D62" s="83">
        <v>417.59000000000003</v>
      </c>
      <c r="E62" s="83">
        <v>3.1</v>
      </c>
      <c r="F62">
        <v>420.69000000000005</v>
      </c>
    </row>
    <row r="63" spans="1:6" x14ac:dyDescent="0.25">
      <c r="A63" t="s">
        <v>179</v>
      </c>
      <c r="B63" t="s">
        <v>180</v>
      </c>
      <c r="C63" s="78">
        <v>3</v>
      </c>
      <c r="D63" s="83">
        <v>422.95000000000005</v>
      </c>
      <c r="E63" s="83">
        <v>34.090000000000003</v>
      </c>
      <c r="F63">
        <v>457.04000000000008</v>
      </c>
    </row>
    <row r="64" spans="1:6" x14ac:dyDescent="0.25">
      <c r="A64" t="s">
        <v>182</v>
      </c>
      <c r="B64" t="s">
        <v>183</v>
      </c>
      <c r="C64" s="78">
        <v>1</v>
      </c>
      <c r="D64" s="83">
        <v>76.290000000000006</v>
      </c>
      <c r="E64" s="83">
        <v>0</v>
      </c>
      <c r="F64">
        <v>76.290000000000006</v>
      </c>
    </row>
    <row r="65" spans="1:6" x14ac:dyDescent="0.25">
      <c r="A65" t="s">
        <v>185</v>
      </c>
      <c r="B65" t="s">
        <v>186</v>
      </c>
      <c r="C65" s="78">
        <v>2</v>
      </c>
      <c r="D65" s="83">
        <v>346.66</v>
      </c>
      <c r="E65" s="83">
        <v>28.93</v>
      </c>
      <c r="F65">
        <v>375.59000000000003</v>
      </c>
    </row>
    <row r="66" spans="1:6" x14ac:dyDescent="0.25">
      <c r="A66" t="s">
        <v>188</v>
      </c>
      <c r="B66" t="s">
        <v>189</v>
      </c>
      <c r="C66" s="78">
        <v>2</v>
      </c>
      <c r="D66" s="83">
        <v>346.66</v>
      </c>
      <c r="E66" s="83">
        <v>18.59</v>
      </c>
      <c r="F66">
        <v>365.25</v>
      </c>
    </row>
    <row r="67" spans="1:6" x14ac:dyDescent="0.25">
      <c r="A67" t="s">
        <v>191</v>
      </c>
      <c r="B67" t="s">
        <v>192</v>
      </c>
      <c r="C67" s="78">
        <v>2</v>
      </c>
      <c r="D67" s="83">
        <v>346.66</v>
      </c>
      <c r="E67" s="83">
        <v>6.2</v>
      </c>
      <c r="F67">
        <v>352.86</v>
      </c>
    </row>
    <row r="68" spans="1:6" x14ac:dyDescent="0.25">
      <c r="A68" t="s">
        <v>194</v>
      </c>
      <c r="B68" t="s">
        <v>195</v>
      </c>
      <c r="C68" s="78">
        <v>3</v>
      </c>
      <c r="D68" s="83">
        <v>699.33</v>
      </c>
      <c r="E68" s="83">
        <v>34.090000000000003</v>
      </c>
      <c r="F68">
        <v>733.42000000000007</v>
      </c>
    </row>
    <row r="69" spans="1:6" x14ac:dyDescent="0.25">
      <c r="A69" t="s">
        <v>197</v>
      </c>
      <c r="B69" t="s">
        <v>198</v>
      </c>
      <c r="C69" s="78">
        <v>2</v>
      </c>
      <c r="D69" s="83">
        <v>346.66</v>
      </c>
      <c r="E69" s="83">
        <v>21.69</v>
      </c>
      <c r="F69">
        <v>368.35</v>
      </c>
    </row>
    <row r="70" spans="1:6" x14ac:dyDescent="0.25">
      <c r="A70" t="s">
        <v>200</v>
      </c>
      <c r="B70" t="s">
        <v>201</v>
      </c>
      <c r="C70" s="78">
        <v>2</v>
      </c>
      <c r="D70" s="83">
        <v>346.66</v>
      </c>
      <c r="E70" s="83">
        <v>46.48</v>
      </c>
      <c r="F70">
        <v>393.14000000000004</v>
      </c>
    </row>
    <row r="71" spans="1:6" x14ac:dyDescent="0.25">
      <c r="A71" t="s">
        <v>203</v>
      </c>
      <c r="B71" t="s">
        <v>204</v>
      </c>
      <c r="C71" s="78">
        <v>2</v>
      </c>
      <c r="D71" s="83">
        <v>238.24</v>
      </c>
      <c r="E71" s="83">
        <v>9.3000000000000007</v>
      </c>
      <c r="F71">
        <v>247.54000000000002</v>
      </c>
    </row>
    <row r="72" spans="1:6" x14ac:dyDescent="0.25">
      <c r="A72" t="s">
        <v>206</v>
      </c>
      <c r="B72" t="s">
        <v>207</v>
      </c>
      <c r="C72" s="78">
        <v>1</v>
      </c>
      <c r="D72" s="83">
        <v>270.37</v>
      </c>
      <c r="E72" s="83">
        <v>30.99</v>
      </c>
      <c r="F72">
        <v>301.36</v>
      </c>
    </row>
    <row r="73" spans="1:6" x14ac:dyDescent="0.25">
      <c r="A73" t="s">
        <v>209</v>
      </c>
      <c r="B73" t="s">
        <v>210</v>
      </c>
      <c r="C73" s="78">
        <v>1</v>
      </c>
      <c r="D73" s="83">
        <v>161.94999999999999</v>
      </c>
      <c r="E73" s="83">
        <v>9.3000000000000007</v>
      </c>
      <c r="F73">
        <v>171.25</v>
      </c>
    </row>
    <row r="74" spans="1:6" x14ac:dyDescent="0.25">
      <c r="A74" t="s">
        <v>212</v>
      </c>
      <c r="B74" t="s">
        <v>213</v>
      </c>
      <c r="C74" s="78">
        <v>1</v>
      </c>
      <c r="D74" s="83">
        <v>161.94999999999999</v>
      </c>
      <c r="E74" s="83">
        <v>15.49</v>
      </c>
      <c r="F74">
        <v>177.44</v>
      </c>
    </row>
    <row r="75" spans="1:6" x14ac:dyDescent="0.25">
      <c r="A75" t="s">
        <v>215</v>
      </c>
      <c r="B75" t="s">
        <v>216</v>
      </c>
      <c r="C75" s="78">
        <v>1</v>
      </c>
      <c r="D75" s="83">
        <v>270.37</v>
      </c>
      <c r="E75" s="83">
        <v>34.090000000000003</v>
      </c>
      <c r="F75">
        <v>304.46000000000004</v>
      </c>
    </row>
    <row r="76" spans="1:6" x14ac:dyDescent="0.25">
      <c r="A76" t="s">
        <v>218</v>
      </c>
      <c r="B76" t="s">
        <v>737</v>
      </c>
      <c r="C76" s="78">
        <v>2</v>
      </c>
      <c r="D76" s="83">
        <v>346.66</v>
      </c>
      <c r="E76" s="83">
        <v>24.79</v>
      </c>
      <c r="F76">
        <v>371.45000000000005</v>
      </c>
    </row>
    <row r="77" spans="1:6" x14ac:dyDescent="0.25">
      <c r="A77" t="s">
        <v>221</v>
      </c>
      <c r="B77" t="s">
        <v>222</v>
      </c>
      <c r="C77" s="78">
        <v>1</v>
      </c>
      <c r="D77" s="83">
        <v>161.94999999999999</v>
      </c>
      <c r="E77" s="83">
        <v>3.1</v>
      </c>
      <c r="F77">
        <v>165.04999999999998</v>
      </c>
    </row>
    <row r="78" spans="1:6" x14ac:dyDescent="0.25">
      <c r="A78" t="s">
        <v>224</v>
      </c>
      <c r="B78" t="s">
        <v>225</v>
      </c>
      <c r="C78" s="78">
        <v>2</v>
      </c>
      <c r="D78" s="83">
        <v>346.66</v>
      </c>
      <c r="E78" s="83">
        <v>9.3000000000000007</v>
      </c>
      <c r="F78">
        <v>355.96000000000004</v>
      </c>
    </row>
    <row r="79" spans="1:6" x14ac:dyDescent="0.25">
      <c r="A79" t="s">
        <v>227</v>
      </c>
      <c r="B79" t="s">
        <v>228</v>
      </c>
      <c r="C79" s="78">
        <v>5</v>
      </c>
      <c r="D79" s="83">
        <v>467.13</v>
      </c>
      <c r="E79" s="83">
        <v>27.89</v>
      </c>
      <c r="F79">
        <v>495.02</v>
      </c>
    </row>
    <row r="80" spans="1:6" x14ac:dyDescent="0.25">
      <c r="A80" t="s">
        <v>230</v>
      </c>
      <c r="B80" t="s">
        <v>231</v>
      </c>
      <c r="C80" s="78">
        <v>2</v>
      </c>
      <c r="D80" s="83">
        <v>417.59000000000003</v>
      </c>
      <c r="E80" s="83">
        <v>52.68</v>
      </c>
      <c r="F80">
        <v>470.27000000000004</v>
      </c>
    </row>
    <row r="81" spans="1:6" x14ac:dyDescent="0.25">
      <c r="A81" t="s">
        <v>233</v>
      </c>
      <c r="B81" t="s">
        <v>234</v>
      </c>
      <c r="C81" s="78">
        <v>2</v>
      </c>
      <c r="D81" s="83">
        <v>346.66</v>
      </c>
      <c r="E81" s="83">
        <v>58.88</v>
      </c>
      <c r="F81">
        <v>405.54</v>
      </c>
    </row>
    <row r="82" spans="1:6" x14ac:dyDescent="0.25">
      <c r="A82" t="s">
        <v>236</v>
      </c>
      <c r="B82" t="s">
        <v>237</v>
      </c>
      <c r="C82" s="78">
        <v>2</v>
      </c>
      <c r="D82" s="83">
        <v>346.66</v>
      </c>
      <c r="E82" s="83">
        <v>46.48</v>
      </c>
      <c r="F82">
        <v>393.14000000000004</v>
      </c>
    </row>
    <row r="83" spans="1:6" x14ac:dyDescent="0.25">
      <c r="A83" t="s">
        <v>239</v>
      </c>
      <c r="B83" t="s">
        <v>240</v>
      </c>
      <c r="C83" s="78">
        <v>3</v>
      </c>
      <c r="D83" s="83">
        <v>260.33</v>
      </c>
      <c r="E83" s="83">
        <v>0</v>
      </c>
      <c r="F83">
        <v>260.33</v>
      </c>
    </row>
    <row r="84" spans="1:6" x14ac:dyDescent="0.25">
      <c r="A84" t="s">
        <v>242</v>
      </c>
      <c r="B84" t="s">
        <v>243</v>
      </c>
      <c r="C84" s="78">
        <v>2</v>
      </c>
      <c r="D84" s="83">
        <v>346.66</v>
      </c>
      <c r="E84" s="83">
        <v>12.4</v>
      </c>
      <c r="F84">
        <v>359.06</v>
      </c>
    </row>
    <row r="85" spans="1:6" x14ac:dyDescent="0.25">
      <c r="A85" t="s">
        <v>245</v>
      </c>
      <c r="B85" t="s">
        <v>246</v>
      </c>
      <c r="C85" s="78">
        <v>1</v>
      </c>
      <c r="D85" s="83">
        <v>161.94999999999999</v>
      </c>
      <c r="E85" s="83">
        <v>9.3000000000000007</v>
      </c>
      <c r="F85">
        <v>171.25</v>
      </c>
    </row>
    <row r="86" spans="1:6" x14ac:dyDescent="0.25">
      <c r="A86" t="s">
        <v>248</v>
      </c>
      <c r="B86" t="s">
        <v>249</v>
      </c>
      <c r="C86" s="78">
        <v>1</v>
      </c>
      <c r="D86" s="83">
        <v>161.94999999999999</v>
      </c>
      <c r="E86" s="83">
        <v>6.2</v>
      </c>
      <c r="F86">
        <v>168.14999999999998</v>
      </c>
    </row>
    <row r="87" spans="1:6" x14ac:dyDescent="0.25">
      <c r="A87" t="s">
        <v>251</v>
      </c>
      <c r="B87" t="s">
        <v>252</v>
      </c>
      <c r="C87" s="78">
        <v>2</v>
      </c>
      <c r="D87" s="83">
        <v>346.66</v>
      </c>
      <c r="E87" s="83">
        <v>30.99</v>
      </c>
      <c r="F87">
        <v>377.65000000000003</v>
      </c>
    </row>
    <row r="88" spans="1:6" x14ac:dyDescent="0.25">
      <c r="A88" t="s">
        <v>254</v>
      </c>
      <c r="B88" t="s">
        <v>255</v>
      </c>
      <c r="C88" s="78">
        <v>1</v>
      </c>
      <c r="D88" s="83">
        <v>76.290000000000006</v>
      </c>
      <c r="E88" s="83">
        <v>0</v>
      </c>
      <c r="F88">
        <v>76.290000000000006</v>
      </c>
    </row>
    <row r="89" spans="1:6" x14ac:dyDescent="0.25">
      <c r="A89" t="s">
        <v>257</v>
      </c>
      <c r="B89" t="s">
        <v>258</v>
      </c>
      <c r="C89" s="78">
        <v>2</v>
      </c>
      <c r="D89" s="83">
        <v>346.66</v>
      </c>
      <c r="E89" s="83">
        <v>58.88</v>
      </c>
      <c r="F89">
        <v>405.54</v>
      </c>
    </row>
    <row r="90" spans="1:6" x14ac:dyDescent="0.25">
      <c r="A90" t="s">
        <v>260</v>
      </c>
      <c r="B90" t="s">
        <v>261</v>
      </c>
      <c r="C90" s="78">
        <v>2</v>
      </c>
      <c r="D90" s="83">
        <v>346.66</v>
      </c>
      <c r="E90" s="83">
        <v>24.79</v>
      </c>
      <c r="F90">
        <v>371.45000000000005</v>
      </c>
    </row>
    <row r="91" spans="1:6" x14ac:dyDescent="0.25">
      <c r="A91" t="s">
        <v>263</v>
      </c>
      <c r="B91" t="s">
        <v>264</v>
      </c>
      <c r="C91" s="78">
        <v>2</v>
      </c>
      <c r="D91" s="83">
        <v>346.66</v>
      </c>
      <c r="E91" s="83">
        <v>9.3000000000000007</v>
      </c>
      <c r="F91">
        <v>355.96000000000004</v>
      </c>
    </row>
    <row r="92" spans="1:6" x14ac:dyDescent="0.25">
      <c r="A92" t="s">
        <v>266</v>
      </c>
      <c r="B92" t="s">
        <v>267</v>
      </c>
      <c r="C92" s="78">
        <v>2</v>
      </c>
      <c r="D92" s="83">
        <v>184.04</v>
      </c>
      <c r="E92" s="83">
        <v>0</v>
      </c>
      <c r="F92">
        <v>184.04</v>
      </c>
    </row>
    <row r="93" spans="1:6" x14ac:dyDescent="0.25">
      <c r="A93" t="s">
        <v>269</v>
      </c>
      <c r="B93" t="s">
        <v>270</v>
      </c>
      <c r="C93" s="78">
        <v>2</v>
      </c>
      <c r="D93" s="83">
        <v>346.66</v>
      </c>
      <c r="E93" s="83">
        <v>49.58</v>
      </c>
      <c r="F93">
        <v>396.24</v>
      </c>
    </row>
    <row r="94" spans="1:6" x14ac:dyDescent="0.25">
      <c r="A94" t="s">
        <v>272</v>
      </c>
      <c r="B94" t="s">
        <v>273</v>
      </c>
      <c r="C94" s="78">
        <v>1</v>
      </c>
      <c r="D94" s="83">
        <v>270.37</v>
      </c>
      <c r="E94" s="83">
        <v>0</v>
      </c>
      <c r="F94">
        <v>270.37</v>
      </c>
    </row>
    <row r="95" spans="1:6" x14ac:dyDescent="0.25">
      <c r="A95" t="s">
        <v>275</v>
      </c>
      <c r="B95" t="s">
        <v>276</v>
      </c>
      <c r="C95" s="78">
        <v>2</v>
      </c>
      <c r="D95" s="83">
        <v>238.24</v>
      </c>
      <c r="E95" s="83">
        <v>6.2</v>
      </c>
      <c r="F95">
        <v>244.44</v>
      </c>
    </row>
    <row r="96" spans="1:6" x14ac:dyDescent="0.25">
      <c r="A96" t="s">
        <v>278</v>
      </c>
      <c r="B96" t="s">
        <v>279</v>
      </c>
      <c r="C96" s="78">
        <v>2</v>
      </c>
      <c r="D96" s="83">
        <v>346.66</v>
      </c>
      <c r="E96" s="83">
        <v>12.4</v>
      </c>
      <c r="F96">
        <v>359.06</v>
      </c>
    </row>
    <row r="97" spans="1:6" x14ac:dyDescent="0.25">
      <c r="A97" t="s">
        <v>281</v>
      </c>
      <c r="B97" t="s">
        <v>282</v>
      </c>
      <c r="C97" s="78">
        <v>2</v>
      </c>
      <c r="D97" s="83">
        <v>238.24</v>
      </c>
      <c r="E97" s="83">
        <v>9.3000000000000007</v>
      </c>
      <c r="F97">
        <v>247.54000000000002</v>
      </c>
    </row>
    <row r="98" spans="1:6" x14ac:dyDescent="0.25">
      <c r="A98" t="s">
        <v>284</v>
      </c>
      <c r="B98" t="s">
        <v>285</v>
      </c>
      <c r="C98" s="78">
        <v>2</v>
      </c>
      <c r="D98" s="83">
        <v>238.24</v>
      </c>
      <c r="E98" s="83">
        <v>12.4</v>
      </c>
      <c r="F98">
        <v>250.64</v>
      </c>
    </row>
    <row r="99" spans="1:6" x14ac:dyDescent="0.25">
      <c r="A99" t="s">
        <v>287</v>
      </c>
      <c r="B99" t="s">
        <v>288</v>
      </c>
      <c r="C99" s="78">
        <v>1</v>
      </c>
      <c r="D99" s="83">
        <v>270.37</v>
      </c>
      <c r="E99" s="83">
        <v>9.3000000000000007</v>
      </c>
      <c r="F99">
        <v>279.67</v>
      </c>
    </row>
    <row r="100" spans="1:6" x14ac:dyDescent="0.25">
      <c r="A100" t="s">
        <v>290</v>
      </c>
      <c r="B100" t="s">
        <v>291</v>
      </c>
      <c r="C100" s="78">
        <v>2</v>
      </c>
      <c r="D100" s="83">
        <v>346.66</v>
      </c>
      <c r="E100" s="83">
        <v>0</v>
      </c>
      <c r="F100">
        <v>346.66</v>
      </c>
    </row>
    <row r="101" spans="1:6" x14ac:dyDescent="0.25">
      <c r="A101" t="s">
        <v>293</v>
      </c>
      <c r="B101" t="s">
        <v>294</v>
      </c>
      <c r="C101" s="78">
        <v>5</v>
      </c>
      <c r="D101" s="83">
        <v>606.9899999999999</v>
      </c>
      <c r="E101" s="83">
        <v>195.23</v>
      </c>
      <c r="F101">
        <v>802.21999999999991</v>
      </c>
    </row>
    <row r="102" spans="1:6" x14ac:dyDescent="0.25">
      <c r="A102" t="s">
        <v>296</v>
      </c>
      <c r="B102" t="s">
        <v>297</v>
      </c>
      <c r="C102" s="78">
        <v>1</v>
      </c>
      <c r="D102" s="83">
        <v>270.37</v>
      </c>
      <c r="E102" s="83">
        <v>18.59</v>
      </c>
      <c r="F102">
        <v>288.95999999999998</v>
      </c>
    </row>
    <row r="103" spans="1:6" x14ac:dyDescent="0.25">
      <c r="A103" t="s">
        <v>299</v>
      </c>
      <c r="B103" t="s">
        <v>300</v>
      </c>
      <c r="C103" s="78">
        <v>2</v>
      </c>
      <c r="D103" s="83">
        <v>346.66</v>
      </c>
      <c r="E103" s="83">
        <v>21.69</v>
      </c>
      <c r="F103">
        <v>368.35</v>
      </c>
    </row>
    <row r="104" spans="1:6" x14ac:dyDescent="0.25">
      <c r="A104" t="s">
        <v>302</v>
      </c>
      <c r="B104" t="s">
        <v>303</v>
      </c>
      <c r="C104" s="78">
        <v>3</v>
      </c>
      <c r="D104" s="83">
        <v>493.88000000000005</v>
      </c>
      <c r="E104" s="83">
        <v>3.1</v>
      </c>
      <c r="F104">
        <v>496.98000000000008</v>
      </c>
    </row>
    <row r="105" spans="1:6" x14ac:dyDescent="0.25">
      <c r="A105" t="s">
        <v>305</v>
      </c>
      <c r="B105" t="s">
        <v>306</v>
      </c>
      <c r="C105" s="78">
        <v>3</v>
      </c>
      <c r="D105" s="83">
        <v>493.88000000000005</v>
      </c>
      <c r="E105" s="83">
        <v>37.19</v>
      </c>
      <c r="F105">
        <v>531.07000000000005</v>
      </c>
    </row>
    <row r="106" spans="1:6" x14ac:dyDescent="0.25">
      <c r="A106" t="s">
        <v>308</v>
      </c>
      <c r="B106" t="s">
        <v>309</v>
      </c>
      <c r="C106" s="78">
        <v>1</v>
      </c>
      <c r="D106" s="83">
        <v>161.94999999999999</v>
      </c>
      <c r="E106" s="83">
        <v>0</v>
      </c>
      <c r="F106">
        <v>161.94999999999999</v>
      </c>
    </row>
    <row r="107" spans="1:6" x14ac:dyDescent="0.25">
      <c r="A107" t="s">
        <v>311</v>
      </c>
      <c r="B107" t="s">
        <v>312</v>
      </c>
      <c r="C107" s="78">
        <v>2</v>
      </c>
      <c r="D107" s="83">
        <v>346.66</v>
      </c>
      <c r="E107" s="83">
        <v>21.69</v>
      </c>
      <c r="F107">
        <v>368.35</v>
      </c>
    </row>
    <row r="108" spans="1:6" x14ac:dyDescent="0.25">
      <c r="A108" t="s">
        <v>314</v>
      </c>
      <c r="B108" t="s">
        <v>315</v>
      </c>
      <c r="C108" s="78">
        <v>1</v>
      </c>
      <c r="D108" s="83">
        <v>161.94999999999999</v>
      </c>
      <c r="E108" s="83">
        <v>18.59</v>
      </c>
      <c r="F108">
        <v>180.54</v>
      </c>
    </row>
    <row r="109" spans="1:6" x14ac:dyDescent="0.25">
      <c r="A109" t="s">
        <v>317</v>
      </c>
      <c r="B109" t="s">
        <v>318</v>
      </c>
      <c r="C109" s="78">
        <v>3</v>
      </c>
      <c r="D109" s="83">
        <v>314.53000000000003</v>
      </c>
      <c r="E109" s="83">
        <v>12.4</v>
      </c>
      <c r="F109">
        <v>326.93</v>
      </c>
    </row>
    <row r="110" spans="1:6" x14ac:dyDescent="0.25">
      <c r="A110" t="s">
        <v>320</v>
      </c>
      <c r="B110" t="s">
        <v>321</v>
      </c>
      <c r="C110" s="78">
        <v>2</v>
      </c>
      <c r="D110" s="83">
        <v>346.66</v>
      </c>
      <c r="E110" s="83">
        <v>40.29</v>
      </c>
      <c r="F110">
        <v>386.95000000000005</v>
      </c>
    </row>
    <row r="111" spans="1:6" x14ac:dyDescent="0.25">
      <c r="A111" t="s">
        <v>323</v>
      </c>
      <c r="B111" t="s">
        <v>324</v>
      </c>
      <c r="C111" s="78">
        <v>1</v>
      </c>
      <c r="D111" s="83">
        <v>76.290000000000006</v>
      </c>
      <c r="E111" s="83">
        <v>0</v>
      </c>
      <c r="F111">
        <v>76.290000000000006</v>
      </c>
    </row>
    <row r="112" spans="1:6" x14ac:dyDescent="0.25">
      <c r="A112" t="s">
        <v>326</v>
      </c>
      <c r="B112" t="s">
        <v>327</v>
      </c>
      <c r="C112" s="78">
        <v>1</v>
      </c>
      <c r="D112" s="83">
        <v>270.37</v>
      </c>
      <c r="E112" s="83">
        <v>12.4</v>
      </c>
      <c r="F112">
        <v>282.77</v>
      </c>
    </row>
    <row r="113" spans="1:6" x14ac:dyDescent="0.25">
      <c r="A113" t="s">
        <v>329</v>
      </c>
      <c r="B113" t="s">
        <v>330</v>
      </c>
      <c r="C113" s="78">
        <v>2</v>
      </c>
      <c r="D113" s="83">
        <v>238.24</v>
      </c>
      <c r="E113" s="83">
        <v>18.59</v>
      </c>
      <c r="F113">
        <v>256.83</v>
      </c>
    </row>
    <row r="114" spans="1:6" x14ac:dyDescent="0.25">
      <c r="A114" t="s">
        <v>332</v>
      </c>
      <c r="B114" t="s">
        <v>333</v>
      </c>
      <c r="C114" s="78">
        <v>2</v>
      </c>
      <c r="D114" s="83">
        <v>238.24</v>
      </c>
      <c r="E114" s="83">
        <v>18.59</v>
      </c>
      <c r="F114">
        <v>256.83</v>
      </c>
    </row>
    <row r="115" spans="1:6" x14ac:dyDescent="0.25">
      <c r="A115" t="s">
        <v>335</v>
      </c>
      <c r="B115" t="s">
        <v>336</v>
      </c>
      <c r="C115" s="78">
        <v>2</v>
      </c>
      <c r="D115" s="83">
        <v>417.59000000000003</v>
      </c>
      <c r="E115" s="83">
        <v>65.08</v>
      </c>
      <c r="F115">
        <v>482.67</v>
      </c>
    </row>
    <row r="116" spans="1:6" x14ac:dyDescent="0.25">
      <c r="A116" t="s">
        <v>338</v>
      </c>
      <c r="B116" t="s">
        <v>339</v>
      </c>
      <c r="C116" s="78">
        <v>2</v>
      </c>
      <c r="D116" s="83">
        <v>238.24</v>
      </c>
      <c r="E116" s="83">
        <v>27.89</v>
      </c>
      <c r="F116">
        <v>266.13</v>
      </c>
    </row>
    <row r="117" spans="1:6" x14ac:dyDescent="0.25">
      <c r="A117" t="s">
        <v>341</v>
      </c>
      <c r="B117" t="s">
        <v>342</v>
      </c>
      <c r="C117" s="78">
        <v>3</v>
      </c>
      <c r="D117" s="83">
        <v>422.95000000000005</v>
      </c>
      <c r="E117" s="83">
        <v>3.1</v>
      </c>
      <c r="F117">
        <v>426.05000000000007</v>
      </c>
    </row>
    <row r="118" spans="1:6" x14ac:dyDescent="0.25">
      <c r="A118" t="s">
        <v>344</v>
      </c>
      <c r="B118" t="s">
        <v>345</v>
      </c>
      <c r="C118" s="78">
        <v>1</v>
      </c>
      <c r="D118" s="83">
        <v>270.37</v>
      </c>
      <c r="E118" s="83">
        <v>21.69</v>
      </c>
      <c r="F118">
        <v>292.06</v>
      </c>
    </row>
    <row r="119" spans="1:6" x14ac:dyDescent="0.25">
      <c r="A119" t="s">
        <v>347</v>
      </c>
      <c r="B119" t="s">
        <v>348</v>
      </c>
      <c r="C119" s="78">
        <v>2</v>
      </c>
      <c r="D119" s="83">
        <v>346.66</v>
      </c>
      <c r="E119" s="83">
        <v>40.29</v>
      </c>
      <c r="F119">
        <v>386.95000000000005</v>
      </c>
    </row>
    <row r="120" spans="1:6" x14ac:dyDescent="0.25">
      <c r="A120" t="s">
        <v>350</v>
      </c>
      <c r="B120" t="s">
        <v>351</v>
      </c>
      <c r="C120" s="78">
        <v>3</v>
      </c>
      <c r="D120" s="83">
        <v>228.87</v>
      </c>
      <c r="E120" s="83">
        <v>0</v>
      </c>
      <c r="F120">
        <v>228.87</v>
      </c>
    </row>
    <row r="121" spans="1:6" x14ac:dyDescent="0.25">
      <c r="A121" t="s">
        <v>353</v>
      </c>
      <c r="B121" t="s">
        <v>354</v>
      </c>
      <c r="C121" s="78">
        <v>1</v>
      </c>
      <c r="D121" s="83">
        <v>270.37</v>
      </c>
      <c r="E121" s="83">
        <v>43.38</v>
      </c>
      <c r="F121">
        <v>313.75</v>
      </c>
    </row>
    <row r="122" spans="1:6" x14ac:dyDescent="0.25">
      <c r="A122" t="s">
        <v>356</v>
      </c>
      <c r="B122" t="s">
        <v>357</v>
      </c>
      <c r="C122" s="78">
        <v>2</v>
      </c>
      <c r="D122" s="83">
        <v>346.66</v>
      </c>
      <c r="E122" s="83">
        <v>9.3000000000000007</v>
      </c>
      <c r="F122">
        <v>355.96000000000004</v>
      </c>
    </row>
    <row r="123" spans="1:6" x14ac:dyDescent="0.25">
      <c r="A123" t="s">
        <v>359</v>
      </c>
      <c r="B123" t="s">
        <v>360</v>
      </c>
      <c r="C123" s="78">
        <v>2</v>
      </c>
      <c r="D123" s="83">
        <v>417.59000000000003</v>
      </c>
      <c r="E123" s="83">
        <v>34.090000000000003</v>
      </c>
      <c r="F123">
        <v>451.68</v>
      </c>
    </row>
    <row r="124" spans="1:6" x14ac:dyDescent="0.25">
      <c r="A124" t="s">
        <v>362</v>
      </c>
      <c r="B124" t="s">
        <v>363</v>
      </c>
      <c r="C124" s="78">
        <v>2</v>
      </c>
      <c r="D124" s="83">
        <v>346.66</v>
      </c>
      <c r="E124" s="83">
        <v>24.79</v>
      </c>
      <c r="F124">
        <v>371.45000000000005</v>
      </c>
    </row>
    <row r="125" spans="1:6" x14ac:dyDescent="0.25">
      <c r="A125" t="s">
        <v>365</v>
      </c>
      <c r="B125" t="s">
        <v>366</v>
      </c>
      <c r="C125" s="78">
        <v>1</v>
      </c>
      <c r="D125" s="83">
        <v>161.94999999999999</v>
      </c>
      <c r="E125" s="83">
        <v>9.3000000000000007</v>
      </c>
      <c r="F125">
        <v>171.25</v>
      </c>
    </row>
    <row r="126" spans="1:6" x14ac:dyDescent="0.25">
      <c r="A126" t="s">
        <v>368</v>
      </c>
      <c r="B126" t="s">
        <v>369</v>
      </c>
      <c r="C126" s="78">
        <v>1</v>
      </c>
      <c r="D126" s="83">
        <v>161.94999999999999</v>
      </c>
      <c r="E126" s="83">
        <v>9.3000000000000007</v>
      </c>
      <c r="F126">
        <v>171.25</v>
      </c>
    </row>
    <row r="127" spans="1:6" x14ac:dyDescent="0.25">
      <c r="A127" t="s">
        <v>371</v>
      </c>
      <c r="B127" t="s">
        <v>372</v>
      </c>
      <c r="C127" s="78">
        <v>2</v>
      </c>
      <c r="D127" s="83">
        <v>238.24</v>
      </c>
      <c r="E127" s="83">
        <v>12.4</v>
      </c>
      <c r="F127">
        <v>250.64</v>
      </c>
    </row>
    <row r="128" spans="1:6" x14ac:dyDescent="0.25">
      <c r="A128" t="s">
        <v>374</v>
      </c>
      <c r="B128" t="s">
        <v>375</v>
      </c>
      <c r="C128" s="78">
        <v>1</v>
      </c>
      <c r="D128" s="83">
        <v>270.37</v>
      </c>
      <c r="E128" s="83">
        <v>24.79</v>
      </c>
      <c r="F128">
        <v>295.16000000000003</v>
      </c>
    </row>
    <row r="129" spans="1:6" x14ac:dyDescent="0.25">
      <c r="A129" t="s">
        <v>377</v>
      </c>
      <c r="B129" t="s">
        <v>378</v>
      </c>
      <c r="C129" s="78">
        <v>1</v>
      </c>
      <c r="D129" s="83">
        <v>161.94999999999999</v>
      </c>
      <c r="E129" s="83">
        <v>0</v>
      </c>
      <c r="F129">
        <v>161.94999999999999</v>
      </c>
    </row>
    <row r="130" spans="1:6" x14ac:dyDescent="0.25">
      <c r="A130" t="s">
        <v>380</v>
      </c>
      <c r="B130" t="s">
        <v>381</v>
      </c>
      <c r="C130" s="78">
        <v>1</v>
      </c>
      <c r="D130" s="83">
        <v>270.37</v>
      </c>
      <c r="E130" s="83">
        <v>139.44999999999999</v>
      </c>
      <c r="F130">
        <v>409.82</v>
      </c>
    </row>
    <row r="131" spans="1:6" x14ac:dyDescent="0.25">
      <c r="A131" t="s">
        <v>383</v>
      </c>
      <c r="B131" t="s">
        <v>384</v>
      </c>
      <c r="C131" s="78">
        <v>2</v>
      </c>
      <c r="D131" s="83">
        <v>346.66</v>
      </c>
      <c r="E131" s="83">
        <v>12.4</v>
      </c>
      <c r="F131">
        <v>359.06</v>
      </c>
    </row>
    <row r="132" spans="1:6" x14ac:dyDescent="0.25">
      <c r="A132" t="s">
        <v>386</v>
      </c>
      <c r="B132" t="s">
        <v>387</v>
      </c>
      <c r="C132" s="78">
        <v>2</v>
      </c>
      <c r="D132" s="83">
        <v>346.66</v>
      </c>
      <c r="E132" s="83">
        <v>37.19</v>
      </c>
      <c r="F132">
        <v>383.85</v>
      </c>
    </row>
    <row r="133" spans="1:6" x14ac:dyDescent="0.25">
      <c r="A133" t="s">
        <v>389</v>
      </c>
      <c r="B133" t="s">
        <v>390</v>
      </c>
      <c r="C133" s="78">
        <v>2</v>
      </c>
      <c r="D133" s="83">
        <v>346.66</v>
      </c>
      <c r="E133" s="83">
        <v>46.48</v>
      </c>
      <c r="F133">
        <v>393.14000000000004</v>
      </c>
    </row>
    <row r="134" spans="1:6" x14ac:dyDescent="0.25">
      <c r="A134" t="s">
        <v>392</v>
      </c>
      <c r="B134" t="s">
        <v>393</v>
      </c>
      <c r="C134" s="78">
        <v>1</v>
      </c>
      <c r="D134" s="83">
        <v>161.94999999999999</v>
      </c>
      <c r="E134" s="83">
        <v>9.3000000000000007</v>
      </c>
      <c r="F134">
        <v>171.25</v>
      </c>
    </row>
    <row r="135" spans="1:6" x14ac:dyDescent="0.25">
      <c r="A135" t="s">
        <v>395</v>
      </c>
      <c r="B135" t="s">
        <v>396</v>
      </c>
      <c r="C135" s="78">
        <v>2</v>
      </c>
      <c r="D135" s="83">
        <v>238.24</v>
      </c>
      <c r="E135" s="83">
        <v>24.79</v>
      </c>
      <c r="F135">
        <v>263.02999999999997</v>
      </c>
    </row>
    <row r="136" spans="1:6" x14ac:dyDescent="0.25">
      <c r="A136" t="s">
        <v>398</v>
      </c>
      <c r="B136" t="s">
        <v>399</v>
      </c>
      <c r="C136" s="78">
        <v>1</v>
      </c>
      <c r="D136" s="83">
        <v>270.37</v>
      </c>
      <c r="E136" s="83">
        <v>49.58</v>
      </c>
      <c r="F136">
        <v>319.95</v>
      </c>
    </row>
    <row r="137" spans="1:6" x14ac:dyDescent="0.25">
      <c r="A137" t="s">
        <v>401</v>
      </c>
      <c r="B137" t="s">
        <v>402</v>
      </c>
      <c r="C137" s="78">
        <v>2</v>
      </c>
      <c r="D137" s="83">
        <v>238.24</v>
      </c>
      <c r="E137" s="83">
        <v>30.99</v>
      </c>
      <c r="F137">
        <v>269.23</v>
      </c>
    </row>
    <row r="138" spans="1:6" x14ac:dyDescent="0.25">
      <c r="A138" t="s">
        <v>404</v>
      </c>
      <c r="B138" t="s">
        <v>405</v>
      </c>
      <c r="C138" s="78">
        <v>3</v>
      </c>
      <c r="D138" s="83">
        <v>260.33</v>
      </c>
      <c r="E138" s="83">
        <v>9.3000000000000007</v>
      </c>
      <c r="F138">
        <v>269.63</v>
      </c>
    </row>
    <row r="139" spans="1:6" x14ac:dyDescent="0.25">
      <c r="A139" t="s">
        <v>407</v>
      </c>
      <c r="B139" t="s">
        <v>408</v>
      </c>
      <c r="C139" s="78">
        <v>2</v>
      </c>
      <c r="D139" s="83">
        <v>346.66</v>
      </c>
      <c r="E139" s="83">
        <v>15.49</v>
      </c>
      <c r="F139">
        <v>362.15000000000003</v>
      </c>
    </row>
    <row r="140" spans="1:6" x14ac:dyDescent="0.25">
      <c r="A140" t="s">
        <v>410</v>
      </c>
      <c r="B140" t="s">
        <v>411</v>
      </c>
      <c r="C140" s="78">
        <v>2</v>
      </c>
      <c r="D140" s="83">
        <v>238.24</v>
      </c>
      <c r="E140" s="83">
        <v>6.2</v>
      </c>
      <c r="F140">
        <v>244.44</v>
      </c>
    </row>
    <row r="141" spans="1:6" x14ac:dyDescent="0.25">
      <c r="A141" t="s">
        <v>413</v>
      </c>
      <c r="B141" t="s">
        <v>414</v>
      </c>
      <c r="C141" s="78">
        <v>3</v>
      </c>
      <c r="D141" s="83">
        <v>439.68</v>
      </c>
      <c r="E141" s="83">
        <v>74.37</v>
      </c>
      <c r="F141">
        <v>514.04999999999995</v>
      </c>
    </row>
    <row r="142" spans="1:6" x14ac:dyDescent="0.25">
      <c r="A142" t="s">
        <v>416</v>
      </c>
      <c r="B142" t="s">
        <v>417</v>
      </c>
      <c r="C142" s="78">
        <v>1</v>
      </c>
      <c r="D142" s="83">
        <v>22.09</v>
      </c>
      <c r="E142" s="83">
        <v>0</v>
      </c>
      <c r="F142">
        <v>22.09</v>
      </c>
    </row>
    <row r="143" spans="1:6" x14ac:dyDescent="0.25">
      <c r="A143" t="s">
        <v>419</v>
      </c>
      <c r="B143" t="s">
        <v>420</v>
      </c>
      <c r="C143" s="78">
        <v>1</v>
      </c>
      <c r="D143" s="83">
        <v>161.94999999999999</v>
      </c>
      <c r="E143" s="83">
        <v>0</v>
      </c>
      <c r="F143">
        <v>161.94999999999999</v>
      </c>
    </row>
    <row r="144" spans="1:6" x14ac:dyDescent="0.25">
      <c r="A144" t="s">
        <v>422</v>
      </c>
      <c r="B144" t="s">
        <v>423</v>
      </c>
      <c r="C144" s="78">
        <v>1</v>
      </c>
      <c r="D144" s="83">
        <v>76.290000000000006</v>
      </c>
      <c r="E144" s="83">
        <v>0</v>
      </c>
      <c r="F144">
        <v>76.290000000000006</v>
      </c>
    </row>
    <row r="145" spans="1:6" x14ac:dyDescent="0.25">
      <c r="A145" t="s">
        <v>425</v>
      </c>
      <c r="B145" t="s">
        <v>426</v>
      </c>
      <c r="C145" s="78">
        <v>1</v>
      </c>
      <c r="D145" s="83">
        <v>161.94999999999999</v>
      </c>
      <c r="E145" s="83">
        <v>15.49</v>
      </c>
      <c r="F145">
        <v>177.44</v>
      </c>
    </row>
    <row r="146" spans="1:6" x14ac:dyDescent="0.25">
      <c r="A146" t="s">
        <v>428</v>
      </c>
      <c r="B146" t="s">
        <v>429</v>
      </c>
      <c r="C146" s="78">
        <v>1</v>
      </c>
      <c r="D146" s="83">
        <v>270.37</v>
      </c>
      <c r="E146" s="83">
        <v>27.89</v>
      </c>
      <c r="F146">
        <v>298.26</v>
      </c>
    </row>
    <row r="147" spans="1:6" x14ac:dyDescent="0.25">
      <c r="A147" t="s">
        <v>431</v>
      </c>
      <c r="B147" t="s">
        <v>432</v>
      </c>
      <c r="C147" s="78">
        <v>1</v>
      </c>
      <c r="D147" s="83">
        <v>270.37</v>
      </c>
      <c r="E147" s="83">
        <v>9.3000000000000007</v>
      </c>
      <c r="F147">
        <v>279.67</v>
      </c>
    </row>
    <row r="148" spans="1:6" x14ac:dyDescent="0.25">
      <c r="A148" t="s">
        <v>434</v>
      </c>
      <c r="B148" t="s">
        <v>435</v>
      </c>
      <c r="C148" s="78">
        <v>2</v>
      </c>
      <c r="D148" s="83">
        <v>238.24</v>
      </c>
      <c r="E148" s="83">
        <v>27.89</v>
      </c>
      <c r="F148">
        <v>266.13</v>
      </c>
    </row>
    <row r="149" spans="1:6" x14ac:dyDescent="0.25">
      <c r="A149" t="s">
        <v>437</v>
      </c>
      <c r="B149" t="s">
        <v>438</v>
      </c>
      <c r="C149" s="78">
        <v>2</v>
      </c>
      <c r="D149" s="83">
        <v>346.66</v>
      </c>
      <c r="E149" s="83">
        <v>24.79</v>
      </c>
      <c r="F149">
        <v>371.45000000000005</v>
      </c>
    </row>
    <row r="150" spans="1:6" x14ac:dyDescent="0.25">
      <c r="A150" t="s">
        <v>440</v>
      </c>
      <c r="B150" t="s">
        <v>441</v>
      </c>
      <c r="C150" s="78">
        <v>2</v>
      </c>
      <c r="D150" s="83">
        <v>184.04</v>
      </c>
      <c r="E150" s="83">
        <v>21.69</v>
      </c>
      <c r="F150">
        <v>205.73</v>
      </c>
    </row>
    <row r="151" spans="1:6" x14ac:dyDescent="0.25">
      <c r="A151" t="s">
        <v>443</v>
      </c>
      <c r="B151" t="s">
        <v>444</v>
      </c>
      <c r="C151" s="78">
        <v>2</v>
      </c>
      <c r="D151" s="83">
        <v>292.45999999999998</v>
      </c>
      <c r="E151" s="83">
        <v>52.68</v>
      </c>
      <c r="F151">
        <v>345.14</v>
      </c>
    </row>
    <row r="152" spans="1:6" x14ac:dyDescent="0.25">
      <c r="A152" t="s">
        <v>446</v>
      </c>
      <c r="B152" t="s">
        <v>447</v>
      </c>
      <c r="C152" s="78">
        <v>2</v>
      </c>
      <c r="D152" s="83">
        <v>346.66</v>
      </c>
      <c r="E152" s="83">
        <v>6.2</v>
      </c>
      <c r="F152">
        <v>352.86</v>
      </c>
    </row>
    <row r="153" spans="1:6" x14ac:dyDescent="0.25">
      <c r="A153" t="s">
        <v>449</v>
      </c>
      <c r="B153" t="s">
        <v>450</v>
      </c>
      <c r="C153" s="78">
        <v>1</v>
      </c>
      <c r="D153" s="83">
        <v>270.37</v>
      </c>
      <c r="E153" s="83">
        <v>6.2</v>
      </c>
      <c r="F153">
        <v>276.57</v>
      </c>
    </row>
    <row r="154" spans="1:6" x14ac:dyDescent="0.25">
      <c r="A154" t="s">
        <v>452</v>
      </c>
      <c r="B154" t="s">
        <v>453</v>
      </c>
      <c r="C154" s="78">
        <v>3</v>
      </c>
      <c r="D154" s="83">
        <v>260.33</v>
      </c>
      <c r="E154" s="83">
        <v>3.1</v>
      </c>
      <c r="F154">
        <v>263.43</v>
      </c>
    </row>
    <row r="155" spans="1:6" x14ac:dyDescent="0.25">
      <c r="A155" t="s">
        <v>455</v>
      </c>
      <c r="B155" t="s">
        <v>456</v>
      </c>
      <c r="C155" s="78">
        <v>2</v>
      </c>
      <c r="D155" s="83">
        <v>346.66</v>
      </c>
      <c r="E155" s="83">
        <v>30.99</v>
      </c>
      <c r="F155">
        <v>377.65000000000003</v>
      </c>
    </row>
    <row r="156" spans="1:6" x14ac:dyDescent="0.25">
      <c r="A156" t="s">
        <v>458</v>
      </c>
      <c r="B156" t="s">
        <v>459</v>
      </c>
      <c r="C156" s="78">
        <v>2</v>
      </c>
      <c r="D156" s="83">
        <v>238.24</v>
      </c>
      <c r="E156" s="83">
        <v>0</v>
      </c>
      <c r="F156">
        <v>238.24</v>
      </c>
    </row>
    <row r="157" spans="1:6" x14ac:dyDescent="0.25">
      <c r="A157" t="s">
        <v>461</v>
      </c>
      <c r="B157" t="s">
        <v>462</v>
      </c>
      <c r="C157" s="78">
        <v>1</v>
      </c>
      <c r="D157" s="83">
        <v>161.94999999999999</v>
      </c>
      <c r="E157" s="83">
        <v>18.59</v>
      </c>
      <c r="F157">
        <v>180.54</v>
      </c>
    </row>
    <row r="158" spans="1:6" x14ac:dyDescent="0.25">
      <c r="A158" t="s">
        <v>464</v>
      </c>
      <c r="B158" t="s">
        <v>465</v>
      </c>
      <c r="C158" s="78">
        <v>2</v>
      </c>
      <c r="D158" s="83">
        <v>323.89999999999998</v>
      </c>
      <c r="E158" s="83">
        <v>15.5</v>
      </c>
      <c r="F158">
        <v>339.4</v>
      </c>
    </row>
    <row r="159" spans="1:6" x14ac:dyDescent="0.25">
      <c r="A159" t="s">
        <v>467</v>
      </c>
      <c r="B159" t="s">
        <v>468</v>
      </c>
      <c r="C159" s="78">
        <v>3</v>
      </c>
      <c r="D159" s="83">
        <v>368.75</v>
      </c>
      <c r="E159" s="83">
        <v>21.69</v>
      </c>
      <c r="F159">
        <v>390.44</v>
      </c>
    </row>
    <row r="160" spans="1:6" x14ac:dyDescent="0.25">
      <c r="A160" t="s">
        <v>470</v>
      </c>
      <c r="B160" t="s">
        <v>471</v>
      </c>
      <c r="C160" s="78">
        <v>2</v>
      </c>
      <c r="D160" s="83">
        <v>346.66</v>
      </c>
      <c r="E160" s="83">
        <v>3.1</v>
      </c>
      <c r="F160">
        <v>349.76000000000005</v>
      </c>
    </row>
    <row r="161" spans="1:6" x14ac:dyDescent="0.25">
      <c r="A161" t="s">
        <v>473</v>
      </c>
      <c r="B161" t="s">
        <v>474</v>
      </c>
      <c r="C161" s="78">
        <v>3</v>
      </c>
      <c r="D161" s="83">
        <v>368.75</v>
      </c>
      <c r="E161" s="83">
        <v>43.38</v>
      </c>
      <c r="F161">
        <v>412.13</v>
      </c>
    </row>
    <row r="162" spans="1:6" x14ac:dyDescent="0.25">
      <c r="A162" t="s">
        <v>476</v>
      </c>
      <c r="B162" t="s">
        <v>477</v>
      </c>
      <c r="C162" s="78">
        <v>1</v>
      </c>
      <c r="D162" s="83">
        <v>161.94999999999999</v>
      </c>
      <c r="E162" s="83">
        <v>18.59</v>
      </c>
      <c r="F162">
        <v>180.54</v>
      </c>
    </row>
    <row r="163" spans="1:6" x14ac:dyDescent="0.25">
      <c r="A163" t="s">
        <v>479</v>
      </c>
      <c r="B163" t="s">
        <v>480</v>
      </c>
      <c r="C163" s="78">
        <v>2</v>
      </c>
      <c r="D163" s="83">
        <v>346.66</v>
      </c>
      <c r="E163" s="83">
        <v>15.49</v>
      </c>
      <c r="F163">
        <v>362.15000000000003</v>
      </c>
    </row>
    <row r="164" spans="1:6" x14ac:dyDescent="0.25">
      <c r="A164" t="s">
        <v>482</v>
      </c>
      <c r="B164" t="s">
        <v>483</v>
      </c>
      <c r="C164" s="78">
        <v>1</v>
      </c>
      <c r="D164" s="83">
        <v>161.94999999999999</v>
      </c>
      <c r="E164" s="83">
        <v>0</v>
      </c>
      <c r="F164">
        <v>161.94999999999999</v>
      </c>
    </row>
    <row r="165" spans="1:6" x14ac:dyDescent="0.25">
      <c r="A165" t="s">
        <v>485</v>
      </c>
      <c r="B165" t="s">
        <v>811</v>
      </c>
      <c r="C165" s="78">
        <v>2</v>
      </c>
      <c r="D165" s="83">
        <v>503.25</v>
      </c>
      <c r="E165" s="83">
        <v>27.89</v>
      </c>
      <c r="F165">
        <v>531.14</v>
      </c>
    </row>
    <row r="166" spans="1:6" x14ac:dyDescent="0.25">
      <c r="A166" t="s">
        <v>488</v>
      </c>
      <c r="B166" t="s">
        <v>489</v>
      </c>
      <c r="C166" s="78">
        <v>2</v>
      </c>
      <c r="D166" s="83">
        <v>346.66</v>
      </c>
      <c r="E166" s="83">
        <v>12.4</v>
      </c>
      <c r="F166">
        <v>359.06</v>
      </c>
    </row>
    <row r="167" spans="1:6" x14ac:dyDescent="0.25">
      <c r="A167" t="s">
        <v>491</v>
      </c>
      <c r="B167" t="s">
        <v>492</v>
      </c>
      <c r="C167" s="78">
        <v>2</v>
      </c>
      <c r="D167" s="83">
        <v>238.24</v>
      </c>
      <c r="E167" s="83">
        <v>15.49</v>
      </c>
      <c r="F167">
        <v>253.73000000000002</v>
      </c>
    </row>
    <row r="168" spans="1:6" x14ac:dyDescent="0.25">
      <c r="A168" t="s">
        <v>494</v>
      </c>
      <c r="B168" t="s">
        <v>495</v>
      </c>
      <c r="C168" s="78">
        <v>2</v>
      </c>
      <c r="D168" s="83">
        <v>346.66</v>
      </c>
      <c r="E168" s="83">
        <v>27.89</v>
      </c>
      <c r="F168">
        <v>374.55</v>
      </c>
    </row>
    <row r="169" spans="1:6" x14ac:dyDescent="0.25">
      <c r="A169" t="s">
        <v>497</v>
      </c>
      <c r="B169" t="s">
        <v>498</v>
      </c>
      <c r="C169" s="78">
        <v>2</v>
      </c>
      <c r="D169" s="83">
        <v>346.66</v>
      </c>
      <c r="E169" s="83">
        <v>21.69</v>
      </c>
      <c r="F169">
        <v>368.35</v>
      </c>
    </row>
    <row r="170" spans="1:6" x14ac:dyDescent="0.25">
      <c r="A170" t="s">
        <v>500</v>
      </c>
      <c r="B170" t="s">
        <v>501</v>
      </c>
      <c r="C170" s="78">
        <v>2</v>
      </c>
      <c r="D170" s="83">
        <v>184.04</v>
      </c>
      <c r="E170" s="83">
        <v>6.2</v>
      </c>
      <c r="F170">
        <v>190.23999999999998</v>
      </c>
    </row>
    <row r="171" spans="1:6" x14ac:dyDescent="0.25">
      <c r="A171" t="s">
        <v>503</v>
      </c>
      <c r="B171" t="s">
        <v>504</v>
      </c>
      <c r="C171" s="78">
        <v>2</v>
      </c>
      <c r="D171" s="83">
        <v>238.24</v>
      </c>
      <c r="E171" s="83">
        <v>6.2</v>
      </c>
      <c r="F171">
        <v>244.44</v>
      </c>
    </row>
    <row r="172" spans="1:6" x14ac:dyDescent="0.25">
      <c r="A172" t="s">
        <v>506</v>
      </c>
      <c r="B172" t="s">
        <v>507</v>
      </c>
      <c r="C172" s="78">
        <v>1</v>
      </c>
      <c r="D172" s="83">
        <v>161.94999999999999</v>
      </c>
      <c r="E172" s="83">
        <v>15.49</v>
      </c>
      <c r="F172">
        <v>177.44</v>
      </c>
    </row>
    <row r="173" spans="1:6" x14ac:dyDescent="0.25">
      <c r="A173" t="s">
        <v>509</v>
      </c>
      <c r="B173" t="s">
        <v>510</v>
      </c>
      <c r="C173" s="78">
        <v>1</v>
      </c>
      <c r="D173" s="83">
        <v>161.94999999999999</v>
      </c>
      <c r="E173" s="83">
        <v>9.3000000000000007</v>
      </c>
      <c r="F173">
        <v>171.25</v>
      </c>
    </row>
    <row r="174" spans="1:6" x14ac:dyDescent="0.25">
      <c r="A174" t="s">
        <v>512</v>
      </c>
      <c r="B174" t="s">
        <v>513</v>
      </c>
      <c r="C174" s="78">
        <v>2</v>
      </c>
      <c r="D174" s="83">
        <v>238.24</v>
      </c>
      <c r="E174" s="83">
        <v>0</v>
      </c>
      <c r="F174">
        <v>238.24</v>
      </c>
    </row>
    <row r="175" spans="1:6" x14ac:dyDescent="0.25">
      <c r="A175" t="s">
        <v>515</v>
      </c>
      <c r="B175" t="s">
        <v>516</v>
      </c>
      <c r="C175" s="78">
        <v>2</v>
      </c>
      <c r="D175" s="83">
        <v>346.66</v>
      </c>
      <c r="E175" s="83">
        <v>24.79</v>
      </c>
      <c r="F175">
        <v>371.45000000000005</v>
      </c>
    </row>
    <row r="176" spans="1:6" x14ac:dyDescent="0.25">
      <c r="A176" t="s">
        <v>518</v>
      </c>
      <c r="B176" t="s">
        <v>519</v>
      </c>
      <c r="C176" s="78">
        <v>2</v>
      </c>
      <c r="D176" s="83">
        <v>346.66</v>
      </c>
      <c r="E176" s="83">
        <v>12.4</v>
      </c>
      <c r="F176">
        <v>359.06</v>
      </c>
    </row>
    <row r="177" spans="1:6" x14ac:dyDescent="0.25">
      <c r="A177" t="s">
        <v>521</v>
      </c>
      <c r="B177" t="s">
        <v>522</v>
      </c>
      <c r="C177" s="78">
        <v>2</v>
      </c>
      <c r="D177" s="83">
        <v>238.24</v>
      </c>
      <c r="E177" s="83">
        <v>21.69</v>
      </c>
      <c r="F177">
        <v>259.93</v>
      </c>
    </row>
    <row r="178" spans="1:6" x14ac:dyDescent="0.25">
      <c r="A178" t="s">
        <v>524</v>
      </c>
      <c r="B178" t="s">
        <v>525</v>
      </c>
      <c r="C178" s="78">
        <v>3</v>
      </c>
      <c r="D178" s="83">
        <v>260.33</v>
      </c>
      <c r="E178" s="83">
        <v>0</v>
      </c>
      <c r="F178">
        <v>260.33</v>
      </c>
    </row>
    <row r="179" spans="1:6" x14ac:dyDescent="0.25">
      <c r="A179" t="s">
        <v>527</v>
      </c>
      <c r="B179" t="s">
        <v>528</v>
      </c>
      <c r="C179" s="78">
        <v>1</v>
      </c>
      <c r="D179" s="83">
        <v>161.94999999999999</v>
      </c>
      <c r="E179" s="83">
        <v>18.59</v>
      </c>
      <c r="F179">
        <v>180.54</v>
      </c>
    </row>
    <row r="180" spans="1:6" x14ac:dyDescent="0.25">
      <c r="A180" t="s">
        <v>530</v>
      </c>
      <c r="B180" t="s">
        <v>531</v>
      </c>
      <c r="C180" s="78">
        <v>1</v>
      </c>
      <c r="D180" s="83">
        <v>270.37</v>
      </c>
      <c r="E180" s="83">
        <v>27.89</v>
      </c>
      <c r="F180">
        <v>298.26</v>
      </c>
    </row>
    <row r="181" spans="1:6" x14ac:dyDescent="0.25">
      <c r="A181" t="s">
        <v>533</v>
      </c>
      <c r="B181" t="s">
        <v>824</v>
      </c>
      <c r="C181" s="78">
        <v>2</v>
      </c>
      <c r="D181" s="83">
        <v>184.04</v>
      </c>
      <c r="E181" s="83">
        <v>0</v>
      </c>
      <c r="F181">
        <v>184.04</v>
      </c>
    </row>
    <row r="182" spans="1:6" x14ac:dyDescent="0.25">
      <c r="A182" t="s">
        <v>536</v>
      </c>
      <c r="B182" t="s">
        <v>537</v>
      </c>
      <c r="C182" s="78">
        <v>2</v>
      </c>
      <c r="D182" s="83">
        <v>346.66</v>
      </c>
      <c r="E182" s="83">
        <v>27.89</v>
      </c>
      <c r="F182">
        <v>374.55</v>
      </c>
    </row>
    <row r="183" spans="1:6" x14ac:dyDescent="0.25">
      <c r="A183" t="s">
        <v>539</v>
      </c>
      <c r="B183" t="s">
        <v>540</v>
      </c>
      <c r="C183" s="78">
        <v>1</v>
      </c>
      <c r="D183" s="83">
        <v>270.37</v>
      </c>
      <c r="E183" s="83">
        <v>9.3000000000000007</v>
      </c>
      <c r="F183">
        <v>279.67</v>
      </c>
    </row>
    <row r="184" spans="1:6" x14ac:dyDescent="0.25">
      <c r="A184" t="s">
        <v>542</v>
      </c>
      <c r="B184" t="s">
        <v>543</v>
      </c>
      <c r="C184" s="78">
        <v>2</v>
      </c>
      <c r="D184" s="83">
        <v>346.66</v>
      </c>
      <c r="E184" s="83">
        <v>34.090000000000003</v>
      </c>
      <c r="F184">
        <v>380.75000000000006</v>
      </c>
    </row>
    <row r="185" spans="1:6" x14ac:dyDescent="0.25">
      <c r="A185" t="s">
        <v>545</v>
      </c>
      <c r="B185" t="s">
        <v>546</v>
      </c>
      <c r="C185" s="78">
        <v>2</v>
      </c>
      <c r="D185" s="83">
        <v>346.66</v>
      </c>
      <c r="E185" s="83">
        <v>37.19</v>
      </c>
      <c r="F185">
        <v>383.85</v>
      </c>
    </row>
    <row r="186" spans="1:6" x14ac:dyDescent="0.25">
      <c r="A186" t="s">
        <v>548</v>
      </c>
      <c r="B186" t="s">
        <v>549</v>
      </c>
      <c r="C186" s="78">
        <v>2</v>
      </c>
      <c r="D186" s="83">
        <v>346.66</v>
      </c>
      <c r="E186" s="83">
        <v>105.36</v>
      </c>
      <c r="F186">
        <v>452.02000000000004</v>
      </c>
    </row>
    <row r="187" spans="1:6" x14ac:dyDescent="0.25">
      <c r="A187" t="s">
        <v>551</v>
      </c>
      <c r="B187" t="s">
        <v>552</v>
      </c>
      <c r="C187" s="78">
        <v>3</v>
      </c>
      <c r="D187" s="83">
        <v>493.88000000000005</v>
      </c>
      <c r="E187" s="83">
        <v>12.4</v>
      </c>
      <c r="F187">
        <v>506.28000000000003</v>
      </c>
    </row>
    <row r="188" spans="1:6" x14ac:dyDescent="0.25">
      <c r="A188" t="s">
        <v>554</v>
      </c>
      <c r="B188" t="s">
        <v>555</v>
      </c>
      <c r="C188" s="78">
        <v>2</v>
      </c>
      <c r="D188" s="83">
        <v>238.24</v>
      </c>
      <c r="E188" s="83">
        <v>0</v>
      </c>
      <c r="F188">
        <v>238.24</v>
      </c>
    </row>
    <row r="189" spans="1:6" x14ac:dyDescent="0.25">
      <c r="A189" t="s">
        <v>557</v>
      </c>
      <c r="B189" t="s">
        <v>558</v>
      </c>
      <c r="C189" s="78">
        <v>2</v>
      </c>
      <c r="D189" s="83">
        <v>346.66</v>
      </c>
      <c r="E189" s="83">
        <v>61.98</v>
      </c>
      <c r="F189">
        <v>408.64000000000004</v>
      </c>
    </row>
    <row r="190" spans="1:6" x14ac:dyDescent="0.25">
      <c r="A190" t="s">
        <v>560</v>
      </c>
      <c r="B190" t="s">
        <v>561</v>
      </c>
      <c r="C190" s="78">
        <v>3</v>
      </c>
      <c r="D190" s="83">
        <v>439.68</v>
      </c>
      <c r="E190" s="83">
        <v>3.1</v>
      </c>
      <c r="F190">
        <v>442.78000000000003</v>
      </c>
    </row>
    <row r="191" spans="1:6" x14ac:dyDescent="0.25">
      <c r="A191" t="s">
        <v>563</v>
      </c>
      <c r="B191" t="s">
        <v>564</v>
      </c>
      <c r="C191" s="78">
        <v>1</v>
      </c>
      <c r="D191" s="83">
        <v>161.94999999999999</v>
      </c>
      <c r="E191" s="83">
        <v>0</v>
      </c>
      <c r="F191">
        <v>161.94999999999999</v>
      </c>
    </row>
    <row r="192" spans="1:6" x14ac:dyDescent="0.25">
      <c r="A192" t="s">
        <v>566</v>
      </c>
      <c r="B192" t="s">
        <v>567</v>
      </c>
      <c r="C192" s="78">
        <v>3</v>
      </c>
      <c r="D192" s="83">
        <v>422.95000000000005</v>
      </c>
      <c r="E192" s="83">
        <v>24.79</v>
      </c>
      <c r="F192">
        <v>447.74000000000007</v>
      </c>
    </row>
    <row r="193" spans="1:6" x14ac:dyDescent="0.25">
      <c r="A193" t="s">
        <v>569</v>
      </c>
      <c r="B193" t="s">
        <v>570</v>
      </c>
      <c r="C193" s="78">
        <v>2</v>
      </c>
      <c r="D193" s="83">
        <v>346.66</v>
      </c>
      <c r="E193" s="83">
        <v>24.79</v>
      </c>
      <c r="F193">
        <v>371.45000000000005</v>
      </c>
    </row>
    <row r="194" spans="1:6" x14ac:dyDescent="0.25">
      <c r="A194" t="s">
        <v>572</v>
      </c>
      <c r="B194" t="s">
        <v>573</v>
      </c>
      <c r="C194" s="78">
        <v>2</v>
      </c>
      <c r="D194" s="83">
        <v>346.66</v>
      </c>
      <c r="E194" s="83">
        <v>15.49</v>
      </c>
      <c r="F194">
        <v>362.15000000000003</v>
      </c>
    </row>
    <row r="195" spans="1:6" x14ac:dyDescent="0.25">
      <c r="A195" t="s">
        <v>575</v>
      </c>
      <c r="B195" t="s">
        <v>576</v>
      </c>
      <c r="C195" s="78">
        <v>1</v>
      </c>
      <c r="D195" s="83">
        <v>161.94999999999999</v>
      </c>
      <c r="E195" s="83">
        <v>12.4</v>
      </c>
      <c r="F195">
        <v>174.35</v>
      </c>
    </row>
    <row r="196" spans="1:6" x14ac:dyDescent="0.25">
      <c r="A196" t="s">
        <v>578</v>
      </c>
      <c r="B196" t="s">
        <v>579</v>
      </c>
      <c r="C196" s="78">
        <v>3</v>
      </c>
      <c r="D196" s="83">
        <v>368.75</v>
      </c>
      <c r="E196" s="83">
        <v>3.1</v>
      </c>
      <c r="F196">
        <v>371.85</v>
      </c>
    </row>
    <row r="197" spans="1:6" x14ac:dyDescent="0.25">
      <c r="A197" t="s">
        <v>581</v>
      </c>
      <c r="B197" t="s">
        <v>582</v>
      </c>
      <c r="C197" s="78">
        <v>2</v>
      </c>
      <c r="D197" s="83">
        <v>346.66</v>
      </c>
      <c r="E197" s="83">
        <v>0</v>
      </c>
      <c r="F197">
        <v>346.66</v>
      </c>
    </row>
    <row r="198" spans="1:6" x14ac:dyDescent="0.25">
      <c r="A198" t="s">
        <v>584</v>
      </c>
      <c r="B198" t="s">
        <v>585</v>
      </c>
      <c r="C198" s="78">
        <v>1</v>
      </c>
      <c r="D198" s="83">
        <v>161.94999999999999</v>
      </c>
      <c r="E198" s="83">
        <v>9.3000000000000007</v>
      </c>
      <c r="F198">
        <v>171.25</v>
      </c>
    </row>
    <row r="199" spans="1:6" x14ac:dyDescent="0.25">
      <c r="A199" t="s">
        <v>587</v>
      </c>
      <c r="B199" t="s">
        <v>588</v>
      </c>
      <c r="C199" s="78">
        <v>2</v>
      </c>
      <c r="D199" s="83">
        <v>346.66</v>
      </c>
      <c r="E199" s="83">
        <v>86.77</v>
      </c>
      <c r="F199">
        <v>433.43</v>
      </c>
    </row>
    <row r="200" spans="1:6" x14ac:dyDescent="0.25">
      <c r="A200" t="s">
        <v>590</v>
      </c>
      <c r="B200" t="s">
        <v>591</v>
      </c>
      <c r="C200" s="78">
        <v>2</v>
      </c>
      <c r="D200" s="83">
        <v>346.66</v>
      </c>
      <c r="E200" s="83">
        <v>27.89</v>
      </c>
      <c r="F200">
        <v>374.55</v>
      </c>
    </row>
    <row r="201" spans="1:6" x14ac:dyDescent="0.25">
      <c r="A201" t="s">
        <v>593</v>
      </c>
      <c r="B201" t="s">
        <v>594</v>
      </c>
      <c r="C201" s="78">
        <v>2</v>
      </c>
      <c r="D201" s="83">
        <v>453.73</v>
      </c>
      <c r="E201" s="83">
        <v>27.89</v>
      </c>
      <c r="F201">
        <v>481.62</v>
      </c>
    </row>
    <row r="202" spans="1:6" x14ac:dyDescent="0.25">
      <c r="A202" t="s">
        <v>596</v>
      </c>
      <c r="B202" t="s">
        <v>597</v>
      </c>
      <c r="C202" s="78">
        <v>1</v>
      </c>
      <c r="D202" s="83">
        <v>76.290000000000006</v>
      </c>
      <c r="E202" s="83">
        <v>0</v>
      </c>
      <c r="F202">
        <v>76.290000000000006</v>
      </c>
    </row>
    <row r="203" spans="1:6" x14ac:dyDescent="0.25">
      <c r="A203" t="s">
        <v>599</v>
      </c>
      <c r="B203" t="s">
        <v>600</v>
      </c>
      <c r="C203" s="78">
        <v>1</v>
      </c>
      <c r="D203" s="83">
        <v>76.290000000000006</v>
      </c>
      <c r="E203" s="83">
        <v>0</v>
      </c>
      <c r="F203">
        <v>76.290000000000006</v>
      </c>
    </row>
    <row r="204" spans="1:6" x14ac:dyDescent="0.25">
      <c r="A204" t="s">
        <v>602</v>
      </c>
      <c r="B204" t="s">
        <v>603</v>
      </c>
      <c r="C204" s="78">
        <v>2</v>
      </c>
      <c r="D204" s="83">
        <v>44.18</v>
      </c>
      <c r="E204" s="83">
        <v>0</v>
      </c>
      <c r="F204">
        <v>44.18</v>
      </c>
    </row>
    <row r="205" spans="1:6" x14ac:dyDescent="0.25">
      <c r="A205" t="s">
        <v>605</v>
      </c>
      <c r="B205" t="s">
        <v>606</v>
      </c>
      <c r="C205" s="78">
        <v>1</v>
      </c>
      <c r="D205" s="83">
        <v>76.290000000000006</v>
      </c>
      <c r="E205" s="83">
        <v>0</v>
      </c>
      <c r="F205">
        <v>76.290000000000006</v>
      </c>
    </row>
    <row r="206" spans="1:6" x14ac:dyDescent="0.25">
      <c r="A206" t="s">
        <v>608</v>
      </c>
      <c r="B206" t="s">
        <v>609</v>
      </c>
      <c r="C206" s="78">
        <v>2</v>
      </c>
      <c r="D206" s="83">
        <v>346.66</v>
      </c>
      <c r="E206" s="83">
        <v>12.4</v>
      </c>
      <c r="F206">
        <v>359.06</v>
      </c>
    </row>
    <row r="207" spans="1:6" x14ac:dyDescent="0.25">
      <c r="A207" t="s">
        <v>610</v>
      </c>
      <c r="B207" t="s">
        <v>611</v>
      </c>
      <c r="C207" s="78">
        <v>1</v>
      </c>
      <c r="D207" s="83"/>
      <c r="E207" s="83"/>
    </row>
    <row r="208" spans="1:6" x14ac:dyDescent="0.25">
      <c r="A208" t="s">
        <v>2</v>
      </c>
      <c r="B208" t="s">
        <v>3</v>
      </c>
      <c r="C208" s="78">
        <v>1</v>
      </c>
      <c r="D208" s="83">
        <v>265.41000000000003</v>
      </c>
      <c r="E208" s="83">
        <v>213.82</v>
      </c>
      <c r="F208">
        <v>479.23</v>
      </c>
    </row>
    <row r="209" spans="1:6" x14ac:dyDescent="0.25">
      <c r="A209" t="s">
        <v>1248</v>
      </c>
      <c r="C209" s="78">
        <v>381</v>
      </c>
      <c r="D209" s="83">
        <v>60116.18000000008</v>
      </c>
      <c r="E209" s="83">
        <v>4708.3300000000008</v>
      </c>
      <c r="F209">
        <v>64824.510000000038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0C1F-05A7-4CD2-B943-6C0F72885274}">
  <sheetPr codeName="Hoja6"/>
  <dimension ref="A1:K209"/>
  <sheetViews>
    <sheetView showGridLines="0" zoomScale="115" zoomScaleNormal="115" workbookViewId="0">
      <pane xSplit="3" ySplit="5" topLeftCell="D112" activePane="bottomRight" state="frozen"/>
      <selection pane="topRight" activeCell="D1" sqref="D1"/>
      <selection pane="bottomLeft" activeCell="A6" sqref="A6"/>
      <selection pane="bottomRight" activeCell="E113" sqref="E113"/>
    </sheetView>
  </sheetViews>
  <sheetFormatPr baseColWidth="10" defaultRowHeight="15" x14ac:dyDescent="0.25"/>
  <cols>
    <col min="1" max="1" width="12.85546875" customWidth="1"/>
    <col min="2" max="2" width="43" customWidth="1"/>
    <col min="11" max="11" width="17" bestFit="1" customWidth="1"/>
  </cols>
  <sheetData>
    <row r="1" spans="1:5" x14ac:dyDescent="0.25">
      <c r="A1" s="1" t="s">
        <v>0</v>
      </c>
    </row>
    <row r="2" spans="1:5" x14ac:dyDescent="0.25">
      <c r="A2" s="1">
        <v>20614642247</v>
      </c>
    </row>
    <row r="3" spans="1:5" x14ac:dyDescent="0.25">
      <c r="A3" t="s">
        <v>1</v>
      </c>
    </row>
    <row r="5" spans="1:5" s="6" customFormat="1" ht="30" x14ac:dyDescent="0.25">
      <c r="A5" s="5" t="s">
        <v>612</v>
      </c>
      <c r="B5" s="5" t="s">
        <v>613</v>
      </c>
      <c r="C5" s="5" t="s">
        <v>614</v>
      </c>
      <c r="D5" s="5" t="s">
        <v>615</v>
      </c>
      <c r="E5" s="10" t="s">
        <v>616</v>
      </c>
    </row>
    <row r="6" spans="1:5" x14ac:dyDescent="0.25">
      <c r="A6" s="2" t="s">
        <v>2</v>
      </c>
      <c r="B6" s="7" t="s">
        <v>3</v>
      </c>
      <c r="C6" s="2" t="s">
        <v>4</v>
      </c>
      <c r="D6" s="8">
        <v>897.99</v>
      </c>
      <c r="E6" s="9">
        <v>171.33</v>
      </c>
    </row>
    <row r="7" spans="1:5" x14ac:dyDescent="0.25">
      <c r="A7" s="2" t="s">
        <v>5</v>
      </c>
      <c r="B7" s="7" t="s">
        <v>6</v>
      </c>
      <c r="C7" s="2" t="s">
        <v>7</v>
      </c>
      <c r="D7" s="8">
        <v>377.02</v>
      </c>
      <c r="E7" s="9">
        <v>353.38</v>
      </c>
    </row>
    <row r="8" spans="1:5" x14ac:dyDescent="0.25">
      <c r="A8" s="2" t="s">
        <v>8</v>
      </c>
      <c r="B8" s="7" t="s">
        <v>9</v>
      </c>
      <c r="C8" s="2" t="s">
        <v>10</v>
      </c>
      <c r="D8" s="8">
        <v>395.44</v>
      </c>
      <c r="E8" s="9">
        <v>373.66</v>
      </c>
    </row>
    <row r="9" spans="1:5" x14ac:dyDescent="0.25">
      <c r="A9" s="2" t="s">
        <v>11</v>
      </c>
      <c r="B9" s="7" t="s">
        <v>12</v>
      </c>
      <c r="C9" s="2" t="s">
        <v>13</v>
      </c>
      <c r="D9" s="8">
        <v>179.63</v>
      </c>
      <c r="E9" s="9">
        <v>168.13</v>
      </c>
    </row>
    <row r="10" spans="1:5" x14ac:dyDescent="0.25">
      <c r="A10" s="2" t="s">
        <v>14</v>
      </c>
      <c r="B10" s="7" t="s">
        <v>15</v>
      </c>
      <c r="C10" s="2" t="s">
        <v>16</v>
      </c>
      <c r="D10" s="8">
        <v>0</v>
      </c>
      <c r="E10" s="9">
        <v>364.5</v>
      </c>
    </row>
    <row r="11" spans="1:5" x14ac:dyDescent="0.25">
      <c r="A11" s="2" t="s">
        <v>17</v>
      </c>
      <c r="B11" s="7" t="s">
        <v>18</v>
      </c>
      <c r="C11" s="2" t="s">
        <v>19</v>
      </c>
      <c r="D11" s="8">
        <v>0</v>
      </c>
      <c r="E11" s="9">
        <v>397.23</v>
      </c>
    </row>
    <row r="12" spans="1:5" x14ac:dyDescent="0.25">
      <c r="A12" s="2" t="s">
        <v>20</v>
      </c>
      <c r="B12" s="7" t="s">
        <v>21</v>
      </c>
      <c r="C12" s="2" t="s">
        <v>22</v>
      </c>
      <c r="D12" s="8">
        <v>534.14</v>
      </c>
      <c r="E12" s="9">
        <v>506.22</v>
      </c>
    </row>
    <row r="13" spans="1:5" x14ac:dyDescent="0.25">
      <c r="A13" s="2" t="s">
        <v>23</v>
      </c>
      <c r="B13" s="7" t="s">
        <v>24</v>
      </c>
      <c r="C13" s="2" t="s">
        <v>25</v>
      </c>
      <c r="D13" s="8">
        <v>1913.57</v>
      </c>
      <c r="E13" s="9">
        <v>296.70999999999998</v>
      </c>
    </row>
    <row r="14" spans="1:5" x14ac:dyDescent="0.25">
      <c r="A14" s="2" t="s">
        <v>26</v>
      </c>
      <c r="B14" s="7" t="s">
        <v>27</v>
      </c>
      <c r="C14" s="2" t="s">
        <v>28</v>
      </c>
      <c r="D14" s="8">
        <v>251.45</v>
      </c>
      <c r="E14" s="9">
        <v>244.18</v>
      </c>
    </row>
    <row r="15" spans="1:5" x14ac:dyDescent="0.25">
      <c r="A15" s="2" t="s">
        <v>29</v>
      </c>
      <c r="B15" s="7" t="s">
        <v>30</v>
      </c>
      <c r="C15" s="2" t="s">
        <v>31</v>
      </c>
      <c r="D15" s="8">
        <v>3.34</v>
      </c>
      <c r="E15" s="9">
        <v>165.63</v>
      </c>
    </row>
    <row r="16" spans="1:5" x14ac:dyDescent="0.25">
      <c r="A16" s="2" t="s">
        <v>32</v>
      </c>
      <c r="B16" s="7" t="s">
        <v>33</v>
      </c>
      <c r="C16" s="2" t="s">
        <v>34</v>
      </c>
      <c r="D16" s="8">
        <v>241.56</v>
      </c>
      <c r="E16" s="9">
        <v>76.290000000000006</v>
      </c>
    </row>
    <row r="17" spans="1:5" x14ac:dyDescent="0.25">
      <c r="A17" s="2" t="s">
        <v>35</v>
      </c>
      <c r="B17" s="7" t="s">
        <v>36</v>
      </c>
      <c r="C17" s="2" t="s">
        <v>37</v>
      </c>
      <c r="D17" s="8">
        <v>0</v>
      </c>
      <c r="E17" s="9">
        <v>352.6</v>
      </c>
    </row>
    <row r="18" spans="1:5" x14ac:dyDescent="0.25">
      <c r="A18" s="2" t="s">
        <v>38</v>
      </c>
      <c r="B18" s="7" t="s">
        <v>39</v>
      </c>
      <c r="C18" s="2" t="s">
        <v>40</v>
      </c>
      <c r="D18" s="8">
        <v>365.88</v>
      </c>
      <c r="E18" s="9">
        <v>355.58</v>
      </c>
    </row>
    <row r="19" spans="1:5" x14ac:dyDescent="0.25">
      <c r="A19" s="2" t="s">
        <v>41</v>
      </c>
      <c r="B19" s="7" t="s">
        <v>42</v>
      </c>
      <c r="C19" s="2" t="s">
        <v>43</v>
      </c>
      <c r="D19" s="8">
        <v>624.98</v>
      </c>
      <c r="E19" s="9">
        <v>601.41999999999996</v>
      </c>
    </row>
    <row r="20" spans="1:5" x14ac:dyDescent="0.25">
      <c r="A20" s="2" t="s">
        <v>44</v>
      </c>
      <c r="B20" s="7" t="s">
        <v>45</v>
      </c>
      <c r="C20" s="2" t="s">
        <v>46</v>
      </c>
      <c r="D20" s="8">
        <v>0</v>
      </c>
      <c r="E20" s="9">
        <v>417.58</v>
      </c>
    </row>
    <row r="21" spans="1:5" x14ac:dyDescent="0.25">
      <c r="A21" s="2" t="s">
        <v>47</v>
      </c>
      <c r="B21" s="7" t="s">
        <v>48</v>
      </c>
      <c r="C21" s="2" t="s">
        <v>49</v>
      </c>
      <c r="D21" s="8">
        <v>-6.2</v>
      </c>
      <c r="E21" s="9">
        <v>421.01</v>
      </c>
    </row>
    <row r="22" spans="1:5" x14ac:dyDescent="0.25">
      <c r="A22" s="2" t="s">
        <v>50</v>
      </c>
      <c r="B22" s="7" t="s">
        <v>51</v>
      </c>
      <c r="C22" s="2" t="s">
        <v>52</v>
      </c>
      <c r="D22" s="8">
        <v>2195.69</v>
      </c>
      <c r="E22" s="9">
        <v>1048.1099999999999</v>
      </c>
    </row>
    <row r="23" spans="1:5" x14ac:dyDescent="0.25">
      <c r="A23" s="2" t="s">
        <v>53</v>
      </c>
      <c r="B23" s="7" t="s">
        <v>54</v>
      </c>
      <c r="C23" s="2" t="s">
        <v>55</v>
      </c>
      <c r="D23" s="8">
        <v>0</v>
      </c>
      <c r="E23" s="9">
        <v>299</v>
      </c>
    </row>
    <row r="24" spans="1:5" x14ac:dyDescent="0.25">
      <c r="A24" s="2" t="s">
        <v>56</v>
      </c>
      <c r="B24" s="7" t="s">
        <v>57</v>
      </c>
      <c r="C24" s="2" t="s">
        <v>58</v>
      </c>
      <c r="D24" s="8">
        <v>903.21</v>
      </c>
      <c r="E24" s="9">
        <v>423.53</v>
      </c>
    </row>
    <row r="25" spans="1:5" x14ac:dyDescent="0.25">
      <c r="A25" s="2" t="s">
        <v>59</v>
      </c>
      <c r="B25" s="7" t="s">
        <v>60</v>
      </c>
      <c r="C25" s="2" t="s">
        <v>61</v>
      </c>
      <c r="D25" s="8">
        <v>1119.02</v>
      </c>
      <c r="E25" s="9">
        <v>355.58</v>
      </c>
    </row>
    <row r="26" spans="1:5" x14ac:dyDescent="0.25">
      <c r="A26" s="2" t="s">
        <v>62</v>
      </c>
      <c r="B26" s="7" t="s">
        <v>63</v>
      </c>
      <c r="C26" s="2" t="s">
        <v>64</v>
      </c>
      <c r="D26" s="8">
        <v>0</v>
      </c>
      <c r="E26" s="9">
        <v>404.38</v>
      </c>
    </row>
    <row r="27" spans="1:5" x14ac:dyDescent="0.25">
      <c r="A27" s="2" t="s">
        <v>65</v>
      </c>
      <c r="B27" s="7" t="s">
        <v>66</v>
      </c>
      <c r="C27" s="2" t="s">
        <v>67</v>
      </c>
      <c r="D27" s="8">
        <v>0</v>
      </c>
      <c r="E27" s="9">
        <v>359.34</v>
      </c>
    </row>
    <row r="28" spans="1:5" x14ac:dyDescent="0.25">
      <c r="A28" s="2" t="s">
        <v>68</v>
      </c>
      <c r="B28" s="7" t="s">
        <v>69</v>
      </c>
      <c r="C28" s="2" t="s">
        <v>70</v>
      </c>
      <c r="D28" s="8">
        <v>1006.08</v>
      </c>
      <c r="E28" s="9">
        <v>319.24</v>
      </c>
    </row>
    <row r="29" spans="1:5" x14ac:dyDescent="0.25">
      <c r="A29" s="2" t="s">
        <v>71</v>
      </c>
      <c r="B29" s="7" t="s">
        <v>72</v>
      </c>
      <c r="C29" s="2" t="s">
        <v>73</v>
      </c>
      <c r="D29" s="8">
        <v>986.37</v>
      </c>
      <c r="E29" s="9">
        <v>316.26</v>
      </c>
    </row>
    <row r="30" spans="1:5" x14ac:dyDescent="0.25">
      <c r="A30" s="2" t="s">
        <v>74</v>
      </c>
      <c r="B30" s="7" t="s">
        <v>75</v>
      </c>
      <c r="C30" s="2" t="s">
        <v>76</v>
      </c>
      <c r="D30" s="8">
        <v>964.73</v>
      </c>
      <c r="E30" s="9">
        <v>914.39</v>
      </c>
    </row>
    <row r="31" spans="1:5" x14ac:dyDescent="0.25">
      <c r="A31" s="2" t="s">
        <v>77</v>
      </c>
      <c r="B31" s="7" t="s">
        <v>78</v>
      </c>
      <c r="C31" s="2" t="s">
        <v>79</v>
      </c>
      <c r="D31" s="8">
        <v>502.9</v>
      </c>
      <c r="E31" s="9">
        <v>241.21</v>
      </c>
    </row>
    <row r="32" spans="1:5" x14ac:dyDescent="0.25">
      <c r="A32" s="2" t="s">
        <v>80</v>
      </c>
      <c r="B32" s="7" t="s">
        <v>81</v>
      </c>
      <c r="C32" s="2" t="s">
        <v>82</v>
      </c>
      <c r="D32" s="8">
        <v>194.25</v>
      </c>
      <c r="E32" s="9">
        <v>180.36</v>
      </c>
    </row>
    <row r="33" spans="1:5" x14ac:dyDescent="0.25">
      <c r="A33" s="2" t="s">
        <v>83</v>
      </c>
      <c r="B33" s="7" t="s">
        <v>84</v>
      </c>
      <c r="C33" s="2" t="s">
        <v>85</v>
      </c>
      <c r="D33" s="8">
        <v>399.84</v>
      </c>
      <c r="E33" s="9">
        <v>76.290000000000006</v>
      </c>
    </row>
    <row r="34" spans="1:5" x14ac:dyDescent="0.25">
      <c r="A34" s="2" t="s">
        <v>86</v>
      </c>
      <c r="B34" s="7" t="s">
        <v>87</v>
      </c>
      <c r="C34" s="2" t="s">
        <v>88</v>
      </c>
      <c r="D34" s="8">
        <v>404.62</v>
      </c>
      <c r="E34" s="9">
        <v>388.31</v>
      </c>
    </row>
    <row r="35" spans="1:5" x14ac:dyDescent="0.25">
      <c r="A35" s="2" t="s">
        <v>89</v>
      </c>
      <c r="B35" s="7" t="s">
        <v>90</v>
      </c>
      <c r="C35" s="2" t="s">
        <v>91</v>
      </c>
      <c r="D35" s="8">
        <v>1168.77</v>
      </c>
      <c r="E35" s="9">
        <v>370.45</v>
      </c>
    </row>
    <row r="36" spans="1:5" x14ac:dyDescent="0.25">
      <c r="A36" s="2" t="s">
        <v>92</v>
      </c>
      <c r="B36" s="7" t="s">
        <v>93</v>
      </c>
      <c r="C36" s="2" t="s">
        <v>94</v>
      </c>
      <c r="D36" s="8">
        <v>1189.1400000000001</v>
      </c>
      <c r="E36" s="9">
        <v>376.4</v>
      </c>
    </row>
    <row r="37" spans="1:5" x14ac:dyDescent="0.25">
      <c r="A37" s="2" t="s">
        <v>95</v>
      </c>
      <c r="B37" s="7" t="s">
        <v>96</v>
      </c>
      <c r="C37" s="2" t="s">
        <v>97</v>
      </c>
      <c r="D37" s="8">
        <v>398.66</v>
      </c>
      <c r="E37" s="9">
        <v>379.38</v>
      </c>
    </row>
    <row r="38" spans="1:5" x14ac:dyDescent="0.25">
      <c r="A38" s="2" t="s">
        <v>98</v>
      </c>
      <c r="B38" s="7" t="s">
        <v>99</v>
      </c>
      <c r="C38" s="2" t="s">
        <v>100</v>
      </c>
      <c r="D38" s="8">
        <v>306.22000000000003</v>
      </c>
      <c r="E38" s="9">
        <v>297.14</v>
      </c>
    </row>
    <row r="39" spans="1:5" x14ac:dyDescent="0.25">
      <c r="A39" s="2" t="s">
        <v>101</v>
      </c>
      <c r="B39" s="7" t="s">
        <v>102</v>
      </c>
      <c r="C39" s="2" t="s">
        <v>103</v>
      </c>
      <c r="D39" s="8">
        <v>651.17999999999995</v>
      </c>
      <c r="E39" s="9">
        <v>306.07</v>
      </c>
    </row>
    <row r="40" spans="1:5" x14ac:dyDescent="0.25">
      <c r="A40" s="2" t="s">
        <v>104</v>
      </c>
      <c r="B40" s="7" t="s">
        <v>105</v>
      </c>
      <c r="C40" s="2" t="s">
        <v>106</v>
      </c>
      <c r="D40" s="8">
        <v>190.56</v>
      </c>
      <c r="E40" s="9">
        <v>181.02</v>
      </c>
    </row>
    <row r="41" spans="1:5" x14ac:dyDescent="0.25">
      <c r="A41" s="2" t="s">
        <v>107</v>
      </c>
      <c r="B41" s="7" t="s">
        <v>108</v>
      </c>
      <c r="C41" s="2" t="s">
        <v>109</v>
      </c>
      <c r="D41" s="8">
        <v>182.54</v>
      </c>
      <c r="E41" s="9">
        <v>182.77</v>
      </c>
    </row>
    <row r="42" spans="1:5" x14ac:dyDescent="0.25">
      <c r="A42" s="2" t="s">
        <v>110</v>
      </c>
      <c r="B42" s="7" t="s">
        <v>111</v>
      </c>
      <c r="C42" s="2" t="s">
        <v>112</v>
      </c>
      <c r="D42" s="8">
        <v>303.3</v>
      </c>
      <c r="E42" s="9">
        <v>279.23</v>
      </c>
    </row>
    <row r="43" spans="1:5" x14ac:dyDescent="0.25">
      <c r="A43" s="2" t="s">
        <v>113</v>
      </c>
      <c r="B43" s="7" t="s">
        <v>114</v>
      </c>
      <c r="C43" s="2" t="s">
        <v>115</v>
      </c>
      <c r="D43" s="8">
        <v>300.26</v>
      </c>
      <c r="E43" s="9">
        <v>288.22000000000003</v>
      </c>
    </row>
    <row r="44" spans="1:5" x14ac:dyDescent="0.25">
      <c r="A44" s="2" t="s">
        <v>116</v>
      </c>
      <c r="B44" s="7" t="s">
        <v>117</v>
      </c>
      <c r="C44" s="2" t="s">
        <v>118</v>
      </c>
      <c r="D44" s="8">
        <v>175.13</v>
      </c>
      <c r="E44" s="9">
        <v>171.22</v>
      </c>
    </row>
    <row r="45" spans="1:5" x14ac:dyDescent="0.25">
      <c r="A45" s="2" t="s">
        <v>119</v>
      </c>
      <c r="B45" s="7" t="s">
        <v>120</v>
      </c>
      <c r="C45" s="2" t="s">
        <v>121</v>
      </c>
      <c r="D45" s="8">
        <v>0</v>
      </c>
      <c r="E45" s="9">
        <v>22.09</v>
      </c>
    </row>
    <row r="46" spans="1:5" x14ac:dyDescent="0.25">
      <c r="A46" s="2" t="s">
        <v>122</v>
      </c>
      <c r="B46" s="7" t="s">
        <v>123</v>
      </c>
      <c r="C46" s="2" t="s">
        <v>124</v>
      </c>
      <c r="D46" s="8">
        <v>27.94</v>
      </c>
      <c r="E46" s="9">
        <v>366.83</v>
      </c>
    </row>
    <row r="47" spans="1:5" x14ac:dyDescent="0.25">
      <c r="A47" s="2" t="s">
        <v>125</v>
      </c>
      <c r="B47" s="7" t="s">
        <v>126</v>
      </c>
      <c r="C47" s="2" t="s">
        <v>127</v>
      </c>
      <c r="D47" s="8">
        <v>782.45</v>
      </c>
      <c r="E47" s="9">
        <v>382.36</v>
      </c>
    </row>
    <row r="48" spans="1:5" x14ac:dyDescent="0.25">
      <c r="A48" s="2" t="s">
        <v>128</v>
      </c>
      <c r="B48" s="7" t="s">
        <v>129</v>
      </c>
      <c r="C48" s="2" t="s">
        <v>130</v>
      </c>
      <c r="D48" s="8">
        <v>0</v>
      </c>
      <c r="E48" s="9">
        <v>367.48</v>
      </c>
    </row>
    <row r="49" spans="1:5" x14ac:dyDescent="0.25">
      <c r="A49" s="2" t="s">
        <v>131</v>
      </c>
      <c r="B49" s="7" t="s">
        <v>132</v>
      </c>
      <c r="C49" s="2" t="s">
        <v>133</v>
      </c>
      <c r="D49" s="8">
        <v>3126.76</v>
      </c>
      <c r="E49" s="9">
        <v>883.54</v>
      </c>
    </row>
    <row r="50" spans="1:5" x14ac:dyDescent="0.25">
      <c r="A50" s="2" t="s">
        <v>134</v>
      </c>
      <c r="B50" s="7" t="s">
        <v>135</v>
      </c>
      <c r="C50" s="2" t="s">
        <v>136</v>
      </c>
      <c r="D50" s="8">
        <v>385.28</v>
      </c>
      <c r="E50" s="9">
        <v>362.98</v>
      </c>
    </row>
    <row r="51" spans="1:5" x14ac:dyDescent="0.25">
      <c r="A51" s="2" t="s">
        <v>137</v>
      </c>
      <c r="B51" s="7" t="s">
        <v>138</v>
      </c>
      <c r="C51" s="2" t="s">
        <v>139</v>
      </c>
      <c r="D51" s="8">
        <v>0</v>
      </c>
      <c r="E51" s="9">
        <v>373.43</v>
      </c>
    </row>
    <row r="52" spans="1:5" x14ac:dyDescent="0.25">
      <c r="A52" s="2" t="s">
        <v>140</v>
      </c>
      <c r="B52" s="7" t="s">
        <v>141</v>
      </c>
      <c r="C52" s="2" t="s">
        <v>142</v>
      </c>
      <c r="D52" s="8">
        <v>263.37</v>
      </c>
      <c r="E52" s="9">
        <v>241.21</v>
      </c>
    </row>
    <row r="53" spans="1:5" x14ac:dyDescent="0.25">
      <c r="A53" s="2" t="s">
        <v>143</v>
      </c>
      <c r="B53" s="7" t="s">
        <v>144</v>
      </c>
      <c r="C53" s="2" t="s">
        <v>145</v>
      </c>
      <c r="D53" s="8">
        <v>754.94</v>
      </c>
      <c r="E53" s="9">
        <v>358.55</v>
      </c>
    </row>
    <row r="54" spans="1:5" x14ac:dyDescent="0.25">
      <c r="A54" s="2" t="s">
        <v>146</v>
      </c>
      <c r="B54" s="7" t="s">
        <v>147</v>
      </c>
      <c r="C54" s="2" t="s">
        <v>148</v>
      </c>
      <c r="D54" s="8">
        <v>0</v>
      </c>
      <c r="E54" s="9">
        <v>296.79000000000002</v>
      </c>
    </row>
    <row r="55" spans="1:5" x14ac:dyDescent="0.25">
      <c r="A55" s="2" t="s">
        <v>149</v>
      </c>
      <c r="B55" s="7" t="s">
        <v>150</v>
      </c>
      <c r="C55" s="2" t="s">
        <v>151</v>
      </c>
      <c r="D55" s="8">
        <v>0</v>
      </c>
      <c r="E55" s="9">
        <v>389.57</v>
      </c>
    </row>
    <row r="56" spans="1:5" x14ac:dyDescent="0.25">
      <c r="A56" s="2" t="s">
        <v>152</v>
      </c>
      <c r="B56" s="7" t="s">
        <v>153</v>
      </c>
      <c r="C56" s="2" t="s">
        <v>154</v>
      </c>
      <c r="D56" s="8">
        <v>0</v>
      </c>
      <c r="E56" s="9">
        <v>164.92</v>
      </c>
    </row>
    <row r="57" spans="1:5" x14ac:dyDescent="0.25">
      <c r="A57" s="2" t="s">
        <v>155</v>
      </c>
      <c r="B57" s="7" t="s">
        <v>156</v>
      </c>
      <c r="C57" s="2" t="s">
        <v>157</v>
      </c>
      <c r="D57" s="8">
        <v>1522.88</v>
      </c>
      <c r="E57" s="9">
        <v>288.22000000000003</v>
      </c>
    </row>
    <row r="58" spans="1:5" x14ac:dyDescent="0.25">
      <c r="A58" s="2" t="s">
        <v>158</v>
      </c>
      <c r="B58" s="7" t="s">
        <v>159</v>
      </c>
      <c r="C58" s="2" t="s">
        <v>160</v>
      </c>
      <c r="D58" s="8">
        <v>324.10000000000002</v>
      </c>
      <c r="E58" s="9">
        <v>300.12</v>
      </c>
    </row>
    <row r="59" spans="1:5" x14ac:dyDescent="0.25">
      <c r="A59" s="2" t="s">
        <v>161</v>
      </c>
      <c r="B59" s="7" t="s">
        <v>162</v>
      </c>
      <c r="C59" s="2" t="s">
        <v>163</v>
      </c>
      <c r="D59" s="8">
        <v>395.68</v>
      </c>
      <c r="E59" s="9">
        <v>373.43</v>
      </c>
    </row>
    <row r="60" spans="1:5" x14ac:dyDescent="0.25">
      <c r="A60" s="2" t="s">
        <v>164</v>
      </c>
      <c r="B60" s="7" t="s">
        <v>165</v>
      </c>
      <c r="C60" s="2" t="s">
        <v>166</v>
      </c>
      <c r="D60" s="8">
        <v>1443.83</v>
      </c>
      <c r="E60" s="9">
        <v>370.45</v>
      </c>
    </row>
    <row r="61" spans="1:5" x14ac:dyDescent="0.25">
      <c r="A61" s="2" t="s">
        <v>167</v>
      </c>
      <c r="B61" s="7" t="s">
        <v>168</v>
      </c>
      <c r="C61" s="2" t="s">
        <v>169</v>
      </c>
      <c r="D61" s="8">
        <v>1189.03</v>
      </c>
      <c r="E61" s="9">
        <v>373.43</v>
      </c>
    </row>
    <row r="62" spans="1:5" x14ac:dyDescent="0.25">
      <c r="A62" s="2" t="s">
        <v>170</v>
      </c>
      <c r="B62" s="7" t="s">
        <v>171</v>
      </c>
      <c r="C62" s="2" t="s">
        <v>172</v>
      </c>
      <c r="D62" s="8">
        <v>1257.9000000000001</v>
      </c>
      <c r="E62" s="9">
        <v>361.53</v>
      </c>
    </row>
    <row r="63" spans="1:5" x14ac:dyDescent="0.25">
      <c r="A63" s="2" t="s">
        <v>173</v>
      </c>
      <c r="B63" s="7" t="s">
        <v>174</v>
      </c>
      <c r="C63" s="2" t="s">
        <v>175</v>
      </c>
      <c r="D63" s="8">
        <v>0</v>
      </c>
      <c r="E63" s="9">
        <v>291.19</v>
      </c>
    </row>
    <row r="64" spans="1:5" x14ac:dyDescent="0.25">
      <c r="A64" s="2" t="s">
        <v>176</v>
      </c>
      <c r="B64" s="7" t="s">
        <v>177</v>
      </c>
      <c r="C64" s="2" t="s">
        <v>178</v>
      </c>
      <c r="D64" s="8">
        <v>0</v>
      </c>
      <c r="E64" s="9">
        <v>429.48</v>
      </c>
    </row>
    <row r="65" spans="1:5" x14ac:dyDescent="0.25">
      <c r="A65" s="2" t="s">
        <v>179</v>
      </c>
      <c r="B65" s="7" t="s">
        <v>180</v>
      </c>
      <c r="C65" s="2" t="s">
        <v>181</v>
      </c>
      <c r="D65" s="8">
        <v>3830.18</v>
      </c>
      <c r="E65" s="9">
        <v>449.72</v>
      </c>
    </row>
    <row r="66" spans="1:5" x14ac:dyDescent="0.25">
      <c r="A66" s="2" t="s">
        <v>182</v>
      </c>
      <c r="B66" s="7" t="s">
        <v>183</v>
      </c>
      <c r="C66" s="2" t="s">
        <v>184</v>
      </c>
      <c r="D66" s="8">
        <v>560.88</v>
      </c>
      <c r="E66" s="9">
        <v>76.290000000000006</v>
      </c>
    </row>
    <row r="67" spans="1:5" x14ac:dyDescent="0.25">
      <c r="A67" s="2" t="s">
        <v>185</v>
      </c>
      <c r="B67" s="7" t="s">
        <v>186</v>
      </c>
      <c r="C67" s="2" t="s">
        <v>187</v>
      </c>
      <c r="D67" s="8">
        <v>1563.43</v>
      </c>
      <c r="E67" s="9">
        <v>373.86</v>
      </c>
    </row>
    <row r="68" spans="1:5" x14ac:dyDescent="0.25">
      <c r="A68" s="2" t="s">
        <v>188</v>
      </c>
      <c r="B68" s="7" t="s">
        <v>189</v>
      </c>
      <c r="C68" s="2" t="s">
        <v>190</v>
      </c>
      <c r="D68" s="8">
        <v>303.24</v>
      </c>
      <c r="E68" s="9">
        <v>364.5</v>
      </c>
    </row>
    <row r="69" spans="1:5" x14ac:dyDescent="0.25">
      <c r="A69" s="2" t="s">
        <v>191</v>
      </c>
      <c r="B69" s="7" t="s">
        <v>192</v>
      </c>
      <c r="C69" s="2" t="s">
        <v>193</v>
      </c>
      <c r="D69" s="8">
        <v>371.84</v>
      </c>
      <c r="E69" s="9">
        <v>355.58</v>
      </c>
    </row>
    <row r="70" spans="1:5" x14ac:dyDescent="0.25">
      <c r="A70" s="2" t="s">
        <v>194</v>
      </c>
      <c r="B70" s="7" t="s">
        <v>195</v>
      </c>
      <c r="C70" s="2" t="s">
        <v>196</v>
      </c>
      <c r="D70" s="8">
        <v>14.94</v>
      </c>
      <c r="E70" s="9">
        <v>729.08</v>
      </c>
    </row>
    <row r="71" spans="1:5" x14ac:dyDescent="0.25">
      <c r="A71" s="2" t="s">
        <v>197</v>
      </c>
      <c r="B71" s="7" t="s">
        <v>198</v>
      </c>
      <c r="C71" s="2" t="s">
        <v>199</v>
      </c>
      <c r="D71" s="8">
        <v>383.76</v>
      </c>
      <c r="E71" s="9">
        <v>361.53</v>
      </c>
    </row>
    <row r="72" spans="1:5" x14ac:dyDescent="0.25">
      <c r="A72" s="2" t="s">
        <v>200</v>
      </c>
      <c r="B72" s="7" t="s">
        <v>201</v>
      </c>
      <c r="C72" s="2" t="s">
        <v>202</v>
      </c>
      <c r="D72" s="8">
        <v>0</v>
      </c>
      <c r="E72" s="9">
        <v>386.41</v>
      </c>
    </row>
    <row r="73" spans="1:5" x14ac:dyDescent="0.25">
      <c r="A73" s="2" t="s">
        <v>203</v>
      </c>
      <c r="B73" s="7" t="s">
        <v>204</v>
      </c>
      <c r="C73" s="2" t="s">
        <v>205</v>
      </c>
      <c r="D73" s="8">
        <v>254.43</v>
      </c>
      <c r="E73" s="9">
        <v>244.18</v>
      </c>
    </row>
    <row r="74" spans="1:5" x14ac:dyDescent="0.25">
      <c r="A74" s="2" t="s">
        <v>206</v>
      </c>
      <c r="B74" s="7" t="s">
        <v>207</v>
      </c>
      <c r="C74" s="2" t="s">
        <v>208</v>
      </c>
      <c r="D74" s="8">
        <v>0</v>
      </c>
      <c r="E74" s="9">
        <v>300.12</v>
      </c>
    </row>
    <row r="75" spans="1:5" x14ac:dyDescent="0.25">
      <c r="A75" s="2" t="s">
        <v>209</v>
      </c>
      <c r="B75" s="7" t="s">
        <v>210</v>
      </c>
      <c r="C75" s="2" t="s">
        <v>211</v>
      </c>
      <c r="D75" s="8">
        <v>172.84</v>
      </c>
      <c r="E75" s="9">
        <v>170.87</v>
      </c>
    </row>
    <row r="76" spans="1:5" x14ac:dyDescent="0.25">
      <c r="A76" s="2" t="s">
        <v>212</v>
      </c>
      <c r="B76" s="7" t="s">
        <v>213</v>
      </c>
      <c r="C76" s="2" t="s">
        <v>214</v>
      </c>
      <c r="D76" s="8">
        <v>-8.4600000000000009</v>
      </c>
      <c r="E76" s="9">
        <v>170.87</v>
      </c>
    </row>
    <row r="77" spans="1:5" x14ac:dyDescent="0.25">
      <c r="A77" s="2" t="s">
        <v>215</v>
      </c>
      <c r="B77" s="7" t="s">
        <v>216</v>
      </c>
      <c r="C77" s="2" t="s">
        <v>217</v>
      </c>
      <c r="D77" s="8">
        <v>632.41</v>
      </c>
      <c r="E77" s="9">
        <v>303.08999999999997</v>
      </c>
    </row>
    <row r="78" spans="1:5" x14ac:dyDescent="0.25">
      <c r="A78" s="2" t="s">
        <v>218</v>
      </c>
      <c r="B78" s="7" t="s">
        <v>219</v>
      </c>
      <c r="C78" s="2" t="s">
        <v>220</v>
      </c>
      <c r="D78" s="8">
        <v>0</v>
      </c>
      <c r="E78" s="9">
        <v>367.48</v>
      </c>
    </row>
    <row r="79" spans="1:5" x14ac:dyDescent="0.25">
      <c r="A79" s="2" t="s">
        <v>221</v>
      </c>
      <c r="B79" s="7" t="s">
        <v>222</v>
      </c>
      <c r="C79" s="2" t="s">
        <v>223</v>
      </c>
      <c r="D79" s="8">
        <v>858.79</v>
      </c>
      <c r="E79" s="9">
        <v>161.94999999999999</v>
      </c>
    </row>
    <row r="80" spans="1:5" x14ac:dyDescent="0.25">
      <c r="A80" s="2" t="s">
        <v>224</v>
      </c>
      <c r="B80" s="7" t="s">
        <v>225</v>
      </c>
      <c r="C80" s="2" t="s">
        <v>226</v>
      </c>
      <c r="D80" s="8">
        <v>374.82</v>
      </c>
      <c r="E80" s="9">
        <v>355.58</v>
      </c>
    </row>
    <row r="81" spans="1:5" x14ac:dyDescent="0.25">
      <c r="A81" s="2" t="s">
        <v>227</v>
      </c>
      <c r="B81" s="7" t="s">
        <v>228</v>
      </c>
      <c r="C81" s="2" t="s">
        <v>229</v>
      </c>
      <c r="D81" s="8">
        <v>526.75</v>
      </c>
      <c r="E81" s="9">
        <v>490.93</v>
      </c>
    </row>
    <row r="82" spans="1:5" x14ac:dyDescent="0.25">
      <c r="A82" s="2" t="s">
        <v>230</v>
      </c>
      <c r="B82" s="7" t="s">
        <v>231</v>
      </c>
      <c r="C82" s="2" t="s">
        <v>232</v>
      </c>
      <c r="D82" s="8">
        <v>485.45</v>
      </c>
      <c r="E82" s="9">
        <v>459.24</v>
      </c>
    </row>
    <row r="83" spans="1:5" x14ac:dyDescent="0.25">
      <c r="A83" s="2" t="s">
        <v>233</v>
      </c>
      <c r="B83" s="7" t="s">
        <v>234</v>
      </c>
      <c r="C83" s="2" t="s">
        <v>235</v>
      </c>
      <c r="D83" s="8">
        <v>418.91</v>
      </c>
      <c r="E83" s="9">
        <v>391.89</v>
      </c>
    </row>
    <row r="84" spans="1:5" x14ac:dyDescent="0.25">
      <c r="A84" s="2" t="s">
        <v>236</v>
      </c>
      <c r="B84" s="7" t="s">
        <v>237</v>
      </c>
      <c r="C84" s="2" t="s">
        <v>238</v>
      </c>
      <c r="D84" s="8">
        <v>404.62</v>
      </c>
      <c r="E84" s="9">
        <v>388.31</v>
      </c>
    </row>
    <row r="85" spans="1:5" x14ac:dyDescent="0.25">
      <c r="A85" s="2" t="s">
        <v>239</v>
      </c>
      <c r="B85" s="7" t="s">
        <v>240</v>
      </c>
      <c r="C85" s="2" t="s">
        <v>241</v>
      </c>
      <c r="D85" s="8">
        <v>277.75</v>
      </c>
      <c r="E85" s="9">
        <v>266.27999999999997</v>
      </c>
    </row>
    <row r="86" spans="1:5" x14ac:dyDescent="0.25">
      <c r="A86" s="2" t="s">
        <v>242</v>
      </c>
      <c r="B86" s="7" t="s">
        <v>243</v>
      </c>
      <c r="C86" s="2" t="s">
        <v>244</v>
      </c>
      <c r="D86" s="8">
        <v>380.25</v>
      </c>
      <c r="E86" s="9">
        <v>356.11</v>
      </c>
    </row>
    <row r="87" spans="1:5" x14ac:dyDescent="0.25">
      <c r="A87" s="2" t="s">
        <v>245</v>
      </c>
      <c r="B87" s="7" t="s">
        <v>246</v>
      </c>
      <c r="C87" s="2" t="s">
        <v>247</v>
      </c>
      <c r="D87" s="8">
        <v>176.66</v>
      </c>
      <c r="E87" s="9">
        <v>165.15</v>
      </c>
    </row>
    <row r="88" spans="1:5" x14ac:dyDescent="0.25">
      <c r="A88" s="2" t="s">
        <v>248</v>
      </c>
      <c r="B88" s="7" t="s">
        <v>249</v>
      </c>
      <c r="C88" s="2" t="s">
        <v>250</v>
      </c>
      <c r="D88" s="8">
        <v>0</v>
      </c>
      <c r="E88" s="9">
        <v>167.9</v>
      </c>
    </row>
    <row r="89" spans="1:5" x14ac:dyDescent="0.25">
      <c r="A89" s="2" t="s">
        <v>251</v>
      </c>
      <c r="B89" s="7" t="s">
        <v>252</v>
      </c>
      <c r="C89" s="2" t="s">
        <v>253</v>
      </c>
      <c r="D89" s="8">
        <v>2078.96</v>
      </c>
      <c r="E89" s="9">
        <v>379.01</v>
      </c>
    </row>
    <row r="90" spans="1:5" x14ac:dyDescent="0.25">
      <c r="A90" s="2" t="s">
        <v>254</v>
      </c>
      <c r="B90" s="7" t="s">
        <v>255</v>
      </c>
      <c r="C90" s="2" t="s">
        <v>256</v>
      </c>
      <c r="D90" s="8">
        <v>368.86</v>
      </c>
      <c r="E90" s="9">
        <v>349.63</v>
      </c>
    </row>
    <row r="91" spans="1:5" x14ac:dyDescent="0.25">
      <c r="A91" s="2" t="s">
        <v>257</v>
      </c>
      <c r="B91" s="7" t="s">
        <v>258</v>
      </c>
      <c r="C91" s="2" t="s">
        <v>259</v>
      </c>
      <c r="D91" s="8">
        <v>1766.41</v>
      </c>
      <c r="E91" s="9">
        <v>385.86</v>
      </c>
    </row>
    <row r="92" spans="1:5" x14ac:dyDescent="0.25">
      <c r="A92" s="2" t="s">
        <v>260</v>
      </c>
      <c r="B92" s="7" t="s">
        <v>261</v>
      </c>
      <c r="C92" s="2" t="s">
        <v>262</v>
      </c>
      <c r="D92" s="8">
        <v>0</v>
      </c>
      <c r="E92" s="9">
        <v>366.5</v>
      </c>
    </row>
    <row r="93" spans="1:5" x14ac:dyDescent="0.25">
      <c r="A93" s="2" t="s">
        <v>263</v>
      </c>
      <c r="B93" s="7" t="s">
        <v>264</v>
      </c>
      <c r="C93" s="2" t="s">
        <v>265</v>
      </c>
      <c r="D93" s="8">
        <v>1526.52</v>
      </c>
      <c r="E93" s="9">
        <v>352.6</v>
      </c>
    </row>
    <row r="94" spans="1:5" x14ac:dyDescent="0.25">
      <c r="A94" s="2" t="s">
        <v>266</v>
      </c>
      <c r="B94" s="7" t="s">
        <v>267</v>
      </c>
      <c r="C94" s="2" t="s">
        <v>268</v>
      </c>
      <c r="D94" s="8">
        <v>611.80999999999995</v>
      </c>
      <c r="E94" s="9">
        <v>184.04</v>
      </c>
    </row>
    <row r="95" spans="1:5" x14ac:dyDescent="0.25">
      <c r="A95" s="2" t="s">
        <v>269</v>
      </c>
      <c r="B95" s="7" t="s">
        <v>270</v>
      </c>
      <c r="C95" s="2" t="s">
        <v>271</v>
      </c>
      <c r="D95" s="8">
        <v>410.58</v>
      </c>
      <c r="E95" s="9">
        <v>394.26</v>
      </c>
    </row>
    <row r="96" spans="1:5" x14ac:dyDescent="0.25">
      <c r="A96" s="2" t="s">
        <v>272</v>
      </c>
      <c r="B96" s="7" t="s">
        <v>273</v>
      </c>
      <c r="C96" s="2" t="s">
        <v>274</v>
      </c>
      <c r="D96" s="8">
        <v>2.87</v>
      </c>
      <c r="E96" s="9">
        <v>273.33999999999997</v>
      </c>
    </row>
    <row r="97" spans="1:5" x14ac:dyDescent="0.25">
      <c r="A97" s="2" t="s">
        <v>275</v>
      </c>
      <c r="B97" s="7" t="s">
        <v>276</v>
      </c>
      <c r="C97" s="2" t="s">
        <v>277</v>
      </c>
      <c r="D97" s="8">
        <v>257.41000000000003</v>
      </c>
      <c r="E97" s="9">
        <v>244.18</v>
      </c>
    </row>
    <row r="98" spans="1:5" x14ac:dyDescent="0.25">
      <c r="A98" s="2" t="s">
        <v>278</v>
      </c>
      <c r="B98" s="7" t="s">
        <v>279</v>
      </c>
      <c r="C98" s="2" t="s">
        <v>280</v>
      </c>
      <c r="D98" s="8">
        <v>0</v>
      </c>
      <c r="E98" s="9">
        <v>355.58</v>
      </c>
    </row>
    <row r="99" spans="1:5" x14ac:dyDescent="0.25">
      <c r="A99" s="2" t="s">
        <v>281</v>
      </c>
      <c r="B99" s="7" t="s">
        <v>282</v>
      </c>
      <c r="C99" s="2" t="s">
        <v>283</v>
      </c>
      <c r="D99" s="8">
        <v>502.9</v>
      </c>
      <c r="E99" s="9">
        <v>238.23</v>
      </c>
    </row>
    <row r="100" spans="1:5" x14ac:dyDescent="0.25">
      <c r="A100" s="2" t="s">
        <v>284</v>
      </c>
      <c r="B100" s="7" t="s">
        <v>285</v>
      </c>
      <c r="C100" s="2" t="s">
        <v>286</v>
      </c>
      <c r="D100" s="8">
        <v>0</v>
      </c>
      <c r="E100" s="9">
        <v>244.18</v>
      </c>
    </row>
    <row r="101" spans="1:5" x14ac:dyDescent="0.25">
      <c r="A101" s="2" t="s">
        <v>287</v>
      </c>
      <c r="B101" s="7" t="s">
        <v>288</v>
      </c>
      <c r="C101" s="2" t="s">
        <v>289</v>
      </c>
      <c r="D101" s="8">
        <v>0</v>
      </c>
      <c r="E101" s="9">
        <v>306.07</v>
      </c>
    </row>
    <row r="102" spans="1:5" x14ac:dyDescent="0.25">
      <c r="A102" s="2" t="s">
        <v>290</v>
      </c>
      <c r="B102" s="7" t="s">
        <v>291</v>
      </c>
      <c r="C102" s="2" t="s">
        <v>292</v>
      </c>
      <c r="D102" s="8">
        <v>368.33</v>
      </c>
      <c r="E102" s="9">
        <v>347.19</v>
      </c>
    </row>
    <row r="103" spans="1:5" x14ac:dyDescent="0.25">
      <c r="A103" s="2" t="s">
        <v>293</v>
      </c>
      <c r="B103" s="7" t="s">
        <v>294</v>
      </c>
      <c r="C103" s="2" t="s">
        <v>295</v>
      </c>
      <c r="D103" s="8">
        <v>0</v>
      </c>
      <c r="E103" s="9">
        <v>633.76</v>
      </c>
    </row>
    <row r="104" spans="1:5" x14ac:dyDescent="0.25">
      <c r="A104" s="2" t="s">
        <v>296</v>
      </c>
      <c r="B104" s="7" t="s">
        <v>297</v>
      </c>
      <c r="C104" s="2" t="s">
        <v>298</v>
      </c>
      <c r="D104" s="8">
        <v>1206.96</v>
      </c>
      <c r="E104" s="9">
        <v>291.19</v>
      </c>
    </row>
    <row r="105" spans="1:5" x14ac:dyDescent="0.25">
      <c r="A105" s="2" t="s">
        <v>299</v>
      </c>
      <c r="B105" s="7" t="s">
        <v>300</v>
      </c>
      <c r="C105" s="2" t="s">
        <v>301</v>
      </c>
      <c r="D105" s="8">
        <v>758.14</v>
      </c>
      <c r="E105" s="9">
        <v>376.4</v>
      </c>
    </row>
    <row r="106" spans="1:5" x14ac:dyDescent="0.25">
      <c r="A106" s="2" t="s">
        <v>302</v>
      </c>
      <c r="B106" s="7" t="s">
        <v>303</v>
      </c>
      <c r="C106" s="2" t="s">
        <v>304</v>
      </c>
      <c r="D106" s="8">
        <v>-0.06</v>
      </c>
      <c r="E106" s="9">
        <v>588.46</v>
      </c>
    </row>
    <row r="107" spans="1:5" x14ac:dyDescent="0.25">
      <c r="A107" s="2" t="s">
        <v>305</v>
      </c>
      <c r="B107" s="7" t="s">
        <v>306</v>
      </c>
      <c r="C107" s="2" t="s">
        <v>307</v>
      </c>
      <c r="D107" s="8">
        <v>0</v>
      </c>
      <c r="E107" s="9">
        <v>523.62</v>
      </c>
    </row>
    <row r="108" spans="1:5" x14ac:dyDescent="0.25">
      <c r="A108" s="2" t="s">
        <v>308</v>
      </c>
      <c r="B108" s="7" t="s">
        <v>309</v>
      </c>
      <c r="C108" s="2" t="s">
        <v>310</v>
      </c>
      <c r="D108" s="8">
        <v>-9.24</v>
      </c>
      <c r="E108" s="9">
        <v>162.54</v>
      </c>
    </row>
    <row r="109" spans="1:5" x14ac:dyDescent="0.25">
      <c r="A109" s="2" t="s">
        <v>311</v>
      </c>
      <c r="B109" s="7" t="s">
        <v>312</v>
      </c>
      <c r="C109" s="2" t="s">
        <v>313</v>
      </c>
      <c r="D109" s="8">
        <v>390.85</v>
      </c>
      <c r="E109" s="9">
        <v>363.38</v>
      </c>
    </row>
    <row r="110" spans="1:5" x14ac:dyDescent="0.25">
      <c r="A110" s="2" t="s">
        <v>314</v>
      </c>
      <c r="B110" s="7" t="s">
        <v>315</v>
      </c>
      <c r="C110" s="2" t="s">
        <v>316</v>
      </c>
      <c r="D110" s="8">
        <v>179.87</v>
      </c>
      <c r="E110" s="9">
        <v>170.87</v>
      </c>
    </row>
    <row r="111" spans="1:5" x14ac:dyDescent="0.25">
      <c r="A111" s="2" t="s">
        <v>317</v>
      </c>
      <c r="B111" s="7" t="s">
        <v>318</v>
      </c>
      <c r="C111" s="2" t="s">
        <v>319</v>
      </c>
      <c r="D111" s="8">
        <v>340.91</v>
      </c>
      <c r="E111" s="9">
        <v>326.42</v>
      </c>
    </row>
    <row r="112" spans="1:5" x14ac:dyDescent="0.25">
      <c r="A112" s="2" t="s">
        <v>320</v>
      </c>
      <c r="B112" s="7" t="s">
        <v>321</v>
      </c>
      <c r="C112" s="2" t="s">
        <v>322</v>
      </c>
      <c r="D112" s="8">
        <v>0</v>
      </c>
      <c r="E112" s="9">
        <v>384.31</v>
      </c>
    </row>
    <row r="113" spans="1:7" x14ac:dyDescent="0.25">
      <c r="A113" s="2" t="s">
        <v>323</v>
      </c>
      <c r="B113" s="7" t="s">
        <v>324</v>
      </c>
      <c r="C113" s="2" t="s">
        <v>325</v>
      </c>
      <c r="D113" s="8">
        <v>0</v>
      </c>
      <c r="E113" s="9">
        <v>76.290000000000006</v>
      </c>
    </row>
    <row r="114" spans="1:7" x14ac:dyDescent="0.25">
      <c r="A114" s="2" t="s">
        <v>326</v>
      </c>
      <c r="B114" s="7" t="s">
        <v>327</v>
      </c>
      <c r="C114" s="2" t="s">
        <v>328</v>
      </c>
      <c r="D114" s="8">
        <v>291.32</v>
      </c>
      <c r="E114" s="9">
        <v>276.32</v>
      </c>
    </row>
    <row r="115" spans="1:7" x14ac:dyDescent="0.25">
      <c r="A115" s="2" t="s">
        <v>329</v>
      </c>
      <c r="B115" s="7" t="s">
        <v>330</v>
      </c>
      <c r="C115" s="2" t="s">
        <v>331</v>
      </c>
      <c r="D115" s="8">
        <v>0</v>
      </c>
      <c r="E115" s="9">
        <v>250.13</v>
      </c>
    </row>
    <row r="116" spans="1:7" x14ac:dyDescent="0.25">
      <c r="A116" s="2" t="s">
        <v>332</v>
      </c>
      <c r="B116" s="7" t="s">
        <v>333</v>
      </c>
      <c r="C116" s="2" t="s">
        <v>334</v>
      </c>
      <c r="D116" s="8">
        <v>535.13</v>
      </c>
      <c r="E116" s="9">
        <v>253.11</v>
      </c>
    </row>
    <row r="117" spans="1:7" x14ac:dyDescent="0.25">
      <c r="A117" s="2" t="s">
        <v>335</v>
      </c>
      <c r="B117" s="7" t="s">
        <v>336</v>
      </c>
      <c r="C117" s="2" t="s">
        <v>337</v>
      </c>
      <c r="D117" s="8">
        <v>0</v>
      </c>
      <c r="E117" s="9">
        <v>471.14</v>
      </c>
    </row>
    <row r="118" spans="1:7" x14ac:dyDescent="0.25">
      <c r="A118" s="2" t="s">
        <v>338</v>
      </c>
      <c r="B118" s="7" t="s">
        <v>339</v>
      </c>
      <c r="C118" s="2" t="s">
        <v>340</v>
      </c>
      <c r="D118" s="8">
        <v>235.52</v>
      </c>
      <c r="E118" s="9">
        <v>247.16</v>
      </c>
    </row>
    <row r="119" spans="1:7" x14ac:dyDescent="0.25">
      <c r="A119" s="2" t="s">
        <v>341</v>
      </c>
      <c r="B119" s="7" t="s">
        <v>342</v>
      </c>
      <c r="C119" s="2" t="s">
        <v>343</v>
      </c>
      <c r="D119" s="8">
        <v>1356.34</v>
      </c>
      <c r="E119" s="9">
        <v>427.25</v>
      </c>
    </row>
    <row r="120" spans="1:7" x14ac:dyDescent="0.25">
      <c r="A120" s="2" t="s">
        <v>344</v>
      </c>
      <c r="B120" s="7" t="s">
        <v>345</v>
      </c>
      <c r="C120" s="2" t="s">
        <v>346</v>
      </c>
      <c r="D120" s="8">
        <v>1970.3</v>
      </c>
      <c r="E120" s="9">
        <v>297.14</v>
      </c>
      <c r="G120" s="83"/>
    </row>
    <row r="121" spans="1:7" x14ac:dyDescent="0.25">
      <c r="A121" s="2" t="s">
        <v>347</v>
      </c>
      <c r="B121" s="7" t="s">
        <v>348</v>
      </c>
      <c r="C121" s="2" t="s">
        <v>349</v>
      </c>
      <c r="D121" s="8">
        <v>395.68</v>
      </c>
      <c r="E121" s="9">
        <v>373.43</v>
      </c>
    </row>
    <row r="122" spans="1:7" x14ac:dyDescent="0.25">
      <c r="A122" s="2" t="s">
        <v>350</v>
      </c>
      <c r="B122" s="7" t="s">
        <v>351</v>
      </c>
      <c r="C122" s="2" t="s">
        <v>352</v>
      </c>
      <c r="D122" s="8">
        <v>0</v>
      </c>
      <c r="E122" s="9">
        <v>76.290000000000006</v>
      </c>
    </row>
    <row r="123" spans="1:7" x14ac:dyDescent="0.25">
      <c r="A123" s="2" t="s">
        <v>353</v>
      </c>
      <c r="B123" s="7" t="s">
        <v>354</v>
      </c>
      <c r="C123" s="2" t="s">
        <v>355</v>
      </c>
      <c r="D123" s="8">
        <v>502.37</v>
      </c>
      <c r="E123" s="9">
        <v>282.7</v>
      </c>
    </row>
    <row r="124" spans="1:7" x14ac:dyDescent="0.25">
      <c r="A124" s="2" t="s">
        <v>356</v>
      </c>
      <c r="B124" s="7" t="s">
        <v>357</v>
      </c>
      <c r="C124" s="2" t="s">
        <v>358</v>
      </c>
      <c r="D124" s="8">
        <v>0</v>
      </c>
      <c r="E124" s="9">
        <v>361.53</v>
      </c>
    </row>
    <row r="125" spans="1:7" x14ac:dyDescent="0.25">
      <c r="A125" s="2" t="s">
        <v>359</v>
      </c>
      <c r="B125" s="7" t="s">
        <v>360</v>
      </c>
      <c r="C125" s="2" t="s">
        <v>361</v>
      </c>
      <c r="D125" s="8">
        <v>-553.29</v>
      </c>
      <c r="E125" s="9">
        <v>465.19</v>
      </c>
    </row>
    <row r="126" spans="1:7" x14ac:dyDescent="0.25">
      <c r="A126" s="2" t="s">
        <v>362</v>
      </c>
      <c r="B126" s="7" t="s">
        <v>363</v>
      </c>
      <c r="C126" s="2" t="s">
        <v>364</v>
      </c>
      <c r="D126" s="8">
        <v>395.68</v>
      </c>
      <c r="E126" s="9">
        <v>373.43</v>
      </c>
    </row>
    <row r="127" spans="1:7" x14ac:dyDescent="0.25">
      <c r="A127" s="2" t="s">
        <v>365</v>
      </c>
      <c r="B127" s="7" t="s">
        <v>366</v>
      </c>
      <c r="C127" s="2" t="s">
        <v>367</v>
      </c>
      <c r="D127" s="8">
        <v>0</v>
      </c>
      <c r="E127" s="9">
        <v>170.87</v>
      </c>
    </row>
    <row r="128" spans="1:7" x14ac:dyDescent="0.25">
      <c r="A128" s="2" t="s">
        <v>368</v>
      </c>
      <c r="B128" s="7" t="s">
        <v>369</v>
      </c>
      <c r="C128" s="2" t="s">
        <v>370</v>
      </c>
      <c r="D128" s="8">
        <v>-1.38</v>
      </c>
      <c r="E128" s="9">
        <v>164.92</v>
      </c>
    </row>
    <row r="129" spans="1:5" x14ac:dyDescent="0.25">
      <c r="A129" s="2" t="s">
        <v>371</v>
      </c>
      <c r="B129" s="7" t="s">
        <v>372</v>
      </c>
      <c r="C129" s="2" t="s">
        <v>373</v>
      </c>
      <c r="D129" s="8">
        <v>305.52</v>
      </c>
      <c r="E129" s="9">
        <v>250.13</v>
      </c>
    </row>
    <row r="130" spans="1:5" x14ac:dyDescent="0.25">
      <c r="A130" s="2" t="s">
        <v>374</v>
      </c>
      <c r="B130" s="7" t="s">
        <v>375</v>
      </c>
      <c r="C130" s="2" t="s">
        <v>376</v>
      </c>
      <c r="D130" s="8">
        <v>632.47</v>
      </c>
      <c r="E130" s="9">
        <v>297.08999999999997</v>
      </c>
    </row>
    <row r="131" spans="1:5" x14ac:dyDescent="0.25">
      <c r="A131" s="2" t="s">
        <v>377</v>
      </c>
      <c r="B131" s="7" t="s">
        <v>378</v>
      </c>
      <c r="C131" s="2" t="s">
        <v>379</v>
      </c>
      <c r="D131" s="8">
        <v>0</v>
      </c>
      <c r="E131" s="9">
        <v>161.94999999999999</v>
      </c>
    </row>
    <row r="132" spans="1:5" x14ac:dyDescent="0.25">
      <c r="A132" s="2" t="s">
        <v>380</v>
      </c>
      <c r="B132" s="7" t="s">
        <v>381</v>
      </c>
      <c r="C132" s="2" t="s">
        <v>382</v>
      </c>
      <c r="D132" s="8">
        <v>0</v>
      </c>
      <c r="E132" s="9">
        <v>422.1</v>
      </c>
    </row>
    <row r="133" spans="1:5" x14ac:dyDescent="0.25">
      <c r="A133" s="2" t="s">
        <v>383</v>
      </c>
      <c r="B133" s="7" t="s">
        <v>384</v>
      </c>
      <c r="C133" s="2" t="s">
        <v>385</v>
      </c>
      <c r="D133" s="8">
        <v>372.09</v>
      </c>
      <c r="E133" s="9">
        <v>358.31</v>
      </c>
    </row>
    <row r="134" spans="1:5" x14ac:dyDescent="0.25">
      <c r="A134" s="2" t="s">
        <v>386</v>
      </c>
      <c r="B134" s="7" t="s">
        <v>387</v>
      </c>
      <c r="C134" s="2" t="s">
        <v>388</v>
      </c>
      <c r="D134" s="8">
        <v>0</v>
      </c>
      <c r="E134" s="9">
        <v>371.72</v>
      </c>
    </row>
    <row r="135" spans="1:5" x14ac:dyDescent="0.25">
      <c r="A135" s="2" t="s">
        <v>389</v>
      </c>
      <c r="B135" s="7" t="s">
        <v>390</v>
      </c>
      <c r="C135" s="2" t="s">
        <v>391</v>
      </c>
      <c r="D135" s="8">
        <v>0</v>
      </c>
      <c r="E135" s="9">
        <v>389.32</v>
      </c>
    </row>
    <row r="136" spans="1:5" x14ac:dyDescent="0.25">
      <c r="A136" s="2" t="s">
        <v>392</v>
      </c>
      <c r="B136" s="7" t="s">
        <v>393</v>
      </c>
      <c r="C136" s="2" t="s">
        <v>394</v>
      </c>
      <c r="D136" s="8">
        <v>0</v>
      </c>
      <c r="E136" s="9">
        <v>168.26</v>
      </c>
    </row>
    <row r="137" spans="1:5" x14ac:dyDescent="0.25">
      <c r="A137" s="2" t="s">
        <v>395</v>
      </c>
      <c r="B137" s="7" t="s">
        <v>396</v>
      </c>
      <c r="C137" s="2" t="s">
        <v>397</v>
      </c>
      <c r="D137" s="8">
        <v>0</v>
      </c>
      <c r="E137" s="9">
        <v>244.18</v>
      </c>
    </row>
    <row r="138" spans="1:5" x14ac:dyDescent="0.25">
      <c r="A138" s="2" t="s">
        <v>398</v>
      </c>
      <c r="B138" s="7" t="s">
        <v>399</v>
      </c>
      <c r="C138" s="2" t="s">
        <v>400</v>
      </c>
      <c r="D138" s="8">
        <v>1332.57</v>
      </c>
      <c r="E138" s="9">
        <v>309.04000000000002</v>
      </c>
    </row>
    <row r="139" spans="1:5" x14ac:dyDescent="0.25">
      <c r="A139" s="2" t="s">
        <v>401</v>
      </c>
      <c r="B139" s="7" t="s">
        <v>402</v>
      </c>
      <c r="C139" s="2" t="s">
        <v>403</v>
      </c>
      <c r="D139" s="8">
        <v>1388.13</v>
      </c>
      <c r="E139" s="9">
        <v>265.01</v>
      </c>
    </row>
    <row r="140" spans="1:5" x14ac:dyDescent="0.25">
      <c r="A140" s="2" t="s">
        <v>404</v>
      </c>
      <c r="B140" s="7" t="s">
        <v>405</v>
      </c>
      <c r="C140" s="2" t="s">
        <v>406</v>
      </c>
      <c r="D140" s="8">
        <v>-18.84</v>
      </c>
      <c r="E140" s="9">
        <v>266.27999999999997</v>
      </c>
    </row>
    <row r="141" spans="1:5" x14ac:dyDescent="0.25">
      <c r="A141" s="2" t="s">
        <v>407</v>
      </c>
      <c r="B141" s="7" t="s">
        <v>408</v>
      </c>
      <c r="C141" s="2" t="s">
        <v>409</v>
      </c>
      <c r="D141" s="8">
        <v>365.88</v>
      </c>
      <c r="E141" s="9">
        <v>361.53</v>
      </c>
    </row>
    <row r="142" spans="1:5" x14ac:dyDescent="0.25">
      <c r="A142" s="2" t="s">
        <v>410</v>
      </c>
      <c r="B142" s="7" t="s">
        <v>411</v>
      </c>
      <c r="C142" s="2" t="s">
        <v>412</v>
      </c>
      <c r="D142" s="8">
        <v>257.41000000000003</v>
      </c>
      <c r="E142" s="9">
        <v>238.23</v>
      </c>
    </row>
    <row r="143" spans="1:5" x14ac:dyDescent="0.25">
      <c r="A143" s="2" t="s">
        <v>413</v>
      </c>
      <c r="B143" s="7" t="s">
        <v>414</v>
      </c>
      <c r="C143" s="2" t="s">
        <v>415</v>
      </c>
      <c r="D143" s="8">
        <v>0</v>
      </c>
      <c r="E143" s="9">
        <v>484.3</v>
      </c>
    </row>
    <row r="144" spans="1:5" x14ac:dyDescent="0.25">
      <c r="A144" s="2" t="s">
        <v>416</v>
      </c>
      <c r="B144" s="7" t="s">
        <v>417</v>
      </c>
      <c r="C144" s="2" t="s">
        <v>418</v>
      </c>
      <c r="D144" s="8">
        <v>0</v>
      </c>
      <c r="E144" s="9">
        <v>22.09</v>
      </c>
    </row>
    <row r="145" spans="1:11" x14ac:dyDescent="0.25">
      <c r="A145" s="2" t="s">
        <v>419</v>
      </c>
      <c r="B145" s="7" t="s">
        <v>420</v>
      </c>
      <c r="C145" s="2" t="s">
        <v>421</v>
      </c>
      <c r="D145" s="8">
        <v>180.93</v>
      </c>
      <c r="E145" s="9">
        <v>161.68</v>
      </c>
    </row>
    <row r="146" spans="1:11" x14ac:dyDescent="0.25">
      <c r="A146" s="2" t="s">
        <v>422</v>
      </c>
      <c r="B146" s="7" t="s">
        <v>423</v>
      </c>
      <c r="C146" s="2" t="s">
        <v>424</v>
      </c>
      <c r="D146" s="8">
        <v>80.52</v>
      </c>
      <c r="E146" s="9">
        <v>76.290000000000006</v>
      </c>
    </row>
    <row r="147" spans="1:11" x14ac:dyDescent="0.25">
      <c r="A147" s="2" t="s">
        <v>425</v>
      </c>
      <c r="B147" s="7" t="s">
        <v>426</v>
      </c>
      <c r="C147" s="2" t="s">
        <v>427</v>
      </c>
      <c r="D147" s="8">
        <v>185.83</v>
      </c>
      <c r="E147" s="9">
        <v>179.8</v>
      </c>
    </row>
    <row r="148" spans="1:11" x14ac:dyDescent="0.25">
      <c r="A148" s="2" t="s">
        <v>428</v>
      </c>
      <c r="B148" s="7" t="s">
        <v>429</v>
      </c>
      <c r="C148" s="2" t="s">
        <v>430</v>
      </c>
      <c r="D148" s="8">
        <v>0</v>
      </c>
      <c r="E148" s="9">
        <v>303.08999999999997</v>
      </c>
    </row>
    <row r="149" spans="1:11" x14ac:dyDescent="0.25">
      <c r="A149" s="2" t="s">
        <v>431</v>
      </c>
      <c r="B149" s="7" t="s">
        <v>432</v>
      </c>
      <c r="C149" s="2" t="s">
        <v>433</v>
      </c>
      <c r="D149" s="8">
        <v>8509.02</v>
      </c>
      <c r="E149" s="9">
        <v>273.38</v>
      </c>
    </row>
    <row r="150" spans="1:11" x14ac:dyDescent="0.25">
      <c r="A150" s="2" t="s">
        <v>434</v>
      </c>
      <c r="B150" s="7" t="s">
        <v>435</v>
      </c>
      <c r="C150" s="2" t="s">
        <v>436</v>
      </c>
      <c r="D150" s="8">
        <v>251.45</v>
      </c>
      <c r="E150" s="9">
        <v>259.06</v>
      </c>
    </row>
    <row r="151" spans="1:11" x14ac:dyDescent="0.25">
      <c r="A151" s="2" t="s">
        <v>437</v>
      </c>
      <c r="B151" s="7" t="s">
        <v>438</v>
      </c>
      <c r="C151" s="2" t="s">
        <v>439</v>
      </c>
      <c r="D151" s="8">
        <v>-11.71</v>
      </c>
      <c r="E151" s="9">
        <v>360.61</v>
      </c>
    </row>
    <row r="152" spans="1:11" x14ac:dyDescent="0.25">
      <c r="A152" s="2" t="s">
        <v>440</v>
      </c>
      <c r="B152" s="7" t="s">
        <v>441</v>
      </c>
      <c r="C152" s="2" t="s">
        <v>442</v>
      </c>
      <c r="D152" s="8">
        <v>115.8</v>
      </c>
      <c r="E152" s="9">
        <v>198.92</v>
      </c>
    </row>
    <row r="153" spans="1:11" x14ac:dyDescent="0.25">
      <c r="A153" s="2" t="s">
        <v>443</v>
      </c>
      <c r="B153" s="7" t="s">
        <v>444</v>
      </c>
      <c r="C153" s="2" t="s">
        <v>445</v>
      </c>
      <c r="D153" s="8">
        <v>2128.87</v>
      </c>
      <c r="E153" s="9">
        <v>334.11</v>
      </c>
      <c r="G153" s="83">
        <f>+D153+E153</f>
        <v>2462.98</v>
      </c>
      <c r="H153" s="29">
        <f>+G153*1.05</f>
        <v>2586.1289999999999</v>
      </c>
      <c r="I153" s="83"/>
      <c r="J153" s="89">
        <v>2496.0500000000002</v>
      </c>
      <c r="K153" s="99"/>
    </row>
    <row r="154" spans="1:11" x14ac:dyDescent="0.25">
      <c r="A154" s="2" t="s">
        <v>446</v>
      </c>
      <c r="B154" s="7" t="s">
        <v>447</v>
      </c>
      <c r="C154" s="2" t="s">
        <v>448</v>
      </c>
      <c r="D154" s="8">
        <v>0</v>
      </c>
      <c r="E154" s="9">
        <v>361.53</v>
      </c>
    </row>
    <row r="155" spans="1:11" x14ac:dyDescent="0.25">
      <c r="A155" s="2" t="s">
        <v>449</v>
      </c>
      <c r="B155" s="7" t="s">
        <v>450</v>
      </c>
      <c r="C155" s="2" t="s">
        <v>451</v>
      </c>
      <c r="D155" s="8">
        <v>2607.02</v>
      </c>
      <c r="E155" s="9">
        <v>273.33999999999997</v>
      </c>
    </row>
    <row r="156" spans="1:11" x14ac:dyDescent="0.25">
      <c r="A156" s="2" t="s">
        <v>452</v>
      </c>
      <c r="B156" s="7" t="s">
        <v>453</v>
      </c>
      <c r="C156" s="2" t="s">
        <v>454</v>
      </c>
      <c r="D156" s="8">
        <v>0</v>
      </c>
      <c r="E156" s="9">
        <v>260.33</v>
      </c>
    </row>
    <row r="157" spans="1:11" x14ac:dyDescent="0.25">
      <c r="A157" s="2" t="s">
        <v>455</v>
      </c>
      <c r="B157" s="7" t="s">
        <v>456</v>
      </c>
      <c r="C157" s="2" t="s">
        <v>457</v>
      </c>
      <c r="D157" s="8">
        <v>790.89</v>
      </c>
      <c r="E157" s="9">
        <v>374.41</v>
      </c>
    </row>
    <row r="158" spans="1:11" x14ac:dyDescent="0.25">
      <c r="A158" s="2" t="s">
        <v>458</v>
      </c>
      <c r="B158" s="7" t="s">
        <v>459</v>
      </c>
      <c r="C158" s="2" t="s">
        <v>460</v>
      </c>
      <c r="D158" s="8">
        <v>1536.73</v>
      </c>
      <c r="E158" s="9">
        <v>241.21</v>
      </c>
    </row>
    <row r="159" spans="1:11" x14ac:dyDescent="0.25">
      <c r="A159" s="2" t="s">
        <v>461</v>
      </c>
      <c r="B159" s="7" t="s">
        <v>462</v>
      </c>
      <c r="C159" s="2" t="s">
        <v>463</v>
      </c>
      <c r="D159" s="8">
        <v>0</v>
      </c>
      <c r="E159" s="9">
        <v>173.85</v>
      </c>
    </row>
    <row r="160" spans="1:11" x14ac:dyDescent="0.25">
      <c r="A160" s="2" t="s">
        <v>464</v>
      </c>
      <c r="B160" s="7" t="s">
        <v>465</v>
      </c>
      <c r="C160" s="2" t="s">
        <v>466</v>
      </c>
      <c r="D160" s="8">
        <v>1080.96</v>
      </c>
      <c r="E160" s="9">
        <v>338.77</v>
      </c>
    </row>
    <row r="161" spans="1:5" x14ac:dyDescent="0.25">
      <c r="A161" s="2" t="s">
        <v>467</v>
      </c>
      <c r="B161" s="7" t="s">
        <v>468</v>
      </c>
      <c r="C161" s="2" t="s">
        <v>469</v>
      </c>
      <c r="D161" s="8">
        <v>835.59</v>
      </c>
      <c r="E161" s="9">
        <v>406.16</v>
      </c>
    </row>
    <row r="162" spans="1:5" x14ac:dyDescent="0.25">
      <c r="A162" s="2" t="s">
        <v>470</v>
      </c>
      <c r="B162" s="7" t="s">
        <v>471</v>
      </c>
      <c r="C162" s="2" t="s">
        <v>472</v>
      </c>
      <c r="D162" s="8">
        <v>0</v>
      </c>
      <c r="E162" s="9">
        <v>346.65</v>
      </c>
    </row>
    <row r="163" spans="1:5" x14ac:dyDescent="0.25">
      <c r="A163" s="2" t="s">
        <v>473</v>
      </c>
      <c r="B163" s="7" t="s">
        <v>474</v>
      </c>
      <c r="C163" s="2" t="s">
        <v>475</v>
      </c>
      <c r="D163" s="8">
        <v>414.48</v>
      </c>
      <c r="E163" s="9">
        <v>404.03</v>
      </c>
    </row>
    <row r="164" spans="1:5" x14ac:dyDescent="0.25">
      <c r="A164" s="2" t="s">
        <v>476</v>
      </c>
      <c r="B164" s="7" t="s">
        <v>477</v>
      </c>
      <c r="C164" s="2" t="s">
        <v>478</v>
      </c>
      <c r="D164" s="8">
        <v>182.41</v>
      </c>
      <c r="E164" s="9">
        <v>179.8</v>
      </c>
    </row>
    <row r="165" spans="1:5" x14ac:dyDescent="0.25">
      <c r="A165" s="2" t="s">
        <v>479</v>
      </c>
      <c r="B165" s="7" t="s">
        <v>480</v>
      </c>
      <c r="C165" s="2" t="s">
        <v>481</v>
      </c>
      <c r="D165" s="8">
        <v>0</v>
      </c>
      <c r="E165" s="9">
        <v>352.6</v>
      </c>
    </row>
    <row r="166" spans="1:5" x14ac:dyDescent="0.25">
      <c r="A166" s="2" t="s">
        <v>482</v>
      </c>
      <c r="B166" s="7" t="s">
        <v>483</v>
      </c>
      <c r="C166" s="2" t="s">
        <v>484</v>
      </c>
      <c r="D166" s="8">
        <v>0</v>
      </c>
      <c r="E166" s="9">
        <v>163.31</v>
      </c>
    </row>
    <row r="167" spans="1:5" x14ac:dyDescent="0.25">
      <c r="A167" s="2" t="s">
        <v>485</v>
      </c>
      <c r="B167" s="7" t="s">
        <v>486</v>
      </c>
      <c r="C167" s="2" t="s">
        <v>487</v>
      </c>
      <c r="D167" s="8">
        <v>563.94000000000005</v>
      </c>
      <c r="E167" s="9">
        <v>533</v>
      </c>
    </row>
    <row r="168" spans="1:5" x14ac:dyDescent="0.25">
      <c r="A168" s="2" t="s">
        <v>488</v>
      </c>
      <c r="B168" s="7" t="s">
        <v>489</v>
      </c>
      <c r="C168" s="2" t="s">
        <v>490</v>
      </c>
      <c r="D168" s="8">
        <v>0</v>
      </c>
      <c r="E168" s="9">
        <v>358.55</v>
      </c>
    </row>
    <row r="169" spans="1:5" x14ac:dyDescent="0.25">
      <c r="A169" s="2" t="s">
        <v>491</v>
      </c>
      <c r="B169" s="7" t="s">
        <v>492</v>
      </c>
      <c r="C169" s="2" t="s">
        <v>493</v>
      </c>
      <c r="D169" s="8">
        <v>0</v>
      </c>
      <c r="E169" s="9">
        <v>250.13</v>
      </c>
    </row>
    <row r="170" spans="1:5" x14ac:dyDescent="0.25">
      <c r="A170" s="2" t="s">
        <v>494</v>
      </c>
      <c r="B170" s="7" t="s">
        <v>495</v>
      </c>
      <c r="C170" s="2" t="s">
        <v>496</v>
      </c>
      <c r="D170" s="8">
        <v>731.76</v>
      </c>
      <c r="E170" s="9">
        <v>346.65</v>
      </c>
    </row>
    <row r="171" spans="1:5" x14ac:dyDescent="0.25">
      <c r="A171" s="2" t="s">
        <v>497</v>
      </c>
      <c r="B171" s="7" t="s">
        <v>498</v>
      </c>
      <c r="C171" s="2" t="s">
        <v>499</v>
      </c>
      <c r="D171" s="8">
        <v>0</v>
      </c>
      <c r="E171" s="9">
        <v>355.58</v>
      </c>
    </row>
    <row r="172" spans="1:5" x14ac:dyDescent="0.25">
      <c r="A172" s="2" t="s">
        <v>500</v>
      </c>
      <c r="B172" s="7" t="s">
        <v>501</v>
      </c>
      <c r="C172" s="2" t="s">
        <v>502</v>
      </c>
      <c r="D172" s="8">
        <v>36.28</v>
      </c>
      <c r="E172" s="9">
        <v>196.71</v>
      </c>
    </row>
    <row r="173" spans="1:5" x14ac:dyDescent="0.25">
      <c r="A173" s="2" t="s">
        <v>503</v>
      </c>
      <c r="B173" s="7" t="s">
        <v>504</v>
      </c>
      <c r="C173" s="2" t="s">
        <v>505</v>
      </c>
      <c r="D173" s="8">
        <v>254.43</v>
      </c>
      <c r="E173" s="9">
        <v>241.21</v>
      </c>
    </row>
    <row r="174" spans="1:5" x14ac:dyDescent="0.25">
      <c r="A174" s="2" t="s">
        <v>506</v>
      </c>
      <c r="B174" s="7" t="s">
        <v>507</v>
      </c>
      <c r="C174" s="2" t="s">
        <v>508</v>
      </c>
      <c r="D174" s="8">
        <v>555.35</v>
      </c>
      <c r="E174" s="9">
        <v>173.85</v>
      </c>
    </row>
    <row r="175" spans="1:5" x14ac:dyDescent="0.25">
      <c r="A175" s="2" t="s">
        <v>509</v>
      </c>
      <c r="B175" s="7" t="s">
        <v>510</v>
      </c>
      <c r="C175" s="2" t="s">
        <v>511</v>
      </c>
      <c r="D175" s="8">
        <v>173.91</v>
      </c>
      <c r="E175" s="9">
        <v>170.87</v>
      </c>
    </row>
    <row r="176" spans="1:5" x14ac:dyDescent="0.25">
      <c r="A176" s="2" t="s">
        <v>512</v>
      </c>
      <c r="B176" s="7" t="s">
        <v>513</v>
      </c>
      <c r="C176" s="2" t="s">
        <v>514</v>
      </c>
      <c r="D176" s="8">
        <v>251.45</v>
      </c>
      <c r="E176" s="9">
        <v>241.21</v>
      </c>
    </row>
    <row r="177" spans="1:5" x14ac:dyDescent="0.25">
      <c r="A177" s="2" t="s">
        <v>515</v>
      </c>
      <c r="B177" s="7" t="s">
        <v>516</v>
      </c>
      <c r="C177" s="2" t="s">
        <v>517</v>
      </c>
      <c r="D177" s="8">
        <v>387.36</v>
      </c>
      <c r="E177" s="9">
        <v>366.86</v>
      </c>
    </row>
    <row r="178" spans="1:5" x14ac:dyDescent="0.25">
      <c r="A178" s="2" t="s">
        <v>518</v>
      </c>
      <c r="B178" s="7" t="s">
        <v>519</v>
      </c>
      <c r="C178" s="2" t="s">
        <v>520</v>
      </c>
      <c r="D178" s="8">
        <v>774.64</v>
      </c>
      <c r="E178" s="9">
        <v>358.55</v>
      </c>
    </row>
    <row r="179" spans="1:5" x14ac:dyDescent="0.25">
      <c r="A179" s="2" t="s">
        <v>521</v>
      </c>
      <c r="B179" s="7" t="s">
        <v>522</v>
      </c>
      <c r="C179" s="2" t="s">
        <v>523</v>
      </c>
      <c r="D179" s="8">
        <v>558.16999999999996</v>
      </c>
      <c r="E179" s="9">
        <v>253.11</v>
      </c>
    </row>
    <row r="180" spans="1:5" x14ac:dyDescent="0.25">
      <c r="A180" s="2" t="s">
        <v>524</v>
      </c>
      <c r="B180" s="7" t="s">
        <v>525</v>
      </c>
      <c r="C180" s="2" t="s">
        <v>526</v>
      </c>
      <c r="D180" s="8">
        <v>0</v>
      </c>
      <c r="E180" s="9">
        <v>269.25</v>
      </c>
    </row>
    <row r="181" spans="1:5" x14ac:dyDescent="0.25">
      <c r="A181" s="2" t="s">
        <v>527</v>
      </c>
      <c r="B181" s="7" t="s">
        <v>528</v>
      </c>
      <c r="C181" s="2" t="s">
        <v>529</v>
      </c>
      <c r="D181" s="8">
        <v>525.66</v>
      </c>
      <c r="E181" s="9">
        <v>170.87</v>
      </c>
    </row>
    <row r="182" spans="1:5" x14ac:dyDescent="0.25">
      <c r="A182" s="2" t="s">
        <v>530</v>
      </c>
      <c r="B182" s="7" t="s">
        <v>531</v>
      </c>
      <c r="C182" s="2" t="s">
        <v>532</v>
      </c>
      <c r="D182" s="8">
        <v>-303.24</v>
      </c>
      <c r="E182" s="9">
        <v>297.14</v>
      </c>
    </row>
    <row r="183" spans="1:5" x14ac:dyDescent="0.25">
      <c r="A183" s="2" t="s">
        <v>533</v>
      </c>
      <c r="B183" s="7" t="s">
        <v>534</v>
      </c>
      <c r="C183" s="2" t="s">
        <v>535</v>
      </c>
      <c r="D183" s="8">
        <v>582.75</v>
      </c>
      <c r="E183" s="9">
        <v>184.04</v>
      </c>
    </row>
    <row r="184" spans="1:5" x14ac:dyDescent="0.25">
      <c r="A184" s="2" t="s">
        <v>536</v>
      </c>
      <c r="B184" s="7" t="s">
        <v>537</v>
      </c>
      <c r="C184" s="2" t="s">
        <v>538</v>
      </c>
      <c r="D184" s="8">
        <v>395.68</v>
      </c>
      <c r="E184" s="9">
        <v>370.45</v>
      </c>
    </row>
    <row r="185" spans="1:5" x14ac:dyDescent="0.25">
      <c r="A185" s="2" t="s">
        <v>539</v>
      </c>
      <c r="B185" s="7" t="s">
        <v>540</v>
      </c>
      <c r="C185" s="2" t="s">
        <v>541</v>
      </c>
      <c r="D185" s="8">
        <v>294.3</v>
      </c>
      <c r="E185" s="9">
        <v>279.29000000000002</v>
      </c>
    </row>
    <row r="186" spans="1:5" x14ac:dyDescent="0.25">
      <c r="A186" s="2" t="s">
        <v>542</v>
      </c>
      <c r="B186" s="7" t="s">
        <v>543</v>
      </c>
      <c r="C186" s="2" t="s">
        <v>544</v>
      </c>
      <c r="D186" s="8">
        <v>389.72</v>
      </c>
      <c r="E186" s="9">
        <v>370.45</v>
      </c>
    </row>
    <row r="187" spans="1:5" x14ac:dyDescent="0.25">
      <c r="A187" s="2" t="s">
        <v>545</v>
      </c>
      <c r="B187" s="7" t="s">
        <v>546</v>
      </c>
      <c r="C187" s="2" t="s">
        <v>547</v>
      </c>
      <c r="D187" s="8">
        <v>395.68</v>
      </c>
      <c r="E187" s="9">
        <v>379.38</v>
      </c>
    </row>
    <row r="188" spans="1:5" x14ac:dyDescent="0.25">
      <c r="A188" s="2" t="s">
        <v>548</v>
      </c>
      <c r="B188" s="7" t="s">
        <v>549</v>
      </c>
      <c r="C188" s="2" t="s">
        <v>550</v>
      </c>
      <c r="D188" s="8">
        <v>529.77</v>
      </c>
      <c r="E188" s="9">
        <v>432.93</v>
      </c>
    </row>
    <row r="189" spans="1:5" x14ac:dyDescent="0.25">
      <c r="A189" s="2" t="s">
        <v>551</v>
      </c>
      <c r="B189" s="7" t="s">
        <v>552</v>
      </c>
      <c r="C189" s="2" t="s">
        <v>553</v>
      </c>
      <c r="D189" s="8">
        <v>0</v>
      </c>
      <c r="E189" s="9">
        <v>505.77</v>
      </c>
    </row>
    <row r="190" spans="1:5" x14ac:dyDescent="0.25">
      <c r="A190" s="2" t="s">
        <v>554</v>
      </c>
      <c r="B190" s="7" t="s">
        <v>555</v>
      </c>
      <c r="C190" s="2" t="s">
        <v>556</v>
      </c>
      <c r="D190" s="8">
        <v>0</v>
      </c>
      <c r="E190" s="9">
        <v>238.23</v>
      </c>
    </row>
    <row r="191" spans="1:5" x14ac:dyDescent="0.25">
      <c r="A191" s="2" t="s">
        <v>557</v>
      </c>
      <c r="B191" s="7" t="s">
        <v>558</v>
      </c>
      <c r="C191" s="2" t="s">
        <v>559</v>
      </c>
      <c r="D191" s="8">
        <v>416.54</v>
      </c>
      <c r="E191" s="9">
        <v>400.21</v>
      </c>
    </row>
    <row r="192" spans="1:5" x14ac:dyDescent="0.25">
      <c r="A192" s="2" t="s">
        <v>560</v>
      </c>
      <c r="B192" s="7" t="s">
        <v>561</v>
      </c>
      <c r="C192" s="2" t="s">
        <v>562</v>
      </c>
      <c r="D192" s="8">
        <v>0</v>
      </c>
      <c r="E192" s="9">
        <v>439.68</v>
      </c>
    </row>
    <row r="193" spans="1:5" x14ac:dyDescent="0.25">
      <c r="A193" s="2" t="s">
        <v>563</v>
      </c>
      <c r="B193" s="7" t="s">
        <v>564</v>
      </c>
      <c r="C193" s="2" t="s">
        <v>565</v>
      </c>
      <c r="D193" s="8">
        <v>170.93</v>
      </c>
      <c r="E193" s="9">
        <v>161.94999999999999</v>
      </c>
    </row>
    <row r="194" spans="1:5" x14ac:dyDescent="0.25">
      <c r="A194" s="2" t="s">
        <v>566</v>
      </c>
      <c r="B194" s="7" t="s">
        <v>567</v>
      </c>
      <c r="C194" s="2" t="s">
        <v>568</v>
      </c>
      <c r="D194" s="8">
        <v>446.4</v>
      </c>
      <c r="E194" s="9">
        <v>422.94</v>
      </c>
    </row>
    <row r="195" spans="1:5" x14ac:dyDescent="0.25">
      <c r="A195" s="2" t="s">
        <v>569</v>
      </c>
      <c r="B195" s="7" t="s">
        <v>570</v>
      </c>
      <c r="C195" s="2" t="s">
        <v>571</v>
      </c>
      <c r="D195" s="8">
        <v>391.13</v>
      </c>
      <c r="E195" s="9">
        <v>395.82</v>
      </c>
    </row>
    <row r="196" spans="1:5" x14ac:dyDescent="0.25">
      <c r="A196" s="2" t="s">
        <v>572</v>
      </c>
      <c r="B196" s="7" t="s">
        <v>573</v>
      </c>
      <c r="C196" s="2" t="s">
        <v>574</v>
      </c>
      <c r="D196" s="8">
        <v>0</v>
      </c>
      <c r="E196" s="9">
        <v>361.53</v>
      </c>
    </row>
    <row r="197" spans="1:5" x14ac:dyDescent="0.25">
      <c r="A197" s="2" t="s">
        <v>575</v>
      </c>
      <c r="B197" s="7" t="s">
        <v>576</v>
      </c>
      <c r="C197" s="2" t="s">
        <v>577</v>
      </c>
      <c r="D197" s="8">
        <v>177.58</v>
      </c>
      <c r="E197" s="9">
        <v>167.21</v>
      </c>
    </row>
    <row r="198" spans="1:5" x14ac:dyDescent="0.25">
      <c r="A198" s="2" t="s">
        <v>578</v>
      </c>
      <c r="B198" s="7" t="s">
        <v>579</v>
      </c>
      <c r="C198" s="2" t="s">
        <v>580</v>
      </c>
      <c r="D198" s="8">
        <v>389.2</v>
      </c>
      <c r="E198" s="9">
        <v>371.72</v>
      </c>
    </row>
    <row r="199" spans="1:5" x14ac:dyDescent="0.25">
      <c r="A199" s="2" t="s">
        <v>581</v>
      </c>
      <c r="B199" s="7" t="s">
        <v>582</v>
      </c>
      <c r="C199" s="2" t="s">
        <v>583</v>
      </c>
      <c r="D199" s="8">
        <v>0</v>
      </c>
      <c r="E199" s="9">
        <v>352.6</v>
      </c>
    </row>
    <row r="200" spans="1:5" x14ac:dyDescent="0.25">
      <c r="A200" s="2" t="s">
        <v>584</v>
      </c>
      <c r="B200" s="7" t="s">
        <v>585</v>
      </c>
      <c r="C200" s="2" t="s">
        <v>586</v>
      </c>
      <c r="D200" s="8">
        <v>182.85</v>
      </c>
      <c r="E200" s="9">
        <v>173.85</v>
      </c>
    </row>
    <row r="201" spans="1:5" x14ac:dyDescent="0.25">
      <c r="A201" s="2" t="s">
        <v>587</v>
      </c>
      <c r="B201" s="7" t="s">
        <v>588</v>
      </c>
      <c r="C201" s="2" t="s">
        <v>589</v>
      </c>
      <c r="D201" s="8">
        <v>1523.44</v>
      </c>
      <c r="E201" s="9">
        <v>415.08</v>
      </c>
    </row>
    <row r="202" spans="1:5" x14ac:dyDescent="0.25">
      <c r="A202" s="2" t="s">
        <v>590</v>
      </c>
      <c r="B202" s="7" t="s">
        <v>591</v>
      </c>
      <c r="C202" s="2" t="s">
        <v>592</v>
      </c>
      <c r="D202" s="8">
        <v>0</v>
      </c>
      <c r="E202" s="9">
        <v>373.43</v>
      </c>
    </row>
    <row r="203" spans="1:5" x14ac:dyDescent="0.25">
      <c r="A203" s="2" t="s">
        <v>593</v>
      </c>
      <c r="B203" s="7" t="s">
        <v>594</v>
      </c>
      <c r="C203" s="2" t="s">
        <v>595</v>
      </c>
      <c r="D203" s="8">
        <v>0</v>
      </c>
      <c r="E203" s="9">
        <v>477.53</v>
      </c>
    </row>
    <row r="204" spans="1:5" x14ac:dyDescent="0.25">
      <c r="A204" s="2" t="s">
        <v>596</v>
      </c>
      <c r="B204" s="7" t="s">
        <v>597</v>
      </c>
      <c r="C204" s="2" t="s">
        <v>598</v>
      </c>
      <c r="D204" s="8">
        <v>80.52</v>
      </c>
      <c r="E204" s="9">
        <v>76.290000000000006</v>
      </c>
    </row>
    <row r="205" spans="1:5" x14ac:dyDescent="0.25">
      <c r="A205" s="2" t="s">
        <v>599</v>
      </c>
      <c r="B205" s="7" t="s">
        <v>600</v>
      </c>
      <c r="C205" s="2" t="s">
        <v>601</v>
      </c>
      <c r="D205" s="8">
        <v>322.08</v>
      </c>
      <c r="E205" s="9">
        <v>76.290000000000006</v>
      </c>
    </row>
    <row r="206" spans="1:5" x14ac:dyDescent="0.25">
      <c r="A206" s="2" t="s">
        <v>602</v>
      </c>
      <c r="B206" s="7" t="s">
        <v>603</v>
      </c>
      <c r="C206" s="2" t="s">
        <v>604</v>
      </c>
      <c r="D206" s="8">
        <v>231.6</v>
      </c>
      <c r="E206" s="9">
        <v>44.19</v>
      </c>
    </row>
    <row r="207" spans="1:5" x14ac:dyDescent="0.25">
      <c r="A207" s="2" t="s">
        <v>605</v>
      </c>
      <c r="B207" s="7" t="s">
        <v>606</v>
      </c>
      <c r="C207" s="2" t="s">
        <v>607</v>
      </c>
      <c r="D207" s="8">
        <v>161.04</v>
      </c>
      <c r="E207" s="9">
        <v>76.290000000000006</v>
      </c>
    </row>
    <row r="208" spans="1:5" x14ac:dyDescent="0.25">
      <c r="A208" s="2" t="s">
        <v>608</v>
      </c>
      <c r="B208" s="7" t="s">
        <v>609</v>
      </c>
      <c r="C208" s="2" t="s">
        <v>256</v>
      </c>
      <c r="D208" s="8">
        <v>368.86</v>
      </c>
      <c r="E208" s="9">
        <v>349.63</v>
      </c>
    </row>
    <row r="209" spans="1:5" x14ac:dyDescent="0.25">
      <c r="A209" s="2" t="s">
        <v>610</v>
      </c>
      <c r="B209" s="7" t="s">
        <v>611</v>
      </c>
      <c r="C209" s="2" t="s">
        <v>610</v>
      </c>
      <c r="D209" s="8"/>
      <c r="E209" s="9"/>
    </row>
  </sheetData>
  <autoFilter ref="A5:E209" xr:uid="{1C3A0C1F-05A7-4CD2-B943-6C0F7288527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03D2-FB18-4981-9A2F-F218914E56E3}">
  <sheetPr codeName="Hoja7" filterMode="1"/>
  <dimension ref="A1:G258"/>
  <sheetViews>
    <sheetView showGridLines="0" zoomScale="115" zoomScaleNormal="11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G237" sqref="G237"/>
    </sheetView>
  </sheetViews>
  <sheetFormatPr baseColWidth="10" defaultRowHeight="15" x14ac:dyDescent="0.25"/>
  <cols>
    <col min="1" max="1" width="14.7109375" customWidth="1"/>
    <col min="2" max="2" width="11.42578125" customWidth="1"/>
    <col min="3" max="3" width="11.140625" bestFit="1" customWidth="1"/>
    <col min="4" max="4" width="12.42578125" customWidth="1"/>
    <col min="5" max="5" width="27.28515625" customWidth="1"/>
    <col min="6" max="6" width="15.85546875" style="78" customWidth="1"/>
    <col min="7" max="7" width="16.85546875" customWidth="1"/>
  </cols>
  <sheetData>
    <row r="1" spans="1:7" x14ac:dyDescent="0.25">
      <c r="A1" s="1" t="s">
        <v>0</v>
      </c>
      <c r="B1" s="1"/>
    </row>
    <row r="2" spans="1:7" x14ac:dyDescent="0.25">
      <c r="A2" s="1">
        <v>20614642247</v>
      </c>
      <c r="B2" s="1"/>
    </row>
    <row r="3" spans="1:7" x14ac:dyDescent="0.25">
      <c r="A3" t="s">
        <v>1</v>
      </c>
    </row>
    <row r="5" spans="1:7" s="51" customFormat="1" ht="38.25" x14ac:dyDescent="0.25">
      <c r="A5" s="94" t="s">
        <v>865</v>
      </c>
      <c r="B5" s="94" t="s">
        <v>866</v>
      </c>
      <c r="C5" s="94" t="s">
        <v>867</v>
      </c>
      <c r="D5" s="94" t="s">
        <v>868</v>
      </c>
      <c r="E5" s="94" t="s">
        <v>1238</v>
      </c>
      <c r="F5" s="95" t="s">
        <v>1239</v>
      </c>
      <c r="G5" s="96" t="s">
        <v>1240</v>
      </c>
    </row>
    <row r="6" spans="1:7" hidden="1" x14ac:dyDescent="0.25">
      <c r="A6" s="85">
        <v>46023</v>
      </c>
      <c r="B6" s="86"/>
      <c r="C6" s="102">
        <v>0</v>
      </c>
      <c r="D6" s="87">
        <v>0</v>
      </c>
      <c r="E6" s="86">
        <v>0</v>
      </c>
      <c r="F6" s="2" t="s">
        <v>2</v>
      </c>
      <c r="G6" s="2"/>
    </row>
    <row r="7" spans="1:7" hidden="1" x14ac:dyDescent="0.25">
      <c r="A7" s="85">
        <v>46023</v>
      </c>
      <c r="B7" s="86" t="s">
        <v>872</v>
      </c>
      <c r="C7" s="102">
        <v>30</v>
      </c>
      <c r="D7" s="87" t="s">
        <v>880</v>
      </c>
      <c r="E7" s="86" t="s">
        <v>881</v>
      </c>
      <c r="F7" s="2"/>
      <c r="G7" s="2" t="s">
        <v>849</v>
      </c>
    </row>
    <row r="8" spans="1:7" hidden="1" x14ac:dyDescent="0.25">
      <c r="A8" s="85">
        <v>46023</v>
      </c>
      <c r="B8" s="86" t="s">
        <v>877</v>
      </c>
      <c r="C8" s="102">
        <v>100</v>
      </c>
      <c r="D8" s="87" t="s">
        <v>878</v>
      </c>
      <c r="E8" s="86" t="s">
        <v>879</v>
      </c>
      <c r="F8" s="2"/>
      <c r="G8" s="2" t="s">
        <v>848</v>
      </c>
    </row>
    <row r="9" spans="1:7" hidden="1" x14ac:dyDescent="0.25">
      <c r="A9" s="85">
        <v>46023</v>
      </c>
      <c r="B9" s="88" t="s">
        <v>872</v>
      </c>
      <c r="C9" s="103">
        <v>200</v>
      </c>
      <c r="D9" s="90" t="s">
        <v>875</v>
      </c>
      <c r="E9" s="88" t="s">
        <v>876</v>
      </c>
      <c r="F9" s="2"/>
      <c r="G9" s="2" t="s">
        <v>848</v>
      </c>
    </row>
    <row r="10" spans="1:7" hidden="1" x14ac:dyDescent="0.25">
      <c r="A10" s="85">
        <v>46023</v>
      </c>
      <c r="B10" s="86" t="s">
        <v>872</v>
      </c>
      <c r="C10" s="102">
        <v>269.33</v>
      </c>
      <c r="D10" s="87" t="s">
        <v>874</v>
      </c>
      <c r="E10" s="86" t="s">
        <v>522</v>
      </c>
      <c r="F10" s="2" t="s">
        <v>521</v>
      </c>
      <c r="G10" s="2" t="s">
        <v>1241</v>
      </c>
    </row>
    <row r="11" spans="1:7" hidden="1" x14ac:dyDescent="0.25">
      <c r="A11" s="85">
        <v>46023</v>
      </c>
      <c r="B11" s="88" t="s">
        <v>872</v>
      </c>
      <c r="C11" s="103">
        <v>368.33</v>
      </c>
      <c r="D11" s="90" t="s">
        <v>873</v>
      </c>
      <c r="E11" s="7" t="s">
        <v>291</v>
      </c>
      <c r="F11" s="2" t="s">
        <v>290</v>
      </c>
      <c r="G11" s="2" t="s">
        <v>1241</v>
      </c>
    </row>
    <row r="12" spans="1:7" hidden="1" x14ac:dyDescent="0.25">
      <c r="A12" s="85">
        <v>46023</v>
      </c>
      <c r="B12" s="86" t="s">
        <v>869</v>
      </c>
      <c r="C12" s="102">
        <v>372.09</v>
      </c>
      <c r="D12" s="87" t="s">
        <v>870</v>
      </c>
      <c r="E12" s="86" t="s">
        <v>871</v>
      </c>
      <c r="F12" s="2" t="s">
        <v>383</v>
      </c>
      <c r="G12" s="2" t="s">
        <v>1241</v>
      </c>
    </row>
    <row r="13" spans="1:7" hidden="1" x14ac:dyDescent="0.25">
      <c r="A13" s="85">
        <v>46024</v>
      </c>
      <c r="B13" s="86" t="s">
        <v>872</v>
      </c>
      <c r="C13" s="102">
        <v>30</v>
      </c>
      <c r="D13" s="87" t="s">
        <v>894</v>
      </c>
      <c r="E13" s="86" t="s">
        <v>895</v>
      </c>
      <c r="F13" s="2"/>
      <c r="G13" s="2" t="s">
        <v>849</v>
      </c>
    </row>
    <row r="14" spans="1:7" hidden="1" x14ac:dyDescent="0.25">
      <c r="A14" s="85">
        <v>46024</v>
      </c>
      <c r="B14" s="88" t="s">
        <v>872</v>
      </c>
      <c r="C14" s="103">
        <v>30</v>
      </c>
      <c r="D14" s="90" t="s">
        <v>896</v>
      </c>
      <c r="E14" s="88" t="s">
        <v>897</v>
      </c>
      <c r="F14" s="2"/>
      <c r="G14" s="2" t="s">
        <v>849</v>
      </c>
    </row>
    <row r="15" spans="1:7" hidden="1" x14ac:dyDescent="0.25">
      <c r="A15" s="85">
        <v>46024</v>
      </c>
      <c r="B15" s="88" t="s">
        <v>872</v>
      </c>
      <c r="C15" s="103">
        <v>40</v>
      </c>
      <c r="D15" s="90" t="s">
        <v>893</v>
      </c>
      <c r="E15" s="88" t="s">
        <v>537</v>
      </c>
      <c r="F15" s="2"/>
      <c r="G15" s="2" t="s">
        <v>852</v>
      </c>
    </row>
    <row r="16" spans="1:7" hidden="1" x14ac:dyDescent="0.25">
      <c r="A16" s="85">
        <v>46024</v>
      </c>
      <c r="B16" s="86" t="s">
        <v>872</v>
      </c>
      <c r="C16" s="102">
        <v>380.25</v>
      </c>
      <c r="D16" s="87" t="s">
        <v>892</v>
      </c>
      <c r="E16" s="86" t="s">
        <v>243</v>
      </c>
      <c r="F16" s="2" t="s">
        <v>242</v>
      </c>
      <c r="G16" s="2" t="s">
        <v>1241</v>
      </c>
    </row>
    <row r="17" spans="1:7" hidden="1" x14ac:dyDescent="0.25">
      <c r="A17" s="85">
        <v>46024</v>
      </c>
      <c r="B17" s="88" t="s">
        <v>872</v>
      </c>
      <c r="C17" s="103">
        <v>385.97</v>
      </c>
      <c r="D17" s="90" t="s">
        <v>890</v>
      </c>
      <c r="E17" s="88" t="s">
        <v>891</v>
      </c>
      <c r="F17" s="2" t="s">
        <v>161</v>
      </c>
      <c r="G17" s="2" t="s">
        <v>1241</v>
      </c>
    </row>
    <row r="18" spans="1:7" hidden="1" x14ac:dyDescent="0.25">
      <c r="A18" s="85">
        <v>46024</v>
      </c>
      <c r="B18" s="86" t="s">
        <v>872</v>
      </c>
      <c r="C18" s="102">
        <v>389.72</v>
      </c>
      <c r="D18" s="87" t="s">
        <v>888</v>
      </c>
      <c r="E18" s="86" t="s">
        <v>889</v>
      </c>
      <c r="F18" s="2" t="s">
        <v>542</v>
      </c>
      <c r="G18" s="2" t="s">
        <v>1241</v>
      </c>
    </row>
    <row r="19" spans="1:7" hidden="1" x14ac:dyDescent="0.25">
      <c r="A19" s="85">
        <v>46024</v>
      </c>
      <c r="B19" s="88" t="s">
        <v>872</v>
      </c>
      <c r="C19" s="103">
        <v>398.66</v>
      </c>
      <c r="D19" s="90" t="s">
        <v>886</v>
      </c>
      <c r="E19" s="88" t="s">
        <v>887</v>
      </c>
      <c r="F19" s="2" t="s">
        <v>95</v>
      </c>
      <c r="G19" s="2" t="s">
        <v>1241</v>
      </c>
    </row>
    <row r="20" spans="1:7" hidden="1" x14ac:dyDescent="0.25">
      <c r="A20" s="85">
        <v>46024</v>
      </c>
      <c r="B20" s="86" t="s">
        <v>869</v>
      </c>
      <c r="C20" s="102">
        <v>404.62</v>
      </c>
      <c r="D20" s="87" t="s">
        <v>884</v>
      </c>
      <c r="E20" s="86" t="s">
        <v>885</v>
      </c>
      <c r="F20" s="2" t="s">
        <v>236</v>
      </c>
      <c r="G20" s="2" t="s">
        <v>1241</v>
      </c>
    </row>
    <row r="21" spans="1:7" hidden="1" x14ac:dyDescent="0.25">
      <c r="A21" s="85">
        <v>46024</v>
      </c>
      <c r="B21" s="88" t="s">
        <v>877</v>
      </c>
      <c r="C21" s="103">
        <v>410.58</v>
      </c>
      <c r="D21" s="90" t="s">
        <v>882</v>
      </c>
      <c r="E21" s="88" t="s">
        <v>883</v>
      </c>
      <c r="F21" s="2" t="s">
        <v>269</v>
      </c>
      <c r="G21" s="2" t="s">
        <v>1241</v>
      </c>
    </row>
    <row r="22" spans="1:7" hidden="1" x14ac:dyDescent="0.25">
      <c r="A22" s="85">
        <v>46025</v>
      </c>
      <c r="B22" s="88" t="s">
        <v>869</v>
      </c>
      <c r="C22" s="103">
        <v>30</v>
      </c>
      <c r="D22" s="90" t="s">
        <v>900</v>
      </c>
      <c r="E22" s="88" t="s">
        <v>901</v>
      </c>
      <c r="F22" s="2"/>
      <c r="G22" s="2" t="s">
        <v>849</v>
      </c>
    </row>
    <row r="23" spans="1:7" hidden="1" x14ac:dyDescent="0.25">
      <c r="A23" s="85">
        <v>46025</v>
      </c>
      <c r="B23" s="86" t="s">
        <v>872</v>
      </c>
      <c r="C23" s="102">
        <v>30</v>
      </c>
      <c r="D23" s="87" t="s">
        <v>902</v>
      </c>
      <c r="E23" s="86" t="s">
        <v>903</v>
      </c>
      <c r="F23" s="7"/>
      <c r="G23" s="2" t="s">
        <v>849</v>
      </c>
    </row>
    <row r="24" spans="1:7" hidden="1" x14ac:dyDescent="0.25">
      <c r="A24" s="85">
        <v>46025</v>
      </c>
      <c r="B24" s="86" t="s">
        <v>872</v>
      </c>
      <c r="C24" s="102">
        <v>391.13</v>
      </c>
      <c r="D24" s="87" t="s">
        <v>898</v>
      </c>
      <c r="E24" s="86" t="s">
        <v>899</v>
      </c>
      <c r="F24" s="2" t="s">
        <v>569</v>
      </c>
      <c r="G24" s="2" t="s">
        <v>1241</v>
      </c>
    </row>
    <row r="25" spans="1:7" hidden="1" x14ac:dyDescent="0.25">
      <c r="A25" s="85">
        <v>46027</v>
      </c>
      <c r="B25" s="88" t="s">
        <v>872</v>
      </c>
      <c r="C25" s="103">
        <v>254.32</v>
      </c>
      <c r="D25" s="90" t="s">
        <v>910</v>
      </c>
      <c r="E25" s="88" t="s">
        <v>1245</v>
      </c>
      <c r="F25" s="2" t="s">
        <v>410</v>
      </c>
      <c r="G25" s="2" t="s">
        <v>1241</v>
      </c>
    </row>
    <row r="26" spans="1:7" hidden="1" x14ac:dyDescent="0.25">
      <c r="A26" s="85">
        <v>46027</v>
      </c>
      <c r="B26" s="86" t="s">
        <v>872</v>
      </c>
      <c r="C26" s="102">
        <v>254.43</v>
      </c>
      <c r="D26" s="87" t="s">
        <v>909</v>
      </c>
      <c r="E26" s="86" t="s">
        <v>1059</v>
      </c>
      <c r="F26" s="2" t="s">
        <v>203</v>
      </c>
      <c r="G26" s="2" t="s">
        <v>1241</v>
      </c>
    </row>
    <row r="27" spans="1:7" hidden="1" x14ac:dyDescent="0.25">
      <c r="A27" s="85">
        <v>46027</v>
      </c>
      <c r="B27" s="86" t="s">
        <v>872</v>
      </c>
      <c r="C27" s="104">
        <v>365.88</v>
      </c>
      <c r="D27" s="101" t="s">
        <v>907</v>
      </c>
      <c r="E27" s="88" t="s">
        <v>1246</v>
      </c>
      <c r="F27" s="2" t="s">
        <v>494</v>
      </c>
      <c r="G27" s="2" t="s">
        <v>1241</v>
      </c>
    </row>
    <row r="28" spans="1:7" hidden="1" x14ac:dyDescent="0.25">
      <c r="A28" s="85">
        <v>46027</v>
      </c>
      <c r="B28" s="88" t="s">
        <v>872</v>
      </c>
      <c r="C28" s="103">
        <v>365.88</v>
      </c>
      <c r="D28" s="90" t="s">
        <v>908</v>
      </c>
      <c r="E28" s="88" t="s">
        <v>1246</v>
      </c>
      <c r="F28" s="2" t="s">
        <v>494</v>
      </c>
      <c r="G28" s="2" t="s">
        <v>1241</v>
      </c>
    </row>
    <row r="29" spans="1:7" hidden="1" x14ac:dyDescent="0.25">
      <c r="A29" s="85">
        <v>46027</v>
      </c>
      <c r="B29" s="88" t="s">
        <v>872</v>
      </c>
      <c r="C29" s="103">
        <v>403.63</v>
      </c>
      <c r="D29" s="90" t="s">
        <v>906</v>
      </c>
      <c r="E29" s="88" t="s">
        <v>872</v>
      </c>
      <c r="F29" s="2" t="s">
        <v>455</v>
      </c>
      <c r="G29" s="2" t="s">
        <v>1241</v>
      </c>
    </row>
    <row r="30" spans="1:7" hidden="1" x14ac:dyDescent="0.25">
      <c r="A30" s="85">
        <v>46027</v>
      </c>
      <c r="B30" s="86" t="s">
        <v>877</v>
      </c>
      <c r="C30" s="102">
        <v>529.77</v>
      </c>
      <c r="D30" s="87" t="s">
        <v>904</v>
      </c>
      <c r="E30" s="86" t="s">
        <v>905</v>
      </c>
      <c r="F30" s="2" t="s">
        <v>548</v>
      </c>
      <c r="G30" s="2" t="s">
        <v>1241</v>
      </c>
    </row>
    <row r="31" spans="1:7" hidden="1" x14ac:dyDescent="0.25">
      <c r="A31" s="85">
        <v>46028</v>
      </c>
      <c r="B31" s="88" t="s">
        <v>872</v>
      </c>
      <c r="C31" s="103">
        <v>40</v>
      </c>
      <c r="D31" s="90" t="s">
        <v>915</v>
      </c>
      <c r="E31" s="88" t="s">
        <v>916</v>
      </c>
      <c r="F31" s="2"/>
      <c r="G31" s="2" t="s">
        <v>852</v>
      </c>
    </row>
    <row r="32" spans="1:7" hidden="1" x14ac:dyDescent="0.25">
      <c r="A32" s="85">
        <v>46028</v>
      </c>
      <c r="B32" s="86" t="s">
        <v>912</v>
      </c>
      <c r="C32" s="102">
        <v>186</v>
      </c>
      <c r="D32" s="87" t="s">
        <v>913</v>
      </c>
      <c r="E32" s="86" t="s">
        <v>914</v>
      </c>
      <c r="F32" s="2" t="s">
        <v>371</v>
      </c>
      <c r="G32" s="2" t="s">
        <v>1241</v>
      </c>
    </row>
    <row r="33" spans="1:7" hidden="1" x14ac:dyDescent="0.25">
      <c r="A33" s="85">
        <v>46028</v>
      </c>
      <c r="B33" s="88" t="s">
        <v>872</v>
      </c>
      <c r="C33" s="103">
        <v>303.3</v>
      </c>
      <c r="D33" s="90" t="s">
        <v>911</v>
      </c>
      <c r="E33" s="7" t="s">
        <v>111</v>
      </c>
      <c r="F33" s="2" t="s">
        <v>110</v>
      </c>
      <c r="G33" s="2" t="s">
        <v>1241</v>
      </c>
    </row>
    <row r="34" spans="1:7" hidden="1" x14ac:dyDescent="0.25">
      <c r="A34" s="85">
        <v>46029</v>
      </c>
      <c r="B34" s="86" t="s">
        <v>923</v>
      </c>
      <c r="C34" s="102">
        <v>77.760000000000005</v>
      </c>
      <c r="D34" s="87" t="s">
        <v>924</v>
      </c>
      <c r="E34" s="86" t="s">
        <v>372</v>
      </c>
      <c r="F34" s="2" t="s">
        <v>371</v>
      </c>
      <c r="G34" s="2" t="s">
        <v>616</v>
      </c>
    </row>
    <row r="35" spans="1:7" hidden="1" x14ac:dyDescent="0.25">
      <c r="A35" s="85">
        <v>46029</v>
      </c>
      <c r="B35" s="88" t="s">
        <v>869</v>
      </c>
      <c r="C35" s="103">
        <v>170.93</v>
      </c>
      <c r="D35" s="90" t="s">
        <v>920</v>
      </c>
      <c r="E35" s="7" t="s">
        <v>465</v>
      </c>
      <c r="F35" s="2" t="s">
        <v>464</v>
      </c>
      <c r="G35" s="2" t="s">
        <v>1241</v>
      </c>
    </row>
    <row r="36" spans="1:7" hidden="1" x14ac:dyDescent="0.25">
      <c r="A36" s="85">
        <v>46029</v>
      </c>
      <c r="B36" s="88" t="s">
        <v>872</v>
      </c>
      <c r="C36" s="103">
        <v>170.93</v>
      </c>
      <c r="D36" s="90" t="s">
        <v>921</v>
      </c>
      <c r="E36" s="88" t="s">
        <v>922</v>
      </c>
      <c r="F36" s="7" t="s">
        <v>563</v>
      </c>
      <c r="G36" s="2" t="s">
        <v>1241</v>
      </c>
    </row>
    <row r="37" spans="1:7" hidden="1" x14ac:dyDescent="0.25">
      <c r="A37" s="85">
        <v>46029</v>
      </c>
      <c r="B37" s="86" t="s">
        <v>872</v>
      </c>
      <c r="C37" s="102">
        <v>383.1</v>
      </c>
      <c r="D37" s="87" t="s">
        <v>919</v>
      </c>
      <c r="E37" s="7" t="s">
        <v>90</v>
      </c>
      <c r="F37" s="2" t="s">
        <v>89</v>
      </c>
      <c r="G37" s="2" t="s">
        <v>1241</v>
      </c>
    </row>
    <row r="38" spans="1:7" hidden="1" x14ac:dyDescent="0.25">
      <c r="A38" s="85">
        <v>46029</v>
      </c>
      <c r="B38" s="88" t="s">
        <v>872</v>
      </c>
      <c r="C38" s="103">
        <v>392.97</v>
      </c>
      <c r="D38" s="90" t="s">
        <v>918</v>
      </c>
      <c r="E38" s="7" t="s">
        <v>90</v>
      </c>
      <c r="F38" s="2" t="s">
        <v>89</v>
      </c>
      <c r="G38" s="2" t="s">
        <v>1241</v>
      </c>
    </row>
    <row r="39" spans="1:7" hidden="1" x14ac:dyDescent="0.25">
      <c r="A39" s="85">
        <v>46029</v>
      </c>
      <c r="B39" s="86" t="s">
        <v>872</v>
      </c>
      <c r="C39" s="104">
        <v>393.7</v>
      </c>
      <c r="D39" s="101" t="s">
        <v>917</v>
      </c>
      <c r="E39" s="86" t="s">
        <v>872</v>
      </c>
      <c r="F39" s="2" t="s">
        <v>257</v>
      </c>
      <c r="G39" s="2" t="s">
        <v>1241</v>
      </c>
    </row>
    <row r="40" spans="1:7" hidden="1" x14ac:dyDescent="0.25">
      <c r="A40" s="85">
        <v>46030</v>
      </c>
      <c r="B40" s="88" t="s">
        <v>872</v>
      </c>
      <c r="C40" s="103">
        <v>4.51</v>
      </c>
      <c r="D40" s="90" t="s">
        <v>938</v>
      </c>
      <c r="E40" s="88" t="s">
        <v>928</v>
      </c>
      <c r="F40" s="2" t="s">
        <v>134</v>
      </c>
      <c r="G40" s="2" t="s">
        <v>1241</v>
      </c>
    </row>
    <row r="41" spans="1:7" hidden="1" x14ac:dyDescent="0.25">
      <c r="A41" s="85">
        <v>46030</v>
      </c>
      <c r="B41" s="86" t="s">
        <v>877</v>
      </c>
      <c r="C41" s="102">
        <v>40</v>
      </c>
      <c r="D41" s="87" t="s">
        <v>936</v>
      </c>
      <c r="E41" s="86" t="s">
        <v>937</v>
      </c>
      <c r="F41" s="7"/>
      <c r="G41" s="2" t="s">
        <v>852</v>
      </c>
    </row>
    <row r="42" spans="1:7" hidden="1" x14ac:dyDescent="0.25">
      <c r="A42" s="85">
        <v>46030</v>
      </c>
      <c r="B42" s="88" t="s">
        <v>872</v>
      </c>
      <c r="C42" s="103">
        <v>182.5</v>
      </c>
      <c r="D42" s="90" t="s">
        <v>934</v>
      </c>
      <c r="E42" s="88" t="s">
        <v>935</v>
      </c>
      <c r="F42" s="2" t="s">
        <v>116</v>
      </c>
      <c r="G42" s="2" t="s">
        <v>1241</v>
      </c>
    </row>
    <row r="43" spans="1:7" hidden="1" x14ac:dyDescent="0.25">
      <c r="A43" s="85">
        <v>46030</v>
      </c>
      <c r="B43" s="86" t="s">
        <v>869</v>
      </c>
      <c r="C43" s="102">
        <v>254.43</v>
      </c>
      <c r="D43" s="87" t="s">
        <v>932</v>
      </c>
      <c r="E43" s="86" t="s">
        <v>933</v>
      </c>
      <c r="F43" s="2" t="s">
        <v>503</v>
      </c>
      <c r="G43" s="2" t="s">
        <v>1241</v>
      </c>
    </row>
    <row r="44" spans="1:7" hidden="1" x14ac:dyDescent="0.25">
      <c r="A44" s="85">
        <v>46030</v>
      </c>
      <c r="B44" s="88" t="s">
        <v>877</v>
      </c>
      <c r="C44" s="103">
        <v>340.91</v>
      </c>
      <c r="D44" s="90" t="s">
        <v>930</v>
      </c>
      <c r="E44" s="88" t="s">
        <v>931</v>
      </c>
      <c r="F44" s="2" t="s">
        <v>317</v>
      </c>
      <c r="G44" s="2" t="s">
        <v>1241</v>
      </c>
    </row>
    <row r="45" spans="1:7" hidden="1" x14ac:dyDescent="0.25">
      <c r="A45" s="85">
        <v>46030</v>
      </c>
      <c r="B45" s="86" t="s">
        <v>872</v>
      </c>
      <c r="C45" s="102">
        <v>374.82</v>
      </c>
      <c r="D45" s="87" t="s">
        <v>929</v>
      </c>
      <c r="E45" s="86" t="s">
        <v>225</v>
      </c>
      <c r="F45" s="2" t="s">
        <v>224</v>
      </c>
      <c r="G45" s="2" t="s">
        <v>1241</v>
      </c>
    </row>
    <row r="46" spans="1:7" hidden="1" x14ac:dyDescent="0.25">
      <c r="A46" s="85">
        <v>46030</v>
      </c>
      <c r="B46" s="88" t="s">
        <v>872</v>
      </c>
      <c r="C46" s="103">
        <v>380.77</v>
      </c>
      <c r="D46" s="90" t="s">
        <v>927</v>
      </c>
      <c r="E46" s="88" t="s">
        <v>928</v>
      </c>
      <c r="F46" s="2" t="s">
        <v>134</v>
      </c>
      <c r="G46" s="2" t="s">
        <v>1241</v>
      </c>
    </row>
    <row r="47" spans="1:7" hidden="1" x14ac:dyDescent="0.25">
      <c r="A47" s="85">
        <v>46030</v>
      </c>
      <c r="B47" s="86" t="s">
        <v>877</v>
      </c>
      <c r="C47" s="102">
        <v>449.69</v>
      </c>
      <c r="D47" s="87" t="s">
        <v>925</v>
      </c>
      <c r="E47" s="86" t="s">
        <v>926</v>
      </c>
      <c r="F47" s="2" t="s">
        <v>56</v>
      </c>
      <c r="G47" s="2" t="s">
        <v>1241</v>
      </c>
    </row>
    <row r="48" spans="1:7" hidden="1" x14ac:dyDescent="0.25">
      <c r="A48" s="85">
        <v>46031</v>
      </c>
      <c r="B48" s="88" t="s">
        <v>877</v>
      </c>
      <c r="C48" s="103">
        <v>162.54</v>
      </c>
      <c r="D48" s="90" t="s">
        <v>956</v>
      </c>
      <c r="E48" s="88" t="s">
        <v>957</v>
      </c>
      <c r="F48" s="2" t="s">
        <v>308</v>
      </c>
      <c r="G48" s="2" t="s">
        <v>616</v>
      </c>
    </row>
    <row r="49" spans="1:7" hidden="1" x14ac:dyDescent="0.25">
      <c r="A49" s="85">
        <v>46031</v>
      </c>
      <c r="B49" s="86" t="s">
        <v>877</v>
      </c>
      <c r="C49" s="8">
        <v>173.85</v>
      </c>
      <c r="D49" s="87" t="s">
        <v>949</v>
      </c>
      <c r="E49" s="86" t="s">
        <v>879</v>
      </c>
      <c r="F49" s="2" t="s">
        <v>584</v>
      </c>
      <c r="G49" s="2" t="s">
        <v>616</v>
      </c>
    </row>
    <row r="50" spans="1:7" hidden="1" x14ac:dyDescent="0.25">
      <c r="A50" s="85">
        <v>46031</v>
      </c>
      <c r="B50" s="86" t="s">
        <v>877</v>
      </c>
      <c r="C50" s="8">
        <v>182.85</v>
      </c>
      <c r="D50" s="87" t="s">
        <v>949</v>
      </c>
      <c r="E50" s="86" t="s">
        <v>879</v>
      </c>
      <c r="F50" s="2" t="s">
        <v>584</v>
      </c>
      <c r="G50" s="2" t="s">
        <v>1241</v>
      </c>
    </row>
    <row r="51" spans="1:7" hidden="1" x14ac:dyDescent="0.25">
      <c r="A51" s="85">
        <v>46031</v>
      </c>
      <c r="B51" s="88" t="s">
        <v>877</v>
      </c>
      <c r="C51" s="103">
        <v>194.2</v>
      </c>
      <c r="D51" s="90" t="s">
        <v>955</v>
      </c>
      <c r="E51" s="7" t="s">
        <v>81</v>
      </c>
      <c r="F51" s="2" t="s">
        <v>80</v>
      </c>
      <c r="G51" s="2" t="s">
        <v>1241</v>
      </c>
    </row>
    <row r="52" spans="1:7" hidden="1" x14ac:dyDescent="0.25">
      <c r="A52" s="85">
        <v>46031</v>
      </c>
      <c r="B52" s="86" t="s">
        <v>872</v>
      </c>
      <c r="C52" s="102">
        <v>247.16</v>
      </c>
      <c r="D52" s="87" t="s">
        <v>954</v>
      </c>
      <c r="E52" s="86" t="s">
        <v>895</v>
      </c>
      <c r="F52" s="2" t="s">
        <v>338</v>
      </c>
      <c r="G52" s="2" t="s">
        <v>616</v>
      </c>
    </row>
    <row r="53" spans="1:7" hidden="1" x14ac:dyDescent="0.25">
      <c r="A53" s="85">
        <v>46031</v>
      </c>
      <c r="B53" s="88" t="s">
        <v>872</v>
      </c>
      <c r="C53" s="103">
        <v>269.25</v>
      </c>
      <c r="D53" s="90" t="s">
        <v>953</v>
      </c>
      <c r="E53" s="88" t="s">
        <v>525</v>
      </c>
      <c r="F53" s="2" t="s">
        <v>524</v>
      </c>
      <c r="G53" s="2" t="s">
        <v>616</v>
      </c>
    </row>
    <row r="54" spans="1:7" hidden="1" x14ac:dyDescent="0.25">
      <c r="A54" s="85">
        <v>46031</v>
      </c>
      <c r="B54" s="86" t="s">
        <v>877</v>
      </c>
      <c r="C54" s="102">
        <v>324.10000000000002</v>
      </c>
      <c r="D54" s="87" t="s">
        <v>951</v>
      </c>
      <c r="E54" s="86" t="s">
        <v>952</v>
      </c>
      <c r="F54" s="2" t="s">
        <v>158</v>
      </c>
      <c r="G54" s="2" t="s">
        <v>1241</v>
      </c>
    </row>
    <row r="55" spans="1:7" hidden="1" x14ac:dyDescent="0.25">
      <c r="A55" s="85">
        <v>46031</v>
      </c>
      <c r="B55" s="88" t="s">
        <v>872</v>
      </c>
      <c r="C55" s="103">
        <v>346.65</v>
      </c>
      <c r="D55" s="90" t="s">
        <v>950</v>
      </c>
      <c r="E55" s="88" t="s">
        <v>471</v>
      </c>
      <c r="F55" s="2" t="s">
        <v>470</v>
      </c>
      <c r="G55" s="2" t="s">
        <v>616</v>
      </c>
    </row>
    <row r="56" spans="1:7" hidden="1" x14ac:dyDescent="0.25">
      <c r="A56" s="85">
        <v>46031</v>
      </c>
      <c r="B56" s="88" t="s">
        <v>869</v>
      </c>
      <c r="C56" s="103">
        <v>358.55</v>
      </c>
      <c r="D56" s="90" t="s">
        <v>947</v>
      </c>
      <c r="E56" s="88" t="s">
        <v>948</v>
      </c>
      <c r="F56" s="2" t="s">
        <v>488</v>
      </c>
      <c r="G56" s="2" t="s">
        <v>616</v>
      </c>
    </row>
    <row r="57" spans="1:7" hidden="1" x14ac:dyDescent="0.25">
      <c r="A57" s="85">
        <v>46031</v>
      </c>
      <c r="B57" s="86" t="s">
        <v>877</v>
      </c>
      <c r="C57" s="102">
        <v>367.48</v>
      </c>
      <c r="D57" s="87" t="s">
        <v>945</v>
      </c>
      <c r="E57" s="86" t="s">
        <v>946</v>
      </c>
      <c r="F57" s="2" t="s">
        <v>128</v>
      </c>
      <c r="G57" s="2" t="s">
        <v>616</v>
      </c>
    </row>
    <row r="58" spans="1:7" hidden="1" x14ac:dyDescent="0.25">
      <c r="A58" s="85">
        <v>46031</v>
      </c>
      <c r="B58" s="88" t="s">
        <v>872</v>
      </c>
      <c r="C58" s="103">
        <v>417.58</v>
      </c>
      <c r="D58" s="90" t="s">
        <v>943</v>
      </c>
      <c r="E58" s="88" t="s">
        <v>944</v>
      </c>
      <c r="F58" s="2" t="s">
        <v>44</v>
      </c>
      <c r="G58" s="2" t="s">
        <v>616</v>
      </c>
    </row>
    <row r="59" spans="1:7" hidden="1" x14ac:dyDescent="0.25">
      <c r="A59" s="85">
        <v>46031</v>
      </c>
      <c r="B59" s="86" t="s">
        <v>872</v>
      </c>
      <c r="C59" s="102">
        <v>484.3</v>
      </c>
      <c r="D59" s="87" t="s">
        <v>942</v>
      </c>
      <c r="E59" s="86" t="s">
        <v>414</v>
      </c>
      <c r="F59" s="2" t="s">
        <v>413</v>
      </c>
      <c r="G59" s="2" t="s">
        <v>616</v>
      </c>
    </row>
    <row r="60" spans="1:7" hidden="1" x14ac:dyDescent="0.25">
      <c r="A60" s="85">
        <v>46031</v>
      </c>
      <c r="B60" s="88" t="s">
        <v>872</v>
      </c>
      <c r="C60" s="103">
        <v>506.22</v>
      </c>
      <c r="D60" s="90" t="s">
        <v>941</v>
      </c>
      <c r="E60" s="88" t="s">
        <v>21</v>
      </c>
      <c r="F60" s="2" t="s">
        <v>20</v>
      </c>
      <c r="G60" s="2" t="s">
        <v>616</v>
      </c>
    </row>
    <row r="61" spans="1:7" hidden="1" x14ac:dyDescent="0.25">
      <c r="A61" s="85">
        <v>46031</v>
      </c>
      <c r="B61" s="88" t="s">
        <v>872</v>
      </c>
      <c r="C61" s="103">
        <v>534.14</v>
      </c>
      <c r="D61" s="90" t="s">
        <v>940</v>
      </c>
      <c r="E61" s="88" t="s">
        <v>21</v>
      </c>
      <c r="F61" s="2" t="s">
        <v>20</v>
      </c>
      <c r="G61" s="2" t="s">
        <v>1241</v>
      </c>
    </row>
    <row r="62" spans="1:7" hidden="1" x14ac:dyDescent="0.25">
      <c r="A62" s="85">
        <v>46031</v>
      </c>
      <c r="B62" s="86" t="s">
        <v>872</v>
      </c>
      <c r="C62" s="102">
        <v>633.76</v>
      </c>
      <c r="D62" s="87" t="s">
        <v>939</v>
      </c>
      <c r="E62" s="86" t="s">
        <v>294</v>
      </c>
      <c r="F62" s="2" t="s">
        <v>293</v>
      </c>
      <c r="G62" s="2" t="s">
        <v>616</v>
      </c>
    </row>
    <row r="63" spans="1:7" hidden="1" x14ac:dyDescent="0.25">
      <c r="A63" s="85">
        <v>46032</v>
      </c>
      <c r="B63" s="86" t="s">
        <v>872</v>
      </c>
      <c r="C63" s="102">
        <v>40</v>
      </c>
      <c r="D63" s="87" t="s">
        <v>973</v>
      </c>
      <c r="E63" s="86" t="s">
        <v>171</v>
      </c>
      <c r="F63" s="2"/>
      <c r="G63" s="2" t="s">
        <v>852</v>
      </c>
    </row>
    <row r="64" spans="1:7" hidden="1" x14ac:dyDescent="0.25">
      <c r="A64" s="85">
        <v>46032</v>
      </c>
      <c r="B64" s="88" t="s">
        <v>872</v>
      </c>
      <c r="C64" s="103">
        <v>40</v>
      </c>
      <c r="D64" s="90" t="s">
        <v>974</v>
      </c>
      <c r="E64" s="88" t="s">
        <v>975</v>
      </c>
      <c r="F64" s="7"/>
      <c r="G64" s="2" t="s">
        <v>852</v>
      </c>
    </row>
    <row r="65" spans="1:7" hidden="1" x14ac:dyDescent="0.25">
      <c r="A65" s="85">
        <v>46032</v>
      </c>
      <c r="B65" s="88" t="s">
        <v>872</v>
      </c>
      <c r="C65" s="103">
        <v>100</v>
      </c>
      <c r="D65" s="90" t="s">
        <v>972</v>
      </c>
      <c r="E65" s="88" t="s">
        <v>971</v>
      </c>
      <c r="F65" s="2"/>
      <c r="G65" s="2" t="s">
        <v>848</v>
      </c>
    </row>
    <row r="66" spans="1:7" hidden="1" x14ac:dyDescent="0.25">
      <c r="A66" s="85">
        <v>46032</v>
      </c>
      <c r="B66" s="86" t="s">
        <v>872</v>
      </c>
      <c r="C66" s="102">
        <v>179.87</v>
      </c>
      <c r="D66" s="87" t="s">
        <v>970</v>
      </c>
      <c r="E66" s="86" t="s">
        <v>971</v>
      </c>
      <c r="F66" s="2" t="s">
        <v>314</v>
      </c>
      <c r="G66" s="2" t="s">
        <v>1241</v>
      </c>
    </row>
    <row r="67" spans="1:7" hidden="1" x14ac:dyDescent="0.25">
      <c r="A67" s="85">
        <v>46032</v>
      </c>
      <c r="B67" s="88" t="s">
        <v>872</v>
      </c>
      <c r="C67" s="103">
        <v>303.24</v>
      </c>
      <c r="D67" s="90" t="s">
        <v>968</v>
      </c>
      <c r="E67" s="88" t="s">
        <v>969</v>
      </c>
      <c r="F67" s="2" t="s">
        <v>188</v>
      </c>
      <c r="G67" s="2" t="s">
        <v>1241</v>
      </c>
    </row>
    <row r="68" spans="1:7" hidden="1" x14ac:dyDescent="0.25">
      <c r="A68" s="85">
        <v>46032</v>
      </c>
      <c r="B68" s="86" t="s">
        <v>872</v>
      </c>
      <c r="C68" s="102">
        <v>327.84</v>
      </c>
      <c r="D68" s="87" t="s">
        <v>966</v>
      </c>
      <c r="E68" s="86" t="s">
        <v>967</v>
      </c>
      <c r="F68" s="2" t="s">
        <v>71</v>
      </c>
      <c r="G68" s="2" t="s">
        <v>1241</v>
      </c>
    </row>
    <row r="69" spans="1:7" hidden="1" x14ac:dyDescent="0.25">
      <c r="A69" s="85">
        <v>46032</v>
      </c>
      <c r="B69" s="88" t="s">
        <v>872</v>
      </c>
      <c r="C69" s="103">
        <v>332.52</v>
      </c>
      <c r="D69" s="90" t="s">
        <v>965</v>
      </c>
      <c r="E69" s="88" t="s">
        <v>69</v>
      </c>
      <c r="F69" s="2" t="s">
        <v>68</v>
      </c>
      <c r="G69" s="2" t="s">
        <v>1241</v>
      </c>
    </row>
    <row r="70" spans="1:7" hidden="1" x14ac:dyDescent="0.25">
      <c r="A70" s="85">
        <v>46032</v>
      </c>
      <c r="B70" s="86" t="s">
        <v>872</v>
      </c>
      <c r="C70" s="102">
        <v>359.34</v>
      </c>
      <c r="D70" s="87" t="s">
        <v>963</v>
      </c>
      <c r="E70" s="86" t="s">
        <v>964</v>
      </c>
      <c r="F70" s="2" t="s">
        <v>65</v>
      </c>
      <c r="G70" s="2" t="s">
        <v>616</v>
      </c>
    </row>
    <row r="71" spans="1:7" hidden="1" x14ac:dyDescent="0.25">
      <c r="A71" s="85">
        <v>46032</v>
      </c>
      <c r="B71" s="86" t="s">
        <v>877</v>
      </c>
      <c r="C71" s="8">
        <v>373.43</v>
      </c>
      <c r="D71" s="87" t="s">
        <v>959</v>
      </c>
      <c r="E71" s="86" t="s">
        <v>960</v>
      </c>
      <c r="F71" s="2" t="s">
        <v>347</v>
      </c>
      <c r="G71" s="2" t="s">
        <v>616</v>
      </c>
    </row>
    <row r="72" spans="1:7" hidden="1" x14ac:dyDescent="0.25">
      <c r="A72" s="85">
        <v>46032</v>
      </c>
      <c r="B72" s="88" t="s">
        <v>877</v>
      </c>
      <c r="C72" s="103">
        <v>395.68</v>
      </c>
      <c r="D72" s="90" t="s">
        <v>961</v>
      </c>
      <c r="E72" s="88" t="s">
        <v>962</v>
      </c>
      <c r="F72" s="2" t="s">
        <v>362</v>
      </c>
      <c r="G72" s="2" t="s">
        <v>1241</v>
      </c>
    </row>
    <row r="73" spans="1:7" hidden="1" x14ac:dyDescent="0.25">
      <c r="A73" s="85">
        <v>46032</v>
      </c>
      <c r="B73" s="86" t="s">
        <v>877</v>
      </c>
      <c r="C73" s="8">
        <v>395.68</v>
      </c>
      <c r="D73" s="87" t="s">
        <v>959</v>
      </c>
      <c r="E73" s="86" t="s">
        <v>960</v>
      </c>
      <c r="F73" s="2" t="s">
        <v>347</v>
      </c>
      <c r="G73" s="2" t="s">
        <v>1241</v>
      </c>
    </row>
    <row r="74" spans="1:7" hidden="1" x14ac:dyDescent="0.25">
      <c r="A74" s="85">
        <v>46032</v>
      </c>
      <c r="B74" s="88" t="s">
        <v>872</v>
      </c>
      <c r="C74" s="8">
        <v>1189.03</v>
      </c>
      <c r="D74" s="90" t="s">
        <v>958</v>
      </c>
      <c r="E74" s="7" t="s">
        <v>168</v>
      </c>
      <c r="F74" s="2" t="s">
        <v>167</v>
      </c>
      <c r="G74" s="2" t="s">
        <v>1241</v>
      </c>
    </row>
    <row r="75" spans="1:7" hidden="1" x14ac:dyDescent="0.25">
      <c r="A75" s="85">
        <v>46032</v>
      </c>
      <c r="B75" s="88" t="s">
        <v>872</v>
      </c>
      <c r="C75" s="8">
        <v>373.43</v>
      </c>
      <c r="D75" s="90" t="s">
        <v>958</v>
      </c>
      <c r="E75" s="7" t="s">
        <v>168</v>
      </c>
      <c r="F75" s="2" t="s">
        <v>167</v>
      </c>
      <c r="G75" s="2" t="s">
        <v>616</v>
      </c>
    </row>
    <row r="76" spans="1:7" hidden="1" x14ac:dyDescent="0.25">
      <c r="A76" s="85">
        <v>46033</v>
      </c>
      <c r="B76" s="86" t="s">
        <v>872</v>
      </c>
      <c r="C76" s="102">
        <v>30</v>
      </c>
      <c r="D76" s="87" t="s">
        <v>987</v>
      </c>
      <c r="E76" s="86" t="s">
        <v>988</v>
      </c>
      <c r="F76" s="7"/>
      <c r="G76" s="2" t="s">
        <v>849</v>
      </c>
    </row>
    <row r="77" spans="1:7" hidden="1" x14ac:dyDescent="0.25">
      <c r="A77" s="85">
        <v>46033</v>
      </c>
      <c r="B77" s="88" t="s">
        <v>872</v>
      </c>
      <c r="C77" s="103">
        <v>260.33</v>
      </c>
      <c r="D77" s="90" t="s">
        <v>985</v>
      </c>
      <c r="E77" s="88" t="s">
        <v>986</v>
      </c>
      <c r="F77" s="2" t="s">
        <v>452</v>
      </c>
      <c r="G77" s="2" t="s">
        <v>616</v>
      </c>
    </row>
    <row r="78" spans="1:7" hidden="1" x14ac:dyDescent="0.25">
      <c r="A78" s="85">
        <v>46033</v>
      </c>
      <c r="B78" s="88" t="s">
        <v>872</v>
      </c>
      <c r="C78" s="8">
        <v>366.86</v>
      </c>
      <c r="D78" s="90" t="s">
        <v>978</v>
      </c>
      <c r="E78" s="88" t="s">
        <v>979</v>
      </c>
      <c r="F78" s="2" t="s">
        <v>515</v>
      </c>
      <c r="G78" s="2" t="s">
        <v>616</v>
      </c>
    </row>
    <row r="79" spans="1:7" hidden="1" x14ac:dyDescent="0.25">
      <c r="A79" s="85">
        <v>46033</v>
      </c>
      <c r="B79" s="88" t="s">
        <v>872</v>
      </c>
      <c r="C79" s="8">
        <v>387.36</v>
      </c>
      <c r="D79" s="90" t="s">
        <v>978</v>
      </c>
      <c r="E79" s="88" t="s">
        <v>979</v>
      </c>
      <c r="F79" s="2" t="s">
        <v>515</v>
      </c>
      <c r="G79" s="2" t="s">
        <v>1241</v>
      </c>
    </row>
    <row r="80" spans="1:7" hidden="1" x14ac:dyDescent="0.25">
      <c r="A80" s="85">
        <v>46033</v>
      </c>
      <c r="B80" s="86" t="s">
        <v>869</v>
      </c>
      <c r="C80" s="102">
        <v>418.91</v>
      </c>
      <c r="D80" s="87" t="s">
        <v>983</v>
      </c>
      <c r="E80" s="86" t="s">
        <v>984</v>
      </c>
      <c r="F80" s="2" t="s">
        <v>233</v>
      </c>
      <c r="G80" s="2" t="s">
        <v>1241</v>
      </c>
    </row>
    <row r="81" spans="1:7" hidden="1" x14ac:dyDescent="0.25">
      <c r="A81" s="85">
        <v>46033</v>
      </c>
      <c r="B81" s="88" t="s">
        <v>872</v>
      </c>
      <c r="C81" s="103">
        <v>418.99</v>
      </c>
      <c r="D81" s="90" t="s">
        <v>981</v>
      </c>
      <c r="E81" s="88" t="s">
        <v>982</v>
      </c>
      <c r="F81" s="2" t="s">
        <v>257</v>
      </c>
      <c r="G81" s="2" t="s">
        <v>1241</v>
      </c>
    </row>
    <row r="82" spans="1:7" hidden="1" x14ac:dyDescent="0.25">
      <c r="A82" s="85">
        <v>46033</v>
      </c>
      <c r="B82" s="86" t="s">
        <v>872</v>
      </c>
      <c r="C82" s="102">
        <v>563.94000000000005</v>
      </c>
      <c r="D82" s="87" t="s">
        <v>980</v>
      </c>
      <c r="E82" s="86" t="s">
        <v>811</v>
      </c>
      <c r="F82" s="2" t="s">
        <v>485</v>
      </c>
      <c r="G82" s="2" t="s">
        <v>1241</v>
      </c>
    </row>
    <row r="83" spans="1:7" hidden="1" x14ac:dyDescent="0.25">
      <c r="A83" s="85">
        <v>46033</v>
      </c>
      <c r="B83" s="86" t="s">
        <v>872</v>
      </c>
      <c r="C83" s="102">
        <v>831.62</v>
      </c>
      <c r="D83" s="87" t="s">
        <v>976</v>
      </c>
      <c r="E83" s="86" t="s">
        <v>977</v>
      </c>
      <c r="F83" s="2" t="s">
        <v>587</v>
      </c>
      <c r="G83" s="2" t="s">
        <v>1241</v>
      </c>
    </row>
    <row r="84" spans="1:7" hidden="1" x14ac:dyDescent="0.25">
      <c r="A84" s="85">
        <v>46034</v>
      </c>
      <c r="B84" s="88" t="s">
        <v>872</v>
      </c>
      <c r="C84" s="103">
        <v>40</v>
      </c>
      <c r="D84" s="90" t="s">
        <v>1013</v>
      </c>
      <c r="E84" s="88" t="s">
        <v>354</v>
      </c>
      <c r="F84" s="2"/>
      <c r="G84" s="2" t="s">
        <v>852</v>
      </c>
    </row>
    <row r="85" spans="1:7" hidden="1" x14ac:dyDescent="0.25">
      <c r="A85" s="85">
        <v>46034</v>
      </c>
      <c r="B85" s="88" t="s">
        <v>872</v>
      </c>
      <c r="C85" s="103">
        <v>40</v>
      </c>
      <c r="D85" s="90" t="s">
        <v>1011</v>
      </c>
      <c r="E85" s="88" t="s">
        <v>977</v>
      </c>
      <c r="F85" s="7"/>
      <c r="G85" s="2" t="s">
        <v>852</v>
      </c>
    </row>
    <row r="86" spans="1:7" hidden="1" x14ac:dyDescent="0.25">
      <c r="A86" s="85">
        <v>46034</v>
      </c>
      <c r="B86" s="86" t="s">
        <v>869</v>
      </c>
      <c r="C86" s="102">
        <v>40</v>
      </c>
      <c r="D86" s="87" t="s">
        <v>1010</v>
      </c>
      <c r="E86" s="86" t="s">
        <v>871</v>
      </c>
      <c r="F86" s="2"/>
      <c r="G86" s="2" t="s">
        <v>852</v>
      </c>
    </row>
    <row r="87" spans="1:7" hidden="1" x14ac:dyDescent="0.25">
      <c r="A87" s="85">
        <v>46034</v>
      </c>
      <c r="B87" s="86" t="s">
        <v>877</v>
      </c>
      <c r="C87" s="102">
        <v>40</v>
      </c>
      <c r="D87" s="87" t="s">
        <v>1012</v>
      </c>
      <c r="E87" s="86" t="s">
        <v>998</v>
      </c>
      <c r="F87" s="2"/>
      <c r="G87" s="2" t="s">
        <v>852</v>
      </c>
    </row>
    <row r="88" spans="1:7" hidden="1" x14ac:dyDescent="0.25">
      <c r="A88" s="85">
        <v>46034</v>
      </c>
      <c r="B88" s="88" t="s">
        <v>872</v>
      </c>
      <c r="C88" s="103">
        <v>180.93</v>
      </c>
      <c r="D88" s="90" t="s">
        <v>1009</v>
      </c>
      <c r="E88" s="88" t="s">
        <v>420</v>
      </c>
      <c r="F88" s="2" t="s">
        <v>419</v>
      </c>
      <c r="G88" s="2" t="s">
        <v>1241</v>
      </c>
    </row>
    <row r="89" spans="1:7" hidden="1" x14ac:dyDescent="0.25">
      <c r="A89" s="85">
        <v>46034</v>
      </c>
      <c r="B89" s="86" t="s">
        <v>877</v>
      </c>
      <c r="C89" s="102">
        <v>182.41</v>
      </c>
      <c r="D89" s="87" t="s">
        <v>1007</v>
      </c>
      <c r="E89" s="86" t="s">
        <v>1008</v>
      </c>
      <c r="F89" s="2" t="s">
        <v>506</v>
      </c>
      <c r="G89" s="2" t="s">
        <v>1241</v>
      </c>
    </row>
    <row r="90" spans="1:7" hidden="1" x14ac:dyDescent="0.25">
      <c r="A90" s="85">
        <v>46034</v>
      </c>
      <c r="B90" s="88" t="s">
        <v>872</v>
      </c>
      <c r="C90" s="103">
        <v>182.85</v>
      </c>
      <c r="D90" s="90" t="s">
        <v>1005</v>
      </c>
      <c r="E90" s="88" t="s">
        <v>1006</v>
      </c>
      <c r="F90" s="2" t="s">
        <v>506</v>
      </c>
      <c r="G90" s="2" t="s">
        <v>1241</v>
      </c>
    </row>
    <row r="91" spans="1:7" hidden="1" x14ac:dyDescent="0.25">
      <c r="A91" s="85">
        <v>46034</v>
      </c>
      <c r="B91" s="86" t="s">
        <v>912</v>
      </c>
      <c r="C91" s="102">
        <v>251.45</v>
      </c>
      <c r="D91" s="87" t="s">
        <v>1003</v>
      </c>
      <c r="E91" s="86" t="s">
        <v>1004</v>
      </c>
      <c r="F91" s="2" t="s">
        <v>281</v>
      </c>
      <c r="G91" s="2" t="s">
        <v>1241</v>
      </c>
    </row>
    <row r="92" spans="1:7" hidden="1" x14ac:dyDescent="0.25">
      <c r="A92" s="85">
        <v>46034</v>
      </c>
      <c r="B92" s="88" t="s">
        <v>872</v>
      </c>
      <c r="C92" s="103">
        <v>266.27999999999997</v>
      </c>
      <c r="D92" s="90" t="s">
        <v>1001</v>
      </c>
      <c r="E92" s="88" t="s">
        <v>1002</v>
      </c>
      <c r="F92" s="2" t="s">
        <v>404</v>
      </c>
      <c r="G92" s="2" t="s">
        <v>616</v>
      </c>
    </row>
    <row r="93" spans="1:7" hidden="1" x14ac:dyDescent="0.25">
      <c r="A93" s="85">
        <v>46034</v>
      </c>
      <c r="B93" s="86" t="s">
        <v>872</v>
      </c>
      <c r="C93" s="102">
        <v>279.29000000000002</v>
      </c>
      <c r="D93" s="87" t="s">
        <v>999</v>
      </c>
      <c r="E93" s="86" t="s">
        <v>1000</v>
      </c>
      <c r="F93" s="2" t="s">
        <v>539</v>
      </c>
      <c r="G93" s="2" t="s">
        <v>616</v>
      </c>
    </row>
    <row r="94" spans="1:7" hidden="1" x14ac:dyDescent="0.25">
      <c r="A94" s="85">
        <v>46034</v>
      </c>
      <c r="B94" s="88" t="s">
        <v>877</v>
      </c>
      <c r="C94" s="103">
        <v>311.19</v>
      </c>
      <c r="D94" s="90" t="s">
        <v>997</v>
      </c>
      <c r="E94" s="88" t="s">
        <v>998</v>
      </c>
      <c r="F94" s="2" t="s">
        <v>215</v>
      </c>
      <c r="G94" s="2" t="s">
        <v>1241</v>
      </c>
    </row>
    <row r="95" spans="1:7" hidden="1" x14ac:dyDescent="0.25">
      <c r="A95" s="85">
        <v>46034</v>
      </c>
      <c r="B95" s="86" t="s">
        <v>872</v>
      </c>
      <c r="C95" s="102">
        <v>347.19</v>
      </c>
      <c r="D95" s="87" t="s">
        <v>996</v>
      </c>
      <c r="E95" s="86" t="s">
        <v>876</v>
      </c>
      <c r="F95" s="2" t="s">
        <v>290</v>
      </c>
      <c r="G95" s="2" t="s">
        <v>616</v>
      </c>
    </row>
    <row r="96" spans="1:7" hidden="1" x14ac:dyDescent="0.25">
      <c r="A96" s="85">
        <v>46034</v>
      </c>
      <c r="B96" s="88" t="s">
        <v>872</v>
      </c>
      <c r="C96" s="103">
        <v>361.53</v>
      </c>
      <c r="D96" s="90" t="s">
        <v>995</v>
      </c>
      <c r="E96" s="88" t="s">
        <v>573</v>
      </c>
      <c r="F96" s="2" t="s">
        <v>572</v>
      </c>
      <c r="G96" s="2" t="s">
        <v>616</v>
      </c>
    </row>
    <row r="97" spans="1:7" hidden="1" x14ac:dyDescent="0.25">
      <c r="A97" s="85">
        <v>46034</v>
      </c>
      <c r="B97" s="86" t="s">
        <v>872</v>
      </c>
      <c r="C97" s="102">
        <v>383.76</v>
      </c>
      <c r="D97" s="87" t="s">
        <v>994</v>
      </c>
      <c r="E97" s="86" t="s">
        <v>198</v>
      </c>
      <c r="F97" s="2" t="s">
        <v>197</v>
      </c>
      <c r="G97" s="2" t="s">
        <v>1241</v>
      </c>
    </row>
    <row r="98" spans="1:7" hidden="1" x14ac:dyDescent="0.25">
      <c r="A98" s="85">
        <v>46034</v>
      </c>
      <c r="B98" s="88" t="s">
        <v>991</v>
      </c>
      <c r="C98" s="103">
        <v>395.44</v>
      </c>
      <c r="D98" s="90" t="s">
        <v>992</v>
      </c>
      <c r="E98" s="88" t="s">
        <v>993</v>
      </c>
      <c r="F98" s="2" t="s">
        <v>8</v>
      </c>
      <c r="G98" s="2" t="s">
        <v>1241</v>
      </c>
    </row>
    <row r="99" spans="1:7" hidden="1" x14ac:dyDescent="0.25">
      <c r="A99" s="85">
        <v>46034</v>
      </c>
      <c r="B99" s="86" t="s">
        <v>872</v>
      </c>
      <c r="C99" s="102">
        <v>395.68</v>
      </c>
      <c r="D99" s="87" t="s">
        <v>989</v>
      </c>
      <c r="E99" s="86" t="s">
        <v>990</v>
      </c>
      <c r="F99" s="2" t="s">
        <v>545</v>
      </c>
      <c r="G99" s="2" t="s">
        <v>1241</v>
      </c>
    </row>
    <row r="100" spans="1:7" hidden="1" x14ac:dyDescent="0.25">
      <c r="A100" s="85">
        <v>46035</v>
      </c>
      <c r="B100" s="88" t="s">
        <v>877</v>
      </c>
      <c r="C100" s="103">
        <v>526.75</v>
      </c>
      <c r="D100" s="90" t="s">
        <v>1014</v>
      </c>
      <c r="E100" s="88" t="s">
        <v>1015</v>
      </c>
      <c r="F100" s="2" t="s">
        <v>227</v>
      </c>
      <c r="G100" s="2" t="s">
        <v>1241</v>
      </c>
    </row>
    <row r="101" spans="1:7" hidden="1" x14ac:dyDescent="0.25">
      <c r="A101" s="85">
        <v>46036</v>
      </c>
      <c r="B101" s="86" t="s">
        <v>872</v>
      </c>
      <c r="C101" s="102">
        <v>40</v>
      </c>
      <c r="D101" s="87" t="s">
        <v>1028</v>
      </c>
      <c r="E101" s="86" t="s">
        <v>537</v>
      </c>
      <c r="F101" s="2"/>
      <c r="G101" s="2" t="s">
        <v>852</v>
      </c>
    </row>
    <row r="102" spans="1:7" hidden="1" x14ac:dyDescent="0.25">
      <c r="A102" s="85">
        <v>46036</v>
      </c>
      <c r="B102" s="88" t="s">
        <v>912</v>
      </c>
      <c r="C102" s="103">
        <v>76.290000000000006</v>
      </c>
      <c r="D102" s="90" t="s">
        <v>1026</v>
      </c>
      <c r="E102" s="88" t="s">
        <v>1027</v>
      </c>
      <c r="F102" s="2" t="s">
        <v>350</v>
      </c>
      <c r="G102" s="2" t="s">
        <v>616</v>
      </c>
    </row>
    <row r="103" spans="1:7" hidden="1" x14ac:dyDescent="0.25">
      <c r="A103" s="85">
        <v>46036</v>
      </c>
      <c r="B103" s="86" t="s">
        <v>869</v>
      </c>
      <c r="C103" s="102">
        <v>300.26</v>
      </c>
      <c r="D103" s="87" t="s">
        <v>1024</v>
      </c>
      <c r="E103" s="86" t="s">
        <v>1025</v>
      </c>
      <c r="F103" s="2" t="s">
        <v>113</v>
      </c>
      <c r="G103" s="2" t="s">
        <v>1241</v>
      </c>
    </row>
    <row r="104" spans="1:7" hidden="1" x14ac:dyDescent="0.25">
      <c r="A104" s="85">
        <v>46036</v>
      </c>
      <c r="B104" s="86" t="s">
        <v>877</v>
      </c>
      <c r="C104" s="102">
        <v>303.08999999999997</v>
      </c>
      <c r="D104" s="87" t="s">
        <v>1022</v>
      </c>
      <c r="E104" s="86" t="s">
        <v>1023</v>
      </c>
      <c r="F104" s="2" t="s">
        <v>428</v>
      </c>
      <c r="G104" s="2" t="s">
        <v>616</v>
      </c>
    </row>
    <row r="105" spans="1:7" hidden="1" x14ac:dyDescent="0.25">
      <c r="A105" s="85">
        <v>46036</v>
      </c>
      <c r="B105" s="88" t="s">
        <v>1016</v>
      </c>
      <c r="C105" s="8">
        <f>334.11+33.07</f>
        <v>367.18</v>
      </c>
      <c r="D105" s="90" t="s">
        <v>1017</v>
      </c>
      <c r="E105" s="88" t="s">
        <v>1016</v>
      </c>
      <c r="F105" s="2" t="s">
        <v>443</v>
      </c>
      <c r="G105" s="2" t="s">
        <v>616</v>
      </c>
    </row>
    <row r="106" spans="1:7" hidden="1" x14ac:dyDescent="0.25">
      <c r="A106" s="85">
        <v>46036</v>
      </c>
      <c r="B106" s="88" t="s">
        <v>872</v>
      </c>
      <c r="C106" s="103">
        <v>373.43</v>
      </c>
      <c r="D106" s="90" t="s">
        <v>1020</v>
      </c>
      <c r="E106" s="88" t="s">
        <v>1021</v>
      </c>
      <c r="F106" s="2" t="s">
        <v>590</v>
      </c>
      <c r="G106" s="2" t="s">
        <v>616</v>
      </c>
    </row>
    <row r="107" spans="1:7" hidden="1" x14ac:dyDescent="0.25">
      <c r="A107" s="85">
        <v>46036</v>
      </c>
      <c r="B107" s="86" t="s">
        <v>872</v>
      </c>
      <c r="C107" s="102">
        <v>580</v>
      </c>
      <c r="D107" s="87" t="s">
        <v>1018</v>
      </c>
      <c r="E107" s="86" t="s">
        <v>1019</v>
      </c>
      <c r="F107" s="2"/>
      <c r="G107" s="2" t="s">
        <v>850</v>
      </c>
    </row>
    <row r="108" spans="1:7" hidden="1" x14ac:dyDescent="0.25">
      <c r="A108" s="85">
        <v>46036</v>
      </c>
      <c r="B108" s="88" t="s">
        <v>1016</v>
      </c>
      <c r="C108" s="8">
        <v>2128.87</v>
      </c>
      <c r="D108" s="90" t="s">
        <v>1017</v>
      </c>
      <c r="E108" s="88" t="s">
        <v>1016</v>
      </c>
      <c r="F108" s="2" t="s">
        <v>443</v>
      </c>
      <c r="G108" s="2" t="s">
        <v>1241</v>
      </c>
    </row>
    <row r="109" spans="1:7" hidden="1" x14ac:dyDescent="0.25">
      <c r="A109" s="85">
        <v>46037</v>
      </c>
      <c r="B109" s="88" t="s">
        <v>912</v>
      </c>
      <c r="C109" s="103">
        <v>40</v>
      </c>
      <c r="D109" s="90" t="s">
        <v>1041</v>
      </c>
      <c r="E109" s="88" t="s">
        <v>1042</v>
      </c>
      <c r="F109" s="7"/>
      <c r="G109" s="2" t="s">
        <v>852</v>
      </c>
    </row>
    <row r="110" spans="1:7" hidden="1" x14ac:dyDescent="0.25">
      <c r="A110" s="85">
        <v>46037</v>
      </c>
      <c r="B110" s="86" t="s">
        <v>869</v>
      </c>
      <c r="C110" s="102">
        <v>40</v>
      </c>
      <c r="D110" s="87" t="s">
        <v>1040</v>
      </c>
      <c r="E110" s="86" t="s">
        <v>984</v>
      </c>
      <c r="F110" s="2"/>
      <c r="G110" s="2" t="s">
        <v>852</v>
      </c>
    </row>
    <row r="111" spans="1:7" hidden="1" x14ac:dyDescent="0.25">
      <c r="A111" s="85">
        <v>46037</v>
      </c>
      <c r="B111" s="86" t="s">
        <v>877</v>
      </c>
      <c r="C111" s="102">
        <v>40</v>
      </c>
      <c r="D111" s="87" t="s">
        <v>1043</v>
      </c>
      <c r="E111" s="86" t="s">
        <v>1034</v>
      </c>
      <c r="F111" s="2"/>
      <c r="G111" s="2" t="s">
        <v>852</v>
      </c>
    </row>
    <row r="112" spans="1:7" hidden="1" x14ac:dyDescent="0.25">
      <c r="A112" s="85">
        <v>46037</v>
      </c>
      <c r="B112" s="88" t="s">
        <v>872</v>
      </c>
      <c r="C112" s="103">
        <v>180.36</v>
      </c>
      <c r="D112" s="90" t="s">
        <v>1039</v>
      </c>
      <c r="E112" s="88" t="s">
        <v>916</v>
      </c>
      <c r="F112" s="2" t="s">
        <v>80</v>
      </c>
      <c r="G112" s="2" t="s">
        <v>616</v>
      </c>
    </row>
    <row r="113" spans="1:7" hidden="1" x14ac:dyDescent="0.25">
      <c r="A113" s="85">
        <v>46037</v>
      </c>
      <c r="B113" s="86" t="s">
        <v>1037</v>
      </c>
      <c r="C113" s="102">
        <v>194.25</v>
      </c>
      <c r="D113" s="87" t="s">
        <v>1038</v>
      </c>
      <c r="E113" s="7" t="s">
        <v>267</v>
      </c>
      <c r="F113" s="2" t="s">
        <v>266</v>
      </c>
      <c r="G113" s="2" t="s">
        <v>1241</v>
      </c>
    </row>
    <row r="114" spans="1:7" hidden="1" x14ac:dyDescent="0.25">
      <c r="A114" s="85">
        <v>46037</v>
      </c>
      <c r="B114" s="88" t="s">
        <v>877</v>
      </c>
      <c r="C114" s="103">
        <v>299</v>
      </c>
      <c r="D114" s="90" t="s">
        <v>1035</v>
      </c>
      <c r="E114" s="88" t="s">
        <v>1036</v>
      </c>
      <c r="F114" s="2" t="s">
        <v>53</v>
      </c>
      <c r="G114" s="2" t="s">
        <v>616</v>
      </c>
    </row>
    <row r="115" spans="1:7" hidden="1" x14ac:dyDescent="0.25">
      <c r="A115" s="85">
        <v>46037</v>
      </c>
      <c r="B115" s="86" t="s">
        <v>877</v>
      </c>
      <c r="C115" s="102">
        <v>330.06</v>
      </c>
      <c r="D115" s="87" t="s">
        <v>1033</v>
      </c>
      <c r="E115" s="86" t="s">
        <v>1034</v>
      </c>
      <c r="F115" s="2" t="s">
        <v>101</v>
      </c>
      <c r="G115" s="2" t="s">
        <v>1241</v>
      </c>
    </row>
    <row r="116" spans="1:7" hidden="1" x14ac:dyDescent="0.25">
      <c r="A116" s="85">
        <v>46037</v>
      </c>
      <c r="B116" s="88" t="s">
        <v>872</v>
      </c>
      <c r="C116" s="103">
        <v>361.53</v>
      </c>
      <c r="D116" s="90" t="s">
        <v>1032</v>
      </c>
      <c r="E116" s="88" t="s">
        <v>357</v>
      </c>
      <c r="F116" s="2" t="s">
        <v>356</v>
      </c>
      <c r="G116" s="2" t="s">
        <v>616</v>
      </c>
    </row>
    <row r="117" spans="1:7" hidden="1" x14ac:dyDescent="0.25">
      <c r="A117" s="85">
        <v>46037</v>
      </c>
      <c r="B117" s="86" t="s">
        <v>1029</v>
      </c>
      <c r="C117" s="102">
        <v>738.15</v>
      </c>
      <c r="D117" s="87" t="s">
        <v>1030</v>
      </c>
      <c r="E117" s="86" t="s">
        <v>1031</v>
      </c>
      <c r="F117" s="2" t="s">
        <v>50</v>
      </c>
      <c r="G117" s="2" t="s">
        <v>1241</v>
      </c>
    </row>
    <row r="118" spans="1:7" hidden="1" x14ac:dyDescent="0.25">
      <c r="A118" s="85">
        <v>46038</v>
      </c>
      <c r="B118" s="88" t="s">
        <v>877</v>
      </c>
      <c r="C118" s="103">
        <v>40</v>
      </c>
      <c r="D118" s="90" t="s">
        <v>1052</v>
      </c>
      <c r="E118" s="88" t="s">
        <v>1023</v>
      </c>
      <c r="F118" s="2"/>
      <c r="G118" s="2" t="s">
        <v>852</v>
      </c>
    </row>
    <row r="119" spans="1:7" hidden="1" x14ac:dyDescent="0.25">
      <c r="A119" s="85">
        <v>46038</v>
      </c>
      <c r="B119" s="86" t="s">
        <v>872</v>
      </c>
      <c r="C119" s="102">
        <v>181.79</v>
      </c>
      <c r="D119" s="87" t="s">
        <v>1050</v>
      </c>
      <c r="E119" s="86" t="s">
        <v>1051</v>
      </c>
      <c r="F119" s="2" t="s">
        <v>212</v>
      </c>
      <c r="G119" s="2" t="s">
        <v>616</v>
      </c>
    </row>
    <row r="120" spans="1:7" hidden="1" x14ac:dyDescent="0.25">
      <c r="A120" s="85">
        <v>46038</v>
      </c>
      <c r="B120" s="88" t="s">
        <v>872</v>
      </c>
      <c r="C120" s="103">
        <v>263.37</v>
      </c>
      <c r="D120" s="90" t="s">
        <v>1048</v>
      </c>
      <c r="E120" s="88" t="s">
        <v>1049</v>
      </c>
      <c r="F120" s="2" t="s">
        <v>140</v>
      </c>
      <c r="G120" s="2" t="s">
        <v>1241</v>
      </c>
    </row>
    <row r="121" spans="1:7" hidden="1" x14ac:dyDescent="0.25">
      <c r="A121" s="85">
        <v>46038</v>
      </c>
      <c r="B121" s="86" t="s">
        <v>1046</v>
      </c>
      <c r="C121" s="102">
        <v>291.2</v>
      </c>
      <c r="D121" s="87" t="s">
        <v>1047</v>
      </c>
      <c r="E121" s="7" t="s">
        <v>219</v>
      </c>
      <c r="F121" s="2" t="s">
        <v>218</v>
      </c>
      <c r="G121" s="2" t="s">
        <v>616</v>
      </c>
    </row>
    <row r="122" spans="1:7" hidden="1" x14ac:dyDescent="0.25">
      <c r="A122" s="85">
        <v>46038</v>
      </c>
      <c r="B122" s="88" t="s">
        <v>872</v>
      </c>
      <c r="C122" s="103">
        <v>580</v>
      </c>
      <c r="D122" s="90" t="s">
        <v>1044</v>
      </c>
      <c r="E122" s="88" t="s">
        <v>1045</v>
      </c>
      <c r="F122" s="2"/>
      <c r="G122" s="2" t="s">
        <v>850</v>
      </c>
    </row>
    <row r="123" spans="1:7" hidden="1" x14ac:dyDescent="0.25">
      <c r="A123" s="85">
        <v>46039</v>
      </c>
      <c r="B123" s="86" t="s">
        <v>869</v>
      </c>
      <c r="C123" s="102">
        <v>30</v>
      </c>
      <c r="D123" s="87" t="s">
        <v>1068</v>
      </c>
      <c r="E123" s="86" t="s">
        <v>948</v>
      </c>
      <c r="F123" s="2"/>
      <c r="G123" s="2" t="s">
        <v>849</v>
      </c>
    </row>
    <row r="124" spans="1:7" hidden="1" x14ac:dyDescent="0.25">
      <c r="A124" s="85">
        <v>46039</v>
      </c>
      <c r="B124" s="88" t="s">
        <v>872</v>
      </c>
      <c r="C124" s="103">
        <v>40</v>
      </c>
      <c r="D124" s="90" t="s">
        <v>1066</v>
      </c>
      <c r="E124" s="88" t="s">
        <v>1067</v>
      </c>
      <c r="F124" s="2"/>
      <c r="G124" s="2" t="s">
        <v>852</v>
      </c>
    </row>
    <row r="125" spans="1:7" hidden="1" x14ac:dyDescent="0.25">
      <c r="A125" s="85">
        <v>46039</v>
      </c>
      <c r="B125" s="86" t="s">
        <v>872</v>
      </c>
      <c r="C125" s="102">
        <v>165.07</v>
      </c>
      <c r="D125" s="87" t="s">
        <v>1065</v>
      </c>
      <c r="E125" s="86" t="s">
        <v>1064</v>
      </c>
      <c r="F125" s="2" t="s">
        <v>527</v>
      </c>
      <c r="G125" s="2" t="s">
        <v>1241</v>
      </c>
    </row>
    <row r="126" spans="1:7" hidden="1" x14ac:dyDescent="0.25">
      <c r="A126" s="85">
        <v>46039</v>
      </c>
      <c r="B126" s="88" t="s">
        <v>872</v>
      </c>
      <c r="C126" s="103">
        <v>175.08</v>
      </c>
      <c r="D126" s="90" t="s">
        <v>1063</v>
      </c>
      <c r="E126" s="88" t="s">
        <v>1064</v>
      </c>
      <c r="F126" s="2" t="s">
        <v>527</v>
      </c>
      <c r="G126" s="2" t="s">
        <v>1241</v>
      </c>
    </row>
    <row r="127" spans="1:7" hidden="1" x14ac:dyDescent="0.25">
      <c r="A127" s="85">
        <v>46039</v>
      </c>
      <c r="B127" s="86" t="s">
        <v>872</v>
      </c>
      <c r="C127" s="102">
        <v>181.02</v>
      </c>
      <c r="D127" s="87" t="s">
        <v>1062</v>
      </c>
      <c r="E127" s="86" t="s">
        <v>1061</v>
      </c>
      <c r="F127" s="2" t="s">
        <v>104</v>
      </c>
      <c r="G127" s="2" t="s">
        <v>616</v>
      </c>
    </row>
    <row r="128" spans="1:7" hidden="1" x14ac:dyDescent="0.25">
      <c r="A128" s="85">
        <v>46039</v>
      </c>
      <c r="B128" s="88" t="s">
        <v>877</v>
      </c>
      <c r="C128" s="8">
        <v>182.54</v>
      </c>
      <c r="D128" s="90" t="s">
        <v>1056</v>
      </c>
      <c r="E128" s="88" t="s">
        <v>1057</v>
      </c>
      <c r="F128" s="2" t="s">
        <v>107</v>
      </c>
      <c r="G128" s="2" t="s">
        <v>1241</v>
      </c>
    </row>
    <row r="129" spans="1:7" hidden="1" x14ac:dyDescent="0.25">
      <c r="A129" s="85">
        <v>46039</v>
      </c>
      <c r="B129" s="88" t="s">
        <v>877</v>
      </c>
      <c r="C129" s="8">
        <v>182.77</v>
      </c>
      <c r="D129" s="90" t="s">
        <v>1056</v>
      </c>
      <c r="E129" s="88" t="s">
        <v>1057</v>
      </c>
      <c r="F129" s="2" t="s">
        <v>107</v>
      </c>
      <c r="G129" s="2" t="s">
        <v>616</v>
      </c>
    </row>
    <row r="130" spans="1:7" hidden="1" x14ac:dyDescent="0.25">
      <c r="A130" s="85">
        <v>46039</v>
      </c>
      <c r="B130" s="88" t="s">
        <v>872</v>
      </c>
      <c r="C130" s="103">
        <v>190.56</v>
      </c>
      <c r="D130" s="90" t="s">
        <v>1060</v>
      </c>
      <c r="E130" s="88" t="s">
        <v>1061</v>
      </c>
      <c r="F130" s="2" t="s">
        <v>104</v>
      </c>
      <c r="G130" s="2" t="s">
        <v>1241</v>
      </c>
    </row>
    <row r="131" spans="1:7" hidden="1" x14ac:dyDescent="0.25">
      <c r="A131" s="85">
        <v>46039</v>
      </c>
      <c r="B131" s="86" t="s">
        <v>872</v>
      </c>
      <c r="C131" s="102">
        <v>244.18</v>
      </c>
      <c r="D131" s="87" t="s">
        <v>1058</v>
      </c>
      <c r="E131" s="86" t="s">
        <v>1059</v>
      </c>
      <c r="F131" s="2" t="s">
        <v>203</v>
      </c>
      <c r="G131" s="2" t="s">
        <v>616</v>
      </c>
    </row>
    <row r="132" spans="1:7" hidden="1" x14ac:dyDescent="0.25">
      <c r="A132" s="85">
        <v>46039</v>
      </c>
      <c r="B132" s="86" t="s">
        <v>872</v>
      </c>
      <c r="C132" s="102">
        <v>392.7</v>
      </c>
      <c r="D132" s="87" t="s">
        <v>1055</v>
      </c>
      <c r="E132" s="86" t="s">
        <v>90</v>
      </c>
      <c r="F132" s="2" t="s">
        <v>89</v>
      </c>
      <c r="G132" s="2" t="s">
        <v>1241</v>
      </c>
    </row>
    <row r="133" spans="1:7" hidden="1" x14ac:dyDescent="0.25">
      <c r="A133" s="85">
        <v>46039</v>
      </c>
      <c r="B133" s="88" t="s">
        <v>872</v>
      </c>
      <c r="C133" s="103">
        <v>502.9</v>
      </c>
      <c r="D133" s="90" t="s">
        <v>1054</v>
      </c>
      <c r="E133" s="88" t="s">
        <v>78</v>
      </c>
      <c r="F133" s="2" t="s">
        <v>77</v>
      </c>
      <c r="G133" s="2" t="s">
        <v>1241</v>
      </c>
    </row>
    <row r="134" spans="1:7" hidden="1" x14ac:dyDescent="0.25">
      <c r="A134" s="85">
        <v>46039</v>
      </c>
      <c r="B134" s="86" t="s">
        <v>872</v>
      </c>
      <c r="C134" s="102">
        <v>580</v>
      </c>
      <c r="D134" s="87" t="s">
        <v>1053</v>
      </c>
      <c r="E134" s="86" t="s">
        <v>891</v>
      </c>
      <c r="F134" s="2"/>
      <c r="G134" s="2" t="s">
        <v>850</v>
      </c>
    </row>
    <row r="135" spans="1:7" hidden="1" x14ac:dyDescent="0.25">
      <c r="A135" s="85">
        <v>46040</v>
      </c>
      <c r="B135" s="88" t="s">
        <v>869</v>
      </c>
      <c r="C135" s="103">
        <v>173.91</v>
      </c>
      <c r="D135" s="90" t="s">
        <v>1070</v>
      </c>
      <c r="E135" s="88" t="s">
        <v>1071</v>
      </c>
      <c r="F135" s="2" t="s">
        <v>509</v>
      </c>
      <c r="G135" s="2" t="s">
        <v>1241</v>
      </c>
    </row>
    <row r="136" spans="1:7" hidden="1" x14ac:dyDescent="0.25">
      <c r="A136" s="85">
        <v>46040</v>
      </c>
      <c r="B136" s="86" t="s">
        <v>912</v>
      </c>
      <c r="C136" s="102">
        <v>179.63</v>
      </c>
      <c r="D136" s="87" t="s">
        <v>1069</v>
      </c>
      <c r="E136" s="86" t="s">
        <v>1042</v>
      </c>
      <c r="F136" s="2" t="s">
        <v>11</v>
      </c>
      <c r="G136" s="2" t="s">
        <v>1241</v>
      </c>
    </row>
    <row r="137" spans="1:7" hidden="1" x14ac:dyDescent="0.25">
      <c r="A137" s="85">
        <v>46041</v>
      </c>
      <c r="B137" s="88" t="s">
        <v>872</v>
      </c>
      <c r="C137" s="103">
        <v>76.290000000000006</v>
      </c>
      <c r="D137" s="90" t="s">
        <v>1082</v>
      </c>
      <c r="E137" s="88" t="s">
        <v>189</v>
      </c>
      <c r="F137" s="2" t="s">
        <v>188</v>
      </c>
      <c r="G137" s="2" t="s">
        <v>616</v>
      </c>
    </row>
    <row r="138" spans="1:7" hidden="1" x14ac:dyDescent="0.25">
      <c r="A138" s="85">
        <v>46041</v>
      </c>
      <c r="B138" s="86" t="s">
        <v>872</v>
      </c>
      <c r="C138" s="102">
        <v>100</v>
      </c>
      <c r="D138" s="87" t="s">
        <v>1079</v>
      </c>
      <c r="E138" s="86" t="s">
        <v>1080</v>
      </c>
      <c r="F138" s="7"/>
      <c r="G138" s="2" t="s">
        <v>848</v>
      </c>
    </row>
    <row r="139" spans="1:7" hidden="1" x14ac:dyDescent="0.25">
      <c r="A139" s="85">
        <v>46041</v>
      </c>
      <c r="B139" s="86" t="s">
        <v>872</v>
      </c>
      <c r="C139" s="102">
        <v>100</v>
      </c>
      <c r="D139" s="87" t="s">
        <v>1081</v>
      </c>
      <c r="E139" s="86" t="s">
        <v>1080</v>
      </c>
      <c r="F139" s="7"/>
      <c r="G139" s="2" t="s">
        <v>848</v>
      </c>
    </row>
    <row r="140" spans="1:7" hidden="1" x14ac:dyDescent="0.25">
      <c r="A140" s="85">
        <v>46041</v>
      </c>
      <c r="B140" s="88" t="s">
        <v>877</v>
      </c>
      <c r="C140" s="103">
        <v>173.85</v>
      </c>
      <c r="D140" s="90" t="s">
        <v>1077</v>
      </c>
      <c r="E140" s="88" t="s">
        <v>1078</v>
      </c>
      <c r="F140" s="2" t="s">
        <v>212</v>
      </c>
      <c r="G140" s="2" t="s">
        <v>616</v>
      </c>
    </row>
    <row r="141" spans="1:7" hidden="1" x14ac:dyDescent="0.25">
      <c r="A141" s="85">
        <v>46041</v>
      </c>
      <c r="B141" s="86" t="s">
        <v>872</v>
      </c>
      <c r="C141" s="102">
        <v>250.13</v>
      </c>
      <c r="D141" s="87" t="s">
        <v>1075</v>
      </c>
      <c r="E141" s="86" t="s">
        <v>1076</v>
      </c>
      <c r="F141" s="2" t="s">
        <v>329</v>
      </c>
      <c r="G141" s="2" t="s">
        <v>616</v>
      </c>
    </row>
    <row r="142" spans="1:7" hidden="1" x14ac:dyDescent="0.25">
      <c r="A142" s="85">
        <v>46041</v>
      </c>
      <c r="B142" s="88" t="s">
        <v>872</v>
      </c>
      <c r="C142" s="103">
        <v>389.57</v>
      </c>
      <c r="D142" s="90" t="s">
        <v>1074</v>
      </c>
      <c r="E142" s="88" t="s">
        <v>150</v>
      </c>
      <c r="F142" s="2" t="s">
        <v>149</v>
      </c>
      <c r="G142" s="2" t="s">
        <v>616</v>
      </c>
    </row>
    <row r="143" spans="1:7" hidden="1" x14ac:dyDescent="0.25">
      <c r="A143" s="85">
        <v>46041</v>
      </c>
      <c r="B143" s="86" t="s">
        <v>872</v>
      </c>
      <c r="C143" s="102">
        <v>446.4</v>
      </c>
      <c r="D143" s="87" t="s">
        <v>1073</v>
      </c>
      <c r="E143" s="86" t="s">
        <v>567</v>
      </c>
      <c r="F143" s="2" t="s">
        <v>566</v>
      </c>
      <c r="G143" s="2" t="s">
        <v>1241</v>
      </c>
    </row>
    <row r="144" spans="1:7" hidden="1" x14ac:dyDescent="0.25">
      <c r="A144" s="85">
        <v>46041</v>
      </c>
      <c r="B144" s="88" t="s">
        <v>872</v>
      </c>
      <c r="C144" s="103">
        <v>580</v>
      </c>
      <c r="D144" s="90" t="s">
        <v>1072</v>
      </c>
      <c r="E144" s="88" t="s">
        <v>531</v>
      </c>
      <c r="F144" s="2"/>
      <c r="G144" s="2" t="s">
        <v>850</v>
      </c>
    </row>
    <row r="145" spans="1:7" hidden="1" x14ac:dyDescent="0.25">
      <c r="A145" s="85">
        <v>46042</v>
      </c>
      <c r="B145" s="86" t="s">
        <v>872</v>
      </c>
      <c r="C145" s="102">
        <v>40</v>
      </c>
      <c r="D145" s="87" t="s">
        <v>1099</v>
      </c>
      <c r="E145" s="86" t="s">
        <v>1100</v>
      </c>
      <c r="F145" s="2"/>
      <c r="G145" s="2" t="s">
        <v>852</v>
      </c>
    </row>
    <row r="146" spans="1:7" hidden="1" x14ac:dyDescent="0.25">
      <c r="A146" s="85">
        <v>46042</v>
      </c>
      <c r="B146" s="88" t="s">
        <v>869</v>
      </c>
      <c r="C146" s="103">
        <v>164.92</v>
      </c>
      <c r="D146" s="90" t="s">
        <v>1097</v>
      </c>
      <c r="E146" s="88" t="s">
        <v>1098</v>
      </c>
      <c r="F146" s="2" t="s">
        <v>152</v>
      </c>
      <c r="G146" s="2" t="s">
        <v>616</v>
      </c>
    </row>
    <row r="147" spans="1:7" hidden="1" x14ac:dyDescent="0.25">
      <c r="A147" s="85">
        <v>46042</v>
      </c>
      <c r="B147" s="86" t="s">
        <v>872</v>
      </c>
      <c r="C147" s="102">
        <v>190</v>
      </c>
      <c r="D147" s="87" t="s">
        <v>1095</v>
      </c>
      <c r="E147" s="86" t="s">
        <v>1096</v>
      </c>
      <c r="F147" s="2" t="s">
        <v>500</v>
      </c>
      <c r="G147" s="2" t="s">
        <v>616</v>
      </c>
    </row>
    <row r="148" spans="1:7" hidden="1" x14ac:dyDescent="0.25">
      <c r="A148" s="85">
        <v>46042</v>
      </c>
      <c r="B148" s="88" t="s">
        <v>872</v>
      </c>
      <c r="C148" s="103">
        <v>244.18</v>
      </c>
      <c r="D148" s="90" t="s">
        <v>1094</v>
      </c>
      <c r="E148" s="88" t="s">
        <v>276</v>
      </c>
      <c r="F148" s="2" t="s">
        <v>275</v>
      </c>
      <c r="G148" s="2" t="s">
        <v>616</v>
      </c>
    </row>
    <row r="149" spans="1:7" hidden="1" x14ac:dyDescent="0.25">
      <c r="A149" s="85">
        <v>46042</v>
      </c>
      <c r="B149" s="86" t="s">
        <v>872</v>
      </c>
      <c r="C149" s="102">
        <v>257.41000000000003</v>
      </c>
      <c r="D149" s="87" t="s">
        <v>1093</v>
      </c>
      <c r="E149" s="86" t="s">
        <v>276</v>
      </c>
      <c r="F149" s="2" t="s">
        <v>275</v>
      </c>
      <c r="G149" s="2" t="s">
        <v>1241</v>
      </c>
    </row>
    <row r="150" spans="1:7" hidden="1" x14ac:dyDescent="0.25">
      <c r="A150" s="85">
        <v>46042</v>
      </c>
      <c r="B150" s="88" t="s">
        <v>872</v>
      </c>
      <c r="C150" s="103">
        <v>285.36</v>
      </c>
      <c r="D150" s="90" t="s">
        <v>1091</v>
      </c>
      <c r="E150" s="88" t="s">
        <v>1092</v>
      </c>
      <c r="F150" s="2" t="s">
        <v>272</v>
      </c>
      <c r="G150" s="2" t="s">
        <v>616</v>
      </c>
    </row>
    <row r="151" spans="1:7" hidden="1" x14ac:dyDescent="0.25">
      <c r="A151" s="85">
        <v>46042</v>
      </c>
      <c r="B151" s="86" t="s">
        <v>869</v>
      </c>
      <c r="C151" s="102">
        <v>291.19</v>
      </c>
      <c r="D151" s="87" t="s">
        <v>1090</v>
      </c>
      <c r="E151" s="86" t="s">
        <v>901</v>
      </c>
      <c r="F151" s="2" t="s">
        <v>173</v>
      </c>
      <c r="G151" s="2" t="s">
        <v>616</v>
      </c>
    </row>
    <row r="152" spans="1:7" hidden="1" x14ac:dyDescent="0.25">
      <c r="A152" s="85">
        <v>46042</v>
      </c>
      <c r="B152" s="88" t="s">
        <v>872</v>
      </c>
      <c r="C152" s="103">
        <v>362.98</v>
      </c>
      <c r="D152" s="90" t="s">
        <v>1089</v>
      </c>
      <c r="E152" s="88" t="s">
        <v>928</v>
      </c>
      <c r="F152" s="2" t="s">
        <v>134</v>
      </c>
      <c r="G152" s="2" t="s">
        <v>616</v>
      </c>
    </row>
    <row r="153" spans="1:7" hidden="1" x14ac:dyDescent="0.25">
      <c r="A153" s="85">
        <v>46042</v>
      </c>
      <c r="B153" s="86" t="s">
        <v>872</v>
      </c>
      <c r="C153" s="102">
        <v>390.85</v>
      </c>
      <c r="D153" s="87" t="s">
        <v>1087</v>
      </c>
      <c r="E153" s="86" t="s">
        <v>1088</v>
      </c>
      <c r="F153" s="2" t="s">
        <v>311</v>
      </c>
      <c r="G153" s="2" t="s">
        <v>1241</v>
      </c>
    </row>
    <row r="154" spans="1:7" hidden="1" x14ac:dyDescent="0.25">
      <c r="A154" s="85">
        <v>46042</v>
      </c>
      <c r="B154" s="88" t="s">
        <v>877</v>
      </c>
      <c r="C154" s="103">
        <v>477.53</v>
      </c>
      <c r="D154" s="90" t="s">
        <v>1085</v>
      </c>
      <c r="E154" s="88" t="s">
        <v>1086</v>
      </c>
      <c r="F154" s="2" t="s">
        <v>593</v>
      </c>
      <c r="G154" s="2" t="s">
        <v>616</v>
      </c>
    </row>
    <row r="155" spans="1:7" hidden="1" x14ac:dyDescent="0.25">
      <c r="A155" s="85">
        <v>46042</v>
      </c>
      <c r="B155" s="88" t="s">
        <v>872</v>
      </c>
      <c r="C155" s="103">
        <v>485.45</v>
      </c>
      <c r="D155" s="90" t="s">
        <v>1083</v>
      </c>
      <c r="E155" s="88" t="s">
        <v>1084</v>
      </c>
      <c r="F155" s="2" t="s">
        <v>230</v>
      </c>
      <c r="G155" s="2" t="s">
        <v>1241</v>
      </c>
    </row>
    <row r="156" spans="1:7" hidden="1" x14ac:dyDescent="0.25">
      <c r="A156" s="85">
        <v>46043</v>
      </c>
      <c r="B156" s="86" t="s">
        <v>872</v>
      </c>
      <c r="C156" s="102">
        <v>30</v>
      </c>
      <c r="D156" s="87" t="s">
        <v>1124</v>
      </c>
      <c r="E156" s="86" t="s">
        <v>811</v>
      </c>
      <c r="F156" s="2"/>
      <c r="G156" s="2" t="s">
        <v>849</v>
      </c>
    </row>
    <row r="157" spans="1:7" hidden="1" x14ac:dyDescent="0.25">
      <c r="A157" s="85">
        <v>46043</v>
      </c>
      <c r="B157" s="88" t="s">
        <v>872</v>
      </c>
      <c r="C157" s="103">
        <v>77.760000000000005</v>
      </c>
      <c r="D157" s="90" t="s">
        <v>1123</v>
      </c>
      <c r="E157" s="88" t="s">
        <v>1112</v>
      </c>
      <c r="F157" s="2" t="s">
        <v>164</v>
      </c>
      <c r="G157" s="2" t="s">
        <v>1241</v>
      </c>
    </row>
    <row r="158" spans="1:7" hidden="1" x14ac:dyDescent="0.25">
      <c r="A158" s="85">
        <v>46043</v>
      </c>
      <c r="B158" s="88" t="s">
        <v>872</v>
      </c>
      <c r="C158" s="103">
        <v>80.52</v>
      </c>
      <c r="D158" s="90" t="s">
        <v>1119</v>
      </c>
      <c r="E158" s="88" t="s">
        <v>1112</v>
      </c>
      <c r="F158" s="2" t="s">
        <v>164</v>
      </c>
      <c r="G158" s="2" t="s">
        <v>1241</v>
      </c>
    </row>
    <row r="159" spans="1:7" hidden="1" x14ac:dyDescent="0.25">
      <c r="A159" s="85">
        <v>46043</v>
      </c>
      <c r="B159" s="86" t="s">
        <v>872</v>
      </c>
      <c r="C159" s="102">
        <v>80.52</v>
      </c>
      <c r="D159" s="87" t="s">
        <v>1120</v>
      </c>
      <c r="E159" s="86" t="s">
        <v>1112</v>
      </c>
      <c r="F159" s="2" t="s">
        <v>164</v>
      </c>
      <c r="G159" s="2" t="s">
        <v>1241</v>
      </c>
    </row>
    <row r="160" spans="1:7" hidden="1" x14ac:dyDescent="0.25">
      <c r="A160" s="85">
        <v>46043</v>
      </c>
      <c r="B160" s="88" t="s">
        <v>872</v>
      </c>
      <c r="C160" s="103">
        <v>80.52</v>
      </c>
      <c r="D160" s="90" t="s">
        <v>1121</v>
      </c>
      <c r="E160" s="88" t="s">
        <v>1112</v>
      </c>
      <c r="F160" s="2" t="s">
        <v>164</v>
      </c>
      <c r="G160" s="2" t="s">
        <v>1241</v>
      </c>
    </row>
    <row r="161" spans="1:7" hidden="1" x14ac:dyDescent="0.25">
      <c r="A161" s="85">
        <v>46043</v>
      </c>
      <c r="B161" s="86" t="s">
        <v>872</v>
      </c>
      <c r="C161" s="102">
        <v>80.52</v>
      </c>
      <c r="D161" s="87" t="s">
        <v>1122</v>
      </c>
      <c r="E161" s="86" t="s">
        <v>1112</v>
      </c>
      <c r="F161" s="2" t="s">
        <v>164</v>
      </c>
      <c r="G161" s="2" t="s">
        <v>1241</v>
      </c>
    </row>
    <row r="162" spans="1:7" hidden="1" x14ac:dyDescent="0.25">
      <c r="A162" s="85">
        <v>46043</v>
      </c>
      <c r="B162" s="86" t="s">
        <v>872</v>
      </c>
      <c r="C162" s="102">
        <v>238.23</v>
      </c>
      <c r="D162" s="87" t="s">
        <v>1117</v>
      </c>
      <c r="E162" s="86" t="s">
        <v>1118</v>
      </c>
      <c r="F162" s="2" t="s">
        <v>554</v>
      </c>
      <c r="G162" s="2" t="s">
        <v>616</v>
      </c>
    </row>
    <row r="163" spans="1:7" hidden="1" x14ac:dyDescent="0.25">
      <c r="A163" s="85">
        <v>46043</v>
      </c>
      <c r="B163" s="88" t="s">
        <v>1114</v>
      </c>
      <c r="C163" s="104">
        <v>244.18</v>
      </c>
      <c r="D163" s="101" t="s">
        <v>1116</v>
      </c>
      <c r="E163" s="88" t="s">
        <v>1114</v>
      </c>
      <c r="F163" s="2" t="s">
        <v>26</v>
      </c>
      <c r="G163" s="2" t="s">
        <v>616</v>
      </c>
    </row>
    <row r="164" spans="1:7" hidden="1" x14ac:dyDescent="0.25">
      <c r="A164" s="85">
        <v>46043</v>
      </c>
      <c r="B164" s="86" t="s">
        <v>1114</v>
      </c>
      <c r="C164" s="104">
        <v>251.45</v>
      </c>
      <c r="D164" s="101" t="s">
        <v>1115</v>
      </c>
      <c r="E164" s="86" t="s">
        <v>1114</v>
      </c>
      <c r="F164" s="2" t="s">
        <v>26</v>
      </c>
      <c r="G164" s="2" t="s">
        <v>1241</v>
      </c>
    </row>
    <row r="165" spans="1:7" hidden="1" x14ac:dyDescent="0.25">
      <c r="A165" s="85">
        <v>46043</v>
      </c>
      <c r="B165" s="88" t="s">
        <v>872</v>
      </c>
      <c r="C165" s="103">
        <v>306.43</v>
      </c>
      <c r="D165" s="90" t="s">
        <v>1113</v>
      </c>
      <c r="E165" s="88" t="s">
        <v>1112</v>
      </c>
      <c r="F165" s="2" t="s">
        <v>164</v>
      </c>
      <c r="G165" s="2" t="s">
        <v>1241</v>
      </c>
    </row>
    <row r="166" spans="1:7" hidden="1" x14ac:dyDescent="0.25">
      <c r="A166" s="85">
        <v>46043</v>
      </c>
      <c r="B166" s="86" t="s">
        <v>872</v>
      </c>
      <c r="C166" s="102">
        <v>335.22</v>
      </c>
      <c r="D166" s="87" t="s">
        <v>1111</v>
      </c>
      <c r="E166" s="86" t="s">
        <v>1112</v>
      </c>
      <c r="F166" s="2" t="s">
        <v>164</v>
      </c>
      <c r="G166" s="2" t="s">
        <v>1241</v>
      </c>
    </row>
    <row r="167" spans="1:7" hidden="1" x14ac:dyDescent="0.25">
      <c r="A167" s="85">
        <v>46043</v>
      </c>
      <c r="B167" s="88" t="s">
        <v>872</v>
      </c>
      <c r="C167" s="103">
        <v>360.61</v>
      </c>
      <c r="D167" s="90" t="s">
        <v>1109</v>
      </c>
      <c r="E167" s="88" t="s">
        <v>1110</v>
      </c>
      <c r="F167" s="2" t="s">
        <v>437</v>
      </c>
      <c r="G167" s="2" t="s">
        <v>616</v>
      </c>
    </row>
    <row r="168" spans="1:7" hidden="1" x14ac:dyDescent="0.25">
      <c r="A168" s="85">
        <v>46043</v>
      </c>
      <c r="B168" s="86" t="s">
        <v>872</v>
      </c>
      <c r="C168" s="102">
        <v>366.83</v>
      </c>
      <c r="D168" s="87" t="s">
        <v>1108</v>
      </c>
      <c r="E168" s="86" t="s">
        <v>123</v>
      </c>
      <c r="F168" s="2" t="s">
        <v>122</v>
      </c>
      <c r="G168" s="2" t="s">
        <v>616</v>
      </c>
    </row>
    <row r="169" spans="1:7" hidden="1" x14ac:dyDescent="0.25">
      <c r="A169" s="85">
        <v>46043</v>
      </c>
      <c r="B169" s="88" t="s">
        <v>872</v>
      </c>
      <c r="C169" s="103">
        <v>368.86</v>
      </c>
      <c r="D169" s="90" t="s">
        <v>1106</v>
      </c>
      <c r="E169" s="88" t="s">
        <v>1107</v>
      </c>
      <c r="F169" s="2" t="s">
        <v>254</v>
      </c>
      <c r="G169" s="2" t="s">
        <v>1241</v>
      </c>
    </row>
    <row r="170" spans="1:7" hidden="1" x14ac:dyDescent="0.25">
      <c r="A170" s="85">
        <v>46043</v>
      </c>
      <c r="B170" s="86" t="s">
        <v>872</v>
      </c>
      <c r="C170" s="102">
        <v>373.43</v>
      </c>
      <c r="D170" s="87" t="s">
        <v>1105</v>
      </c>
      <c r="E170" s="86" t="s">
        <v>716</v>
      </c>
      <c r="F170" s="2" t="s">
        <v>137</v>
      </c>
      <c r="G170" s="2" t="s">
        <v>616</v>
      </c>
    </row>
    <row r="171" spans="1:7" hidden="1" x14ac:dyDescent="0.25">
      <c r="A171" s="85">
        <v>46043</v>
      </c>
      <c r="B171" s="88" t="s">
        <v>912</v>
      </c>
      <c r="C171" s="103">
        <v>412.35</v>
      </c>
      <c r="D171" s="90" t="s">
        <v>1104</v>
      </c>
      <c r="E171" s="88" t="s">
        <v>1247</v>
      </c>
      <c r="F171" s="2" t="s">
        <v>467</v>
      </c>
      <c r="G171" s="2" t="s">
        <v>1241</v>
      </c>
    </row>
    <row r="172" spans="1:7" hidden="1" x14ac:dyDescent="0.25">
      <c r="A172" s="85">
        <v>46043</v>
      </c>
      <c r="B172" s="86" t="s">
        <v>872</v>
      </c>
      <c r="C172" s="102">
        <v>523.62</v>
      </c>
      <c r="D172" s="87" t="s">
        <v>1103</v>
      </c>
      <c r="E172" s="86" t="s">
        <v>306</v>
      </c>
      <c r="F172" s="2" t="s">
        <v>305</v>
      </c>
      <c r="G172" s="2" t="s">
        <v>616</v>
      </c>
    </row>
    <row r="173" spans="1:7" hidden="1" x14ac:dyDescent="0.25">
      <c r="A173" s="85">
        <v>46043</v>
      </c>
      <c r="B173" s="86" t="s">
        <v>872</v>
      </c>
      <c r="C173" s="102">
        <v>563.94000000000005</v>
      </c>
      <c r="D173" s="87" t="s">
        <v>1102</v>
      </c>
      <c r="E173" s="86" t="s">
        <v>811</v>
      </c>
      <c r="F173" s="2" t="s">
        <v>485</v>
      </c>
      <c r="G173" s="2" t="s">
        <v>616</v>
      </c>
    </row>
    <row r="174" spans="1:7" hidden="1" x14ac:dyDescent="0.25">
      <c r="A174" s="85">
        <v>46043</v>
      </c>
      <c r="B174" s="88" t="s">
        <v>872</v>
      </c>
      <c r="C174" s="103">
        <v>1189.1400000000001</v>
      </c>
      <c r="D174" s="90" t="s">
        <v>1101</v>
      </c>
      <c r="E174" s="88" t="s">
        <v>93</v>
      </c>
      <c r="F174" s="2" t="s">
        <v>92</v>
      </c>
      <c r="G174" s="2" t="s">
        <v>1241</v>
      </c>
    </row>
    <row r="175" spans="1:7" hidden="1" x14ac:dyDescent="0.25">
      <c r="A175" s="85">
        <v>46044</v>
      </c>
      <c r="B175" s="88" t="s">
        <v>872</v>
      </c>
      <c r="C175" s="103">
        <v>40</v>
      </c>
      <c r="D175" s="90" t="s">
        <v>1141</v>
      </c>
      <c r="E175" s="88" t="s">
        <v>979</v>
      </c>
      <c r="F175" s="2"/>
      <c r="G175" s="2" t="s">
        <v>852</v>
      </c>
    </row>
    <row r="176" spans="1:7" hidden="1" x14ac:dyDescent="0.25">
      <c r="A176" s="85">
        <v>46044</v>
      </c>
      <c r="B176" s="86" t="s">
        <v>912</v>
      </c>
      <c r="C176" s="102">
        <v>168.13</v>
      </c>
      <c r="D176" s="87" t="s">
        <v>1139</v>
      </c>
      <c r="E176" s="86" t="s">
        <v>1140</v>
      </c>
      <c r="F176" s="2" t="s">
        <v>11</v>
      </c>
      <c r="G176" s="2" t="s">
        <v>616</v>
      </c>
    </row>
    <row r="177" spans="1:7" hidden="1" x14ac:dyDescent="0.25">
      <c r="A177" s="85">
        <v>46044</v>
      </c>
      <c r="B177" s="88" t="s">
        <v>872</v>
      </c>
      <c r="C177" s="103">
        <v>176.82</v>
      </c>
      <c r="D177" s="90" t="s">
        <v>1137</v>
      </c>
      <c r="E177" s="88" t="s">
        <v>1138</v>
      </c>
      <c r="F177" s="2" t="s">
        <v>440</v>
      </c>
      <c r="G177" s="2" t="s">
        <v>1241</v>
      </c>
    </row>
    <row r="178" spans="1:7" hidden="1" x14ac:dyDescent="0.25">
      <c r="A178" s="85">
        <v>46044</v>
      </c>
      <c r="B178" s="86" t="s">
        <v>872</v>
      </c>
      <c r="C178" s="102">
        <v>182.41</v>
      </c>
      <c r="D178" s="87" t="s">
        <v>1136</v>
      </c>
      <c r="E178" s="86" t="s">
        <v>477</v>
      </c>
      <c r="F178" s="2" t="s">
        <v>476</v>
      </c>
      <c r="G178" s="2" t="s">
        <v>1241</v>
      </c>
    </row>
    <row r="179" spans="1:7" hidden="1" x14ac:dyDescent="0.25">
      <c r="A179" s="85">
        <v>46044</v>
      </c>
      <c r="B179" s="88" t="s">
        <v>923</v>
      </c>
      <c r="C179" s="103">
        <v>306.07</v>
      </c>
      <c r="D179" s="90" t="s">
        <v>1134</v>
      </c>
      <c r="E179" s="88" t="s">
        <v>1135</v>
      </c>
      <c r="F179" s="2" t="s">
        <v>287</v>
      </c>
      <c r="G179" s="2" t="s">
        <v>616</v>
      </c>
    </row>
    <row r="180" spans="1:7" hidden="1" x14ac:dyDescent="0.25">
      <c r="A180" s="85">
        <v>46044</v>
      </c>
      <c r="B180" s="86" t="s">
        <v>872</v>
      </c>
      <c r="C180" s="102">
        <v>358.55</v>
      </c>
      <c r="D180" s="87" t="s">
        <v>1133</v>
      </c>
      <c r="E180" s="86" t="s">
        <v>1129</v>
      </c>
      <c r="F180" s="2" t="s">
        <v>518</v>
      </c>
      <c r="G180" s="2" t="s">
        <v>616</v>
      </c>
    </row>
    <row r="181" spans="1:7" hidden="1" x14ac:dyDescent="0.25">
      <c r="A181" s="85">
        <v>46044</v>
      </c>
      <c r="B181" s="88" t="s">
        <v>872</v>
      </c>
      <c r="C181" s="103">
        <v>371.72</v>
      </c>
      <c r="D181" s="90" t="s">
        <v>1131</v>
      </c>
      <c r="E181" s="88" t="s">
        <v>1132</v>
      </c>
      <c r="F181" s="2" t="s">
        <v>386</v>
      </c>
      <c r="G181" s="2" t="s">
        <v>616</v>
      </c>
    </row>
    <row r="182" spans="1:7" hidden="1" x14ac:dyDescent="0.25">
      <c r="A182" s="85">
        <v>46044</v>
      </c>
      <c r="B182" s="86" t="s">
        <v>872</v>
      </c>
      <c r="C182" s="102">
        <v>377.8</v>
      </c>
      <c r="D182" s="87" t="s">
        <v>1130</v>
      </c>
      <c r="E182" s="86" t="s">
        <v>1129</v>
      </c>
      <c r="F182" s="2" t="s">
        <v>518</v>
      </c>
      <c r="G182" s="2" t="s">
        <v>1241</v>
      </c>
    </row>
    <row r="183" spans="1:7" hidden="1" x14ac:dyDescent="0.25">
      <c r="A183" s="85">
        <v>46044</v>
      </c>
      <c r="B183" s="88" t="s">
        <v>872</v>
      </c>
      <c r="C183" s="103">
        <v>396.84</v>
      </c>
      <c r="D183" s="90" t="s">
        <v>1128</v>
      </c>
      <c r="E183" s="88" t="s">
        <v>1129</v>
      </c>
      <c r="F183" s="2" t="s">
        <v>518</v>
      </c>
      <c r="G183" s="2" t="s">
        <v>1241</v>
      </c>
    </row>
    <row r="184" spans="1:7" hidden="1" x14ac:dyDescent="0.25">
      <c r="A184" s="85">
        <v>46044</v>
      </c>
      <c r="B184" s="86" t="s">
        <v>872</v>
      </c>
      <c r="C184" s="102">
        <v>580</v>
      </c>
      <c r="D184" s="87" t="s">
        <v>1126</v>
      </c>
      <c r="E184" s="86" t="s">
        <v>1127</v>
      </c>
      <c r="F184" s="2"/>
      <c r="G184" s="2" t="s">
        <v>850</v>
      </c>
    </row>
    <row r="185" spans="1:7" hidden="1" x14ac:dyDescent="0.25">
      <c r="A185" s="85">
        <v>46044</v>
      </c>
      <c r="B185" s="88" t="s">
        <v>872</v>
      </c>
      <c r="C185" s="103">
        <v>1257.9000000000001</v>
      </c>
      <c r="D185" s="90" t="s">
        <v>1125</v>
      </c>
      <c r="E185" s="88" t="s">
        <v>171</v>
      </c>
      <c r="F185" s="2" t="s">
        <v>170</v>
      </c>
      <c r="G185" s="2" t="s">
        <v>1241</v>
      </c>
    </row>
    <row r="186" spans="1:7" hidden="1" x14ac:dyDescent="0.25">
      <c r="A186" s="85">
        <v>46045</v>
      </c>
      <c r="B186" s="88" t="s">
        <v>872</v>
      </c>
      <c r="C186" s="103">
        <v>30</v>
      </c>
      <c r="D186" s="90" t="s">
        <v>1160</v>
      </c>
      <c r="E186" s="88" t="s">
        <v>1161</v>
      </c>
      <c r="F186" s="2"/>
      <c r="G186" s="2" t="s">
        <v>849</v>
      </c>
    </row>
    <row r="187" spans="1:7" hidden="1" x14ac:dyDescent="0.25">
      <c r="A187" s="85">
        <v>46045</v>
      </c>
      <c r="B187" s="86" t="s">
        <v>872</v>
      </c>
      <c r="C187" s="102">
        <v>40</v>
      </c>
      <c r="D187" s="87" t="s">
        <v>1159</v>
      </c>
      <c r="E187" s="86" t="s">
        <v>872</v>
      </c>
      <c r="F187" s="7"/>
      <c r="G187" s="2" t="s">
        <v>852</v>
      </c>
    </row>
    <row r="188" spans="1:7" hidden="1" x14ac:dyDescent="0.25">
      <c r="A188" s="85">
        <v>46045</v>
      </c>
      <c r="B188" s="88" t="s">
        <v>923</v>
      </c>
      <c r="C188" s="103">
        <v>167.21</v>
      </c>
      <c r="D188" s="90" t="s">
        <v>1158</v>
      </c>
      <c r="E188" s="88" t="s">
        <v>1157</v>
      </c>
      <c r="F188" s="2" t="s">
        <v>575</v>
      </c>
      <c r="G188" s="2" t="s">
        <v>616</v>
      </c>
    </row>
    <row r="189" spans="1:7" hidden="1" x14ac:dyDescent="0.25">
      <c r="A189" s="85">
        <v>46045</v>
      </c>
      <c r="B189" s="86" t="s">
        <v>923</v>
      </c>
      <c r="C189" s="102">
        <v>177.58</v>
      </c>
      <c r="D189" s="87" t="s">
        <v>1156</v>
      </c>
      <c r="E189" s="86" t="s">
        <v>1157</v>
      </c>
      <c r="F189" s="2" t="s">
        <v>575</v>
      </c>
      <c r="G189" s="2" t="s">
        <v>1241</v>
      </c>
    </row>
    <row r="190" spans="1:7" hidden="1" x14ac:dyDescent="0.25">
      <c r="A190" s="85">
        <v>46045</v>
      </c>
      <c r="B190" s="88" t="s">
        <v>872</v>
      </c>
      <c r="C190" s="103">
        <v>253.11</v>
      </c>
      <c r="D190" s="90" t="s">
        <v>1155</v>
      </c>
      <c r="E190" s="7" t="s">
        <v>522</v>
      </c>
      <c r="F190" s="2" t="s">
        <v>521</v>
      </c>
      <c r="G190" s="2" t="s">
        <v>616</v>
      </c>
    </row>
    <row r="191" spans="1:7" hidden="1" x14ac:dyDescent="0.25">
      <c r="A191" s="85">
        <v>46045</v>
      </c>
      <c r="B191" s="86" t="s">
        <v>872</v>
      </c>
      <c r="C191" s="102">
        <v>355.58</v>
      </c>
      <c r="D191" s="87" t="s">
        <v>1154</v>
      </c>
      <c r="E191" s="86" t="s">
        <v>498</v>
      </c>
      <c r="F191" s="2" t="s">
        <v>497</v>
      </c>
      <c r="G191" s="2" t="s">
        <v>616</v>
      </c>
    </row>
    <row r="192" spans="1:7" hidden="1" x14ac:dyDescent="0.25">
      <c r="A192" s="85">
        <v>46045</v>
      </c>
      <c r="B192" s="88" t="s">
        <v>872</v>
      </c>
      <c r="C192" s="103">
        <v>389.32</v>
      </c>
      <c r="D192" s="90" t="s">
        <v>1153</v>
      </c>
      <c r="E192" s="88" t="s">
        <v>872</v>
      </c>
      <c r="F192" s="2" t="s">
        <v>389</v>
      </c>
      <c r="G192" s="2" t="s">
        <v>616</v>
      </c>
    </row>
    <row r="193" spans="1:7" hidden="1" x14ac:dyDescent="0.25">
      <c r="A193" s="85">
        <v>46045</v>
      </c>
      <c r="B193" s="86" t="s">
        <v>872</v>
      </c>
      <c r="C193" s="102">
        <v>404.03</v>
      </c>
      <c r="D193" s="87" t="s">
        <v>1151</v>
      </c>
      <c r="E193" s="86" t="s">
        <v>1152</v>
      </c>
      <c r="F193" s="2" t="s">
        <v>473</v>
      </c>
      <c r="G193" s="2" t="s">
        <v>616</v>
      </c>
    </row>
    <row r="194" spans="1:7" hidden="1" x14ac:dyDescent="0.25">
      <c r="A194" s="85">
        <v>46045</v>
      </c>
      <c r="B194" s="88" t="s">
        <v>1149</v>
      </c>
      <c r="C194" s="103">
        <v>423.53</v>
      </c>
      <c r="D194" s="90" t="s">
        <v>1150</v>
      </c>
      <c r="E194" s="7" t="s">
        <v>57</v>
      </c>
      <c r="F194" s="2" t="s">
        <v>56</v>
      </c>
      <c r="G194" s="2" t="s">
        <v>616</v>
      </c>
    </row>
    <row r="195" spans="1:7" hidden="1" x14ac:dyDescent="0.25">
      <c r="A195" s="85">
        <v>46045</v>
      </c>
      <c r="B195" s="86" t="s">
        <v>1146</v>
      </c>
      <c r="C195" s="102">
        <v>429.5</v>
      </c>
      <c r="D195" s="87" t="s">
        <v>1147</v>
      </c>
      <c r="E195" s="86" t="s">
        <v>1148</v>
      </c>
      <c r="F195" s="2" t="s">
        <v>176</v>
      </c>
      <c r="G195" s="2" t="s">
        <v>616</v>
      </c>
    </row>
    <row r="196" spans="1:7" hidden="1" x14ac:dyDescent="0.25">
      <c r="A196" s="85">
        <v>46045</v>
      </c>
      <c r="B196" s="88" t="s">
        <v>872</v>
      </c>
      <c r="C196" s="103">
        <v>580</v>
      </c>
      <c r="D196" s="90" t="s">
        <v>1145</v>
      </c>
      <c r="E196" s="88" t="s">
        <v>979</v>
      </c>
      <c r="F196" s="2"/>
      <c r="G196" s="2" t="s">
        <v>850</v>
      </c>
    </row>
    <row r="197" spans="1:7" hidden="1" x14ac:dyDescent="0.25">
      <c r="A197" s="85">
        <v>46045</v>
      </c>
      <c r="B197" s="88" t="s">
        <v>872</v>
      </c>
      <c r="C197" s="8">
        <v>601.41999999999996</v>
      </c>
      <c r="D197" s="90" t="s">
        <v>1142</v>
      </c>
      <c r="E197" s="88" t="s">
        <v>1143</v>
      </c>
      <c r="F197" s="2" t="s">
        <v>41</v>
      </c>
      <c r="G197" s="2" t="s">
        <v>616</v>
      </c>
    </row>
    <row r="198" spans="1:7" hidden="1" x14ac:dyDescent="0.25">
      <c r="A198" s="85">
        <v>46045</v>
      </c>
      <c r="B198" s="88" t="s">
        <v>872</v>
      </c>
      <c r="C198" s="8">
        <v>624.98</v>
      </c>
      <c r="D198" s="90" t="s">
        <v>1142</v>
      </c>
      <c r="E198" s="88" t="s">
        <v>1143</v>
      </c>
      <c r="F198" s="2" t="s">
        <v>41</v>
      </c>
      <c r="G198" s="2" t="s">
        <v>1241</v>
      </c>
    </row>
    <row r="199" spans="1:7" hidden="1" x14ac:dyDescent="0.25">
      <c r="A199" s="85">
        <v>46045</v>
      </c>
      <c r="B199" s="86" t="s">
        <v>923</v>
      </c>
      <c r="C199" s="8">
        <v>365.88</v>
      </c>
      <c r="D199" s="87" t="s">
        <v>1144</v>
      </c>
      <c r="E199" s="86" t="s">
        <v>39</v>
      </c>
      <c r="F199" s="2" t="s">
        <v>38</v>
      </c>
      <c r="G199" s="2" t="s">
        <v>1241</v>
      </c>
    </row>
    <row r="200" spans="1:7" hidden="1" x14ac:dyDescent="0.25">
      <c r="A200" s="85">
        <v>46045</v>
      </c>
      <c r="B200" s="86" t="s">
        <v>923</v>
      </c>
      <c r="C200" s="8">
        <v>355.58</v>
      </c>
      <c r="D200" s="87" t="s">
        <v>1144</v>
      </c>
      <c r="E200" s="86" t="s">
        <v>39</v>
      </c>
      <c r="F200" s="2" t="s">
        <v>38</v>
      </c>
      <c r="G200" s="2" t="s">
        <v>616</v>
      </c>
    </row>
    <row r="201" spans="1:7" hidden="1" x14ac:dyDescent="0.25">
      <c r="A201" s="85">
        <v>46046</v>
      </c>
      <c r="B201" s="86" t="s">
        <v>872</v>
      </c>
      <c r="C201" s="102">
        <v>22.09</v>
      </c>
      <c r="D201" s="87" t="s">
        <v>1172</v>
      </c>
      <c r="E201" s="7" t="s">
        <v>417</v>
      </c>
      <c r="F201" s="2" t="s">
        <v>416</v>
      </c>
      <c r="G201" s="2" t="s">
        <v>616</v>
      </c>
    </row>
    <row r="202" spans="1:7" hidden="1" x14ac:dyDescent="0.25">
      <c r="A202" s="85">
        <v>46046</v>
      </c>
      <c r="B202" s="88" t="s">
        <v>872</v>
      </c>
      <c r="C202" s="103">
        <v>23.32</v>
      </c>
      <c r="D202" s="90" t="s">
        <v>1171</v>
      </c>
      <c r="E202" s="7" t="s">
        <v>417</v>
      </c>
      <c r="F202" s="2" t="s">
        <v>416</v>
      </c>
      <c r="G202" s="2" t="s">
        <v>854</v>
      </c>
    </row>
    <row r="203" spans="1:7" hidden="1" x14ac:dyDescent="0.25">
      <c r="A203" s="85">
        <v>46046</v>
      </c>
      <c r="B203" s="88" t="s">
        <v>872</v>
      </c>
      <c r="C203" s="103">
        <v>30</v>
      </c>
      <c r="D203" s="90" t="s">
        <v>1170</v>
      </c>
      <c r="E203" s="88" t="s">
        <v>872</v>
      </c>
      <c r="F203" s="7"/>
      <c r="G203" s="2" t="s">
        <v>849</v>
      </c>
    </row>
    <row r="204" spans="1:7" hidden="1" x14ac:dyDescent="0.25">
      <c r="A204" s="85">
        <v>46046</v>
      </c>
      <c r="B204" s="86" t="s">
        <v>869</v>
      </c>
      <c r="C204" s="102">
        <v>40</v>
      </c>
      <c r="D204" s="87" t="s">
        <v>1169</v>
      </c>
      <c r="E204" s="86" t="s">
        <v>984</v>
      </c>
      <c r="F204" s="2"/>
      <c r="G204" s="2" t="s">
        <v>852</v>
      </c>
    </row>
    <row r="205" spans="1:7" hidden="1" x14ac:dyDescent="0.25">
      <c r="A205" s="85">
        <v>46046</v>
      </c>
      <c r="B205" s="88" t="s">
        <v>869</v>
      </c>
      <c r="C205" s="103">
        <v>40</v>
      </c>
      <c r="D205" s="90" t="s">
        <v>1167</v>
      </c>
      <c r="E205" s="88" t="s">
        <v>1168</v>
      </c>
      <c r="F205" s="7"/>
      <c r="G205" s="2" t="s">
        <v>852</v>
      </c>
    </row>
    <row r="206" spans="1:7" hidden="1" x14ac:dyDescent="0.25">
      <c r="A206" s="85">
        <v>46046</v>
      </c>
      <c r="B206" s="86" t="s">
        <v>872</v>
      </c>
      <c r="C206" s="104">
        <v>80</v>
      </c>
      <c r="D206" s="101" t="s">
        <v>1166</v>
      </c>
      <c r="E206" s="86" t="s">
        <v>872</v>
      </c>
      <c r="F206" s="2"/>
      <c r="G206" s="2" t="s">
        <v>850</v>
      </c>
    </row>
    <row r="207" spans="1:7" hidden="1" x14ac:dyDescent="0.25">
      <c r="A207" s="85">
        <v>46046</v>
      </c>
      <c r="B207" s="88" t="s">
        <v>872</v>
      </c>
      <c r="C207" s="103">
        <v>244.18</v>
      </c>
      <c r="D207" s="90" t="s">
        <v>1165</v>
      </c>
      <c r="E207" s="88" t="s">
        <v>1243</v>
      </c>
      <c r="F207" s="2" t="s">
        <v>284</v>
      </c>
      <c r="G207" s="2" t="s">
        <v>616</v>
      </c>
    </row>
    <row r="208" spans="1:7" hidden="1" x14ac:dyDescent="0.25">
      <c r="A208" s="85">
        <v>46046</v>
      </c>
      <c r="B208" s="86" t="s">
        <v>872</v>
      </c>
      <c r="C208" s="102">
        <v>500</v>
      </c>
      <c r="D208" s="87" t="s">
        <v>1164</v>
      </c>
      <c r="E208" s="86" t="s">
        <v>872</v>
      </c>
      <c r="F208" s="2"/>
      <c r="G208" s="2" t="s">
        <v>850</v>
      </c>
    </row>
    <row r="209" spans="1:7" hidden="1" x14ac:dyDescent="0.25">
      <c r="A209" s="85">
        <v>46046</v>
      </c>
      <c r="B209" s="86" t="s">
        <v>877</v>
      </c>
      <c r="C209" s="102">
        <v>2078.96</v>
      </c>
      <c r="D209" s="87" t="s">
        <v>1162</v>
      </c>
      <c r="E209" s="86" t="s">
        <v>1163</v>
      </c>
      <c r="F209" s="2" t="s">
        <v>251</v>
      </c>
      <c r="G209" s="2" t="s">
        <v>1241</v>
      </c>
    </row>
    <row r="210" spans="1:7" hidden="1" x14ac:dyDescent="0.25">
      <c r="A210" s="85">
        <v>46047</v>
      </c>
      <c r="B210" s="88" t="s">
        <v>872</v>
      </c>
      <c r="C210" s="103">
        <v>167.9</v>
      </c>
      <c r="D210" s="90" t="s">
        <v>1173</v>
      </c>
      <c r="E210" s="7" t="s">
        <v>249</v>
      </c>
      <c r="F210" s="2" t="s">
        <v>248</v>
      </c>
      <c r="G210" s="2" t="s">
        <v>616</v>
      </c>
    </row>
    <row r="211" spans="1:7" hidden="1" x14ac:dyDescent="0.25">
      <c r="A211" s="85">
        <v>46048</v>
      </c>
      <c r="B211" s="88" t="s">
        <v>872</v>
      </c>
      <c r="C211" s="103">
        <v>40</v>
      </c>
      <c r="D211" s="90" t="s">
        <v>1182</v>
      </c>
      <c r="E211" s="88" t="s">
        <v>872</v>
      </c>
      <c r="F211" s="7"/>
      <c r="G211" s="2" t="s">
        <v>852</v>
      </c>
    </row>
    <row r="212" spans="1:7" hidden="1" x14ac:dyDescent="0.25">
      <c r="A212" s="85">
        <v>46048</v>
      </c>
      <c r="B212" s="86" t="s">
        <v>872</v>
      </c>
      <c r="C212" s="102">
        <v>164.92</v>
      </c>
      <c r="D212" s="87" t="s">
        <v>1181</v>
      </c>
      <c r="E212" s="86" t="s">
        <v>872</v>
      </c>
      <c r="F212" s="2" t="s">
        <v>368</v>
      </c>
      <c r="G212" s="2" t="s">
        <v>616</v>
      </c>
    </row>
    <row r="213" spans="1:7" hidden="1" x14ac:dyDescent="0.25">
      <c r="A213" s="85">
        <v>46048</v>
      </c>
      <c r="B213" s="88" t="s">
        <v>872</v>
      </c>
      <c r="C213" s="104">
        <v>241.21</v>
      </c>
      <c r="D213" s="101" t="s">
        <v>1180</v>
      </c>
      <c r="E213" s="88" t="s">
        <v>872</v>
      </c>
      <c r="F213" s="2" t="s">
        <v>512</v>
      </c>
      <c r="G213" s="2" t="s">
        <v>616</v>
      </c>
    </row>
    <row r="214" spans="1:7" hidden="1" x14ac:dyDescent="0.25">
      <c r="A214" s="85">
        <v>46048</v>
      </c>
      <c r="B214" s="86" t="s">
        <v>872</v>
      </c>
      <c r="C214" s="104">
        <v>251.45</v>
      </c>
      <c r="D214" s="101" t="s">
        <v>1179</v>
      </c>
      <c r="E214" s="86" t="s">
        <v>872</v>
      </c>
      <c r="F214" s="2" t="s">
        <v>512</v>
      </c>
      <c r="G214" s="2" t="s">
        <v>1241</v>
      </c>
    </row>
    <row r="215" spans="1:7" hidden="1" x14ac:dyDescent="0.25">
      <c r="A215" s="85">
        <v>46048</v>
      </c>
      <c r="B215" s="88" t="s">
        <v>872</v>
      </c>
      <c r="C215" s="103">
        <v>300.12</v>
      </c>
      <c r="D215" s="90" t="s">
        <v>1178</v>
      </c>
      <c r="E215" s="88"/>
      <c r="F215" s="2" t="s">
        <v>206</v>
      </c>
      <c r="G215" s="2" t="s">
        <v>616</v>
      </c>
    </row>
    <row r="216" spans="1:7" hidden="1" x14ac:dyDescent="0.25">
      <c r="A216" s="85">
        <v>46048</v>
      </c>
      <c r="B216" s="86" t="s">
        <v>872</v>
      </c>
      <c r="C216" s="102">
        <v>356.11</v>
      </c>
      <c r="D216" s="87" t="s">
        <v>1177</v>
      </c>
      <c r="E216" s="86" t="s">
        <v>872</v>
      </c>
      <c r="F216" s="2" t="s">
        <v>242</v>
      </c>
      <c r="G216" s="2" t="s">
        <v>616</v>
      </c>
    </row>
    <row r="217" spans="1:7" hidden="1" x14ac:dyDescent="0.25">
      <c r="A217" s="85">
        <v>46048</v>
      </c>
      <c r="B217" s="88" t="s">
        <v>872</v>
      </c>
      <c r="C217" s="103">
        <v>450</v>
      </c>
      <c r="D217" s="90" t="s">
        <v>1176</v>
      </c>
      <c r="E217" s="7" t="s">
        <v>375</v>
      </c>
      <c r="F217" s="2" t="s">
        <v>374</v>
      </c>
      <c r="G217" s="2" t="s">
        <v>1241</v>
      </c>
    </row>
    <row r="218" spans="1:7" hidden="1" x14ac:dyDescent="0.25">
      <c r="A218" s="85">
        <v>46048</v>
      </c>
      <c r="B218" s="86" t="s">
        <v>912</v>
      </c>
      <c r="C218" s="102">
        <v>1563.43</v>
      </c>
      <c r="D218" s="87" t="s">
        <v>1174</v>
      </c>
      <c r="E218" s="86" t="s">
        <v>1175</v>
      </c>
      <c r="F218" s="2" t="s">
        <v>185</v>
      </c>
      <c r="G218" s="2" t="s">
        <v>1241</v>
      </c>
    </row>
    <row r="219" spans="1:7" hidden="1" x14ac:dyDescent="0.25">
      <c r="A219" s="85">
        <v>46049</v>
      </c>
      <c r="B219" s="88" t="s">
        <v>869</v>
      </c>
      <c r="C219" s="103">
        <v>23.37</v>
      </c>
      <c r="D219" s="90" t="s">
        <v>1187</v>
      </c>
      <c r="E219" s="88" t="s">
        <v>1188</v>
      </c>
      <c r="F219" s="2" t="s">
        <v>119</v>
      </c>
      <c r="G219" s="2" t="s">
        <v>616</v>
      </c>
    </row>
    <row r="220" spans="1:7" hidden="1" x14ac:dyDescent="0.25">
      <c r="A220" s="85">
        <v>46049</v>
      </c>
      <c r="B220" s="86" t="s">
        <v>912</v>
      </c>
      <c r="C220" s="102">
        <v>40</v>
      </c>
      <c r="D220" s="87" t="s">
        <v>1186</v>
      </c>
      <c r="E220" s="86" t="s">
        <v>912</v>
      </c>
      <c r="F220" s="7"/>
      <c r="G220" s="2" t="s">
        <v>852</v>
      </c>
    </row>
    <row r="221" spans="1:7" hidden="1" x14ac:dyDescent="0.25">
      <c r="A221" s="85">
        <v>46049</v>
      </c>
      <c r="B221" s="88" t="s">
        <v>877</v>
      </c>
      <c r="C221" s="103">
        <v>321.12</v>
      </c>
      <c r="D221" s="90" t="s">
        <v>1185</v>
      </c>
      <c r="E221" s="88" t="s">
        <v>1034</v>
      </c>
      <c r="F221" s="2" t="s">
        <v>101</v>
      </c>
      <c r="G221" s="2" t="s">
        <v>1241</v>
      </c>
    </row>
    <row r="222" spans="1:7" hidden="1" x14ac:dyDescent="0.25">
      <c r="A222" s="85">
        <v>46049</v>
      </c>
      <c r="B222" s="86" t="s">
        <v>877</v>
      </c>
      <c r="C222" s="102">
        <v>404.38</v>
      </c>
      <c r="D222" s="87" t="s">
        <v>1184</v>
      </c>
      <c r="E222" s="86"/>
      <c r="F222" s="2" t="s">
        <v>62</v>
      </c>
      <c r="G222" s="2" t="s">
        <v>616</v>
      </c>
    </row>
    <row r="223" spans="1:7" hidden="1" x14ac:dyDescent="0.25">
      <c r="A223" s="85">
        <v>46049</v>
      </c>
      <c r="B223" s="88" t="s">
        <v>877</v>
      </c>
      <c r="C223" s="103">
        <v>490.93</v>
      </c>
      <c r="D223" s="90" t="s">
        <v>1183</v>
      </c>
      <c r="E223" s="88" t="s">
        <v>1015</v>
      </c>
      <c r="F223" s="2" t="s">
        <v>227</v>
      </c>
      <c r="G223" s="2" t="s">
        <v>616</v>
      </c>
    </row>
    <row r="224" spans="1:7" hidden="1" x14ac:dyDescent="0.25">
      <c r="A224" s="85">
        <v>46050</v>
      </c>
      <c r="B224" s="86" t="s">
        <v>872</v>
      </c>
      <c r="C224" s="102">
        <v>76.290000000000006</v>
      </c>
      <c r="D224" s="91" t="s">
        <v>1237</v>
      </c>
      <c r="E224" s="86" t="s">
        <v>1235</v>
      </c>
      <c r="F224" s="2" t="s">
        <v>596</v>
      </c>
      <c r="G224" s="2" t="s">
        <v>616</v>
      </c>
    </row>
    <row r="225" spans="1:7" hidden="1" x14ac:dyDescent="0.25">
      <c r="A225" s="85">
        <v>46050</v>
      </c>
      <c r="B225" s="88" t="s">
        <v>872</v>
      </c>
      <c r="C225" s="103">
        <v>161.94999999999999</v>
      </c>
      <c r="D225" s="93" t="s">
        <v>1236</v>
      </c>
      <c r="E225" s="88" t="s">
        <v>378</v>
      </c>
      <c r="F225" s="2" t="s">
        <v>377</v>
      </c>
      <c r="G225" s="2" t="s">
        <v>616</v>
      </c>
    </row>
    <row r="226" spans="1:7" hidden="1" x14ac:dyDescent="0.25">
      <c r="A226" s="85">
        <v>46050</v>
      </c>
      <c r="B226" s="86" t="s">
        <v>872</v>
      </c>
      <c r="C226" s="102">
        <v>168.26</v>
      </c>
      <c r="D226" s="91" t="s">
        <v>1234</v>
      </c>
      <c r="E226" s="92" t="s">
        <v>1235</v>
      </c>
      <c r="F226" s="2" t="s">
        <v>392</v>
      </c>
      <c r="G226" s="2" t="s">
        <v>616</v>
      </c>
    </row>
    <row r="227" spans="1:7" hidden="1" x14ac:dyDescent="0.25">
      <c r="A227" s="85">
        <v>46050</v>
      </c>
      <c r="B227" s="88" t="s">
        <v>872</v>
      </c>
      <c r="C227" s="103">
        <v>352.6</v>
      </c>
      <c r="D227" s="93" t="s">
        <v>1233</v>
      </c>
      <c r="E227" s="88" t="s">
        <v>1019</v>
      </c>
      <c r="F227" s="2" t="s">
        <v>581</v>
      </c>
      <c r="G227" s="2" t="s">
        <v>616</v>
      </c>
    </row>
    <row r="228" spans="1:7" hidden="1" x14ac:dyDescent="0.25">
      <c r="A228" s="85">
        <v>46050</v>
      </c>
      <c r="B228" s="86" t="s">
        <v>1016</v>
      </c>
      <c r="C228" s="102">
        <v>360.12</v>
      </c>
      <c r="D228" s="91" t="s">
        <v>1232</v>
      </c>
      <c r="E228" s="92" t="s">
        <v>1016</v>
      </c>
      <c r="F228" s="2" t="s">
        <v>278</v>
      </c>
      <c r="G228" s="2" t="s">
        <v>616</v>
      </c>
    </row>
    <row r="229" spans="1:7" hidden="1" x14ac:dyDescent="0.25">
      <c r="A229" s="85">
        <v>46051</v>
      </c>
      <c r="B229" s="86" t="s">
        <v>869</v>
      </c>
      <c r="C229" s="102">
        <v>40</v>
      </c>
      <c r="D229" s="91" t="s">
        <v>1230</v>
      </c>
      <c r="E229" s="92" t="s">
        <v>885</v>
      </c>
      <c r="F229" s="2"/>
      <c r="G229" s="2" t="s">
        <v>852</v>
      </c>
    </row>
    <row r="230" spans="1:7" hidden="1" x14ac:dyDescent="0.25">
      <c r="A230" s="85">
        <v>46051</v>
      </c>
      <c r="B230" s="88" t="s">
        <v>872</v>
      </c>
      <c r="C230" s="103">
        <v>40</v>
      </c>
      <c r="D230" s="93" t="s">
        <v>1231</v>
      </c>
      <c r="E230" s="88" t="s">
        <v>1152</v>
      </c>
      <c r="F230" s="2"/>
      <c r="G230" s="2" t="s">
        <v>852</v>
      </c>
    </row>
    <row r="231" spans="1:7" x14ac:dyDescent="0.25">
      <c r="A231" s="85">
        <v>46051</v>
      </c>
      <c r="B231" s="88" t="s">
        <v>872</v>
      </c>
      <c r="C231" s="103">
        <v>76.290000000000006</v>
      </c>
      <c r="D231" s="93" t="s">
        <v>1229</v>
      </c>
      <c r="E231" s="88" t="s">
        <v>1220</v>
      </c>
      <c r="F231" s="2" t="s">
        <v>323</v>
      </c>
      <c r="G231" s="2" t="s">
        <v>616</v>
      </c>
    </row>
    <row r="232" spans="1:7" hidden="1" x14ac:dyDescent="0.25">
      <c r="A232" s="85">
        <v>46051</v>
      </c>
      <c r="B232" s="86" t="s">
        <v>877</v>
      </c>
      <c r="C232" s="102">
        <v>161.94999999999999</v>
      </c>
      <c r="D232" s="91" t="s">
        <v>1228</v>
      </c>
      <c r="E232" s="92" t="s">
        <v>1218</v>
      </c>
      <c r="F232" s="2" t="s">
        <v>221</v>
      </c>
      <c r="G232" s="2" t="s">
        <v>616</v>
      </c>
    </row>
    <row r="233" spans="1:7" hidden="1" x14ac:dyDescent="0.25">
      <c r="A233" s="85">
        <v>46051</v>
      </c>
      <c r="B233" s="88" t="s">
        <v>912</v>
      </c>
      <c r="C233" s="103">
        <v>165.63</v>
      </c>
      <c r="D233" s="93" t="s">
        <v>1226</v>
      </c>
      <c r="E233" s="88" t="s">
        <v>1227</v>
      </c>
      <c r="F233" s="2" t="s">
        <v>29</v>
      </c>
      <c r="G233" s="2" t="s">
        <v>616</v>
      </c>
    </row>
    <row r="234" spans="1:7" hidden="1" x14ac:dyDescent="0.25">
      <c r="A234" s="85">
        <v>46051</v>
      </c>
      <c r="B234" s="86" t="s">
        <v>872</v>
      </c>
      <c r="C234" s="102">
        <v>183.7</v>
      </c>
      <c r="D234" s="91" t="s">
        <v>1225</v>
      </c>
      <c r="E234" s="92" t="s">
        <v>1051</v>
      </c>
      <c r="F234" s="2" t="s">
        <v>212</v>
      </c>
      <c r="G234" s="2" t="s">
        <v>616</v>
      </c>
    </row>
    <row r="235" spans="1:7" hidden="1" x14ac:dyDescent="0.25">
      <c r="A235" s="85">
        <v>46051</v>
      </c>
      <c r="B235" s="88" t="s">
        <v>872</v>
      </c>
      <c r="C235" s="103">
        <v>185.83</v>
      </c>
      <c r="D235" s="93" t="s">
        <v>1223</v>
      </c>
      <c r="E235" s="88" t="s">
        <v>1224</v>
      </c>
      <c r="F235" s="2" t="s">
        <v>425</v>
      </c>
      <c r="G235" s="2" t="s">
        <v>1241</v>
      </c>
    </row>
    <row r="236" spans="1:7" hidden="1" x14ac:dyDescent="0.25">
      <c r="A236" s="85">
        <v>46051</v>
      </c>
      <c r="B236" s="86" t="s">
        <v>872</v>
      </c>
      <c r="C236" s="102">
        <v>301.72000000000003</v>
      </c>
      <c r="D236" s="91" t="s">
        <v>1221</v>
      </c>
      <c r="E236" s="92" t="s">
        <v>1222</v>
      </c>
      <c r="F236" s="2" t="s">
        <v>155</v>
      </c>
      <c r="G236" s="2" t="s">
        <v>1241</v>
      </c>
    </row>
    <row r="237" spans="1:7" x14ac:dyDescent="0.25">
      <c r="A237" s="85">
        <v>46051</v>
      </c>
      <c r="B237" s="88" t="s">
        <v>872</v>
      </c>
      <c r="C237" s="103">
        <v>384.31</v>
      </c>
      <c r="D237" s="93" t="s">
        <v>1219</v>
      </c>
      <c r="E237" s="88" t="s">
        <v>1220</v>
      </c>
      <c r="F237" s="2" t="s">
        <v>320</v>
      </c>
      <c r="G237" s="2" t="s">
        <v>616</v>
      </c>
    </row>
    <row r="238" spans="1:7" hidden="1" x14ac:dyDescent="0.25">
      <c r="A238" s="85">
        <v>46051</v>
      </c>
      <c r="B238" s="86" t="s">
        <v>877</v>
      </c>
      <c r="C238" s="102">
        <v>858.79</v>
      </c>
      <c r="D238" s="91" t="s">
        <v>1217</v>
      </c>
      <c r="E238" s="92" t="s">
        <v>1218</v>
      </c>
      <c r="F238" s="2" t="s">
        <v>221</v>
      </c>
      <c r="G238" s="2" t="s">
        <v>1241</v>
      </c>
    </row>
    <row r="239" spans="1:7" hidden="1" x14ac:dyDescent="0.25">
      <c r="A239" s="85">
        <v>46052</v>
      </c>
      <c r="B239" s="88" t="s">
        <v>869</v>
      </c>
      <c r="C239" s="103">
        <v>40</v>
      </c>
      <c r="D239" s="93" t="s">
        <v>1215</v>
      </c>
      <c r="E239" s="88" t="s">
        <v>1216</v>
      </c>
      <c r="F239" s="2"/>
      <c r="G239" s="2" t="s">
        <v>852</v>
      </c>
    </row>
    <row r="240" spans="1:7" hidden="1" x14ac:dyDescent="0.25">
      <c r="A240" s="85">
        <v>46052</v>
      </c>
      <c r="B240" s="86" t="s">
        <v>872</v>
      </c>
      <c r="C240" s="102">
        <v>40</v>
      </c>
      <c r="D240" s="91" t="s">
        <v>1214</v>
      </c>
      <c r="E240" s="92" t="s">
        <v>261</v>
      </c>
      <c r="F240" s="2"/>
      <c r="G240" s="2" t="s">
        <v>852</v>
      </c>
    </row>
    <row r="241" spans="1:7" hidden="1" x14ac:dyDescent="0.25">
      <c r="A241" s="85">
        <v>46052</v>
      </c>
      <c r="B241" s="88" t="s">
        <v>877</v>
      </c>
      <c r="C241" s="104">
        <v>50</v>
      </c>
      <c r="D241" s="100" t="s">
        <v>1213</v>
      </c>
      <c r="E241" s="88" t="s">
        <v>937</v>
      </c>
      <c r="F241" s="2"/>
      <c r="G241" s="2" t="s">
        <v>616</v>
      </c>
    </row>
    <row r="242" spans="1:7" hidden="1" x14ac:dyDescent="0.25">
      <c r="A242" s="85">
        <v>46052</v>
      </c>
      <c r="B242" s="86" t="s">
        <v>872</v>
      </c>
      <c r="C242" s="102">
        <v>170.87</v>
      </c>
      <c r="D242" s="91" t="s">
        <v>1212</v>
      </c>
      <c r="E242" s="92" t="s">
        <v>1127</v>
      </c>
      <c r="F242" s="2" t="s">
        <v>365</v>
      </c>
      <c r="G242" s="2" t="s">
        <v>616</v>
      </c>
    </row>
    <row r="243" spans="1:7" hidden="1" x14ac:dyDescent="0.25">
      <c r="A243" s="85">
        <v>46052</v>
      </c>
      <c r="B243" s="88" t="s">
        <v>869</v>
      </c>
      <c r="C243" s="103">
        <v>352.6</v>
      </c>
      <c r="D243" s="93" t="s">
        <v>1210</v>
      </c>
      <c r="E243" s="88" t="s">
        <v>1211</v>
      </c>
      <c r="F243" s="2" t="s">
        <v>35</v>
      </c>
      <c r="G243" s="2" t="s">
        <v>616</v>
      </c>
    </row>
    <row r="244" spans="1:7" hidden="1" x14ac:dyDescent="0.25">
      <c r="A244" s="85">
        <v>46052</v>
      </c>
      <c r="B244" s="86" t="s">
        <v>872</v>
      </c>
      <c r="C244" s="102">
        <v>355.58</v>
      </c>
      <c r="D244" s="91" t="s">
        <v>1209</v>
      </c>
      <c r="E244" s="92" t="s">
        <v>225</v>
      </c>
      <c r="F244" s="2" t="s">
        <v>224</v>
      </c>
      <c r="G244" s="2" t="s">
        <v>616</v>
      </c>
    </row>
    <row r="245" spans="1:7" hidden="1" x14ac:dyDescent="0.25">
      <c r="A245" s="85">
        <v>46052</v>
      </c>
      <c r="B245" s="88" t="s">
        <v>991</v>
      </c>
      <c r="C245" s="103">
        <v>373.66</v>
      </c>
      <c r="D245" s="93" t="s">
        <v>1208</v>
      </c>
      <c r="E245" s="88" t="s">
        <v>993</v>
      </c>
      <c r="F245" s="2" t="s">
        <v>8</v>
      </c>
      <c r="G245" s="2" t="s">
        <v>616</v>
      </c>
    </row>
    <row r="246" spans="1:7" hidden="1" x14ac:dyDescent="0.25">
      <c r="A246" s="85">
        <v>46052</v>
      </c>
      <c r="B246" s="86" t="s">
        <v>872</v>
      </c>
      <c r="C246" s="102">
        <v>379.38</v>
      </c>
      <c r="D246" s="91" t="s">
        <v>1207</v>
      </c>
      <c r="E246" s="92" t="s">
        <v>887</v>
      </c>
      <c r="F246" s="2" t="s">
        <v>95</v>
      </c>
      <c r="G246" s="2" t="s">
        <v>616</v>
      </c>
    </row>
    <row r="247" spans="1:7" hidden="1" x14ac:dyDescent="0.25">
      <c r="A247" s="85">
        <v>46053</v>
      </c>
      <c r="B247" s="86" t="s">
        <v>869</v>
      </c>
      <c r="C247" s="102">
        <v>40</v>
      </c>
      <c r="D247" s="91" t="s">
        <v>1205</v>
      </c>
      <c r="E247" s="92" t="s">
        <v>1198</v>
      </c>
      <c r="F247" s="2"/>
      <c r="G247" s="2" t="s">
        <v>852</v>
      </c>
    </row>
    <row r="248" spans="1:7" hidden="1" x14ac:dyDescent="0.25">
      <c r="A248" s="85">
        <v>46053</v>
      </c>
      <c r="B248" s="88" t="s">
        <v>872</v>
      </c>
      <c r="C248" s="103">
        <v>40</v>
      </c>
      <c r="D248" s="93" t="s">
        <v>1206</v>
      </c>
      <c r="E248" s="88" t="s">
        <v>1194</v>
      </c>
      <c r="F248" s="2"/>
      <c r="G248" s="2" t="s">
        <v>852</v>
      </c>
    </row>
    <row r="249" spans="1:7" hidden="1" x14ac:dyDescent="0.25">
      <c r="A249" s="85">
        <v>46053</v>
      </c>
      <c r="B249" s="88" t="s">
        <v>869</v>
      </c>
      <c r="C249" s="8">
        <v>170.87</v>
      </c>
      <c r="D249" s="93" t="s">
        <v>1203</v>
      </c>
      <c r="E249" s="88" t="s">
        <v>1204</v>
      </c>
      <c r="F249" s="2" t="s">
        <v>209</v>
      </c>
      <c r="G249" s="2" t="s">
        <v>616</v>
      </c>
    </row>
    <row r="250" spans="1:7" hidden="1" x14ac:dyDescent="0.25">
      <c r="A250" s="85">
        <v>46053</v>
      </c>
      <c r="B250" s="88" t="s">
        <v>869</v>
      </c>
      <c r="C250" s="8">
        <v>172.84</v>
      </c>
      <c r="D250" s="93" t="s">
        <v>1203</v>
      </c>
      <c r="E250" s="88" t="s">
        <v>1204</v>
      </c>
      <c r="F250" s="2" t="s">
        <v>209</v>
      </c>
      <c r="G250" s="2" t="s">
        <v>1241</v>
      </c>
    </row>
    <row r="251" spans="1:7" hidden="1" x14ac:dyDescent="0.25">
      <c r="A251" s="85">
        <v>46053</v>
      </c>
      <c r="B251" s="86" t="s">
        <v>872</v>
      </c>
      <c r="C251" s="102">
        <v>352.6</v>
      </c>
      <c r="D251" s="91" t="s">
        <v>1201</v>
      </c>
      <c r="E251" s="92" t="s">
        <v>1202</v>
      </c>
      <c r="F251" s="2" t="s">
        <v>479</v>
      </c>
      <c r="G251" s="2" t="s">
        <v>616</v>
      </c>
    </row>
    <row r="252" spans="1:7" hidden="1" x14ac:dyDescent="0.25">
      <c r="A252" s="85">
        <v>46053</v>
      </c>
      <c r="B252" s="88" t="s">
        <v>912</v>
      </c>
      <c r="C252" s="103">
        <v>416.54</v>
      </c>
      <c r="D252" s="93" t="s">
        <v>1199</v>
      </c>
      <c r="E252" s="88" t="s">
        <v>1200</v>
      </c>
      <c r="F252" s="2" t="s">
        <v>557</v>
      </c>
      <c r="G252" s="2" t="s">
        <v>1241</v>
      </c>
    </row>
    <row r="253" spans="1:7" hidden="1" x14ac:dyDescent="0.25">
      <c r="A253" s="85">
        <v>46053</v>
      </c>
      <c r="B253" s="86" t="s">
        <v>869</v>
      </c>
      <c r="C253" s="102">
        <v>471.14</v>
      </c>
      <c r="D253" s="91" t="s">
        <v>1197</v>
      </c>
      <c r="E253" s="92" t="s">
        <v>1198</v>
      </c>
      <c r="F253" s="2" t="s">
        <v>335</v>
      </c>
      <c r="G253" s="2" t="s">
        <v>616</v>
      </c>
    </row>
    <row r="254" spans="1:7" hidden="1" x14ac:dyDescent="0.25">
      <c r="A254" s="85">
        <v>46053</v>
      </c>
      <c r="B254" s="88" t="s">
        <v>872</v>
      </c>
      <c r="C254" s="103">
        <v>526.52</v>
      </c>
      <c r="D254" s="93" t="s">
        <v>1195</v>
      </c>
      <c r="E254" s="88" t="s">
        <v>1196</v>
      </c>
      <c r="F254" s="2" t="s">
        <v>263</v>
      </c>
      <c r="G254" s="2" t="s">
        <v>1241</v>
      </c>
    </row>
    <row r="255" spans="1:7" hidden="1" x14ac:dyDescent="0.25">
      <c r="A255" s="85">
        <v>46053</v>
      </c>
      <c r="B255" s="86" t="s">
        <v>872</v>
      </c>
      <c r="C255" s="102">
        <v>540</v>
      </c>
      <c r="D255" s="91" t="s">
        <v>1193</v>
      </c>
      <c r="E255" s="92" t="s">
        <v>1194</v>
      </c>
      <c r="F255" s="2"/>
      <c r="G255" s="2" t="s">
        <v>850</v>
      </c>
    </row>
    <row r="256" spans="1:7" hidden="1" x14ac:dyDescent="0.25">
      <c r="A256" s="85">
        <v>46053</v>
      </c>
      <c r="B256" s="88" t="s">
        <v>872</v>
      </c>
      <c r="C256" s="103">
        <v>729.08</v>
      </c>
      <c r="D256" s="93" t="s">
        <v>1191</v>
      </c>
      <c r="E256" s="88" t="s">
        <v>1192</v>
      </c>
      <c r="F256" s="2" t="s">
        <v>194</v>
      </c>
      <c r="G256" s="2" t="s">
        <v>616</v>
      </c>
    </row>
    <row r="257" spans="1:7" hidden="1" x14ac:dyDescent="0.25">
      <c r="A257" s="85">
        <v>46053</v>
      </c>
      <c r="B257" s="86" t="s">
        <v>991</v>
      </c>
      <c r="C257" s="102">
        <v>1000</v>
      </c>
      <c r="D257" s="91" t="s">
        <v>1189</v>
      </c>
      <c r="E257" s="86" t="s">
        <v>1190</v>
      </c>
      <c r="F257" s="2" t="s">
        <v>263</v>
      </c>
      <c r="G257" s="2" t="s">
        <v>1241</v>
      </c>
    </row>
    <row r="258" spans="1:7" hidden="1" x14ac:dyDescent="0.25">
      <c r="C258" s="97">
        <v>2267.44</v>
      </c>
      <c r="D258" s="97"/>
      <c r="E258" s="97" t="s">
        <v>1244</v>
      </c>
      <c r="F258" s="98" t="s">
        <v>344</v>
      </c>
      <c r="G258" s="98" t="s">
        <v>616</v>
      </c>
    </row>
  </sheetData>
  <autoFilter ref="A5:G258" xr:uid="{A47A03D2-FB18-4981-9A2F-F218914E56E3}">
    <filterColumn colId="5">
      <filters>
        <filter val="PP-107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A72A08-672A-4F21-A8CB-64C0E8E9DCE9}">
          <x14:formula1>
            <xm:f>tabla!$A$2:$A$20</xm:f>
          </x14:formula1>
          <xm:sqref>G6:G258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40CD-3B20-440B-9599-6A1994189617}">
  <sheetPr codeName="Hoja8" filterMode="1">
    <pageSetUpPr fitToPage="1"/>
  </sheetPr>
  <dimension ref="A1:F208"/>
  <sheetViews>
    <sheetView showGridLines="0" tabSelected="1" zoomScale="130" zoomScaleNormal="130" workbookViewId="0">
      <pane xSplit="3" ySplit="5" topLeftCell="D191" activePane="bottomRight" state="frozen"/>
      <selection pane="topRight" activeCell="D1" sqref="D1"/>
      <selection pane="bottomLeft" activeCell="A6" sqref="A6"/>
      <selection pane="bottomRight" activeCell="B5" sqref="B5"/>
    </sheetView>
  </sheetViews>
  <sheetFormatPr baseColWidth="10" defaultRowHeight="15" x14ac:dyDescent="0.25"/>
  <cols>
    <col min="1" max="1" width="12.85546875" customWidth="1"/>
    <col min="2" max="2" width="43" customWidth="1"/>
  </cols>
  <sheetData>
    <row r="1" spans="1:6" x14ac:dyDescent="0.25">
      <c r="A1" s="1" t="s">
        <v>0</v>
      </c>
    </row>
    <row r="2" spans="1:6" x14ac:dyDescent="0.25">
      <c r="A2" s="1">
        <v>20614642247</v>
      </c>
    </row>
    <row r="3" spans="1:6" x14ac:dyDescent="0.25">
      <c r="A3" t="s">
        <v>1</v>
      </c>
    </row>
    <row r="5" spans="1:6" s="6" customFormat="1" ht="30" x14ac:dyDescent="0.25">
      <c r="A5" s="5" t="s">
        <v>612</v>
      </c>
      <c r="B5" s="5" t="s">
        <v>613</v>
      </c>
      <c r="C5" s="5" t="s">
        <v>614</v>
      </c>
      <c r="D5" s="5" t="s">
        <v>1241</v>
      </c>
      <c r="E5" s="10" t="s">
        <v>616</v>
      </c>
      <c r="F5" s="5" t="s">
        <v>1242</v>
      </c>
    </row>
    <row r="6" spans="1:6" x14ac:dyDescent="0.25">
      <c r="A6" s="2" t="s">
        <v>5</v>
      </c>
      <c r="B6" s="7" t="s">
        <v>6</v>
      </c>
      <c r="C6" s="2" t="s">
        <v>7</v>
      </c>
      <c r="D6" s="8">
        <f>VLOOKUP($A6,cuotas!$A$5:$E$209,4,0)-SUMIFS(ingresos!$C:$C,ingresos!$F:$F,saldo!$A6,ingresos!$G:$G,saldo!D$5)</f>
        <v>377.02</v>
      </c>
      <c r="E6" s="8">
        <f>VLOOKUP($A6,cuotas!$A$5:$E$209,5,0)-SUMIFS(ingresos!$C:$C,ingresos!$F:$F,saldo!$A6,ingresos!$G:$G,saldo!E$5)</f>
        <v>353.38</v>
      </c>
      <c r="F6" s="9">
        <f>SUM(D6:E6)</f>
        <v>730.4</v>
      </c>
    </row>
    <row r="7" spans="1:6" hidden="1" x14ac:dyDescent="0.25">
      <c r="A7" s="2" t="s">
        <v>8</v>
      </c>
      <c r="B7" s="7" t="s">
        <v>9</v>
      </c>
      <c r="C7" s="2" t="s">
        <v>10</v>
      </c>
      <c r="D7" s="8">
        <f>VLOOKUP($A7,cuotas!$A$5:$E$209,4,0)-SUMIFS(ingresos!$C:$C,ingresos!$F:$F,saldo!$A7,ingresos!$G:$G,saldo!D$5)</f>
        <v>0</v>
      </c>
      <c r="E7" s="8">
        <f>VLOOKUP($A7,cuotas!$A$5:$E$209,5,0)-SUMIFS(ingresos!$C:$C,ingresos!$F:$F,saldo!$A7,ingresos!$G:$G,saldo!E$5)</f>
        <v>0</v>
      </c>
      <c r="F7" s="9">
        <f t="shared" ref="F7:F70" si="0">SUM(D7:E7)</f>
        <v>0</v>
      </c>
    </row>
    <row r="8" spans="1:6" hidden="1" x14ac:dyDescent="0.25">
      <c r="A8" s="2" t="s">
        <v>11</v>
      </c>
      <c r="B8" s="7" t="s">
        <v>12</v>
      </c>
      <c r="C8" s="2" t="s">
        <v>13</v>
      </c>
      <c r="D8" s="8">
        <f>VLOOKUP($A8,cuotas!$A$5:$E$209,4,0)-SUMIFS(ingresos!$C:$C,ingresos!$F:$F,saldo!$A8,ingresos!$G:$G,saldo!D$5)</f>
        <v>0</v>
      </c>
      <c r="E8" s="8">
        <f>VLOOKUP($A8,cuotas!$A$5:$E$209,5,0)-SUMIFS(ingresos!$C:$C,ingresos!$F:$F,saldo!$A8,ingresos!$G:$G,saldo!E$5)</f>
        <v>0</v>
      </c>
      <c r="F8" s="9">
        <f t="shared" si="0"/>
        <v>0</v>
      </c>
    </row>
    <row r="9" spans="1:6" x14ac:dyDescent="0.25">
      <c r="A9" s="2" t="s">
        <v>14</v>
      </c>
      <c r="B9" s="7" t="s">
        <v>15</v>
      </c>
      <c r="C9" s="2" t="s">
        <v>16</v>
      </c>
      <c r="D9" s="8">
        <f>VLOOKUP($A9,cuotas!$A$5:$E$209,4,0)-SUMIFS(ingresos!$C:$C,ingresos!$F:$F,saldo!$A9,ingresos!$G:$G,saldo!D$5)</f>
        <v>0</v>
      </c>
      <c r="E9" s="8">
        <f>VLOOKUP($A9,cuotas!$A$5:$E$209,5,0)-SUMIFS(ingresos!$C:$C,ingresos!$F:$F,saldo!$A9,ingresos!$G:$G,saldo!E$5)</f>
        <v>364.5</v>
      </c>
      <c r="F9" s="9">
        <f t="shared" si="0"/>
        <v>364.5</v>
      </c>
    </row>
    <row r="10" spans="1:6" x14ac:dyDescent="0.25">
      <c r="A10" s="2" t="s">
        <v>17</v>
      </c>
      <c r="B10" s="7" t="s">
        <v>18</v>
      </c>
      <c r="C10" s="2" t="s">
        <v>19</v>
      </c>
      <c r="D10" s="8">
        <f>VLOOKUP($A10,cuotas!$A$5:$E$209,4,0)-SUMIFS(ingresos!$C:$C,ingresos!$F:$F,saldo!$A10,ingresos!$G:$G,saldo!D$5)</f>
        <v>0</v>
      </c>
      <c r="E10" s="8">
        <f>VLOOKUP($A10,cuotas!$A$5:$E$209,5,0)-SUMIFS(ingresos!$C:$C,ingresos!$F:$F,saldo!$A10,ingresos!$G:$G,saldo!E$5)</f>
        <v>397.23</v>
      </c>
      <c r="F10" s="9">
        <f t="shared" si="0"/>
        <v>397.23</v>
      </c>
    </row>
    <row r="11" spans="1:6" hidden="1" x14ac:dyDescent="0.25">
      <c r="A11" s="2" t="s">
        <v>20</v>
      </c>
      <c r="B11" s="7" t="s">
        <v>21</v>
      </c>
      <c r="C11" s="2" t="s">
        <v>22</v>
      </c>
      <c r="D11" s="8">
        <f>VLOOKUP($A11,cuotas!$A$5:$E$209,4,0)-SUMIFS(ingresos!$C:$C,ingresos!$F:$F,saldo!$A11,ingresos!$G:$G,saldo!D$5)</f>
        <v>0</v>
      </c>
      <c r="E11" s="8">
        <f>VLOOKUP($A11,cuotas!$A$5:$E$209,5,0)-SUMIFS(ingresos!$C:$C,ingresos!$F:$F,saldo!$A11,ingresos!$G:$G,saldo!E$5)</f>
        <v>0</v>
      </c>
      <c r="F11" s="9">
        <f t="shared" si="0"/>
        <v>0</v>
      </c>
    </row>
    <row r="12" spans="1:6" x14ac:dyDescent="0.25">
      <c r="A12" s="2" t="s">
        <v>23</v>
      </c>
      <c r="B12" s="7" t="s">
        <v>24</v>
      </c>
      <c r="C12" s="2" t="s">
        <v>25</v>
      </c>
      <c r="D12" s="8">
        <f>VLOOKUP($A12,cuotas!$A$5:$E$209,4,0)-SUMIFS(ingresos!$C:$C,ingresos!$F:$F,saldo!$A12,ingresos!$G:$G,saldo!D$5)</f>
        <v>1913.57</v>
      </c>
      <c r="E12" s="8">
        <f>VLOOKUP($A12,cuotas!$A$5:$E$209,5,0)-SUMIFS(ingresos!$C:$C,ingresos!$F:$F,saldo!$A12,ingresos!$G:$G,saldo!E$5)</f>
        <v>296.70999999999998</v>
      </c>
      <c r="F12" s="9">
        <f t="shared" si="0"/>
        <v>2210.2799999999997</v>
      </c>
    </row>
    <row r="13" spans="1:6" hidden="1" x14ac:dyDescent="0.25">
      <c r="A13" s="2" t="s">
        <v>26</v>
      </c>
      <c r="B13" s="7" t="s">
        <v>27</v>
      </c>
      <c r="C13" s="2" t="s">
        <v>28</v>
      </c>
      <c r="D13" s="8">
        <f>VLOOKUP($A13,cuotas!$A$5:$E$209,4,0)-SUMIFS(ingresos!$C:$C,ingresos!$F:$F,saldo!$A13,ingresos!$G:$G,saldo!D$5)</f>
        <v>0</v>
      </c>
      <c r="E13" s="8">
        <f>VLOOKUP($A13,cuotas!$A$5:$E$209,5,0)-SUMIFS(ingresos!$C:$C,ingresos!$F:$F,saldo!$A13,ingresos!$G:$G,saldo!E$5)</f>
        <v>0</v>
      </c>
      <c r="F13" s="9">
        <f t="shared" si="0"/>
        <v>0</v>
      </c>
    </row>
    <row r="14" spans="1:6" x14ac:dyDescent="0.25">
      <c r="A14" s="2" t="s">
        <v>29</v>
      </c>
      <c r="B14" s="7" t="s">
        <v>30</v>
      </c>
      <c r="C14" s="2" t="s">
        <v>31</v>
      </c>
      <c r="D14" s="8">
        <f>VLOOKUP($A14,cuotas!$A$5:$E$209,4,0)-SUMIFS(ingresos!$C:$C,ingresos!$F:$F,saldo!$A14,ingresos!$G:$G,saldo!D$5)</f>
        <v>3.34</v>
      </c>
      <c r="E14" s="8">
        <f>VLOOKUP($A14,cuotas!$A$5:$E$209,5,0)-SUMIFS(ingresos!$C:$C,ingresos!$F:$F,saldo!$A14,ingresos!$G:$G,saldo!E$5)</f>
        <v>0</v>
      </c>
      <c r="F14" s="9">
        <f t="shared" si="0"/>
        <v>3.34</v>
      </c>
    </row>
    <row r="15" spans="1:6" x14ac:dyDescent="0.25">
      <c r="A15" s="2" t="s">
        <v>32</v>
      </c>
      <c r="B15" s="7" t="s">
        <v>33</v>
      </c>
      <c r="C15" s="2" t="s">
        <v>34</v>
      </c>
      <c r="D15" s="8">
        <f>VLOOKUP($A15,cuotas!$A$5:$E$209,4,0)-SUMIFS(ingresos!$C:$C,ingresos!$F:$F,saldo!$A15,ingresos!$G:$G,saldo!D$5)</f>
        <v>241.56</v>
      </c>
      <c r="E15" s="8">
        <f>VLOOKUP($A15,cuotas!$A$5:$E$209,5,0)-SUMIFS(ingresos!$C:$C,ingresos!$F:$F,saldo!$A15,ingresos!$G:$G,saldo!E$5)</f>
        <v>76.290000000000006</v>
      </c>
      <c r="F15" s="9">
        <f t="shared" si="0"/>
        <v>317.85000000000002</v>
      </c>
    </row>
    <row r="16" spans="1:6" hidden="1" x14ac:dyDescent="0.25">
      <c r="A16" s="2" t="s">
        <v>35</v>
      </c>
      <c r="B16" s="7" t="s">
        <v>36</v>
      </c>
      <c r="C16" s="2" t="s">
        <v>37</v>
      </c>
      <c r="D16" s="8">
        <f>VLOOKUP($A16,cuotas!$A$5:$E$209,4,0)-SUMIFS(ingresos!$C:$C,ingresos!$F:$F,saldo!$A16,ingresos!$G:$G,saldo!D$5)</f>
        <v>0</v>
      </c>
      <c r="E16" s="8">
        <f>VLOOKUP($A16,cuotas!$A$5:$E$209,5,0)-SUMIFS(ingresos!$C:$C,ingresos!$F:$F,saldo!$A16,ingresos!$G:$G,saldo!E$5)</f>
        <v>0</v>
      </c>
      <c r="F16" s="9">
        <f t="shared" si="0"/>
        <v>0</v>
      </c>
    </row>
    <row r="17" spans="1:6" hidden="1" x14ac:dyDescent="0.25">
      <c r="A17" s="2" t="s">
        <v>38</v>
      </c>
      <c r="B17" s="7" t="s">
        <v>39</v>
      </c>
      <c r="C17" s="2" t="s">
        <v>40</v>
      </c>
      <c r="D17" s="8">
        <f>VLOOKUP($A17,cuotas!$A$5:$E$209,4,0)-SUMIFS(ingresos!$C:$C,ingresos!$F:$F,saldo!$A17,ingresos!$G:$G,saldo!D$5)</f>
        <v>0</v>
      </c>
      <c r="E17" s="8">
        <f>VLOOKUP($A17,cuotas!$A$5:$E$209,5,0)-SUMIFS(ingresos!$C:$C,ingresos!$F:$F,saldo!$A17,ingresos!$G:$G,saldo!E$5)</f>
        <v>0</v>
      </c>
      <c r="F17" s="9">
        <f t="shared" si="0"/>
        <v>0</v>
      </c>
    </row>
    <row r="18" spans="1:6" hidden="1" x14ac:dyDescent="0.25">
      <c r="A18" s="2" t="s">
        <v>41</v>
      </c>
      <c r="B18" s="7" t="s">
        <v>42</v>
      </c>
      <c r="C18" s="2" t="s">
        <v>43</v>
      </c>
      <c r="D18" s="8">
        <f>VLOOKUP($A18,cuotas!$A$5:$E$209,4,0)-SUMIFS(ingresos!$C:$C,ingresos!$F:$F,saldo!$A18,ingresos!$G:$G,saldo!D$5)</f>
        <v>0</v>
      </c>
      <c r="E18" s="8">
        <f>VLOOKUP($A18,cuotas!$A$5:$E$209,5,0)-SUMIFS(ingresos!$C:$C,ingresos!$F:$F,saldo!$A18,ingresos!$G:$G,saldo!E$5)</f>
        <v>0</v>
      </c>
      <c r="F18" s="9">
        <f t="shared" si="0"/>
        <v>0</v>
      </c>
    </row>
    <row r="19" spans="1:6" hidden="1" x14ac:dyDescent="0.25">
      <c r="A19" s="2" t="s">
        <v>44</v>
      </c>
      <c r="B19" s="7" t="s">
        <v>45</v>
      </c>
      <c r="C19" s="2" t="s">
        <v>46</v>
      </c>
      <c r="D19" s="8">
        <f>VLOOKUP($A19,cuotas!$A$5:$E$209,4,0)-SUMIFS(ingresos!$C:$C,ingresos!$F:$F,saldo!$A19,ingresos!$G:$G,saldo!D$5)</f>
        <v>0</v>
      </c>
      <c r="E19" s="8">
        <f>VLOOKUP($A19,cuotas!$A$5:$E$209,5,0)-SUMIFS(ingresos!$C:$C,ingresos!$F:$F,saldo!$A19,ingresos!$G:$G,saldo!E$5)</f>
        <v>0</v>
      </c>
      <c r="F19" s="9">
        <f t="shared" si="0"/>
        <v>0</v>
      </c>
    </row>
    <row r="20" spans="1:6" x14ac:dyDescent="0.25">
      <c r="A20" s="2" t="s">
        <v>47</v>
      </c>
      <c r="B20" s="7" t="s">
        <v>48</v>
      </c>
      <c r="C20" s="2" t="s">
        <v>49</v>
      </c>
      <c r="D20" s="8">
        <f>VLOOKUP($A20,cuotas!$A$5:$E$209,4,0)-SUMIFS(ingresos!$C:$C,ingresos!$F:$F,saldo!$A20,ingresos!$G:$G,saldo!D$5)</f>
        <v>-6.2</v>
      </c>
      <c r="E20" s="8">
        <f>VLOOKUP($A20,cuotas!$A$5:$E$209,5,0)-SUMIFS(ingresos!$C:$C,ingresos!$F:$F,saldo!$A20,ingresos!$G:$G,saldo!E$5)</f>
        <v>421.01</v>
      </c>
      <c r="F20" s="9">
        <f t="shared" si="0"/>
        <v>414.81</v>
      </c>
    </row>
    <row r="21" spans="1:6" x14ac:dyDescent="0.25">
      <c r="A21" s="2" t="s">
        <v>50</v>
      </c>
      <c r="B21" s="7" t="s">
        <v>51</v>
      </c>
      <c r="C21" s="2" t="s">
        <v>52</v>
      </c>
      <c r="D21" s="8">
        <f>VLOOKUP($A21,cuotas!$A$5:$E$209,4,0)-SUMIFS(ingresos!$C:$C,ingresos!$F:$F,saldo!$A21,ingresos!$G:$G,saldo!D$5)</f>
        <v>1457.54</v>
      </c>
      <c r="E21" s="8">
        <f>VLOOKUP($A21,cuotas!$A$5:$E$209,5,0)-SUMIFS(ingresos!$C:$C,ingresos!$F:$F,saldo!$A21,ingresos!$G:$G,saldo!E$5)</f>
        <v>1048.1099999999999</v>
      </c>
      <c r="F21" s="9">
        <f t="shared" si="0"/>
        <v>2505.6499999999996</v>
      </c>
    </row>
    <row r="22" spans="1:6" hidden="1" x14ac:dyDescent="0.25">
      <c r="A22" s="2" t="s">
        <v>53</v>
      </c>
      <c r="B22" s="7" t="s">
        <v>54</v>
      </c>
      <c r="C22" s="2" t="s">
        <v>55</v>
      </c>
      <c r="D22" s="8">
        <f>VLOOKUP($A22,cuotas!$A$5:$E$209,4,0)-SUMIFS(ingresos!$C:$C,ingresos!$F:$F,saldo!$A22,ingresos!$G:$G,saldo!D$5)</f>
        <v>0</v>
      </c>
      <c r="E22" s="8">
        <f>VLOOKUP($A22,cuotas!$A$5:$E$209,5,0)-SUMIFS(ingresos!$C:$C,ingresos!$F:$F,saldo!$A22,ingresos!$G:$G,saldo!E$5)</f>
        <v>0</v>
      </c>
      <c r="F22" s="9">
        <f t="shared" si="0"/>
        <v>0</v>
      </c>
    </row>
    <row r="23" spans="1:6" x14ac:dyDescent="0.25">
      <c r="A23" s="2" t="s">
        <v>56</v>
      </c>
      <c r="B23" s="7" t="s">
        <v>57</v>
      </c>
      <c r="C23" s="2" t="s">
        <v>58</v>
      </c>
      <c r="D23" s="8">
        <f>VLOOKUP($A23,cuotas!$A$5:$E$209,4,0)-SUMIFS(ingresos!$C:$C,ingresos!$F:$F,saldo!$A23,ingresos!$G:$G,saldo!D$5)</f>
        <v>453.52000000000004</v>
      </c>
      <c r="E23" s="8">
        <f>VLOOKUP($A23,cuotas!$A$5:$E$209,5,0)-SUMIFS(ingresos!$C:$C,ingresos!$F:$F,saldo!$A23,ingresos!$G:$G,saldo!E$5)</f>
        <v>0</v>
      </c>
      <c r="F23" s="9">
        <f t="shared" si="0"/>
        <v>453.52000000000004</v>
      </c>
    </row>
    <row r="24" spans="1:6" x14ac:dyDescent="0.25">
      <c r="A24" s="2" t="s">
        <v>59</v>
      </c>
      <c r="B24" s="7" t="s">
        <v>60</v>
      </c>
      <c r="C24" s="2" t="s">
        <v>61</v>
      </c>
      <c r="D24" s="8">
        <f>VLOOKUP($A24,cuotas!$A$5:$E$209,4,0)-SUMIFS(ingresos!$C:$C,ingresos!$F:$F,saldo!$A24,ingresos!$G:$G,saldo!D$5)</f>
        <v>1119.02</v>
      </c>
      <c r="E24" s="8">
        <f>VLOOKUP($A24,cuotas!$A$5:$E$209,5,0)-SUMIFS(ingresos!$C:$C,ingresos!$F:$F,saldo!$A24,ingresos!$G:$G,saldo!E$5)</f>
        <v>355.58</v>
      </c>
      <c r="F24" s="9">
        <f t="shared" si="0"/>
        <v>1474.6</v>
      </c>
    </row>
    <row r="25" spans="1:6" hidden="1" x14ac:dyDescent="0.25">
      <c r="A25" s="2" t="s">
        <v>62</v>
      </c>
      <c r="B25" s="7" t="s">
        <v>63</v>
      </c>
      <c r="C25" s="2" t="s">
        <v>64</v>
      </c>
      <c r="D25" s="8">
        <f>VLOOKUP($A25,cuotas!$A$5:$E$209,4,0)-SUMIFS(ingresos!$C:$C,ingresos!$F:$F,saldo!$A25,ingresos!$G:$G,saldo!D$5)</f>
        <v>0</v>
      </c>
      <c r="E25" s="8">
        <f>VLOOKUP($A25,cuotas!$A$5:$E$209,5,0)-SUMIFS(ingresos!$C:$C,ingresos!$F:$F,saldo!$A25,ingresos!$G:$G,saldo!E$5)</f>
        <v>0</v>
      </c>
      <c r="F25" s="9">
        <f t="shared" si="0"/>
        <v>0</v>
      </c>
    </row>
    <row r="26" spans="1:6" hidden="1" x14ac:dyDescent="0.25">
      <c r="A26" s="2" t="s">
        <v>65</v>
      </c>
      <c r="B26" s="7" t="s">
        <v>66</v>
      </c>
      <c r="C26" s="2" t="s">
        <v>67</v>
      </c>
      <c r="D26" s="8">
        <f>VLOOKUP($A26,cuotas!$A$5:$E$209,4,0)-SUMIFS(ingresos!$C:$C,ingresos!$F:$F,saldo!$A26,ingresos!$G:$G,saldo!D$5)</f>
        <v>0</v>
      </c>
      <c r="E26" s="8">
        <f>VLOOKUP($A26,cuotas!$A$5:$E$209,5,0)-SUMIFS(ingresos!$C:$C,ingresos!$F:$F,saldo!$A26,ingresos!$G:$G,saldo!E$5)</f>
        <v>0</v>
      </c>
      <c r="F26" s="9">
        <f t="shared" si="0"/>
        <v>0</v>
      </c>
    </row>
    <row r="27" spans="1:6" x14ac:dyDescent="0.25">
      <c r="A27" s="2" t="s">
        <v>68</v>
      </c>
      <c r="B27" s="7" t="s">
        <v>69</v>
      </c>
      <c r="C27" s="2" t="s">
        <v>70</v>
      </c>
      <c r="D27" s="8">
        <f>VLOOKUP($A27,cuotas!$A$5:$E$209,4,0)-SUMIFS(ingresos!$C:$C,ingresos!$F:$F,saldo!$A27,ingresos!$G:$G,saldo!D$5)</f>
        <v>673.56000000000006</v>
      </c>
      <c r="E27" s="8">
        <f>VLOOKUP($A27,cuotas!$A$5:$E$209,5,0)-SUMIFS(ingresos!$C:$C,ingresos!$F:$F,saldo!$A27,ingresos!$G:$G,saldo!E$5)</f>
        <v>319.24</v>
      </c>
      <c r="F27" s="9">
        <f t="shared" si="0"/>
        <v>992.80000000000007</v>
      </c>
    </row>
    <row r="28" spans="1:6" x14ac:dyDescent="0.25">
      <c r="A28" s="2" t="s">
        <v>71</v>
      </c>
      <c r="B28" s="7" t="s">
        <v>72</v>
      </c>
      <c r="C28" s="2" t="s">
        <v>73</v>
      </c>
      <c r="D28" s="8">
        <f>VLOOKUP($A28,cuotas!$A$5:$E$209,4,0)-SUMIFS(ingresos!$C:$C,ingresos!$F:$F,saldo!$A28,ingresos!$G:$G,saldo!D$5)</f>
        <v>658.53</v>
      </c>
      <c r="E28" s="8">
        <f>VLOOKUP($A28,cuotas!$A$5:$E$209,5,0)-SUMIFS(ingresos!$C:$C,ingresos!$F:$F,saldo!$A28,ingresos!$G:$G,saldo!E$5)</f>
        <v>316.26</v>
      </c>
      <c r="F28" s="9">
        <f t="shared" si="0"/>
        <v>974.79</v>
      </c>
    </row>
    <row r="29" spans="1:6" x14ac:dyDescent="0.25">
      <c r="A29" s="2" t="s">
        <v>74</v>
      </c>
      <c r="B29" s="7" t="s">
        <v>75</v>
      </c>
      <c r="C29" s="2" t="s">
        <v>76</v>
      </c>
      <c r="D29" s="8">
        <f>VLOOKUP($A29,cuotas!$A$5:$E$209,4,0)-SUMIFS(ingresos!$C:$C,ingresos!$F:$F,saldo!$A29,ingresos!$G:$G,saldo!D$5)</f>
        <v>964.73</v>
      </c>
      <c r="E29" s="8">
        <f>VLOOKUP($A29,cuotas!$A$5:$E$209,5,0)-SUMIFS(ingresos!$C:$C,ingresos!$F:$F,saldo!$A29,ingresos!$G:$G,saldo!E$5)</f>
        <v>914.39</v>
      </c>
      <c r="F29" s="9">
        <f t="shared" si="0"/>
        <v>1879.12</v>
      </c>
    </row>
    <row r="30" spans="1:6" x14ac:dyDescent="0.25">
      <c r="A30" s="2" t="s">
        <v>77</v>
      </c>
      <c r="B30" s="7" t="s">
        <v>78</v>
      </c>
      <c r="C30" s="2" t="s">
        <v>79</v>
      </c>
      <c r="D30" s="8">
        <f>VLOOKUP($A30,cuotas!$A$5:$E$209,4,0)-SUMIFS(ingresos!$C:$C,ingresos!$F:$F,saldo!$A30,ingresos!$G:$G,saldo!D$5)</f>
        <v>0</v>
      </c>
      <c r="E30" s="8">
        <f>VLOOKUP($A30,cuotas!$A$5:$E$209,5,0)-SUMIFS(ingresos!$C:$C,ingresos!$F:$F,saldo!$A30,ingresos!$G:$G,saldo!E$5)</f>
        <v>241.21</v>
      </c>
      <c r="F30" s="9">
        <f t="shared" si="0"/>
        <v>241.21</v>
      </c>
    </row>
    <row r="31" spans="1:6" hidden="1" x14ac:dyDescent="0.25">
      <c r="A31" s="2" t="s">
        <v>80</v>
      </c>
      <c r="B31" s="7" t="s">
        <v>81</v>
      </c>
      <c r="C31" s="2" t="s">
        <v>82</v>
      </c>
      <c r="D31" s="8">
        <f>VLOOKUP($A31,cuotas!$A$5:$E$209,4,0)-SUMIFS(ingresos!$C:$C,ingresos!$F:$F,saldo!$A31,ingresos!$G:$G,saldo!D$5)</f>
        <v>5.0000000000011369E-2</v>
      </c>
      <c r="E31" s="8">
        <f>VLOOKUP($A31,cuotas!$A$5:$E$209,5,0)-SUMIFS(ingresos!$C:$C,ingresos!$F:$F,saldo!$A31,ingresos!$G:$G,saldo!E$5)</f>
        <v>0</v>
      </c>
      <c r="F31" s="9">
        <f t="shared" si="0"/>
        <v>5.0000000000011369E-2</v>
      </c>
    </row>
    <row r="32" spans="1:6" x14ac:dyDescent="0.25">
      <c r="A32" s="2" t="s">
        <v>83</v>
      </c>
      <c r="B32" s="7" t="s">
        <v>84</v>
      </c>
      <c r="C32" s="2" t="s">
        <v>85</v>
      </c>
      <c r="D32" s="8">
        <f>VLOOKUP($A32,cuotas!$A$5:$E$209,4,0)-SUMIFS(ingresos!$C:$C,ingresos!$F:$F,saldo!$A32,ingresos!$G:$G,saldo!D$5)</f>
        <v>399.84</v>
      </c>
      <c r="E32" s="8">
        <f>VLOOKUP($A32,cuotas!$A$5:$E$209,5,0)-SUMIFS(ingresos!$C:$C,ingresos!$F:$F,saldo!$A32,ingresos!$G:$G,saldo!E$5)</f>
        <v>76.290000000000006</v>
      </c>
      <c r="F32" s="9">
        <f t="shared" si="0"/>
        <v>476.13</v>
      </c>
    </row>
    <row r="33" spans="1:6" x14ac:dyDescent="0.25">
      <c r="A33" s="2" t="s">
        <v>86</v>
      </c>
      <c r="B33" s="7" t="s">
        <v>87</v>
      </c>
      <c r="C33" s="2" t="s">
        <v>88</v>
      </c>
      <c r="D33" s="8">
        <f>VLOOKUP($A33,cuotas!$A$5:$E$209,4,0)-SUMIFS(ingresos!$C:$C,ingresos!$F:$F,saldo!$A33,ingresos!$G:$G,saldo!D$5)</f>
        <v>404.62</v>
      </c>
      <c r="E33" s="8">
        <f>VLOOKUP($A33,cuotas!$A$5:$E$209,5,0)-SUMIFS(ingresos!$C:$C,ingresos!$F:$F,saldo!$A33,ingresos!$G:$G,saldo!E$5)</f>
        <v>388.31</v>
      </c>
      <c r="F33" s="9">
        <f t="shared" si="0"/>
        <v>792.93000000000006</v>
      </c>
    </row>
    <row r="34" spans="1:6" x14ac:dyDescent="0.25">
      <c r="A34" s="2" t="s">
        <v>89</v>
      </c>
      <c r="B34" s="7" t="s">
        <v>90</v>
      </c>
      <c r="C34" s="2" t="s">
        <v>91</v>
      </c>
      <c r="D34" s="8">
        <f>VLOOKUP($A34,cuotas!$A$5:$E$209,4,0)-SUMIFS(ingresos!$C:$C,ingresos!$F:$F,saldo!$A34,ingresos!$G:$G,saldo!D$5)</f>
        <v>0</v>
      </c>
      <c r="E34" s="8">
        <f>VLOOKUP($A34,cuotas!$A$5:$E$209,5,0)-SUMIFS(ingresos!$C:$C,ingresos!$F:$F,saldo!$A34,ingresos!$G:$G,saldo!E$5)</f>
        <v>370.45</v>
      </c>
      <c r="F34" s="9">
        <f t="shared" si="0"/>
        <v>370.45</v>
      </c>
    </row>
    <row r="35" spans="1:6" x14ac:dyDescent="0.25">
      <c r="A35" s="2" t="s">
        <v>92</v>
      </c>
      <c r="B35" s="7" t="s">
        <v>93</v>
      </c>
      <c r="C35" s="2" t="s">
        <v>94</v>
      </c>
      <c r="D35" s="8">
        <f>VLOOKUP($A35,cuotas!$A$5:$E$209,4,0)-SUMIFS(ingresos!$C:$C,ingresos!$F:$F,saldo!$A35,ingresos!$G:$G,saldo!D$5)</f>
        <v>0</v>
      </c>
      <c r="E35" s="8">
        <f>VLOOKUP($A35,cuotas!$A$5:$E$209,5,0)-SUMIFS(ingresos!$C:$C,ingresos!$F:$F,saldo!$A35,ingresos!$G:$G,saldo!E$5)</f>
        <v>376.4</v>
      </c>
      <c r="F35" s="9">
        <f t="shared" si="0"/>
        <v>376.4</v>
      </c>
    </row>
    <row r="36" spans="1:6" hidden="1" x14ac:dyDescent="0.25">
      <c r="A36" s="2" t="s">
        <v>95</v>
      </c>
      <c r="B36" s="7" t="s">
        <v>96</v>
      </c>
      <c r="C36" s="2" t="s">
        <v>97</v>
      </c>
      <c r="D36" s="8">
        <f>VLOOKUP($A36,cuotas!$A$5:$E$209,4,0)-SUMIFS(ingresos!$C:$C,ingresos!$F:$F,saldo!$A36,ingresos!$G:$G,saldo!D$5)</f>
        <v>0</v>
      </c>
      <c r="E36" s="8">
        <f>VLOOKUP($A36,cuotas!$A$5:$E$209,5,0)-SUMIFS(ingresos!$C:$C,ingresos!$F:$F,saldo!$A36,ingresos!$G:$G,saldo!E$5)</f>
        <v>0</v>
      </c>
      <c r="F36" s="9">
        <f t="shared" si="0"/>
        <v>0</v>
      </c>
    </row>
    <row r="37" spans="1:6" x14ac:dyDescent="0.25">
      <c r="A37" s="2" t="s">
        <v>98</v>
      </c>
      <c r="B37" s="7" t="s">
        <v>99</v>
      </c>
      <c r="C37" s="2" t="s">
        <v>100</v>
      </c>
      <c r="D37" s="8">
        <f>VLOOKUP($A37,cuotas!$A$5:$E$209,4,0)-SUMIFS(ingresos!$C:$C,ingresos!$F:$F,saldo!$A37,ingresos!$G:$G,saldo!D$5)</f>
        <v>306.22000000000003</v>
      </c>
      <c r="E37" s="8">
        <f>VLOOKUP($A37,cuotas!$A$5:$E$209,5,0)-SUMIFS(ingresos!$C:$C,ingresos!$F:$F,saldo!$A37,ingresos!$G:$G,saldo!E$5)</f>
        <v>297.14</v>
      </c>
      <c r="F37" s="9">
        <f t="shared" si="0"/>
        <v>603.36</v>
      </c>
    </row>
    <row r="38" spans="1:6" x14ac:dyDescent="0.25">
      <c r="A38" s="2" t="s">
        <v>101</v>
      </c>
      <c r="B38" s="7" t="s">
        <v>102</v>
      </c>
      <c r="C38" s="2" t="s">
        <v>103</v>
      </c>
      <c r="D38" s="8">
        <f>VLOOKUP($A38,cuotas!$A$5:$E$209,4,0)-SUMIFS(ingresos!$C:$C,ingresos!$F:$F,saldo!$A38,ingresos!$G:$G,saldo!D$5)</f>
        <v>0</v>
      </c>
      <c r="E38" s="8">
        <f>VLOOKUP($A38,cuotas!$A$5:$E$209,5,0)-SUMIFS(ingresos!$C:$C,ingresos!$F:$F,saldo!$A38,ingresos!$G:$G,saldo!E$5)</f>
        <v>306.07</v>
      </c>
      <c r="F38" s="9">
        <f t="shared" si="0"/>
        <v>306.07</v>
      </c>
    </row>
    <row r="39" spans="1:6" hidden="1" x14ac:dyDescent="0.25">
      <c r="A39" s="2" t="s">
        <v>104</v>
      </c>
      <c r="B39" s="7" t="s">
        <v>105</v>
      </c>
      <c r="C39" s="2" t="s">
        <v>106</v>
      </c>
      <c r="D39" s="8">
        <f>VLOOKUP($A39,cuotas!$A$5:$E$209,4,0)-SUMIFS(ingresos!$C:$C,ingresos!$F:$F,saldo!$A39,ingresos!$G:$G,saldo!D$5)</f>
        <v>0</v>
      </c>
      <c r="E39" s="8">
        <f>VLOOKUP($A39,cuotas!$A$5:$E$209,5,0)-SUMIFS(ingresos!$C:$C,ingresos!$F:$F,saldo!$A39,ingresos!$G:$G,saldo!E$5)</f>
        <v>0</v>
      </c>
      <c r="F39" s="9">
        <f t="shared" si="0"/>
        <v>0</v>
      </c>
    </row>
    <row r="40" spans="1:6" hidden="1" x14ac:dyDescent="0.25">
      <c r="A40" s="2" t="s">
        <v>107</v>
      </c>
      <c r="B40" s="7" t="s">
        <v>108</v>
      </c>
      <c r="C40" s="2" t="s">
        <v>109</v>
      </c>
      <c r="D40" s="8">
        <f>VLOOKUP($A40,cuotas!$A$5:$E$209,4,0)-SUMIFS(ingresos!$C:$C,ingresos!$F:$F,saldo!$A40,ingresos!$G:$G,saldo!D$5)</f>
        <v>0</v>
      </c>
      <c r="E40" s="8">
        <f>VLOOKUP($A40,cuotas!$A$5:$E$209,5,0)-SUMIFS(ingresos!$C:$C,ingresos!$F:$F,saldo!$A40,ingresos!$G:$G,saldo!E$5)</f>
        <v>0</v>
      </c>
      <c r="F40" s="9">
        <f t="shared" si="0"/>
        <v>0</v>
      </c>
    </row>
    <row r="41" spans="1:6" x14ac:dyDescent="0.25">
      <c r="A41" s="2" t="s">
        <v>110</v>
      </c>
      <c r="B41" s="7" t="s">
        <v>111</v>
      </c>
      <c r="C41" s="2" t="s">
        <v>112</v>
      </c>
      <c r="D41" s="8">
        <f>VLOOKUP($A41,cuotas!$A$5:$E$209,4,0)-SUMIFS(ingresos!$C:$C,ingresos!$F:$F,saldo!$A41,ingresos!$G:$G,saldo!D$5)</f>
        <v>0</v>
      </c>
      <c r="E41" s="8">
        <f>VLOOKUP($A41,cuotas!$A$5:$E$209,5,0)-SUMIFS(ingresos!$C:$C,ingresos!$F:$F,saldo!$A41,ingresos!$G:$G,saldo!E$5)</f>
        <v>279.23</v>
      </c>
      <c r="F41" s="9">
        <f t="shared" si="0"/>
        <v>279.23</v>
      </c>
    </row>
    <row r="42" spans="1:6" x14ac:dyDescent="0.25">
      <c r="A42" s="2" t="s">
        <v>113</v>
      </c>
      <c r="B42" s="7" t="s">
        <v>114</v>
      </c>
      <c r="C42" s="2" t="s">
        <v>115</v>
      </c>
      <c r="D42" s="8">
        <f>VLOOKUP($A42,cuotas!$A$5:$E$209,4,0)-SUMIFS(ingresos!$C:$C,ingresos!$F:$F,saldo!$A42,ingresos!$G:$G,saldo!D$5)</f>
        <v>0</v>
      </c>
      <c r="E42" s="8">
        <f>VLOOKUP($A42,cuotas!$A$5:$E$209,5,0)-SUMIFS(ingresos!$C:$C,ingresos!$F:$F,saldo!$A42,ingresos!$G:$G,saldo!E$5)</f>
        <v>288.22000000000003</v>
      </c>
      <c r="F42" s="9">
        <f t="shared" si="0"/>
        <v>288.22000000000003</v>
      </c>
    </row>
    <row r="43" spans="1:6" x14ac:dyDescent="0.25">
      <c r="A43" s="2" t="s">
        <v>116</v>
      </c>
      <c r="B43" s="7" t="s">
        <v>117</v>
      </c>
      <c r="C43" s="2" t="s">
        <v>118</v>
      </c>
      <c r="D43" s="8">
        <f>VLOOKUP($A43,cuotas!$A$5:$E$209,4,0)-SUMIFS(ingresos!$C:$C,ingresos!$F:$F,saldo!$A43,ingresos!$G:$G,saldo!D$5)</f>
        <v>-7.3700000000000045</v>
      </c>
      <c r="E43" s="8">
        <f>VLOOKUP($A43,cuotas!$A$5:$E$209,5,0)-SUMIFS(ingresos!$C:$C,ingresos!$F:$F,saldo!$A43,ingresos!$G:$G,saldo!E$5)</f>
        <v>171.22</v>
      </c>
      <c r="F43" s="9">
        <f t="shared" si="0"/>
        <v>163.85</v>
      </c>
    </row>
    <row r="44" spans="1:6" hidden="1" x14ac:dyDescent="0.25">
      <c r="A44" s="2" t="s">
        <v>119</v>
      </c>
      <c r="B44" s="7" t="s">
        <v>120</v>
      </c>
      <c r="C44" s="2" t="s">
        <v>121</v>
      </c>
      <c r="D44" s="8">
        <f>VLOOKUP($A44,cuotas!$A$5:$E$209,4,0)-SUMIFS(ingresos!$C:$C,ingresos!$F:$F,saldo!$A44,ingresos!$G:$G,saldo!D$5)</f>
        <v>0</v>
      </c>
      <c r="E44" s="8">
        <f>VLOOKUP($A44,cuotas!$A$5:$E$209,5,0)-SUMIFS(ingresos!$C:$C,ingresos!$F:$F,saldo!$A44,ingresos!$G:$G,saldo!E$5)</f>
        <v>-1.2800000000000011</v>
      </c>
      <c r="F44" s="9">
        <f t="shared" si="0"/>
        <v>-1.2800000000000011</v>
      </c>
    </row>
    <row r="45" spans="1:6" x14ac:dyDescent="0.25">
      <c r="A45" s="2" t="s">
        <v>122</v>
      </c>
      <c r="B45" s="7" t="s">
        <v>123</v>
      </c>
      <c r="C45" s="2" t="s">
        <v>124</v>
      </c>
      <c r="D45" s="8">
        <f>VLOOKUP($A45,cuotas!$A$5:$E$209,4,0)-SUMIFS(ingresos!$C:$C,ingresos!$F:$F,saldo!$A45,ingresos!$G:$G,saldo!D$5)</f>
        <v>27.94</v>
      </c>
      <c r="E45" s="8">
        <f>VLOOKUP($A45,cuotas!$A$5:$E$209,5,0)-SUMIFS(ingresos!$C:$C,ingresos!$F:$F,saldo!$A45,ingresos!$G:$G,saldo!E$5)</f>
        <v>0</v>
      </c>
      <c r="F45" s="9">
        <f t="shared" si="0"/>
        <v>27.94</v>
      </c>
    </row>
    <row r="46" spans="1:6" x14ac:dyDescent="0.25">
      <c r="A46" s="2" t="s">
        <v>125</v>
      </c>
      <c r="B46" s="7" t="s">
        <v>126</v>
      </c>
      <c r="C46" s="2" t="s">
        <v>127</v>
      </c>
      <c r="D46" s="8">
        <f>VLOOKUP($A46,cuotas!$A$5:$E$209,4,0)-SUMIFS(ingresos!$C:$C,ingresos!$F:$F,saldo!$A46,ingresos!$G:$G,saldo!D$5)</f>
        <v>782.45</v>
      </c>
      <c r="E46" s="8">
        <f>VLOOKUP($A46,cuotas!$A$5:$E$209,5,0)-SUMIFS(ingresos!$C:$C,ingresos!$F:$F,saldo!$A46,ingresos!$G:$G,saldo!E$5)</f>
        <v>382.36</v>
      </c>
      <c r="F46" s="9">
        <f t="shared" si="0"/>
        <v>1164.81</v>
      </c>
    </row>
    <row r="47" spans="1:6" hidden="1" x14ac:dyDescent="0.25">
      <c r="A47" s="2" t="s">
        <v>128</v>
      </c>
      <c r="B47" s="7" t="s">
        <v>129</v>
      </c>
      <c r="C47" s="2" t="s">
        <v>130</v>
      </c>
      <c r="D47" s="8">
        <f>VLOOKUP($A47,cuotas!$A$5:$E$209,4,0)-SUMIFS(ingresos!$C:$C,ingresos!$F:$F,saldo!$A47,ingresos!$G:$G,saldo!D$5)</f>
        <v>0</v>
      </c>
      <c r="E47" s="8">
        <f>VLOOKUP($A47,cuotas!$A$5:$E$209,5,0)-SUMIFS(ingresos!$C:$C,ingresos!$F:$F,saldo!$A47,ingresos!$G:$G,saldo!E$5)</f>
        <v>0</v>
      </c>
      <c r="F47" s="9">
        <f t="shared" si="0"/>
        <v>0</v>
      </c>
    </row>
    <row r="48" spans="1:6" hidden="1" x14ac:dyDescent="0.25">
      <c r="A48" s="2" t="s">
        <v>131</v>
      </c>
      <c r="B48" s="7" t="s">
        <v>132</v>
      </c>
      <c r="C48" s="2" t="s">
        <v>133</v>
      </c>
      <c r="D48" s="8">
        <f>VLOOKUP($A48,cuotas!$A$5:$E$209,4,0)-SUMIFS(ingresos!$C:$C,ingresos!$F:$F,saldo!$A48,ingresos!$G:$G,saldo!D$5)</f>
        <v>3126.76</v>
      </c>
      <c r="E48" s="8">
        <f>VLOOKUP($A48,cuotas!$A$5:$E$209,5,0)-SUMIFS(ingresos!$C:$C,ingresos!$F:$F,saldo!$A48,ingresos!$G:$G,saldo!E$5)</f>
        <v>883.54</v>
      </c>
      <c r="F48" s="9">
        <f t="shared" si="0"/>
        <v>4010.3</v>
      </c>
    </row>
    <row r="49" spans="1:6" hidden="1" x14ac:dyDescent="0.25">
      <c r="A49" s="2" t="s">
        <v>134</v>
      </c>
      <c r="B49" s="7" t="s">
        <v>135</v>
      </c>
      <c r="C49" s="2" t="s">
        <v>136</v>
      </c>
      <c r="D49" s="8">
        <f>VLOOKUP($A49,cuotas!$A$5:$E$209,4,0)-SUMIFS(ingresos!$C:$C,ingresos!$F:$F,saldo!$A49,ingresos!$G:$G,saldo!D$5)</f>
        <v>0</v>
      </c>
      <c r="E49" s="8">
        <f>VLOOKUP($A49,cuotas!$A$5:$E$209,5,0)-SUMIFS(ingresos!$C:$C,ingresos!$F:$F,saldo!$A49,ingresos!$G:$G,saldo!E$5)</f>
        <v>0</v>
      </c>
      <c r="F49" s="9">
        <f t="shared" si="0"/>
        <v>0</v>
      </c>
    </row>
    <row r="50" spans="1:6" hidden="1" x14ac:dyDescent="0.25">
      <c r="A50" s="2" t="s">
        <v>137</v>
      </c>
      <c r="B50" s="7" t="s">
        <v>138</v>
      </c>
      <c r="C50" s="2" t="s">
        <v>139</v>
      </c>
      <c r="D50" s="8">
        <f>VLOOKUP($A50,cuotas!$A$5:$E$209,4,0)-SUMIFS(ingresos!$C:$C,ingresos!$F:$F,saldo!$A50,ingresos!$G:$G,saldo!D$5)</f>
        <v>0</v>
      </c>
      <c r="E50" s="8">
        <f>VLOOKUP($A50,cuotas!$A$5:$E$209,5,0)-SUMIFS(ingresos!$C:$C,ingresos!$F:$F,saldo!$A50,ingresos!$G:$G,saldo!E$5)</f>
        <v>0</v>
      </c>
      <c r="F50" s="9">
        <f t="shared" si="0"/>
        <v>0</v>
      </c>
    </row>
    <row r="51" spans="1:6" x14ac:dyDescent="0.25">
      <c r="A51" s="2" t="s">
        <v>140</v>
      </c>
      <c r="B51" s="7" t="s">
        <v>141</v>
      </c>
      <c r="C51" s="2" t="s">
        <v>142</v>
      </c>
      <c r="D51" s="8">
        <f>VLOOKUP($A51,cuotas!$A$5:$E$209,4,0)-SUMIFS(ingresos!$C:$C,ingresos!$F:$F,saldo!$A51,ingresos!$G:$G,saldo!D$5)</f>
        <v>0</v>
      </c>
      <c r="E51" s="8">
        <f>VLOOKUP($A51,cuotas!$A$5:$E$209,5,0)-SUMIFS(ingresos!$C:$C,ingresos!$F:$F,saldo!$A51,ingresos!$G:$G,saldo!E$5)</f>
        <v>241.21</v>
      </c>
      <c r="F51" s="9">
        <f t="shared" si="0"/>
        <v>241.21</v>
      </c>
    </row>
    <row r="52" spans="1:6" x14ac:dyDescent="0.25">
      <c r="A52" s="2" t="s">
        <v>143</v>
      </c>
      <c r="B52" s="7" t="s">
        <v>144</v>
      </c>
      <c r="C52" s="2" t="s">
        <v>145</v>
      </c>
      <c r="D52" s="8">
        <f>VLOOKUP($A52,cuotas!$A$5:$E$209,4,0)-SUMIFS(ingresos!$C:$C,ingresos!$F:$F,saldo!$A52,ingresos!$G:$G,saldo!D$5)</f>
        <v>754.94</v>
      </c>
      <c r="E52" s="8">
        <f>VLOOKUP($A52,cuotas!$A$5:$E$209,5,0)-SUMIFS(ingresos!$C:$C,ingresos!$F:$F,saldo!$A52,ingresos!$G:$G,saldo!E$5)</f>
        <v>358.55</v>
      </c>
      <c r="F52" s="9">
        <f t="shared" si="0"/>
        <v>1113.49</v>
      </c>
    </row>
    <row r="53" spans="1:6" x14ac:dyDescent="0.25">
      <c r="A53" s="2" t="s">
        <v>146</v>
      </c>
      <c r="B53" s="7" t="s">
        <v>147</v>
      </c>
      <c r="C53" s="2" t="s">
        <v>148</v>
      </c>
      <c r="D53" s="8">
        <f>VLOOKUP($A53,cuotas!$A$5:$E$209,4,0)-SUMIFS(ingresos!$C:$C,ingresos!$F:$F,saldo!$A53,ingresos!$G:$G,saldo!D$5)</f>
        <v>0</v>
      </c>
      <c r="E53" s="8">
        <f>VLOOKUP($A53,cuotas!$A$5:$E$209,5,0)-SUMIFS(ingresos!$C:$C,ingresos!$F:$F,saldo!$A53,ingresos!$G:$G,saldo!E$5)</f>
        <v>296.79000000000002</v>
      </c>
      <c r="F53" s="9">
        <f t="shared" si="0"/>
        <v>296.79000000000002</v>
      </c>
    </row>
    <row r="54" spans="1:6" hidden="1" x14ac:dyDescent="0.25">
      <c r="A54" s="2" t="s">
        <v>149</v>
      </c>
      <c r="B54" s="7" t="s">
        <v>150</v>
      </c>
      <c r="C54" s="2" t="s">
        <v>151</v>
      </c>
      <c r="D54" s="8">
        <f>VLOOKUP($A54,cuotas!$A$5:$E$209,4,0)-SUMIFS(ingresos!$C:$C,ingresos!$F:$F,saldo!$A54,ingresos!$G:$G,saldo!D$5)</f>
        <v>0</v>
      </c>
      <c r="E54" s="8">
        <f>VLOOKUP($A54,cuotas!$A$5:$E$209,5,0)-SUMIFS(ingresos!$C:$C,ingresos!$F:$F,saldo!$A54,ingresos!$G:$G,saldo!E$5)</f>
        <v>0</v>
      </c>
      <c r="F54" s="9">
        <f t="shared" si="0"/>
        <v>0</v>
      </c>
    </row>
    <row r="55" spans="1:6" hidden="1" x14ac:dyDescent="0.25">
      <c r="A55" s="2" t="s">
        <v>152</v>
      </c>
      <c r="B55" s="7" t="s">
        <v>153</v>
      </c>
      <c r="C55" s="2" t="s">
        <v>154</v>
      </c>
      <c r="D55" s="8">
        <f>VLOOKUP($A55,cuotas!$A$5:$E$209,4,0)-SUMIFS(ingresos!$C:$C,ingresos!$F:$F,saldo!$A55,ingresos!$G:$G,saldo!D$5)</f>
        <v>0</v>
      </c>
      <c r="E55" s="8">
        <f>VLOOKUP($A55,cuotas!$A$5:$E$209,5,0)-SUMIFS(ingresos!$C:$C,ingresos!$F:$F,saldo!$A55,ingresos!$G:$G,saldo!E$5)</f>
        <v>0</v>
      </c>
      <c r="F55" s="9">
        <f t="shared" si="0"/>
        <v>0</v>
      </c>
    </row>
    <row r="56" spans="1:6" x14ac:dyDescent="0.25">
      <c r="A56" s="2" t="s">
        <v>155</v>
      </c>
      <c r="B56" s="7" t="s">
        <v>156</v>
      </c>
      <c r="C56" s="2" t="s">
        <v>157</v>
      </c>
      <c r="D56" s="8">
        <f>VLOOKUP($A56,cuotas!$A$5:$E$209,4,0)-SUMIFS(ingresos!$C:$C,ingresos!$F:$F,saldo!$A56,ingresos!$G:$G,saldo!D$5)</f>
        <v>1221.1600000000001</v>
      </c>
      <c r="E56" s="8">
        <f>VLOOKUP($A56,cuotas!$A$5:$E$209,5,0)-SUMIFS(ingresos!$C:$C,ingresos!$F:$F,saldo!$A56,ingresos!$G:$G,saldo!E$5)</f>
        <v>288.22000000000003</v>
      </c>
      <c r="F56" s="9">
        <f t="shared" si="0"/>
        <v>1509.38</v>
      </c>
    </row>
    <row r="57" spans="1:6" x14ac:dyDescent="0.25">
      <c r="A57" s="2" t="s">
        <v>158</v>
      </c>
      <c r="B57" s="7" t="s">
        <v>159</v>
      </c>
      <c r="C57" s="2" t="s">
        <v>160</v>
      </c>
      <c r="D57" s="8">
        <f>VLOOKUP($A57,cuotas!$A$5:$E$209,4,0)-SUMIFS(ingresos!$C:$C,ingresos!$F:$F,saldo!$A57,ingresos!$G:$G,saldo!D$5)</f>
        <v>0</v>
      </c>
      <c r="E57" s="8">
        <f>VLOOKUP($A57,cuotas!$A$5:$E$209,5,0)-SUMIFS(ingresos!$C:$C,ingresos!$F:$F,saldo!$A57,ingresos!$G:$G,saldo!E$5)</f>
        <v>300.12</v>
      </c>
      <c r="F57" s="9">
        <f t="shared" si="0"/>
        <v>300.12</v>
      </c>
    </row>
    <row r="58" spans="1:6" x14ac:dyDescent="0.25">
      <c r="A58" s="2" t="s">
        <v>161</v>
      </c>
      <c r="B58" s="7" t="s">
        <v>162</v>
      </c>
      <c r="C58" s="2" t="s">
        <v>163</v>
      </c>
      <c r="D58" s="8">
        <f>VLOOKUP($A58,cuotas!$A$5:$E$209,4,0)-SUMIFS(ingresos!$C:$C,ingresos!$F:$F,saldo!$A58,ingresos!$G:$G,saldo!D$5)</f>
        <v>9.7099999999999795</v>
      </c>
      <c r="E58" s="8">
        <f>VLOOKUP($A58,cuotas!$A$5:$E$209,5,0)-SUMIFS(ingresos!$C:$C,ingresos!$F:$F,saldo!$A58,ingresos!$G:$G,saldo!E$5)</f>
        <v>373.43</v>
      </c>
      <c r="F58" s="9">
        <f t="shared" si="0"/>
        <v>383.14</v>
      </c>
    </row>
    <row r="59" spans="1:6" x14ac:dyDescent="0.25">
      <c r="A59" s="2" t="s">
        <v>164</v>
      </c>
      <c r="B59" s="7" t="s">
        <v>165</v>
      </c>
      <c r="C59" s="2" t="s">
        <v>166</v>
      </c>
      <c r="D59" s="8">
        <f>VLOOKUP($A59,cuotas!$A$5:$E$209,4,0)-SUMIFS(ingresos!$C:$C,ingresos!$F:$F,saldo!$A59,ingresos!$G:$G,saldo!D$5)</f>
        <v>402.33999999999992</v>
      </c>
      <c r="E59" s="8">
        <f>VLOOKUP($A59,cuotas!$A$5:$E$209,5,0)-SUMIFS(ingresos!$C:$C,ingresos!$F:$F,saldo!$A59,ingresos!$G:$G,saldo!E$5)</f>
        <v>370.45</v>
      </c>
      <c r="F59" s="9">
        <f t="shared" si="0"/>
        <v>772.79</v>
      </c>
    </row>
    <row r="60" spans="1:6" hidden="1" x14ac:dyDescent="0.25">
      <c r="A60" s="2" t="s">
        <v>167</v>
      </c>
      <c r="B60" s="7" t="s">
        <v>168</v>
      </c>
      <c r="C60" s="2" t="s">
        <v>169</v>
      </c>
      <c r="D60" s="8">
        <f>VLOOKUP($A60,cuotas!$A$5:$E$209,4,0)-SUMIFS(ingresos!$C:$C,ingresos!$F:$F,saldo!$A60,ingresos!$G:$G,saldo!D$5)</f>
        <v>0</v>
      </c>
      <c r="E60" s="8">
        <f>VLOOKUP($A60,cuotas!$A$5:$E$209,5,0)-SUMIFS(ingresos!$C:$C,ingresos!$F:$F,saldo!$A60,ingresos!$G:$G,saldo!E$5)</f>
        <v>0</v>
      </c>
      <c r="F60" s="9">
        <f t="shared" si="0"/>
        <v>0</v>
      </c>
    </row>
    <row r="61" spans="1:6" x14ac:dyDescent="0.25">
      <c r="A61" s="2" t="s">
        <v>170</v>
      </c>
      <c r="B61" s="7" t="s">
        <v>171</v>
      </c>
      <c r="C61" s="2" t="s">
        <v>172</v>
      </c>
      <c r="D61" s="8">
        <f>VLOOKUP($A61,cuotas!$A$5:$E$209,4,0)-SUMIFS(ingresos!$C:$C,ingresos!$F:$F,saldo!$A61,ingresos!$G:$G,saldo!D$5)</f>
        <v>0</v>
      </c>
      <c r="E61" s="8">
        <f>VLOOKUP($A61,cuotas!$A$5:$E$209,5,0)-SUMIFS(ingresos!$C:$C,ingresos!$F:$F,saldo!$A61,ingresos!$G:$G,saldo!E$5)</f>
        <v>361.53</v>
      </c>
      <c r="F61" s="9">
        <f t="shared" si="0"/>
        <v>361.53</v>
      </c>
    </row>
    <row r="62" spans="1:6" hidden="1" x14ac:dyDescent="0.25">
      <c r="A62" s="2" t="s">
        <v>173</v>
      </c>
      <c r="B62" s="7" t="s">
        <v>174</v>
      </c>
      <c r="C62" s="2" t="s">
        <v>175</v>
      </c>
      <c r="D62" s="8">
        <f>VLOOKUP($A62,cuotas!$A$5:$E$209,4,0)-SUMIFS(ingresos!$C:$C,ingresos!$F:$F,saldo!$A62,ingresos!$G:$G,saldo!D$5)</f>
        <v>0</v>
      </c>
      <c r="E62" s="8">
        <f>VLOOKUP($A62,cuotas!$A$5:$E$209,5,0)-SUMIFS(ingresos!$C:$C,ingresos!$F:$F,saldo!$A62,ingresos!$G:$G,saldo!E$5)</f>
        <v>0</v>
      </c>
      <c r="F62" s="9">
        <f t="shared" si="0"/>
        <v>0</v>
      </c>
    </row>
    <row r="63" spans="1:6" hidden="1" x14ac:dyDescent="0.25">
      <c r="A63" s="2" t="s">
        <v>176</v>
      </c>
      <c r="B63" s="7" t="s">
        <v>177</v>
      </c>
      <c r="C63" s="2" t="s">
        <v>178</v>
      </c>
      <c r="D63" s="8">
        <f>VLOOKUP($A63,cuotas!$A$5:$E$209,4,0)-SUMIFS(ingresos!$C:$C,ingresos!$F:$F,saldo!$A63,ingresos!$G:$G,saldo!D$5)</f>
        <v>0</v>
      </c>
      <c r="E63" s="8">
        <f>VLOOKUP($A63,cuotas!$A$5:$E$209,5,0)-SUMIFS(ingresos!$C:$C,ingresos!$F:$F,saldo!$A63,ingresos!$G:$G,saldo!E$5)</f>
        <v>-1.999999999998181E-2</v>
      </c>
      <c r="F63" s="9">
        <f t="shared" si="0"/>
        <v>-1.999999999998181E-2</v>
      </c>
    </row>
    <row r="64" spans="1:6" x14ac:dyDescent="0.25">
      <c r="A64" s="2" t="s">
        <v>179</v>
      </c>
      <c r="B64" s="7" t="s">
        <v>180</v>
      </c>
      <c r="C64" s="2" t="s">
        <v>181</v>
      </c>
      <c r="D64" s="8">
        <f>VLOOKUP($A64,cuotas!$A$5:$E$209,4,0)-SUMIFS(ingresos!$C:$C,ingresos!$F:$F,saldo!$A64,ingresos!$G:$G,saldo!D$5)</f>
        <v>3830.18</v>
      </c>
      <c r="E64" s="8">
        <f>VLOOKUP($A64,cuotas!$A$5:$E$209,5,0)-SUMIFS(ingresos!$C:$C,ingresos!$F:$F,saldo!$A64,ingresos!$G:$G,saldo!E$5)</f>
        <v>449.72</v>
      </c>
      <c r="F64" s="9">
        <f t="shared" si="0"/>
        <v>4279.8999999999996</v>
      </c>
    </row>
    <row r="65" spans="1:6" x14ac:dyDescent="0.25">
      <c r="A65" s="2" t="s">
        <v>182</v>
      </c>
      <c r="B65" s="7" t="s">
        <v>183</v>
      </c>
      <c r="C65" s="2" t="s">
        <v>184</v>
      </c>
      <c r="D65" s="8">
        <f>VLOOKUP($A65,cuotas!$A$5:$E$209,4,0)-SUMIFS(ingresos!$C:$C,ingresos!$F:$F,saldo!$A65,ingresos!$G:$G,saldo!D$5)</f>
        <v>560.88</v>
      </c>
      <c r="E65" s="8">
        <f>VLOOKUP($A65,cuotas!$A$5:$E$209,5,0)-SUMIFS(ingresos!$C:$C,ingresos!$F:$F,saldo!$A65,ingresos!$G:$G,saldo!E$5)</f>
        <v>76.290000000000006</v>
      </c>
      <c r="F65" s="9">
        <f t="shared" si="0"/>
        <v>637.16999999999996</v>
      </c>
    </row>
    <row r="66" spans="1:6" x14ac:dyDescent="0.25">
      <c r="A66" s="2" t="s">
        <v>185</v>
      </c>
      <c r="B66" s="7" t="s">
        <v>186</v>
      </c>
      <c r="C66" s="2" t="s">
        <v>187</v>
      </c>
      <c r="D66" s="8">
        <f>VLOOKUP($A66,cuotas!$A$5:$E$209,4,0)-SUMIFS(ingresos!$C:$C,ingresos!$F:$F,saldo!$A66,ingresos!$G:$G,saldo!D$5)</f>
        <v>0</v>
      </c>
      <c r="E66" s="8">
        <f>VLOOKUP($A66,cuotas!$A$5:$E$209,5,0)-SUMIFS(ingresos!$C:$C,ingresos!$F:$F,saldo!$A66,ingresos!$G:$G,saldo!E$5)</f>
        <v>373.86</v>
      </c>
      <c r="F66" s="9">
        <f t="shared" si="0"/>
        <v>373.86</v>
      </c>
    </row>
    <row r="67" spans="1:6" x14ac:dyDescent="0.25">
      <c r="A67" s="2" t="s">
        <v>188</v>
      </c>
      <c r="B67" s="7" t="s">
        <v>189</v>
      </c>
      <c r="C67" s="2" t="s">
        <v>190</v>
      </c>
      <c r="D67" s="8">
        <f>VLOOKUP($A67,cuotas!$A$5:$E$209,4,0)-SUMIFS(ingresos!$C:$C,ingresos!$F:$F,saldo!$A67,ingresos!$G:$G,saldo!D$5)</f>
        <v>0</v>
      </c>
      <c r="E67" s="8">
        <f>VLOOKUP($A67,cuotas!$A$5:$E$209,5,0)-SUMIFS(ingresos!$C:$C,ingresos!$F:$F,saldo!$A67,ingresos!$G:$G,saldo!E$5)</f>
        <v>288.20999999999998</v>
      </c>
      <c r="F67" s="9">
        <f t="shared" si="0"/>
        <v>288.20999999999998</v>
      </c>
    </row>
    <row r="68" spans="1:6" x14ac:dyDescent="0.25">
      <c r="A68" s="2" t="s">
        <v>191</v>
      </c>
      <c r="B68" s="7" t="s">
        <v>192</v>
      </c>
      <c r="C68" s="2" t="s">
        <v>193</v>
      </c>
      <c r="D68" s="8">
        <f>VLOOKUP($A68,cuotas!$A$5:$E$209,4,0)-SUMIFS(ingresos!$C:$C,ingresos!$F:$F,saldo!$A68,ingresos!$G:$G,saldo!D$5)</f>
        <v>371.84</v>
      </c>
      <c r="E68" s="8">
        <f>VLOOKUP($A68,cuotas!$A$5:$E$209,5,0)-SUMIFS(ingresos!$C:$C,ingresos!$F:$F,saldo!$A68,ingresos!$G:$G,saldo!E$5)</f>
        <v>355.58</v>
      </c>
      <c r="F68" s="9">
        <f t="shared" si="0"/>
        <v>727.42</v>
      </c>
    </row>
    <row r="69" spans="1:6" x14ac:dyDescent="0.25">
      <c r="A69" s="2" t="s">
        <v>194</v>
      </c>
      <c r="B69" s="7" t="s">
        <v>195</v>
      </c>
      <c r="C69" s="2" t="s">
        <v>196</v>
      </c>
      <c r="D69" s="8">
        <f>VLOOKUP($A69,cuotas!$A$5:$E$209,4,0)-SUMIFS(ingresos!$C:$C,ingresos!$F:$F,saldo!$A69,ingresos!$G:$G,saldo!D$5)</f>
        <v>14.94</v>
      </c>
      <c r="E69" s="8">
        <f>VLOOKUP($A69,cuotas!$A$5:$E$209,5,0)-SUMIFS(ingresos!$C:$C,ingresos!$F:$F,saldo!$A69,ingresos!$G:$G,saldo!E$5)</f>
        <v>0</v>
      </c>
      <c r="F69" s="9">
        <f t="shared" si="0"/>
        <v>14.94</v>
      </c>
    </row>
    <row r="70" spans="1:6" x14ac:dyDescent="0.25">
      <c r="A70" s="2" t="s">
        <v>197</v>
      </c>
      <c r="B70" s="7" t="s">
        <v>198</v>
      </c>
      <c r="C70" s="2" t="s">
        <v>199</v>
      </c>
      <c r="D70" s="8">
        <f>VLOOKUP($A70,cuotas!$A$5:$E$209,4,0)-SUMIFS(ingresos!$C:$C,ingresos!$F:$F,saldo!$A70,ingresos!$G:$G,saldo!D$5)</f>
        <v>0</v>
      </c>
      <c r="E70" s="8">
        <f>VLOOKUP($A70,cuotas!$A$5:$E$209,5,0)-SUMIFS(ingresos!$C:$C,ingresos!$F:$F,saldo!$A70,ingresos!$G:$G,saldo!E$5)</f>
        <v>361.53</v>
      </c>
      <c r="F70" s="9">
        <f t="shared" si="0"/>
        <v>361.53</v>
      </c>
    </row>
    <row r="71" spans="1:6" hidden="1" x14ac:dyDescent="0.25">
      <c r="A71" s="2" t="s">
        <v>200</v>
      </c>
      <c r="B71" s="7" t="s">
        <v>201</v>
      </c>
      <c r="C71" s="2" t="s">
        <v>202</v>
      </c>
      <c r="D71" s="8">
        <f>VLOOKUP($A71,cuotas!$A$5:$E$209,4,0)-SUMIFS(ingresos!$C:$C,ingresos!$F:$F,saldo!$A71,ingresos!$G:$G,saldo!D$5)</f>
        <v>0</v>
      </c>
      <c r="E71" s="8">
        <f>VLOOKUP($A71,cuotas!$A$5:$E$209,5,0)-SUMIFS(ingresos!$C:$C,ingresos!$F:$F,saldo!$A71,ingresos!$G:$G,saldo!E$5)</f>
        <v>386.41</v>
      </c>
      <c r="F71" s="9">
        <f t="shared" ref="F71:F134" si="1">SUM(D71:E71)</f>
        <v>386.41</v>
      </c>
    </row>
    <row r="72" spans="1:6" hidden="1" x14ac:dyDescent="0.25">
      <c r="A72" s="2" t="s">
        <v>203</v>
      </c>
      <c r="B72" s="7" t="s">
        <v>204</v>
      </c>
      <c r="C72" s="2" t="s">
        <v>205</v>
      </c>
      <c r="D72" s="8">
        <f>VLOOKUP($A72,cuotas!$A$5:$E$209,4,0)-SUMIFS(ingresos!$C:$C,ingresos!$F:$F,saldo!$A72,ingresos!$G:$G,saldo!D$5)</f>
        <v>0</v>
      </c>
      <c r="E72" s="8">
        <f>VLOOKUP($A72,cuotas!$A$5:$E$209,5,0)-SUMIFS(ingresos!$C:$C,ingresos!$F:$F,saldo!$A72,ingresos!$G:$G,saldo!E$5)</f>
        <v>0</v>
      </c>
      <c r="F72" s="9">
        <f t="shared" si="1"/>
        <v>0</v>
      </c>
    </row>
    <row r="73" spans="1:6" hidden="1" x14ac:dyDescent="0.25">
      <c r="A73" s="2" t="s">
        <v>206</v>
      </c>
      <c r="B73" s="7" t="s">
        <v>207</v>
      </c>
      <c r="C73" s="2" t="s">
        <v>208</v>
      </c>
      <c r="D73" s="8">
        <f>VLOOKUP($A73,cuotas!$A$5:$E$209,4,0)-SUMIFS(ingresos!$C:$C,ingresos!$F:$F,saldo!$A73,ingresos!$G:$G,saldo!D$5)</f>
        <v>0</v>
      </c>
      <c r="E73" s="8">
        <f>VLOOKUP($A73,cuotas!$A$5:$E$209,5,0)-SUMIFS(ingresos!$C:$C,ingresos!$F:$F,saldo!$A73,ingresos!$G:$G,saldo!E$5)</f>
        <v>0</v>
      </c>
      <c r="F73" s="9">
        <f t="shared" si="1"/>
        <v>0</v>
      </c>
    </row>
    <row r="74" spans="1:6" hidden="1" x14ac:dyDescent="0.25">
      <c r="A74" s="2" t="s">
        <v>209</v>
      </c>
      <c r="B74" s="7" t="s">
        <v>210</v>
      </c>
      <c r="C74" s="2" t="s">
        <v>211</v>
      </c>
      <c r="D74" s="8">
        <f>VLOOKUP($A74,cuotas!$A$5:$E$209,4,0)-SUMIFS(ingresos!$C:$C,ingresos!$F:$F,saldo!$A74,ingresos!$G:$G,saldo!D$5)</f>
        <v>0</v>
      </c>
      <c r="E74" s="8">
        <f>VLOOKUP($A74,cuotas!$A$5:$E$209,5,0)-SUMIFS(ingresos!$C:$C,ingresos!$F:$F,saldo!$A74,ingresos!$G:$G,saldo!E$5)</f>
        <v>0</v>
      </c>
      <c r="F74" s="9">
        <f t="shared" si="1"/>
        <v>0</v>
      </c>
    </row>
    <row r="75" spans="1:6" hidden="1" x14ac:dyDescent="0.25">
      <c r="A75" s="2" t="s">
        <v>212</v>
      </c>
      <c r="B75" s="7" t="s">
        <v>213</v>
      </c>
      <c r="C75" s="2" t="s">
        <v>214</v>
      </c>
      <c r="D75" s="8">
        <f>VLOOKUP($A75,cuotas!$A$5:$E$209,4,0)-SUMIFS(ingresos!$C:$C,ingresos!$F:$F,saldo!$A75,ingresos!$G:$G,saldo!D$5)</f>
        <v>-8.4600000000000009</v>
      </c>
      <c r="E75" s="8">
        <f>VLOOKUP($A75,cuotas!$A$5:$E$209,5,0)-SUMIFS(ingresos!$C:$C,ingresos!$F:$F,saldo!$A75,ingresos!$G:$G,saldo!E$5)</f>
        <v>-368.46999999999991</v>
      </c>
      <c r="F75" s="9">
        <f t="shared" si="1"/>
        <v>-376.92999999999989</v>
      </c>
    </row>
    <row r="76" spans="1:6" x14ac:dyDescent="0.25">
      <c r="A76" s="2" t="s">
        <v>215</v>
      </c>
      <c r="B76" s="7" t="s">
        <v>216</v>
      </c>
      <c r="C76" s="2" t="s">
        <v>217</v>
      </c>
      <c r="D76" s="8">
        <f>VLOOKUP($A76,cuotas!$A$5:$E$209,4,0)-SUMIFS(ingresos!$C:$C,ingresos!$F:$F,saldo!$A76,ingresos!$G:$G,saldo!D$5)</f>
        <v>321.21999999999997</v>
      </c>
      <c r="E76" s="8">
        <f>VLOOKUP($A76,cuotas!$A$5:$E$209,5,0)-SUMIFS(ingresos!$C:$C,ingresos!$F:$F,saldo!$A76,ingresos!$G:$G,saldo!E$5)</f>
        <v>303.08999999999997</v>
      </c>
      <c r="F76" s="9">
        <f t="shared" si="1"/>
        <v>624.30999999999995</v>
      </c>
    </row>
    <row r="77" spans="1:6" x14ac:dyDescent="0.25">
      <c r="A77" s="2" t="s">
        <v>218</v>
      </c>
      <c r="B77" s="7" t="s">
        <v>219</v>
      </c>
      <c r="C77" s="2" t="s">
        <v>220</v>
      </c>
      <c r="D77" s="8">
        <f>VLOOKUP($A77,cuotas!$A$5:$E$209,4,0)-SUMIFS(ingresos!$C:$C,ingresos!$F:$F,saldo!$A77,ingresos!$G:$G,saldo!D$5)</f>
        <v>0</v>
      </c>
      <c r="E77" s="8">
        <f>VLOOKUP($A77,cuotas!$A$5:$E$209,5,0)-SUMIFS(ingresos!$C:$C,ingresos!$F:$F,saldo!$A77,ingresos!$G:$G,saldo!E$5)</f>
        <v>76.28000000000003</v>
      </c>
      <c r="F77" s="9">
        <f t="shared" si="1"/>
        <v>76.28000000000003</v>
      </c>
    </row>
    <row r="78" spans="1:6" hidden="1" x14ac:dyDescent="0.25">
      <c r="A78" s="2" t="s">
        <v>221</v>
      </c>
      <c r="B78" s="7" t="s">
        <v>222</v>
      </c>
      <c r="C78" s="2" t="s">
        <v>223</v>
      </c>
      <c r="D78" s="8">
        <f>VLOOKUP($A78,cuotas!$A$5:$E$209,4,0)-SUMIFS(ingresos!$C:$C,ingresos!$F:$F,saldo!$A78,ingresos!$G:$G,saldo!D$5)</f>
        <v>0</v>
      </c>
      <c r="E78" s="8">
        <f>VLOOKUP($A78,cuotas!$A$5:$E$209,5,0)-SUMIFS(ingresos!$C:$C,ingresos!$F:$F,saldo!$A78,ingresos!$G:$G,saldo!E$5)</f>
        <v>0</v>
      </c>
      <c r="F78" s="9">
        <f t="shared" si="1"/>
        <v>0</v>
      </c>
    </row>
    <row r="79" spans="1:6" hidden="1" x14ac:dyDescent="0.25">
      <c r="A79" s="2" t="s">
        <v>224</v>
      </c>
      <c r="B79" s="7" t="s">
        <v>225</v>
      </c>
      <c r="C79" s="2" t="s">
        <v>226</v>
      </c>
      <c r="D79" s="8">
        <f>VLOOKUP($A79,cuotas!$A$5:$E$209,4,0)-SUMIFS(ingresos!$C:$C,ingresos!$F:$F,saldo!$A79,ingresos!$G:$G,saldo!D$5)</f>
        <v>0</v>
      </c>
      <c r="E79" s="8">
        <f>VLOOKUP($A79,cuotas!$A$5:$E$209,5,0)-SUMIFS(ingresos!$C:$C,ingresos!$F:$F,saldo!$A79,ingresos!$G:$G,saldo!E$5)</f>
        <v>0</v>
      </c>
      <c r="F79" s="9">
        <f t="shared" si="1"/>
        <v>0</v>
      </c>
    </row>
    <row r="80" spans="1:6" hidden="1" x14ac:dyDescent="0.25">
      <c r="A80" s="2" t="s">
        <v>227</v>
      </c>
      <c r="B80" s="7" t="s">
        <v>228</v>
      </c>
      <c r="C80" s="2" t="s">
        <v>229</v>
      </c>
      <c r="D80" s="8">
        <f>VLOOKUP($A80,cuotas!$A$5:$E$209,4,0)-SUMIFS(ingresos!$C:$C,ingresos!$F:$F,saldo!$A80,ingresos!$G:$G,saldo!D$5)</f>
        <v>0</v>
      </c>
      <c r="E80" s="8">
        <f>VLOOKUP($A80,cuotas!$A$5:$E$209,5,0)-SUMIFS(ingresos!$C:$C,ingresos!$F:$F,saldo!$A80,ingresos!$G:$G,saldo!E$5)</f>
        <v>0</v>
      </c>
      <c r="F80" s="9">
        <f t="shared" si="1"/>
        <v>0</v>
      </c>
    </row>
    <row r="81" spans="1:6" x14ac:dyDescent="0.25">
      <c r="A81" s="2" t="s">
        <v>230</v>
      </c>
      <c r="B81" s="7" t="s">
        <v>231</v>
      </c>
      <c r="C81" s="2" t="s">
        <v>232</v>
      </c>
      <c r="D81" s="8">
        <f>VLOOKUP($A81,cuotas!$A$5:$E$209,4,0)-SUMIFS(ingresos!$C:$C,ingresos!$F:$F,saldo!$A81,ingresos!$G:$G,saldo!D$5)</f>
        <v>0</v>
      </c>
      <c r="E81" s="8">
        <f>VLOOKUP($A81,cuotas!$A$5:$E$209,5,0)-SUMIFS(ingresos!$C:$C,ingresos!$F:$F,saldo!$A81,ingresos!$G:$G,saldo!E$5)</f>
        <v>459.24</v>
      </c>
      <c r="F81" s="9">
        <f t="shared" si="1"/>
        <v>459.24</v>
      </c>
    </row>
    <row r="82" spans="1:6" x14ac:dyDescent="0.25">
      <c r="A82" s="2" t="s">
        <v>233</v>
      </c>
      <c r="B82" s="7" t="s">
        <v>234</v>
      </c>
      <c r="C82" s="2" t="s">
        <v>235</v>
      </c>
      <c r="D82" s="8">
        <f>VLOOKUP($A82,cuotas!$A$5:$E$209,4,0)-SUMIFS(ingresos!$C:$C,ingresos!$F:$F,saldo!$A82,ingresos!$G:$G,saldo!D$5)</f>
        <v>0</v>
      </c>
      <c r="E82" s="8">
        <f>VLOOKUP($A82,cuotas!$A$5:$E$209,5,0)-SUMIFS(ingresos!$C:$C,ingresos!$F:$F,saldo!$A82,ingresos!$G:$G,saldo!E$5)</f>
        <v>391.89</v>
      </c>
      <c r="F82" s="9">
        <f t="shared" si="1"/>
        <v>391.89</v>
      </c>
    </row>
    <row r="83" spans="1:6" x14ac:dyDescent="0.25">
      <c r="A83" s="2" t="s">
        <v>236</v>
      </c>
      <c r="B83" s="7" t="s">
        <v>237</v>
      </c>
      <c r="C83" s="2" t="s">
        <v>238</v>
      </c>
      <c r="D83" s="8">
        <f>VLOOKUP($A83,cuotas!$A$5:$E$209,4,0)-SUMIFS(ingresos!$C:$C,ingresos!$F:$F,saldo!$A83,ingresos!$G:$G,saldo!D$5)</f>
        <v>0</v>
      </c>
      <c r="E83" s="8">
        <f>VLOOKUP($A83,cuotas!$A$5:$E$209,5,0)-SUMIFS(ingresos!$C:$C,ingresos!$F:$F,saldo!$A83,ingresos!$G:$G,saldo!E$5)</f>
        <v>388.31</v>
      </c>
      <c r="F83" s="9">
        <f t="shared" si="1"/>
        <v>388.31</v>
      </c>
    </row>
    <row r="84" spans="1:6" x14ac:dyDescent="0.25">
      <c r="A84" s="2" t="s">
        <v>239</v>
      </c>
      <c r="B84" s="7" t="s">
        <v>240</v>
      </c>
      <c r="C84" s="2" t="s">
        <v>241</v>
      </c>
      <c r="D84" s="8">
        <f>VLOOKUP($A84,cuotas!$A$5:$E$209,4,0)-SUMIFS(ingresos!$C:$C,ingresos!$F:$F,saldo!$A84,ingresos!$G:$G,saldo!D$5)</f>
        <v>277.75</v>
      </c>
      <c r="E84" s="8">
        <f>VLOOKUP($A84,cuotas!$A$5:$E$209,5,0)-SUMIFS(ingresos!$C:$C,ingresos!$F:$F,saldo!$A84,ingresos!$G:$G,saldo!E$5)</f>
        <v>266.27999999999997</v>
      </c>
      <c r="F84" s="9">
        <f t="shared" si="1"/>
        <v>544.03</v>
      </c>
    </row>
    <row r="85" spans="1:6" hidden="1" x14ac:dyDescent="0.25">
      <c r="A85" s="2" t="s">
        <v>242</v>
      </c>
      <c r="B85" s="7" t="s">
        <v>243</v>
      </c>
      <c r="C85" s="2" t="s">
        <v>244</v>
      </c>
      <c r="D85" s="8">
        <f>VLOOKUP($A85,cuotas!$A$5:$E$209,4,0)-SUMIFS(ingresos!$C:$C,ingresos!$F:$F,saldo!$A85,ingresos!$G:$G,saldo!D$5)</f>
        <v>0</v>
      </c>
      <c r="E85" s="8">
        <f>VLOOKUP($A85,cuotas!$A$5:$E$209,5,0)-SUMIFS(ingresos!$C:$C,ingresos!$F:$F,saldo!$A85,ingresos!$G:$G,saldo!E$5)</f>
        <v>0</v>
      </c>
      <c r="F85" s="9">
        <f t="shared" si="1"/>
        <v>0</v>
      </c>
    </row>
    <row r="86" spans="1:6" x14ac:dyDescent="0.25">
      <c r="A86" s="2" t="s">
        <v>245</v>
      </c>
      <c r="B86" s="7" t="s">
        <v>246</v>
      </c>
      <c r="C86" s="2" t="s">
        <v>247</v>
      </c>
      <c r="D86" s="8">
        <f>VLOOKUP($A86,cuotas!$A$5:$E$209,4,0)-SUMIFS(ingresos!$C:$C,ingresos!$F:$F,saldo!$A86,ingresos!$G:$G,saldo!D$5)</f>
        <v>176.66</v>
      </c>
      <c r="E86" s="8">
        <f>VLOOKUP($A86,cuotas!$A$5:$E$209,5,0)-SUMIFS(ingresos!$C:$C,ingresos!$F:$F,saldo!$A86,ingresos!$G:$G,saldo!E$5)</f>
        <v>165.15</v>
      </c>
      <c r="F86" s="9">
        <f t="shared" si="1"/>
        <v>341.81</v>
      </c>
    </row>
    <row r="87" spans="1:6" hidden="1" x14ac:dyDescent="0.25">
      <c r="A87" s="2" t="s">
        <v>248</v>
      </c>
      <c r="B87" s="7" t="s">
        <v>249</v>
      </c>
      <c r="C87" s="2" t="s">
        <v>250</v>
      </c>
      <c r="D87" s="8">
        <f>VLOOKUP($A87,cuotas!$A$5:$E$209,4,0)-SUMIFS(ingresos!$C:$C,ingresos!$F:$F,saldo!$A87,ingresos!$G:$G,saldo!D$5)</f>
        <v>0</v>
      </c>
      <c r="E87" s="8">
        <f>VLOOKUP($A87,cuotas!$A$5:$E$209,5,0)-SUMIFS(ingresos!$C:$C,ingresos!$F:$F,saldo!$A87,ingresos!$G:$G,saldo!E$5)</f>
        <v>0</v>
      </c>
      <c r="F87" s="9">
        <f t="shared" si="1"/>
        <v>0</v>
      </c>
    </row>
    <row r="88" spans="1:6" x14ac:dyDescent="0.25">
      <c r="A88" s="2" t="s">
        <v>251</v>
      </c>
      <c r="B88" s="7" t="s">
        <v>252</v>
      </c>
      <c r="C88" s="2" t="s">
        <v>253</v>
      </c>
      <c r="D88" s="8">
        <f>VLOOKUP($A88,cuotas!$A$5:$E$209,4,0)-SUMIFS(ingresos!$C:$C,ingresos!$F:$F,saldo!$A88,ingresos!$G:$G,saldo!D$5)</f>
        <v>0</v>
      </c>
      <c r="E88" s="8">
        <f>VLOOKUP($A88,cuotas!$A$5:$E$209,5,0)-SUMIFS(ingresos!$C:$C,ingresos!$F:$F,saldo!$A88,ingresos!$G:$G,saldo!E$5)</f>
        <v>379.01</v>
      </c>
      <c r="F88" s="9">
        <f t="shared" si="1"/>
        <v>379.01</v>
      </c>
    </row>
    <row r="89" spans="1:6" x14ac:dyDescent="0.25">
      <c r="A89" s="2" t="s">
        <v>254</v>
      </c>
      <c r="B89" s="7" t="s">
        <v>255</v>
      </c>
      <c r="C89" s="2" t="s">
        <v>256</v>
      </c>
      <c r="D89" s="8">
        <f>VLOOKUP($A89,cuotas!$A$5:$E$209,4,0)-SUMIFS(ingresos!$C:$C,ingresos!$F:$F,saldo!$A89,ingresos!$G:$G,saldo!D$5)</f>
        <v>0</v>
      </c>
      <c r="E89" s="8">
        <f>VLOOKUP($A89,cuotas!$A$5:$E$209,5,0)-SUMIFS(ingresos!$C:$C,ingresos!$F:$F,saldo!$A89,ingresos!$G:$G,saldo!E$5)</f>
        <v>349.63</v>
      </c>
      <c r="F89" s="9">
        <f t="shared" si="1"/>
        <v>349.63</v>
      </c>
    </row>
    <row r="90" spans="1:6" x14ac:dyDescent="0.25">
      <c r="A90" s="2" t="s">
        <v>257</v>
      </c>
      <c r="B90" s="7" t="s">
        <v>258</v>
      </c>
      <c r="C90" s="2" t="s">
        <v>259</v>
      </c>
      <c r="D90" s="8">
        <f>VLOOKUP($A90,cuotas!$A$5:$E$209,4,0)-SUMIFS(ingresos!$C:$C,ingresos!$F:$F,saldo!$A90,ingresos!$G:$G,saldo!D$5)</f>
        <v>953.72</v>
      </c>
      <c r="E90" s="8">
        <f>VLOOKUP($A90,cuotas!$A$5:$E$209,5,0)-SUMIFS(ingresos!$C:$C,ingresos!$F:$F,saldo!$A90,ingresos!$G:$G,saldo!E$5)</f>
        <v>385.86</v>
      </c>
      <c r="F90" s="9">
        <f t="shared" si="1"/>
        <v>1339.58</v>
      </c>
    </row>
    <row r="91" spans="1:6" x14ac:dyDescent="0.25">
      <c r="A91" s="2" t="s">
        <v>260</v>
      </c>
      <c r="B91" s="7" t="s">
        <v>261</v>
      </c>
      <c r="C91" s="2" t="s">
        <v>262</v>
      </c>
      <c r="D91" s="8">
        <f>VLOOKUP($A91,cuotas!$A$5:$E$209,4,0)-SUMIFS(ingresos!$C:$C,ingresos!$F:$F,saldo!$A91,ingresos!$G:$G,saldo!D$5)</f>
        <v>0</v>
      </c>
      <c r="E91" s="8">
        <f>VLOOKUP($A91,cuotas!$A$5:$E$209,5,0)-SUMIFS(ingresos!$C:$C,ingresos!$F:$F,saldo!$A91,ingresos!$G:$G,saldo!E$5)</f>
        <v>366.5</v>
      </c>
      <c r="F91" s="9">
        <f t="shared" si="1"/>
        <v>366.5</v>
      </c>
    </row>
    <row r="92" spans="1:6" x14ac:dyDescent="0.25">
      <c r="A92" s="2" t="s">
        <v>263</v>
      </c>
      <c r="B92" s="7" t="s">
        <v>264</v>
      </c>
      <c r="C92" s="2" t="s">
        <v>265</v>
      </c>
      <c r="D92" s="8">
        <f>VLOOKUP($A92,cuotas!$A$5:$E$209,4,0)-SUMIFS(ingresos!$C:$C,ingresos!$F:$F,saldo!$A92,ingresos!$G:$G,saldo!D$5)</f>
        <v>0</v>
      </c>
      <c r="E92" s="8">
        <f>VLOOKUP($A92,cuotas!$A$5:$E$209,5,0)-SUMIFS(ingresos!$C:$C,ingresos!$F:$F,saldo!$A92,ingresos!$G:$G,saldo!E$5)</f>
        <v>352.6</v>
      </c>
      <c r="F92" s="9">
        <f t="shared" si="1"/>
        <v>352.6</v>
      </c>
    </row>
    <row r="93" spans="1:6" x14ac:dyDescent="0.25">
      <c r="A93" s="2" t="s">
        <v>266</v>
      </c>
      <c r="B93" s="7" t="s">
        <v>267</v>
      </c>
      <c r="C93" s="2" t="s">
        <v>268</v>
      </c>
      <c r="D93" s="8">
        <f>VLOOKUP($A93,cuotas!$A$5:$E$209,4,0)-SUMIFS(ingresos!$C:$C,ingresos!$F:$F,saldo!$A93,ingresos!$G:$G,saldo!D$5)</f>
        <v>417.55999999999995</v>
      </c>
      <c r="E93" s="8">
        <f>VLOOKUP($A93,cuotas!$A$5:$E$209,5,0)-SUMIFS(ingresos!$C:$C,ingresos!$F:$F,saldo!$A93,ingresos!$G:$G,saldo!E$5)</f>
        <v>184.04</v>
      </c>
      <c r="F93" s="9">
        <f t="shared" si="1"/>
        <v>601.59999999999991</v>
      </c>
    </row>
    <row r="94" spans="1:6" x14ac:dyDescent="0.25">
      <c r="A94" s="2" t="s">
        <v>269</v>
      </c>
      <c r="B94" s="7" t="s">
        <v>270</v>
      </c>
      <c r="C94" s="2" t="s">
        <v>271</v>
      </c>
      <c r="D94" s="8">
        <f>VLOOKUP($A94,cuotas!$A$5:$E$209,4,0)-SUMIFS(ingresos!$C:$C,ingresos!$F:$F,saldo!$A94,ingresos!$G:$G,saldo!D$5)</f>
        <v>0</v>
      </c>
      <c r="E94" s="8">
        <f>VLOOKUP($A94,cuotas!$A$5:$E$209,5,0)-SUMIFS(ingresos!$C:$C,ingresos!$F:$F,saldo!$A94,ingresos!$G:$G,saldo!E$5)</f>
        <v>394.26</v>
      </c>
      <c r="F94" s="9">
        <f t="shared" si="1"/>
        <v>394.26</v>
      </c>
    </row>
    <row r="95" spans="1:6" hidden="1" x14ac:dyDescent="0.25">
      <c r="A95" s="2" t="s">
        <v>272</v>
      </c>
      <c r="B95" s="7" t="s">
        <v>273</v>
      </c>
      <c r="C95" s="2" t="s">
        <v>274</v>
      </c>
      <c r="D95" s="8">
        <f>VLOOKUP($A95,cuotas!$A$5:$E$209,4,0)-SUMIFS(ingresos!$C:$C,ingresos!$F:$F,saldo!$A95,ingresos!$G:$G,saldo!D$5)</f>
        <v>2.87</v>
      </c>
      <c r="E95" s="8">
        <f>VLOOKUP($A95,cuotas!$A$5:$E$209,5,0)-SUMIFS(ingresos!$C:$C,ingresos!$F:$F,saldo!$A95,ingresos!$G:$G,saldo!E$5)</f>
        <v>-12.020000000000039</v>
      </c>
      <c r="F95" s="9">
        <f t="shared" si="1"/>
        <v>-9.1500000000000377</v>
      </c>
    </row>
    <row r="96" spans="1:6" hidden="1" x14ac:dyDescent="0.25">
      <c r="A96" s="2" t="s">
        <v>275</v>
      </c>
      <c r="B96" s="7" t="s">
        <v>276</v>
      </c>
      <c r="C96" s="2" t="s">
        <v>277</v>
      </c>
      <c r="D96" s="8">
        <f>VLOOKUP($A96,cuotas!$A$5:$E$209,4,0)-SUMIFS(ingresos!$C:$C,ingresos!$F:$F,saldo!$A96,ingresos!$G:$G,saldo!D$5)</f>
        <v>0</v>
      </c>
      <c r="E96" s="8">
        <f>VLOOKUP($A96,cuotas!$A$5:$E$209,5,0)-SUMIFS(ingresos!$C:$C,ingresos!$F:$F,saldo!$A96,ingresos!$G:$G,saldo!E$5)</f>
        <v>0</v>
      </c>
      <c r="F96" s="9">
        <f t="shared" si="1"/>
        <v>0</v>
      </c>
    </row>
    <row r="97" spans="1:6" hidden="1" x14ac:dyDescent="0.25">
      <c r="A97" s="2" t="s">
        <v>278</v>
      </c>
      <c r="B97" s="7" t="s">
        <v>279</v>
      </c>
      <c r="C97" s="2" t="s">
        <v>280</v>
      </c>
      <c r="D97" s="8">
        <f>VLOOKUP($A97,cuotas!$A$5:$E$209,4,0)-SUMIFS(ingresos!$C:$C,ingresos!$F:$F,saldo!$A97,ingresos!$G:$G,saldo!D$5)</f>
        <v>0</v>
      </c>
      <c r="E97" s="8">
        <f>VLOOKUP($A97,cuotas!$A$5:$E$209,5,0)-SUMIFS(ingresos!$C:$C,ingresos!$F:$F,saldo!$A97,ingresos!$G:$G,saldo!E$5)</f>
        <v>-4.5400000000000205</v>
      </c>
      <c r="F97" s="9">
        <f t="shared" si="1"/>
        <v>-4.5400000000000205</v>
      </c>
    </row>
    <row r="98" spans="1:6" x14ac:dyDescent="0.25">
      <c r="A98" s="2" t="s">
        <v>281</v>
      </c>
      <c r="B98" s="7" t="s">
        <v>282</v>
      </c>
      <c r="C98" s="2" t="s">
        <v>283</v>
      </c>
      <c r="D98" s="8">
        <f>VLOOKUP($A98,cuotas!$A$5:$E$209,4,0)-SUMIFS(ingresos!$C:$C,ingresos!$F:$F,saldo!$A98,ingresos!$G:$G,saldo!D$5)</f>
        <v>251.45</v>
      </c>
      <c r="E98" s="8">
        <f>VLOOKUP($A98,cuotas!$A$5:$E$209,5,0)-SUMIFS(ingresos!$C:$C,ingresos!$F:$F,saldo!$A98,ingresos!$G:$G,saldo!E$5)</f>
        <v>238.23</v>
      </c>
      <c r="F98" s="9">
        <f t="shared" si="1"/>
        <v>489.67999999999995</v>
      </c>
    </row>
    <row r="99" spans="1:6" hidden="1" x14ac:dyDescent="0.25">
      <c r="A99" s="2" t="s">
        <v>284</v>
      </c>
      <c r="B99" s="7" t="s">
        <v>285</v>
      </c>
      <c r="C99" s="2" t="s">
        <v>286</v>
      </c>
      <c r="D99" s="8">
        <f>VLOOKUP($A99,cuotas!$A$5:$E$209,4,0)-SUMIFS(ingresos!$C:$C,ingresos!$F:$F,saldo!$A99,ingresos!$G:$G,saldo!D$5)</f>
        <v>0</v>
      </c>
      <c r="E99" s="8">
        <f>VLOOKUP($A99,cuotas!$A$5:$E$209,5,0)-SUMIFS(ingresos!$C:$C,ingresos!$F:$F,saldo!$A99,ingresos!$G:$G,saldo!E$5)</f>
        <v>0</v>
      </c>
      <c r="F99" s="9">
        <f t="shared" si="1"/>
        <v>0</v>
      </c>
    </row>
    <row r="100" spans="1:6" hidden="1" x14ac:dyDescent="0.25">
      <c r="A100" s="2" t="s">
        <v>287</v>
      </c>
      <c r="B100" s="7" t="s">
        <v>288</v>
      </c>
      <c r="C100" s="2" t="s">
        <v>289</v>
      </c>
      <c r="D100" s="8">
        <f>VLOOKUP($A100,cuotas!$A$5:$E$209,4,0)-SUMIFS(ingresos!$C:$C,ingresos!$F:$F,saldo!$A100,ingresos!$G:$G,saldo!D$5)</f>
        <v>0</v>
      </c>
      <c r="E100" s="8">
        <f>VLOOKUP($A100,cuotas!$A$5:$E$209,5,0)-SUMIFS(ingresos!$C:$C,ingresos!$F:$F,saldo!$A100,ingresos!$G:$G,saldo!E$5)</f>
        <v>0</v>
      </c>
      <c r="F100" s="9">
        <f t="shared" si="1"/>
        <v>0</v>
      </c>
    </row>
    <row r="101" spans="1:6" hidden="1" x14ac:dyDescent="0.25">
      <c r="A101" s="2" t="s">
        <v>290</v>
      </c>
      <c r="B101" s="7" t="s">
        <v>291</v>
      </c>
      <c r="C101" s="2" t="s">
        <v>292</v>
      </c>
      <c r="D101" s="8">
        <f>VLOOKUP($A101,cuotas!$A$5:$E$209,4,0)-SUMIFS(ingresos!$C:$C,ingresos!$F:$F,saldo!$A101,ingresos!$G:$G,saldo!D$5)</f>
        <v>0</v>
      </c>
      <c r="E101" s="8">
        <f>VLOOKUP($A101,cuotas!$A$5:$E$209,5,0)-SUMIFS(ingresos!$C:$C,ingresos!$F:$F,saldo!$A101,ingresos!$G:$G,saldo!E$5)</f>
        <v>0</v>
      </c>
      <c r="F101" s="9">
        <f t="shared" si="1"/>
        <v>0</v>
      </c>
    </row>
    <row r="102" spans="1:6" hidden="1" x14ac:dyDescent="0.25">
      <c r="A102" s="2" t="s">
        <v>293</v>
      </c>
      <c r="B102" s="7" t="s">
        <v>294</v>
      </c>
      <c r="C102" s="2" t="s">
        <v>295</v>
      </c>
      <c r="D102" s="8">
        <f>VLOOKUP($A102,cuotas!$A$5:$E$209,4,0)-SUMIFS(ingresos!$C:$C,ingresos!$F:$F,saldo!$A102,ingresos!$G:$G,saldo!D$5)</f>
        <v>0</v>
      </c>
      <c r="E102" s="8">
        <f>VLOOKUP($A102,cuotas!$A$5:$E$209,5,0)-SUMIFS(ingresos!$C:$C,ingresos!$F:$F,saldo!$A102,ingresos!$G:$G,saldo!E$5)</f>
        <v>0</v>
      </c>
      <c r="F102" s="9">
        <f t="shared" si="1"/>
        <v>0</v>
      </c>
    </row>
    <row r="103" spans="1:6" x14ac:dyDescent="0.25">
      <c r="A103" s="2" t="s">
        <v>296</v>
      </c>
      <c r="B103" s="7" t="s">
        <v>297</v>
      </c>
      <c r="C103" s="2" t="s">
        <v>298</v>
      </c>
      <c r="D103" s="8">
        <f>VLOOKUP($A103,cuotas!$A$5:$E$209,4,0)-SUMIFS(ingresos!$C:$C,ingresos!$F:$F,saldo!$A103,ingresos!$G:$G,saldo!D$5)</f>
        <v>1206.96</v>
      </c>
      <c r="E103" s="8">
        <f>VLOOKUP($A103,cuotas!$A$5:$E$209,5,0)-SUMIFS(ingresos!$C:$C,ingresos!$F:$F,saldo!$A103,ingresos!$G:$G,saldo!E$5)</f>
        <v>291.19</v>
      </c>
      <c r="F103" s="9">
        <f t="shared" si="1"/>
        <v>1498.15</v>
      </c>
    </row>
    <row r="104" spans="1:6" x14ac:dyDescent="0.25">
      <c r="A104" s="2" t="s">
        <v>299</v>
      </c>
      <c r="B104" s="7" t="s">
        <v>300</v>
      </c>
      <c r="C104" s="2" t="s">
        <v>301</v>
      </c>
      <c r="D104" s="8">
        <f>VLOOKUP($A104,cuotas!$A$5:$E$209,4,0)-SUMIFS(ingresos!$C:$C,ingresos!$F:$F,saldo!$A104,ingresos!$G:$G,saldo!D$5)</f>
        <v>758.14</v>
      </c>
      <c r="E104" s="8">
        <f>VLOOKUP($A104,cuotas!$A$5:$E$209,5,0)-SUMIFS(ingresos!$C:$C,ingresos!$F:$F,saldo!$A104,ingresos!$G:$G,saldo!E$5)</f>
        <v>376.4</v>
      </c>
      <c r="F104" s="9">
        <f t="shared" si="1"/>
        <v>1134.54</v>
      </c>
    </row>
    <row r="105" spans="1:6" x14ac:dyDescent="0.25">
      <c r="A105" s="2" t="s">
        <v>302</v>
      </c>
      <c r="B105" s="7" t="s">
        <v>303</v>
      </c>
      <c r="C105" s="2" t="s">
        <v>304</v>
      </c>
      <c r="D105" s="8">
        <f>VLOOKUP($A105,cuotas!$A$5:$E$209,4,0)-SUMIFS(ingresos!$C:$C,ingresos!$F:$F,saldo!$A105,ingresos!$G:$G,saldo!D$5)</f>
        <v>-0.06</v>
      </c>
      <c r="E105" s="8">
        <f>VLOOKUP($A105,cuotas!$A$5:$E$209,5,0)-SUMIFS(ingresos!$C:$C,ingresos!$F:$F,saldo!$A105,ingresos!$G:$G,saldo!E$5)</f>
        <v>588.46</v>
      </c>
      <c r="F105" s="9">
        <f t="shared" si="1"/>
        <v>588.40000000000009</v>
      </c>
    </row>
    <row r="106" spans="1:6" hidden="1" x14ac:dyDescent="0.25">
      <c r="A106" s="2" t="s">
        <v>305</v>
      </c>
      <c r="B106" s="7" t="s">
        <v>306</v>
      </c>
      <c r="C106" s="2" t="s">
        <v>307</v>
      </c>
      <c r="D106" s="8">
        <f>VLOOKUP($A106,cuotas!$A$5:$E$209,4,0)-SUMIFS(ingresos!$C:$C,ingresos!$F:$F,saldo!$A106,ingresos!$G:$G,saldo!D$5)</f>
        <v>0</v>
      </c>
      <c r="E106" s="8">
        <f>VLOOKUP($A106,cuotas!$A$5:$E$209,5,0)-SUMIFS(ingresos!$C:$C,ingresos!$F:$F,saldo!$A106,ingresos!$G:$G,saldo!E$5)</f>
        <v>0</v>
      </c>
      <c r="F106" s="9">
        <f t="shared" si="1"/>
        <v>0</v>
      </c>
    </row>
    <row r="107" spans="1:6" hidden="1" x14ac:dyDescent="0.25">
      <c r="A107" s="2" t="s">
        <v>308</v>
      </c>
      <c r="B107" s="7" t="s">
        <v>309</v>
      </c>
      <c r="C107" s="2" t="s">
        <v>310</v>
      </c>
      <c r="D107" s="8">
        <f>VLOOKUP($A107,cuotas!$A$5:$E$209,4,0)-SUMIFS(ingresos!$C:$C,ingresos!$F:$F,saldo!$A107,ingresos!$G:$G,saldo!D$5)</f>
        <v>-9.24</v>
      </c>
      <c r="E107" s="8">
        <f>VLOOKUP($A107,cuotas!$A$5:$E$209,5,0)-SUMIFS(ingresos!$C:$C,ingresos!$F:$F,saldo!$A107,ingresos!$G:$G,saldo!E$5)</f>
        <v>0</v>
      </c>
      <c r="F107" s="9">
        <f t="shared" si="1"/>
        <v>-9.24</v>
      </c>
    </row>
    <row r="108" spans="1:6" x14ac:dyDescent="0.25">
      <c r="A108" s="2" t="s">
        <v>311</v>
      </c>
      <c r="B108" s="7" t="s">
        <v>312</v>
      </c>
      <c r="C108" s="2" t="s">
        <v>313</v>
      </c>
      <c r="D108" s="8">
        <f>VLOOKUP($A108,cuotas!$A$5:$E$209,4,0)-SUMIFS(ingresos!$C:$C,ingresos!$F:$F,saldo!$A108,ingresos!$G:$G,saldo!D$5)</f>
        <v>0</v>
      </c>
      <c r="E108" s="8">
        <f>VLOOKUP($A108,cuotas!$A$5:$E$209,5,0)-SUMIFS(ingresos!$C:$C,ingresos!$F:$F,saldo!$A108,ingresos!$G:$G,saldo!E$5)</f>
        <v>363.38</v>
      </c>
      <c r="F108" s="9">
        <f t="shared" si="1"/>
        <v>363.38</v>
      </c>
    </row>
    <row r="109" spans="1:6" x14ac:dyDescent="0.25">
      <c r="A109" s="2" t="s">
        <v>314</v>
      </c>
      <c r="B109" s="7" t="s">
        <v>315</v>
      </c>
      <c r="C109" s="2" t="s">
        <v>316</v>
      </c>
      <c r="D109" s="8">
        <f>VLOOKUP($A109,cuotas!$A$5:$E$209,4,0)-SUMIFS(ingresos!$C:$C,ingresos!$F:$F,saldo!$A109,ingresos!$G:$G,saldo!D$5)</f>
        <v>0</v>
      </c>
      <c r="E109" s="8">
        <f>VLOOKUP($A109,cuotas!$A$5:$E$209,5,0)-SUMIFS(ingresos!$C:$C,ingresos!$F:$F,saldo!$A109,ingresos!$G:$G,saldo!E$5)</f>
        <v>170.87</v>
      </c>
      <c r="F109" s="9">
        <f t="shared" si="1"/>
        <v>170.87</v>
      </c>
    </row>
    <row r="110" spans="1:6" x14ac:dyDescent="0.25">
      <c r="A110" s="2" t="s">
        <v>317</v>
      </c>
      <c r="B110" s="7" t="s">
        <v>318</v>
      </c>
      <c r="C110" s="2" t="s">
        <v>319</v>
      </c>
      <c r="D110" s="8">
        <f>VLOOKUP($A110,cuotas!$A$5:$E$209,4,0)-SUMIFS(ingresos!$C:$C,ingresos!$F:$F,saldo!$A110,ingresos!$G:$G,saldo!D$5)</f>
        <v>0</v>
      </c>
      <c r="E110" s="8">
        <f>VLOOKUP($A110,cuotas!$A$5:$E$209,5,0)-SUMIFS(ingresos!$C:$C,ingresos!$F:$F,saldo!$A110,ingresos!$G:$G,saldo!E$5)</f>
        <v>326.42</v>
      </c>
      <c r="F110" s="9">
        <f t="shared" si="1"/>
        <v>326.42</v>
      </c>
    </row>
    <row r="111" spans="1:6" hidden="1" x14ac:dyDescent="0.25">
      <c r="A111" s="2" t="s">
        <v>320</v>
      </c>
      <c r="B111" s="7" t="s">
        <v>321</v>
      </c>
      <c r="C111" s="2" t="s">
        <v>322</v>
      </c>
      <c r="D111" s="8">
        <f>VLOOKUP($A111,cuotas!$A$5:$E$209,4,0)-SUMIFS(ingresos!$C:$C,ingresos!$F:$F,saldo!$A111,ingresos!$G:$G,saldo!D$5)</f>
        <v>0</v>
      </c>
      <c r="E111" s="8">
        <f>VLOOKUP($A111,cuotas!$A$5:$E$209,5,0)-SUMIFS(ingresos!$C:$C,ingresos!$F:$F,saldo!$A111,ingresos!$G:$G,saldo!E$5)</f>
        <v>0</v>
      </c>
      <c r="F111" s="9">
        <f t="shared" si="1"/>
        <v>0</v>
      </c>
    </row>
    <row r="112" spans="1:6" hidden="1" x14ac:dyDescent="0.25">
      <c r="A112" s="2" t="s">
        <v>323</v>
      </c>
      <c r="B112" s="7" t="s">
        <v>324</v>
      </c>
      <c r="C112" s="2" t="s">
        <v>325</v>
      </c>
      <c r="D112" s="8">
        <f>VLOOKUP($A112,cuotas!$A$5:$E$209,4,0)-SUMIFS(ingresos!$C:$C,ingresos!$F:$F,saldo!$A112,ingresos!$G:$G,saldo!D$5)</f>
        <v>0</v>
      </c>
      <c r="E112" s="8">
        <f>VLOOKUP($A112,cuotas!$A$5:$E$209,5,0)-SUMIFS(ingresos!$C:$C,ingresos!$F:$F,saldo!$A112,ingresos!$G:$G,saldo!E$5)</f>
        <v>0</v>
      </c>
      <c r="F112" s="9">
        <f t="shared" si="1"/>
        <v>0</v>
      </c>
    </row>
    <row r="113" spans="1:6" x14ac:dyDescent="0.25">
      <c r="A113" s="2" t="s">
        <v>326</v>
      </c>
      <c r="B113" s="7" t="s">
        <v>327</v>
      </c>
      <c r="C113" s="2" t="s">
        <v>328</v>
      </c>
      <c r="D113" s="8">
        <f>VLOOKUP($A113,cuotas!$A$5:$E$209,4,0)-SUMIFS(ingresos!$C:$C,ingresos!$F:$F,saldo!$A113,ingresos!$G:$G,saldo!D$5)</f>
        <v>291.32</v>
      </c>
      <c r="E113" s="8">
        <f>VLOOKUP($A113,cuotas!$A$5:$E$209,5,0)-SUMIFS(ingresos!$C:$C,ingresos!$F:$F,saldo!$A113,ingresos!$G:$G,saldo!E$5)</f>
        <v>276.32</v>
      </c>
      <c r="F113" s="9">
        <f t="shared" si="1"/>
        <v>567.64</v>
      </c>
    </row>
    <row r="114" spans="1:6" hidden="1" x14ac:dyDescent="0.25">
      <c r="A114" s="2" t="s">
        <v>329</v>
      </c>
      <c r="B114" s="7" t="s">
        <v>330</v>
      </c>
      <c r="C114" s="2" t="s">
        <v>331</v>
      </c>
      <c r="D114" s="8">
        <f>VLOOKUP($A114,cuotas!$A$5:$E$209,4,0)-SUMIFS(ingresos!$C:$C,ingresos!$F:$F,saldo!$A114,ingresos!$G:$G,saldo!D$5)</f>
        <v>0</v>
      </c>
      <c r="E114" s="8">
        <f>VLOOKUP($A114,cuotas!$A$5:$E$209,5,0)-SUMIFS(ingresos!$C:$C,ingresos!$F:$F,saldo!$A114,ingresos!$G:$G,saldo!E$5)</f>
        <v>0</v>
      </c>
      <c r="F114" s="9">
        <f t="shared" si="1"/>
        <v>0</v>
      </c>
    </row>
    <row r="115" spans="1:6" x14ac:dyDescent="0.25">
      <c r="A115" s="2" t="s">
        <v>332</v>
      </c>
      <c r="B115" s="7" t="s">
        <v>333</v>
      </c>
      <c r="C115" s="2" t="s">
        <v>334</v>
      </c>
      <c r="D115" s="8">
        <f>VLOOKUP($A115,cuotas!$A$5:$E$209,4,0)-SUMIFS(ingresos!$C:$C,ingresos!$F:$F,saldo!$A115,ingresos!$G:$G,saldo!D$5)</f>
        <v>535.13</v>
      </c>
      <c r="E115" s="8">
        <f>VLOOKUP($A115,cuotas!$A$5:$E$209,5,0)-SUMIFS(ingresos!$C:$C,ingresos!$F:$F,saldo!$A115,ingresos!$G:$G,saldo!E$5)</f>
        <v>253.11</v>
      </c>
      <c r="F115" s="9">
        <f t="shared" si="1"/>
        <v>788.24</v>
      </c>
    </row>
    <row r="116" spans="1:6" hidden="1" x14ac:dyDescent="0.25">
      <c r="A116" s="2" t="s">
        <v>335</v>
      </c>
      <c r="B116" s="7" t="s">
        <v>336</v>
      </c>
      <c r="C116" s="2" t="s">
        <v>337</v>
      </c>
      <c r="D116" s="8">
        <f>VLOOKUP($A116,cuotas!$A$5:$E$209,4,0)-SUMIFS(ingresos!$C:$C,ingresos!$F:$F,saldo!$A116,ingresos!$G:$G,saldo!D$5)</f>
        <v>0</v>
      </c>
      <c r="E116" s="8">
        <f>VLOOKUP($A116,cuotas!$A$5:$E$209,5,0)-SUMIFS(ingresos!$C:$C,ingresos!$F:$F,saldo!$A116,ingresos!$G:$G,saldo!E$5)</f>
        <v>0</v>
      </c>
      <c r="F116" s="9">
        <f t="shared" si="1"/>
        <v>0</v>
      </c>
    </row>
    <row r="117" spans="1:6" x14ac:dyDescent="0.25">
      <c r="A117" s="2" t="s">
        <v>338</v>
      </c>
      <c r="B117" s="7" t="s">
        <v>339</v>
      </c>
      <c r="C117" s="2" t="s">
        <v>340</v>
      </c>
      <c r="D117" s="8">
        <f>VLOOKUP($A117,cuotas!$A$5:$E$209,4,0)-SUMIFS(ingresos!$C:$C,ingresos!$F:$F,saldo!$A117,ingresos!$G:$G,saldo!D$5)</f>
        <v>235.52</v>
      </c>
      <c r="E117" s="8">
        <f>VLOOKUP($A117,cuotas!$A$5:$E$209,5,0)-SUMIFS(ingresos!$C:$C,ingresos!$F:$F,saldo!$A117,ingresos!$G:$G,saldo!E$5)</f>
        <v>0</v>
      </c>
      <c r="F117" s="9">
        <f t="shared" si="1"/>
        <v>235.52</v>
      </c>
    </row>
    <row r="118" spans="1:6" x14ac:dyDescent="0.25">
      <c r="A118" s="2" t="s">
        <v>341</v>
      </c>
      <c r="B118" s="7" t="s">
        <v>342</v>
      </c>
      <c r="C118" s="2" t="s">
        <v>343</v>
      </c>
      <c r="D118" s="8">
        <f>VLOOKUP($A118,cuotas!$A$5:$E$209,4,0)-SUMIFS(ingresos!$C:$C,ingresos!$F:$F,saldo!$A118,ingresos!$G:$G,saldo!D$5)</f>
        <v>1356.34</v>
      </c>
      <c r="E118" s="8">
        <f>VLOOKUP($A118,cuotas!$A$5:$E$209,5,0)-SUMIFS(ingresos!$C:$C,ingresos!$F:$F,saldo!$A118,ingresos!$G:$G,saldo!E$5)</f>
        <v>427.25</v>
      </c>
      <c r="F118" s="9">
        <f t="shared" si="1"/>
        <v>1783.59</v>
      </c>
    </row>
    <row r="119" spans="1:6" hidden="1" x14ac:dyDescent="0.25">
      <c r="A119" s="2" t="s">
        <v>344</v>
      </c>
      <c r="B119" s="7" t="s">
        <v>345</v>
      </c>
      <c r="C119" s="2" t="s">
        <v>346</v>
      </c>
      <c r="D119" s="8">
        <f>VLOOKUP($A119,cuotas!$A$5:$E$209,4,0)-SUMIFS(ingresos!$C:$C,ingresos!$F:$F,saldo!$A119,ingresos!$G:$G,saldo!D$5)</f>
        <v>1970.3</v>
      </c>
      <c r="E119" s="8">
        <f>VLOOKUP($A119,cuotas!$A$5:$E$209,5,0)-SUMIFS(ingresos!$C:$C,ingresos!$F:$F,saldo!$A119,ingresos!$G:$G,saldo!E$5)</f>
        <v>-1970.3000000000002</v>
      </c>
      <c r="F119" s="9">
        <f t="shared" si="1"/>
        <v>0</v>
      </c>
    </row>
    <row r="120" spans="1:6" hidden="1" x14ac:dyDescent="0.25">
      <c r="A120" s="2" t="s">
        <v>347</v>
      </c>
      <c r="B120" s="7" t="s">
        <v>348</v>
      </c>
      <c r="C120" s="2" t="s">
        <v>349</v>
      </c>
      <c r="D120" s="8">
        <f>VLOOKUP($A120,cuotas!$A$5:$E$209,4,0)-SUMIFS(ingresos!$C:$C,ingresos!$F:$F,saldo!$A120,ingresos!$G:$G,saldo!D$5)</f>
        <v>0</v>
      </c>
      <c r="E120" s="8">
        <f>VLOOKUP($A120,cuotas!$A$5:$E$209,5,0)-SUMIFS(ingresos!$C:$C,ingresos!$F:$F,saldo!$A120,ingresos!$G:$G,saldo!E$5)</f>
        <v>0</v>
      </c>
      <c r="F120" s="9">
        <f t="shared" si="1"/>
        <v>0</v>
      </c>
    </row>
    <row r="121" spans="1:6" hidden="1" x14ac:dyDescent="0.25">
      <c r="A121" s="2" t="s">
        <v>350</v>
      </c>
      <c r="B121" s="7" t="s">
        <v>351</v>
      </c>
      <c r="C121" s="2" t="s">
        <v>352</v>
      </c>
      <c r="D121" s="8">
        <f>VLOOKUP($A121,cuotas!$A$5:$E$209,4,0)-SUMIFS(ingresos!$C:$C,ingresos!$F:$F,saldo!$A121,ingresos!$G:$G,saldo!D$5)</f>
        <v>0</v>
      </c>
      <c r="E121" s="8">
        <f>VLOOKUP($A121,cuotas!$A$5:$E$209,5,0)-SUMIFS(ingresos!$C:$C,ingresos!$F:$F,saldo!$A121,ingresos!$G:$G,saldo!E$5)</f>
        <v>0</v>
      </c>
      <c r="F121" s="9">
        <f t="shared" si="1"/>
        <v>0</v>
      </c>
    </row>
    <row r="122" spans="1:6" x14ac:dyDescent="0.25">
      <c r="A122" s="2" t="s">
        <v>353</v>
      </c>
      <c r="B122" s="7" t="s">
        <v>354</v>
      </c>
      <c r="C122" s="2" t="s">
        <v>355</v>
      </c>
      <c r="D122" s="8">
        <f>VLOOKUP($A122,cuotas!$A$5:$E$209,4,0)-SUMIFS(ingresos!$C:$C,ingresos!$F:$F,saldo!$A122,ingresos!$G:$G,saldo!D$5)</f>
        <v>502.37</v>
      </c>
      <c r="E122" s="8">
        <f>VLOOKUP($A122,cuotas!$A$5:$E$209,5,0)-SUMIFS(ingresos!$C:$C,ingresos!$F:$F,saldo!$A122,ingresos!$G:$G,saldo!E$5)</f>
        <v>282.7</v>
      </c>
      <c r="F122" s="9">
        <f t="shared" si="1"/>
        <v>785.06999999999994</v>
      </c>
    </row>
    <row r="123" spans="1:6" hidden="1" x14ac:dyDescent="0.25">
      <c r="A123" s="2" t="s">
        <v>356</v>
      </c>
      <c r="B123" s="7" t="s">
        <v>357</v>
      </c>
      <c r="C123" s="2" t="s">
        <v>358</v>
      </c>
      <c r="D123" s="8">
        <f>VLOOKUP($A123,cuotas!$A$5:$E$209,4,0)-SUMIFS(ingresos!$C:$C,ingresos!$F:$F,saldo!$A123,ingresos!$G:$G,saldo!D$5)</f>
        <v>0</v>
      </c>
      <c r="E123" s="8">
        <f>VLOOKUP($A123,cuotas!$A$5:$E$209,5,0)-SUMIFS(ingresos!$C:$C,ingresos!$F:$F,saldo!$A123,ingresos!$G:$G,saldo!E$5)</f>
        <v>0</v>
      </c>
      <c r="F123" s="9">
        <f t="shared" si="1"/>
        <v>0</v>
      </c>
    </row>
    <row r="124" spans="1:6" hidden="1" x14ac:dyDescent="0.25">
      <c r="A124" s="2" t="s">
        <v>359</v>
      </c>
      <c r="B124" s="7" t="s">
        <v>360</v>
      </c>
      <c r="C124" s="2" t="s">
        <v>361</v>
      </c>
      <c r="D124" s="8">
        <f>VLOOKUP($A124,cuotas!$A$5:$E$209,4,0)-SUMIFS(ingresos!$C:$C,ingresos!$F:$F,saldo!$A124,ingresos!$G:$G,saldo!D$5)</f>
        <v>-553.29</v>
      </c>
      <c r="E124" s="8">
        <f>VLOOKUP($A124,cuotas!$A$5:$E$209,5,0)-SUMIFS(ingresos!$C:$C,ingresos!$F:$F,saldo!$A124,ingresos!$G:$G,saldo!E$5)</f>
        <v>465.19</v>
      </c>
      <c r="F124" s="9">
        <f t="shared" si="1"/>
        <v>-88.099999999999966</v>
      </c>
    </row>
    <row r="125" spans="1:6" x14ac:dyDescent="0.25">
      <c r="A125" s="2" t="s">
        <v>362</v>
      </c>
      <c r="B125" s="7" t="s">
        <v>363</v>
      </c>
      <c r="C125" s="2" t="s">
        <v>364</v>
      </c>
      <c r="D125" s="8">
        <f>VLOOKUP($A125,cuotas!$A$5:$E$209,4,0)-SUMIFS(ingresos!$C:$C,ingresos!$F:$F,saldo!$A125,ingresos!$G:$G,saldo!D$5)</f>
        <v>0</v>
      </c>
      <c r="E125" s="8">
        <f>VLOOKUP($A125,cuotas!$A$5:$E$209,5,0)-SUMIFS(ingresos!$C:$C,ingresos!$F:$F,saldo!$A125,ingresos!$G:$G,saldo!E$5)</f>
        <v>373.43</v>
      </c>
      <c r="F125" s="9">
        <f t="shared" si="1"/>
        <v>373.43</v>
      </c>
    </row>
    <row r="126" spans="1:6" hidden="1" x14ac:dyDescent="0.25">
      <c r="A126" s="2" t="s">
        <v>365</v>
      </c>
      <c r="B126" s="7" t="s">
        <v>366</v>
      </c>
      <c r="C126" s="2" t="s">
        <v>367</v>
      </c>
      <c r="D126" s="8">
        <f>VLOOKUP($A126,cuotas!$A$5:$E$209,4,0)-SUMIFS(ingresos!$C:$C,ingresos!$F:$F,saldo!$A126,ingresos!$G:$G,saldo!D$5)</f>
        <v>0</v>
      </c>
      <c r="E126" s="8">
        <f>VLOOKUP($A126,cuotas!$A$5:$E$209,5,0)-SUMIFS(ingresos!$C:$C,ingresos!$F:$F,saldo!$A126,ingresos!$G:$G,saldo!E$5)</f>
        <v>0</v>
      </c>
      <c r="F126" s="9">
        <f t="shared" si="1"/>
        <v>0</v>
      </c>
    </row>
    <row r="127" spans="1:6" hidden="1" x14ac:dyDescent="0.25">
      <c r="A127" s="2" t="s">
        <v>368</v>
      </c>
      <c r="B127" s="7" t="s">
        <v>369</v>
      </c>
      <c r="C127" s="2" t="s">
        <v>370</v>
      </c>
      <c r="D127" s="8">
        <f>VLOOKUP($A127,cuotas!$A$5:$E$209,4,0)-SUMIFS(ingresos!$C:$C,ingresos!$F:$F,saldo!$A127,ingresos!$G:$G,saldo!D$5)</f>
        <v>-1.38</v>
      </c>
      <c r="E127" s="8">
        <f>VLOOKUP($A127,cuotas!$A$5:$E$209,5,0)-SUMIFS(ingresos!$C:$C,ingresos!$F:$F,saldo!$A127,ingresos!$G:$G,saldo!E$5)</f>
        <v>0</v>
      </c>
      <c r="F127" s="9">
        <f t="shared" si="1"/>
        <v>-1.38</v>
      </c>
    </row>
    <row r="128" spans="1:6" x14ac:dyDescent="0.25">
      <c r="A128" s="2" t="s">
        <v>371</v>
      </c>
      <c r="B128" s="7" t="s">
        <v>372</v>
      </c>
      <c r="C128" s="2" t="s">
        <v>373</v>
      </c>
      <c r="D128" s="8">
        <f>VLOOKUP($A128,cuotas!$A$5:$E$209,4,0)-SUMIFS(ingresos!$C:$C,ingresos!$F:$F,saldo!$A128,ingresos!$G:$G,saldo!D$5)</f>
        <v>119.51999999999998</v>
      </c>
      <c r="E128" s="8">
        <f>VLOOKUP($A128,cuotas!$A$5:$E$209,5,0)-SUMIFS(ingresos!$C:$C,ingresos!$F:$F,saldo!$A128,ingresos!$G:$G,saldo!E$5)</f>
        <v>172.37</v>
      </c>
      <c r="F128" s="9">
        <f t="shared" si="1"/>
        <v>291.89</v>
      </c>
    </row>
    <row r="129" spans="1:6" x14ac:dyDescent="0.25">
      <c r="A129" s="2" t="s">
        <v>374</v>
      </c>
      <c r="B129" s="7" t="s">
        <v>375</v>
      </c>
      <c r="C129" s="2" t="s">
        <v>376</v>
      </c>
      <c r="D129" s="8">
        <f>VLOOKUP($A129,cuotas!$A$5:$E$209,4,0)-SUMIFS(ingresos!$C:$C,ingresos!$F:$F,saldo!$A129,ingresos!$G:$G,saldo!D$5)</f>
        <v>182.47000000000003</v>
      </c>
      <c r="E129" s="8">
        <f>VLOOKUP($A129,cuotas!$A$5:$E$209,5,0)-SUMIFS(ingresos!$C:$C,ingresos!$F:$F,saldo!$A129,ingresos!$G:$G,saldo!E$5)</f>
        <v>297.08999999999997</v>
      </c>
      <c r="F129" s="9">
        <f t="shared" si="1"/>
        <v>479.56</v>
      </c>
    </row>
    <row r="130" spans="1:6" hidden="1" x14ac:dyDescent="0.25">
      <c r="A130" s="2" t="s">
        <v>377</v>
      </c>
      <c r="B130" s="7" t="s">
        <v>378</v>
      </c>
      <c r="C130" s="2" t="s">
        <v>379</v>
      </c>
      <c r="D130" s="8">
        <f>VLOOKUP($A130,cuotas!$A$5:$E$209,4,0)-SUMIFS(ingresos!$C:$C,ingresos!$F:$F,saldo!$A130,ingresos!$G:$G,saldo!D$5)</f>
        <v>0</v>
      </c>
      <c r="E130" s="8">
        <f>VLOOKUP($A130,cuotas!$A$5:$E$209,5,0)-SUMIFS(ingresos!$C:$C,ingresos!$F:$F,saldo!$A130,ingresos!$G:$G,saldo!E$5)</f>
        <v>0</v>
      </c>
      <c r="F130" s="9">
        <f t="shared" si="1"/>
        <v>0</v>
      </c>
    </row>
    <row r="131" spans="1:6" x14ac:dyDescent="0.25">
      <c r="A131" s="2" t="s">
        <v>380</v>
      </c>
      <c r="B131" s="7" t="s">
        <v>381</v>
      </c>
      <c r="C131" s="2" t="s">
        <v>382</v>
      </c>
      <c r="D131" s="8">
        <f>VLOOKUP($A131,cuotas!$A$5:$E$209,4,0)-SUMIFS(ingresos!$C:$C,ingresos!$F:$F,saldo!$A131,ingresos!$G:$G,saldo!D$5)</f>
        <v>0</v>
      </c>
      <c r="E131" s="8">
        <f>VLOOKUP($A131,cuotas!$A$5:$E$209,5,0)-SUMIFS(ingresos!$C:$C,ingresos!$F:$F,saldo!$A131,ingresos!$G:$G,saldo!E$5)</f>
        <v>422.1</v>
      </c>
      <c r="F131" s="9">
        <f t="shared" si="1"/>
        <v>422.1</v>
      </c>
    </row>
    <row r="132" spans="1:6" x14ac:dyDescent="0.25">
      <c r="A132" s="2" t="s">
        <v>383</v>
      </c>
      <c r="B132" s="7" t="s">
        <v>384</v>
      </c>
      <c r="C132" s="2" t="s">
        <v>385</v>
      </c>
      <c r="D132" s="8">
        <f>VLOOKUP($A132,cuotas!$A$5:$E$209,4,0)-SUMIFS(ingresos!$C:$C,ingresos!$F:$F,saldo!$A132,ingresos!$G:$G,saldo!D$5)</f>
        <v>0</v>
      </c>
      <c r="E132" s="8">
        <f>VLOOKUP($A132,cuotas!$A$5:$E$209,5,0)-SUMIFS(ingresos!$C:$C,ingresos!$F:$F,saldo!$A132,ingresos!$G:$G,saldo!E$5)</f>
        <v>358.31</v>
      </c>
      <c r="F132" s="9">
        <f t="shared" si="1"/>
        <v>358.31</v>
      </c>
    </row>
    <row r="133" spans="1:6" hidden="1" x14ac:dyDescent="0.25">
      <c r="A133" s="2" t="s">
        <v>386</v>
      </c>
      <c r="B133" s="7" t="s">
        <v>387</v>
      </c>
      <c r="C133" s="2" t="s">
        <v>388</v>
      </c>
      <c r="D133" s="8">
        <f>VLOOKUP($A133,cuotas!$A$5:$E$209,4,0)-SUMIFS(ingresos!$C:$C,ingresos!$F:$F,saldo!$A133,ingresos!$G:$G,saldo!D$5)</f>
        <v>0</v>
      </c>
      <c r="E133" s="8">
        <f>VLOOKUP($A133,cuotas!$A$5:$E$209,5,0)-SUMIFS(ingresos!$C:$C,ingresos!$F:$F,saldo!$A133,ingresos!$G:$G,saldo!E$5)</f>
        <v>0</v>
      </c>
      <c r="F133" s="9">
        <f t="shared" si="1"/>
        <v>0</v>
      </c>
    </row>
    <row r="134" spans="1:6" hidden="1" x14ac:dyDescent="0.25">
      <c r="A134" s="2" t="s">
        <v>389</v>
      </c>
      <c r="B134" s="7" t="s">
        <v>390</v>
      </c>
      <c r="C134" s="2" t="s">
        <v>391</v>
      </c>
      <c r="D134" s="8">
        <f>VLOOKUP($A134,cuotas!$A$5:$E$209,4,0)-SUMIFS(ingresos!$C:$C,ingresos!$F:$F,saldo!$A134,ingresos!$G:$G,saldo!D$5)</f>
        <v>0</v>
      </c>
      <c r="E134" s="8">
        <f>VLOOKUP($A134,cuotas!$A$5:$E$209,5,0)-SUMIFS(ingresos!$C:$C,ingresos!$F:$F,saldo!$A134,ingresos!$G:$G,saldo!E$5)</f>
        <v>0</v>
      </c>
      <c r="F134" s="9">
        <f t="shared" si="1"/>
        <v>0</v>
      </c>
    </row>
    <row r="135" spans="1:6" hidden="1" x14ac:dyDescent="0.25">
      <c r="A135" s="2" t="s">
        <v>392</v>
      </c>
      <c r="B135" s="7" t="s">
        <v>393</v>
      </c>
      <c r="C135" s="2" t="s">
        <v>394</v>
      </c>
      <c r="D135" s="8">
        <f>VLOOKUP($A135,cuotas!$A$5:$E$209,4,0)-SUMIFS(ingresos!$C:$C,ingresos!$F:$F,saldo!$A135,ingresos!$G:$G,saldo!D$5)</f>
        <v>0</v>
      </c>
      <c r="E135" s="8">
        <f>VLOOKUP($A135,cuotas!$A$5:$E$209,5,0)-SUMIFS(ingresos!$C:$C,ingresos!$F:$F,saldo!$A135,ingresos!$G:$G,saldo!E$5)</f>
        <v>0</v>
      </c>
      <c r="F135" s="9">
        <f t="shared" ref="F135:F198" si="2">SUM(D135:E135)</f>
        <v>0</v>
      </c>
    </row>
    <row r="136" spans="1:6" x14ac:dyDescent="0.25">
      <c r="A136" s="2" t="s">
        <v>395</v>
      </c>
      <c r="B136" s="7" t="s">
        <v>396</v>
      </c>
      <c r="C136" s="2" t="s">
        <v>397</v>
      </c>
      <c r="D136" s="8">
        <f>VLOOKUP($A136,cuotas!$A$5:$E$209,4,0)-SUMIFS(ingresos!$C:$C,ingresos!$F:$F,saldo!$A136,ingresos!$G:$G,saldo!D$5)</f>
        <v>0</v>
      </c>
      <c r="E136" s="8">
        <f>VLOOKUP($A136,cuotas!$A$5:$E$209,5,0)-SUMIFS(ingresos!$C:$C,ingresos!$F:$F,saldo!$A136,ingresos!$G:$G,saldo!E$5)</f>
        <v>244.18</v>
      </c>
      <c r="F136" s="9">
        <f t="shared" si="2"/>
        <v>244.18</v>
      </c>
    </row>
    <row r="137" spans="1:6" x14ac:dyDescent="0.25">
      <c r="A137" s="2" t="s">
        <v>398</v>
      </c>
      <c r="B137" s="7" t="s">
        <v>399</v>
      </c>
      <c r="C137" s="2" t="s">
        <v>400</v>
      </c>
      <c r="D137" s="8">
        <f>VLOOKUP($A137,cuotas!$A$5:$E$209,4,0)-SUMIFS(ingresos!$C:$C,ingresos!$F:$F,saldo!$A137,ingresos!$G:$G,saldo!D$5)</f>
        <v>1332.57</v>
      </c>
      <c r="E137" s="8">
        <f>VLOOKUP($A137,cuotas!$A$5:$E$209,5,0)-SUMIFS(ingresos!$C:$C,ingresos!$F:$F,saldo!$A137,ingresos!$G:$G,saldo!E$5)</f>
        <v>309.04000000000002</v>
      </c>
      <c r="F137" s="9">
        <f t="shared" si="2"/>
        <v>1641.61</v>
      </c>
    </row>
    <row r="138" spans="1:6" x14ac:dyDescent="0.25">
      <c r="A138" s="2" t="s">
        <v>401</v>
      </c>
      <c r="B138" s="7" t="s">
        <v>402</v>
      </c>
      <c r="C138" s="2" t="s">
        <v>403</v>
      </c>
      <c r="D138" s="8">
        <f>VLOOKUP($A138,cuotas!$A$5:$E$209,4,0)-SUMIFS(ingresos!$C:$C,ingresos!$F:$F,saldo!$A138,ingresos!$G:$G,saldo!D$5)</f>
        <v>1388.13</v>
      </c>
      <c r="E138" s="8">
        <f>VLOOKUP($A138,cuotas!$A$5:$E$209,5,0)-SUMIFS(ingresos!$C:$C,ingresos!$F:$F,saldo!$A138,ingresos!$G:$G,saldo!E$5)</f>
        <v>265.01</v>
      </c>
      <c r="F138" s="9">
        <f t="shared" si="2"/>
        <v>1653.14</v>
      </c>
    </row>
    <row r="139" spans="1:6" hidden="1" x14ac:dyDescent="0.25">
      <c r="A139" s="2" t="s">
        <v>404</v>
      </c>
      <c r="B139" s="7" t="s">
        <v>405</v>
      </c>
      <c r="C139" s="2" t="s">
        <v>406</v>
      </c>
      <c r="D139" s="8">
        <f>VLOOKUP($A139,cuotas!$A$5:$E$209,4,0)-SUMIFS(ingresos!$C:$C,ingresos!$F:$F,saldo!$A139,ingresos!$G:$G,saldo!D$5)</f>
        <v>-18.84</v>
      </c>
      <c r="E139" s="8">
        <f>VLOOKUP($A139,cuotas!$A$5:$E$209,5,0)-SUMIFS(ingresos!$C:$C,ingresos!$F:$F,saldo!$A139,ingresos!$G:$G,saldo!E$5)</f>
        <v>0</v>
      </c>
      <c r="F139" s="9">
        <f t="shared" si="2"/>
        <v>-18.84</v>
      </c>
    </row>
    <row r="140" spans="1:6" x14ac:dyDescent="0.25">
      <c r="A140" s="2" t="s">
        <v>407</v>
      </c>
      <c r="B140" s="7" t="s">
        <v>408</v>
      </c>
      <c r="C140" s="2" t="s">
        <v>409</v>
      </c>
      <c r="D140" s="8">
        <f>VLOOKUP($A140,cuotas!$A$5:$E$209,4,0)-SUMIFS(ingresos!$C:$C,ingresos!$F:$F,saldo!$A140,ingresos!$G:$G,saldo!D$5)</f>
        <v>365.88</v>
      </c>
      <c r="E140" s="8">
        <f>VLOOKUP($A140,cuotas!$A$5:$E$209,5,0)-SUMIFS(ingresos!$C:$C,ingresos!$F:$F,saldo!$A140,ingresos!$G:$G,saldo!E$5)</f>
        <v>361.53</v>
      </c>
      <c r="F140" s="9">
        <f t="shared" si="2"/>
        <v>727.41</v>
      </c>
    </row>
    <row r="141" spans="1:6" x14ac:dyDescent="0.25">
      <c r="A141" s="2" t="s">
        <v>410</v>
      </c>
      <c r="B141" s="7" t="s">
        <v>411</v>
      </c>
      <c r="C141" s="2" t="s">
        <v>412</v>
      </c>
      <c r="D141" s="8">
        <f>VLOOKUP($A141,cuotas!$A$5:$E$209,4,0)-SUMIFS(ingresos!$C:$C,ingresos!$F:$F,saldo!$A141,ingresos!$G:$G,saldo!D$5)</f>
        <v>3.0900000000000318</v>
      </c>
      <c r="E141" s="8">
        <f>VLOOKUP($A141,cuotas!$A$5:$E$209,5,0)-SUMIFS(ingresos!$C:$C,ingresos!$F:$F,saldo!$A141,ingresos!$G:$G,saldo!E$5)</f>
        <v>238.23</v>
      </c>
      <c r="F141" s="9">
        <f t="shared" si="2"/>
        <v>241.32000000000002</v>
      </c>
    </row>
    <row r="142" spans="1:6" hidden="1" x14ac:dyDescent="0.25">
      <c r="A142" s="2" t="s">
        <v>413</v>
      </c>
      <c r="B142" s="7" t="s">
        <v>414</v>
      </c>
      <c r="C142" s="2" t="s">
        <v>415</v>
      </c>
      <c r="D142" s="8">
        <f>VLOOKUP($A142,cuotas!$A$5:$E$209,4,0)-SUMIFS(ingresos!$C:$C,ingresos!$F:$F,saldo!$A142,ingresos!$G:$G,saldo!D$5)</f>
        <v>0</v>
      </c>
      <c r="E142" s="8">
        <f>VLOOKUP($A142,cuotas!$A$5:$E$209,5,0)-SUMIFS(ingresos!$C:$C,ingresos!$F:$F,saldo!$A142,ingresos!$G:$G,saldo!E$5)</f>
        <v>0</v>
      </c>
      <c r="F142" s="9">
        <f t="shared" si="2"/>
        <v>0</v>
      </c>
    </row>
    <row r="143" spans="1:6" hidden="1" x14ac:dyDescent="0.25">
      <c r="A143" s="2" t="s">
        <v>416</v>
      </c>
      <c r="B143" s="7" t="s">
        <v>417</v>
      </c>
      <c r="C143" s="2" t="s">
        <v>418</v>
      </c>
      <c r="D143" s="8">
        <f>VLOOKUP($A143,cuotas!$A$5:$E$209,4,0)-SUMIFS(ingresos!$C:$C,ingresos!$F:$F,saldo!$A143,ingresos!$G:$G,saldo!D$5)</f>
        <v>0</v>
      </c>
      <c r="E143" s="8">
        <f>VLOOKUP($A143,cuotas!$A$5:$E$209,5,0)-SUMIFS(ingresos!$C:$C,ingresos!$F:$F,saldo!$A143,ingresos!$G:$G,saldo!E$5)</f>
        <v>0</v>
      </c>
      <c r="F143" s="9">
        <f t="shared" si="2"/>
        <v>0</v>
      </c>
    </row>
    <row r="144" spans="1:6" x14ac:dyDescent="0.25">
      <c r="A144" s="2" t="s">
        <v>419</v>
      </c>
      <c r="B144" s="7" t="s">
        <v>420</v>
      </c>
      <c r="C144" s="2" t="s">
        <v>421</v>
      </c>
      <c r="D144" s="8">
        <f>VLOOKUP($A144,cuotas!$A$5:$E$209,4,0)-SUMIFS(ingresos!$C:$C,ingresos!$F:$F,saldo!$A144,ingresos!$G:$G,saldo!D$5)</f>
        <v>0</v>
      </c>
      <c r="E144" s="8">
        <f>VLOOKUP($A144,cuotas!$A$5:$E$209,5,0)-SUMIFS(ingresos!$C:$C,ingresos!$F:$F,saldo!$A144,ingresos!$G:$G,saldo!E$5)</f>
        <v>161.68</v>
      </c>
      <c r="F144" s="9">
        <f t="shared" si="2"/>
        <v>161.68</v>
      </c>
    </row>
    <row r="145" spans="1:6" x14ac:dyDescent="0.25">
      <c r="A145" s="2" t="s">
        <v>422</v>
      </c>
      <c r="B145" s="7" t="s">
        <v>423</v>
      </c>
      <c r="C145" s="2" t="s">
        <v>424</v>
      </c>
      <c r="D145" s="8">
        <f>VLOOKUP($A145,cuotas!$A$5:$E$209,4,0)-SUMIFS(ingresos!$C:$C,ingresos!$F:$F,saldo!$A145,ingresos!$G:$G,saldo!D$5)</f>
        <v>80.52</v>
      </c>
      <c r="E145" s="8">
        <f>VLOOKUP($A145,cuotas!$A$5:$E$209,5,0)-SUMIFS(ingresos!$C:$C,ingresos!$F:$F,saldo!$A145,ingresos!$G:$G,saldo!E$5)</f>
        <v>76.290000000000006</v>
      </c>
      <c r="F145" s="9">
        <f t="shared" si="2"/>
        <v>156.81</v>
      </c>
    </row>
    <row r="146" spans="1:6" x14ac:dyDescent="0.25">
      <c r="A146" s="2" t="s">
        <v>425</v>
      </c>
      <c r="B146" s="7" t="s">
        <v>426</v>
      </c>
      <c r="C146" s="2" t="s">
        <v>427</v>
      </c>
      <c r="D146" s="8">
        <f>VLOOKUP($A146,cuotas!$A$5:$E$209,4,0)-SUMIFS(ingresos!$C:$C,ingresos!$F:$F,saldo!$A146,ingresos!$G:$G,saldo!D$5)</f>
        <v>0</v>
      </c>
      <c r="E146" s="8">
        <f>VLOOKUP($A146,cuotas!$A$5:$E$209,5,0)-SUMIFS(ingresos!$C:$C,ingresos!$F:$F,saldo!$A146,ingresos!$G:$G,saldo!E$5)</f>
        <v>179.8</v>
      </c>
      <c r="F146" s="9">
        <f t="shared" si="2"/>
        <v>179.8</v>
      </c>
    </row>
    <row r="147" spans="1:6" hidden="1" x14ac:dyDescent="0.25">
      <c r="A147" s="2" t="s">
        <v>428</v>
      </c>
      <c r="B147" s="7" t="s">
        <v>429</v>
      </c>
      <c r="C147" s="2" t="s">
        <v>430</v>
      </c>
      <c r="D147" s="8">
        <f>VLOOKUP($A147,cuotas!$A$5:$E$209,4,0)-SUMIFS(ingresos!$C:$C,ingresos!$F:$F,saldo!$A147,ingresos!$G:$G,saldo!D$5)</f>
        <v>0</v>
      </c>
      <c r="E147" s="8">
        <f>VLOOKUP($A147,cuotas!$A$5:$E$209,5,0)-SUMIFS(ingresos!$C:$C,ingresos!$F:$F,saldo!$A147,ingresos!$G:$G,saldo!E$5)</f>
        <v>0</v>
      </c>
      <c r="F147" s="9">
        <f t="shared" si="2"/>
        <v>0</v>
      </c>
    </row>
    <row r="148" spans="1:6" x14ac:dyDescent="0.25">
      <c r="A148" s="2" t="s">
        <v>431</v>
      </c>
      <c r="B148" s="7" t="s">
        <v>432</v>
      </c>
      <c r="C148" s="2" t="s">
        <v>433</v>
      </c>
      <c r="D148" s="8">
        <f>VLOOKUP($A148,cuotas!$A$5:$E$209,4,0)-SUMIFS(ingresos!$C:$C,ingresos!$F:$F,saldo!$A148,ingresos!$G:$G,saldo!D$5)</f>
        <v>8509.02</v>
      </c>
      <c r="E148" s="8">
        <f>VLOOKUP($A148,cuotas!$A$5:$E$209,5,0)-SUMIFS(ingresos!$C:$C,ingresos!$F:$F,saldo!$A148,ingresos!$G:$G,saldo!E$5)</f>
        <v>273.38</v>
      </c>
      <c r="F148" s="9">
        <f t="shared" si="2"/>
        <v>8782.4</v>
      </c>
    </row>
    <row r="149" spans="1:6" x14ac:dyDescent="0.25">
      <c r="A149" s="2" t="s">
        <v>434</v>
      </c>
      <c r="B149" s="7" t="s">
        <v>435</v>
      </c>
      <c r="C149" s="2" t="s">
        <v>436</v>
      </c>
      <c r="D149" s="8">
        <f>VLOOKUP($A149,cuotas!$A$5:$E$209,4,0)-SUMIFS(ingresos!$C:$C,ingresos!$F:$F,saldo!$A149,ingresos!$G:$G,saldo!D$5)</f>
        <v>251.45</v>
      </c>
      <c r="E149" s="8">
        <f>VLOOKUP($A149,cuotas!$A$5:$E$209,5,0)-SUMIFS(ingresos!$C:$C,ingresos!$F:$F,saldo!$A149,ingresos!$G:$G,saldo!E$5)</f>
        <v>259.06</v>
      </c>
      <c r="F149" s="9">
        <f t="shared" si="2"/>
        <v>510.51</v>
      </c>
    </row>
    <row r="150" spans="1:6" hidden="1" x14ac:dyDescent="0.25">
      <c r="A150" s="2" t="s">
        <v>437</v>
      </c>
      <c r="B150" s="7" t="s">
        <v>438</v>
      </c>
      <c r="C150" s="2" t="s">
        <v>439</v>
      </c>
      <c r="D150" s="8">
        <f>VLOOKUP($A150,cuotas!$A$5:$E$209,4,0)-SUMIFS(ingresos!$C:$C,ingresos!$F:$F,saldo!$A150,ingresos!$G:$G,saldo!D$5)</f>
        <v>-11.71</v>
      </c>
      <c r="E150" s="8">
        <f>VLOOKUP($A150,cuotas!$A$5:$E$209,5,0)-SUMIFS(ingresos!$C:$C,ingresos!$F:$F,saldo!$A150,ingresos!$G:$G,saldo!E$5)</f>
        <v>0</v>
      </c>
      <c r="F150" s="9">
        <f t="shared" si="2"/>
        <v>-11.71</v>
      </c>
    </row>
    <row r="151" spans="1:6" x14ac:dyDescent="0.25">
      <c r="A151" s="2" t="s">
        <v>440</v>
      </c>
      <c r="B151" s="7" t="s">
        <v>441</v>
      </c>
      <c r="C151" s="2" t="s">
        <v>442</v>
      </c>
      <c r="D151" s="8">
        <f>VLOOKUP($A151,cuotas!$A$5:$E$209,4,0)-SUMIFS(ingresos!$C:$C,ingresos!$F:$F,saldo!$A151,ingresos!$G:$G,saldo!D$5)</f>
        <v>-61.019999999999996</v>
      </c>
      <c r="E151" s="8">
        <f>VLOOKUP($A151,cuotas!$A$5:$E$209,5,0)-SUMIFS(ingresos!$C:$C,ingresos!$F:$F,saldo!$A151,ingresos!$G:$G,saldo!E$5)</f>
        <v>198.92</v>
      </c>
      <c r="F151" s="9">
        <f t="shared" si="2"/>
        <v>137.89999999999998</v>
      </c>
    </row>
    <row r="152" spans="1:6" hidden="1" x14ac:dyDescent="0.25">
      <c r="A152" s="2" t="s">
        <v>443</v>
      </c>
      <c r="B152" s="7" t="s">
        <v>444</v>
      </c>
      <c r="C152" s="2" t="s">
        <v>445</v>
      </c>
      <c r="D152" s="8">
        <f>VLOOKUP($A152,cuotas!$A$5:$E$209,4,0)-SUMIFS(ingresos!$C:$C,ingresos!$F:$F,saldo!$A152,ingresos!$G:$G,saldo!D$5)</f>
        <v>0</v>
      </c>
      <c r="E152" s="8">
        <f>VLOOKUP($A152,cuotas!$A$5:$E$209,5,0)-SUMIFS(ingresos!$C:$C,ingresos!$F:$F,saldo!$A152,ingresos!$G:$G,saldo!E$5)</f>
        <v>-33.069999999999993</v>
      </c>
      <c r="F152" s="9">
        <f t="shared" si="2"/>
        <v>-33.069999999999993</v>
      </c>
    </row>
    <row r="153" spans="1:6" x14ac:dyDescent="0.25">
      <c r="A153" s="2" t="s">
        <v>446</v>
      </c>
      <c r="B153" s="7" t="s">
        <v>447</v>
      </c>
      <c r="C153" s="2" t="s">
        <v>448</v>
      </c>
      <c r="D153" s="8">
        <f>VLOOKUP($A153,cuotas!$A$5:$E$209,4,0)-SUMIFS(ingresos!$C:$C,ingresos!$F:$F,saldo!$A153,ingresos!$G:$G,saldo!D$5)</f>
        <v>0</v>
      </c>
      <c r="E153" s="8">
        <f>VLOOKUP($A153,cuotas!$A$5:$E$209,5,0)-SUMIFS(ingresos!$C:$C,ingresos!$F:$F,saldo!$A153,ingresos!$G:$G,saldo!E$5)</f>
        <v>361.53</v>
      </c>
      <c r="F153" s="9">
        <f t="shared" si="2"/>
        <v>361.53</v>
      </c>
    </row>
    <row r="154" spans="1:6" x14ac:dyDescent="0.25">
      <c r="A154" s="2" t="s">
        <v>449</v>
      </c>
      <c r="B154" s="7" t="s">
        <v>450</v>
      </c>
      <c r="C154" s="2" t="s">
        <v>451</v>
      </c>
      <c r="D154" s="8">
        <f>VLOOKUP($A154,cuotas!$A$5:$E$209,4,0)-SUMIFS(ingresos!$C:$C,ingresos!$F:$F,saldo!$A154,ingresos!$G:$G,saldo!D$5)</f>
        <v>2607.02</v>
      </c>
      <c r="E154" s="8">
        <f>VLOOKUP($A154,cuotas!$A$5:$E$209,5,0)-SUMIFS(ingresos!$C:$C,ingresos!$F:$F,saldo!$A154,ingresos!$G:$G,saldo!E$5)</f>
        <v>273.33999999999997</v>
      </c>
      <c r="F154" s="9">
        <f t="shared" si="2"/>
        <v>2880.36</v>
      </c>
    </row>
    <row r="155" spans="1:6" hidden="1" x14ac:dyDescent="0.25">
      <c r="A155" s="2" t="s">
        <v>452</v>
      </c>
      <c r="B155" s="7" t="s">
        <v>453</v>
      </c>
      <c r="C155" s="2" t="s">
        <v>454</v>
      </c>
      <c r="D155" s="8">
        <f>VLOOKUP($A155,cuotas!$A$5:$E$209,4,0)-SUMIFS(ingresos!$C:$C,ingresos!$F:$F,saldo!$A155,ingresos!$G:$G,saldo!D$5)</f>
        <v>0</v>
      </c>
      <c r="E155" s="8">
        <f>VLOOKUP($A155,cuotas!$A$5:$E$209,5,0)-SUMIFS(ingresos!$C:$C,ingresos!$F:$F,saldo!$A155,ingresos!$G:$G,saldo!E$5)</f>
        <v>0</v>
      </c>
      <c r="F155" s="9">
        <f t="shared" si="2"/>
        <v>0</v>
      </c>
    </row>
    <row r="156" spans="1:6" x14ac:dyDescent="0.25">
      <c r="A156" s="2" t="s">
        <v>455</v>
      </c>
      <c r="B156" s="7" t="s">
        <v>456</v>
      </c>
      <c r="C156" s="2" t="s">
        <v>457</v>
      </c>
      <c r="D156" s="8">
        <f>VLOOKUP($A156,cuotas!$A$5:$E$209,4,0)-SUMIFS(ingresos!$C:$C,ingresos!$F:$F,saldo!$A156,ingresos!$G:$G,saldo!D$5)</f>
        <v>387.26</v>
      </c>
      <c r="E156" s="8">
        <f>VLOOKUP($A156,cuotas!$A$5:$E$209,5,0)-SUMIFS(ingresos!$C:$C,ingresos!$F:$F,saldo!$A156,ingresos!$G:$G,saldo!E$5)</f>
        <v>374.41</v>
      </c>
      <c r="F156" s="9">
        <f t="shared" si="2"/>
        <v>761.67000000000007</v>
      </c>
    </row>
    <row r="157" spans="1:6" x14ac:dyDescent="0.25">
      <c r="A157" s="2" t="s">
        <v>458</v>
      </c>
      <c r="B157" s="7" t="s">
        <v>459</v>
      </c>
      <c r="C157" s="2" t="s">
        <v>460</v>
      </c>
      <c r="D157" s="8">
        <f>VLOOKUP($A157,cuotas!$A$5:$E$209,4,0)-SUMIFS(ingresos!$C:$C,ingresos!$F:$F,saldo!$A157,ingresos!$G:$G,saldo!D$5)</f>
        <v>1536.73</v>
      </c>
      <c r="E157" s="8">
        <f>VLOOKUP($A157,cuotas!$A$5:$E$209,5,0)-SUMIFS(ingresos!$C:$C,ingresos!$F:$F,saldo!$A157,ingresos!$G:$G,saldo!E$5)</f>
        <v>241.21</v>
      </c>
      <c r="F157" s="9">
        <f t="shared" si="2"/>
        <v>1777.94</v>
      </c>
    </row>
    <row r="158" spans="1:6" x14ac:dyDescent="0.25">
      <c r="A158" s="2" t="s">
        <v>461</v>
      </c>
      <c r="B158" s="7" t="s">
        <v>462</v>
      </c>
      <c r="C158" s="2" t="s">
        <v>463</v>
      </c>
      <c r="D158" s="8">
        <f>VLOOKUP($A158,cuotas!$A$5:$E$209,4,0)-SUMIFS(ingresos!$C:$C,ingresos!$F:$F,saldo!$A158,ingresos!$G:$G,saldo!D$5)</f>
        <v>0</v>
      </c>
      <c r="E158" s="8">
        <f>VLOOKUP($A158,cuotas!$A$5:$E$209,5,0)-SUMIFS(ingresos!$C:$C,ingresos!$F:$F,saldo!$A158,ingresos!$G:$G,saldo!E$5)</f>
        <v>173.85</v>
      </c>
      <c r="F158" s="9">
        <f t="shared" si="2"/>
        <v>173.85</v>
      </c>
    </row>
    <row r="159" spans="1:6" x14ac:dyDescent="0.25">
      <c r="A159" s="2" t="s">
        <v>464</v>
      </c>
      <c r="B159" s="7" t="s">
        <v>465</v>
      </c>
      <c r="C159" s="2" t="s">
        <v>466</v>
      </c>
      <c r="D159" s="8">
        <f>VLOOKUP($A159,cuotas!$A$5:$E$209,4,0)-SUMIFS(ingresos!$C:$C,ingresos!$F:$F,saldo!$A159,ingresos!$G:$G,saldo!D$5)</f>
        <v>910.03</v>
      </c>
      <c r="E159" s="8">
        <f>VLOOKUP($A159,cuotas!$A$5:$E$209,5,0)-SUMIFS(ingresos!$C:$C,ingresos!$F:$F,saldo!$A159,ingresos!$G:$G,saldo!E$5)</f>
        <v>338.77</v>
      </c>
      <c r="F159" s="9">
        <f t="shared" si="2"/>
        <v>1248.8</v>
      </c>
    </row>
    <row r="160" spans="1:6" x14ac:dyDescent="0.25">
      <c r="A160" s="2" t="s">
        <v>467</v>
      </c>
      <c r="B160" s="7" t="s">
        <v>468</v>
      </c>
      <c r="C160" s="2" t="s">
        <v>469</v>
      </c>
      <c r="D160" s="8">
        <f>VLOOKUP($A160,cuotas!$A$5:$E$209,4,0)-SUMIFS(ingresos!$C:$C,ingresos!$F:$F,saldo!$A160,ingresos!$G:$G,saldo!D$5)</f>
        <v>423.24</v>
      </c>
      <c r="E160" s="8">
        <f>VLOOKUP($A160,cuotas!$A$5:$E$209,5,0)-SUMIFS(ingresos!$C:$C,ingresos!$F:$F,saldo!$A160,ingresos!$G:$G,saldo!E$5)</f>
        <v>406.16</v>
      </c>
      <c r="F160" s="9">
        <f t="shared" si="2"/>
        <v>829.40000000000009</v>
      </c>
    </row>
    <row r="161" spans="1:6" hidden="1" x14ac:dyDescent="0.25">
      <c r="A161" s="2" t="s">
        <v>470</v>
      </c>
      <c r="B161" s="7" t="s">
        <v>471</v>
      </c>
      <c r="C161" s="2" t="s">
        <v>472</v>
      </c>
      <c r="D161" s="8">
        <f>VLOOKUP($A161,cuotas!$A$5:$E$209,4,0)-SUMIFS(ingresos!$C:$C,ingresos!$F:$F,saldo!$A161,ingresos!$G:$G,saldo!D$5)</f>
        <v>0</v>
      </c>
      <c r="E161" s="8">
        <f>VLOOKUP($A161,cuotas!$A$5:$E$209,5,0)-SUMIFS(ingresos!$C:$C,ingresos!$F:$F,saldo!$A161,ingresos!$G:$G,saldo!E$5)</f>
        <v>0</v>
      </c>
      <c r="F161" s="9">
        <f t="shared" si="2"/>
        <v>0</v>
      </c>
    </row>
    <row r="162" spans="1:6" x14ac:dyDescent="0.25">
      <c r="A162" s="2" t="s">
        <v>473</v>
      </c>
      <c r="B162" s="7" t="s">
        <v>474</v>
      </c>
      <c r="C162" s="2" t="s">
        <v>475</v>
      </c>
      <c r="D162" s="8">
        <f>VLOOKUP($A162,cuotas!$A$5:$E$209,4,0)-SUMIFS(ingresos!$C:$C,ingresos!$F:$F,saldo!$A162,ingresos!$G:$G,saldo!D$5)</f>
        <v>414.48</v>
      </c>
      <c r="E162" s="8">
        <f>VLOOKUP($A162,cuotas!$A$5:$E$209,5,0)-SUMIFS(ingresos!$C:$C,ingresos!$F:$F,saldo!$A162,ingresos!$G:$G,saldo!E$5)</f>
        <v>0</v>
      </c>
      <c r="F162" s="9">
        <f t="shared" si="2"/>
        <v>414.48</v>
      </c>
    </row>
    <row r="163" spans="1:6" x14ac:dyDescent="0.25">
      <c r="A163" s="2" t="s">
        <v>476</v>
      </c>
      <c r="B163" s="7" t="s">
        <v>477</v>
      </c>
      <c r="C163" s="2" t="s">
        <v>478</v>
      </c>
      <c r="D163" s="8">
        <f>VLOOKUP($A163,cuotas!$A$5:$E$209,4,0)-SUMIFS(ingresos!$C:$C,ingresos!$F:$F,saldo!$A163,ingresos!$G:$G,saldo!D$5)</f>
        <v>0</v>
      </c>
      <c r="E163" s="8">
        <f>VLOOKUP($A163,cuotas!$A$5:$E$209,5,0)-SUMIFS(ingresos!$C:$C,ingresos!$F:$F,saldo!$A163,ingresos!$G:$G,saldo!E$5)</f>
        <v>179.8</v>
      </c>
      <c r="F163" s="9">
        <f t="shared" si="2"/>
        <v>179.8</v>
      </c>
    </row>
    <row r="164" spans="1:6" hidden="1" x14ac:dyDescent="0.25">
      <c r="A164" s="2" t="s">
        <v>479</v>
      </c>
      <c r="B164" s="7" t="s">
        <v>480</v>
      </c>
      <c r="C164" s="2" t="s">
        <v>481</v>
      </c>
      <c r="D164" s="8">
        <f>VLOOKUP($A164,cuotas!$A$5:$E$209,4,0)-SUMIFS(ingresos!$C:$C,ingresos!$F:$F,saldo!$A164,ingresos!$G:$G,saldo!D$5)</f>
        <v>0</v>
      </c>
      <c r="E164" s="8">
        <f>VLOOKUP($A164,cuotas!$A$5:$E$209,5,0)-SUMIFS(ingresos!$C:$C,ingresos!$F:$F,saldo!$A164,ingresos!$G:$G,saldo!E$5)</f>
        <v>0</v>
      </c>
      <c r="F164" s="9">
        <f t="shared" si="2"/>
        <v>0</v>
      </c>
    </row>
    <row r="165" spans="1:6" x14ac:dyDescent="0.25">
      <c r="A165" s="2" t="s">
        <v>482</v>
      </c>
      <c r="B165" s="7" t="s">
        <v>483</v>
      </c>
      <c r="C165" s="2" t="s">
        <v>484</v>
      </c>
      <c r="D165" s="8">
        <f>VLOOKUP($A165,cuotas!$A$5:$E$209,4,0)-SUMIFS(ingresos!$C:$C,ingresos!$F:$F,saldo!$A165,ingresos!$G:$G,saldo!D$5)</f>
        <v>0</v>
      </c>
      <c r="E165" s="8">
        <f>VLOOKUP($A165,cuotas!$A$5:$E$209,5,0)-SUMIFS(ingresos!$C:$C,ingresos!$F:$F,saldo!$A165,ingresos!$G:$G,saldo!E$5)</f>
        <v>163.31</v>
      </c>
      <c r="F165" s="9">
        <f t="shared" si="2"/>
        <v>163.31</v>
      </c>
    </row>
    <row r="166" spans="1:6" hidden="1" x14ac:dyDescent="0.25">
      <c r="A166" s="2" t="s">
        <v>485</v>
      </c>
      <c r="B166" s="7" t="s">
        <v>486</v>
      </c>
      <c r="C166" s="2" t="s">
        <v>487</v>
      </c>
      <c r="D166" s="8">
        <f>VLOOKUP($A166,cuotas!$A$5:$E$209,4,0)-SUMIFS(ingresos!$C:$C,ingresos!$F:$F,saldo!$A166,ingresos!$G:$G,saldo!D$5)</f>
        <v>0</v>
      </c>
      <c r="E166" s="8">
        <f>VLOOKUP($A166,cuotas!$A$5:$E$209,5,0)-SUMIFS(ingresos!$C:$C,ingresos!$F:$F,saldo!$A166,ingresos!$G:$G,saldo!E$5)</f>
        <v>-30.940000000000055</v>
      </c>
      <c r="F166" s="9">
        <f t="shared" si="2"/>
        <v>-30.940000000000055</v>
      </c>
    </row>
    <row r="167" spans="1:6" hidden="1" x14ac:dyDescent="0.25">
      <c r="A167" s="2" t="s">
        <v>488</v>
      </c>
      <c r="B167" s="7" t="s">
        <v>489</v>
      </c>
      <c r="C167" s="2" t="s">
        <v>490</v>
      </c>
      <c r="D167" s="8">
        <f>VLOOKUP($A167,cuotas!$A$5:$E$209,4,0)-SUMIFS(ingresos!$C:$C,ingresos!$F:$F,saldo!$A167,ingresos!$G:$G,saldo!D$5)</f>
        <v>0</v>
      </c>
      <c r="E167" s="8">
        <f>VLOOKUP($A167,cuotas!$A$5:$E$209,5,0)-SUMIFS(ingresos!$C:$C,ingresos!$F:$F,saldo!$A167,ingresos!$G:$G,saldo!E$5)</f>
        <v>0</v>
      </c>
      <c r="F167" s="9">
        <f t="shared" si="2"/>
        <v>0</v>
      </c>
    </row>
    <row r="168" spans="1:6" x14ac:dyDescent="0.25">
      <c r="A168" s="2" t="s">
        <v>491</v>
      </c>
      <c r="B168" s="7" t="s">
        <v>492</v>
      </c>
      <c r="C168" s="2" t="s">
        <v>493</v>
      </c>
      <c r="D168" s="8">
        <f>VLOOKUP($A168,cuotas!$A$5:$E$209,4,0)-SUMIFS(ingresos!$C:$C,ingresos!$F:$F,saldo!$A168,ingresos!$G:$G,saldo!D$5)</f>
        <v>0</v>
      </c>
      <c r="E168" s="8">
        <f>VLOOKUP($A168,cuotas!$A$5:$E$209,5,0)-SUMIFS(ingresos!$C:$C,ingresos!$F:$F,saldo!$A168,ingresos!$G:$G,saldo!E$5)</f>
        <v>250.13</v>
      </c>
      <c r="F168" s="9">
        <f t="shared" si="2"/>
        <v>250.13</v>
      </c>
    </row>
    <row r="169" spans="1:6" x14ac:dyDescent="0.25">
      <c r="A169" s="2" t="s">
        <v>494</v>
      </c>
      <c r="B169" s="7" t="s">
        <v>495</v>
      </c>
      <c r="C169" s="2" t="s">
        <v>496</v>
      </c>
      <c r="D169" s="8">
        <f>VLOOKUP($A169,cuotas!$A$5:$E$209,4,0)-SUMIFS(ingresos!$C:$C,ingresos!$F:$F,saldo!$A169,ingresos!$G:$G,saldo!D$5)</f>
        <v>0</v>
      </c>
      <c r="E169" s="8">
        <f>VLOOKUP($A169,cuotas!$A$5:$E$209,5,0)-SUMIFS(ingresos!$C:$C,ingresos!$F:$F,saldo!$A169,ingresos!$G:$G,saldo!E$5)</f>
        <v>346.65</v>
      </c>
      <c r="F169" s="9">
        <f t="shared" si="2"/>
        <v>346.65</v>
      </c>
    </row>
    <row r="170" spans="1:6" hidden="1" x14ac:dyDescent="0.25">
      <c r="A170" s="2" t="s">
        <v>497</v>
      </c>
      <c r="B170" s="7" t="s">
        <v>498</v>
      </c>
      <c r="C170" s="2" t="s">
        <v>499</v>
      </c>
      <c r="D170" s="8">
        <f>VLOOKUP($A170,cuotas!$A$5:$E$209,4,0)-SUMIFS(ingresos!$C:$C,ingresos!$F:$F,saldo!$A170,ingresos!$G:$G,saldo!D$5)</f>
        <v>0</v>
      </c>
      <c r="E170" s="8">
        <f>VLOOKUP($A170,cuotas!$A$5:$E$209,5,0)-SUMIFS(ingresos!$C:$C,ingresos!$F:$F,saldo!$A170,ingresos!$G:$G,saldo!E$5)</f>
        <v>0</v>
      </c>
      <c r="F170" s="9">
        <f t="shared" si="2"/>
        <v>0</v>
      </c>
    </row>
    <row r="171" spans="1:6" x14ac:dyDescent="0.25">
      <c r="A171" s="2" t="s">
        <v>500</v>
      </c>
      <c r="B171" s="7" t="s">
        <v>501</v>
      </c>
      <c r="C171" s="2" t="s">
        <v>502</v>
      </c>
      <c r="D171" s="8">
        <f>VLOOKUP($A171,cuotas!$A$5:$E$209,4,0)-SUMIFS(ingresos!$C:$C,ingresos!$F:$F,saldo!$A171,ingresos!$G:$G,saldo!D$5)</f>
        <v>36.28</v>
      </c>
      <c r="E171" s="8">
        <f>VLOOKUP($A171,cuotas!$A$5:$E$209,5,0)-SUMIFS(ingresos!$C:$C,ingresos!$F:$F,saldo!$A171,ingresos!$G:$G,saldo!E$5)</f>
        <v>6.710000000000008</v>
      </c>
      <c r="F171" s="9">
        <f t="shared" si="2"/>
        <v>42.990000000000009</v>
      </c>
    </row>
    <row r="172" spans="1:6" x14ac:dyDescent="0.25">
      <c r="A172" s="2" t="s">
        <v>503</v>
      </c>
      <c r="B172" s="7" t="s">
        <v>504</v>
      </c>
      <c r="C172" s="2" t="s">
        <v>505</v>
      </c>
      <c r="D172" s="8">
        <f>VLOOKUP($A172,cuotas!$A$5:$E$209,4,0)-SUMIFS(ingresos!$C:$C,ingresos!$F:$F,saldo!$A172,ingresos!$G:$G,saldo!D$5)</f>
        <v>0</v>
      </c>
      <c r="E172" s="8">
        <f>VLOOKUP($A172,cuotas!$A$5:$E$209,5,0)-SUMIFS(ingresos!$C:$C,ingresos!$F:$F,saldo!$A172,ingresos!$G:$G,saldo!E$5)</f>
        <v>241.21</v>
      </c>
      <c r="F172" s="9">
        <f t="shared" si="2"/>
        <v>241.21</v>
      </c>
    </row>
    <row r="173" spans="1:6" x14ac:dyDescent="0.25">
      <c r="A173" s="2" t="s">
        <v>506</v>
      </c>
      <c r="B173" s="7" t="s">
        <v>507</v>
      </c>
      <c r="C173" s="2" t="s">
        <v>508</v>
      </c>
      <c r="D173" s="8">
        <f>VLOOKUP($A173,cuotas!$A$5:$E$209,4,0)-SUMIFS(ingresos!$C:$C,ingresos!$F:$F,saldo!$A173,ingresos!$G:$G,saldo!D$5)</f>
        <v>190.09000000000003</v>
      </c>
      <c r="E173" s="8">
        <f>VLOOKUP($A173,cuotas!$A$5:$E$209,5,0)-SUMIFS(ingresos!$C:$C,ingresos!$F:$F,saldo!$A173,ingresos!$G:$G,saldo!E$5)</f>
        <v>173.85</v>
      </c>
      <c r="F173" s="9">
        <f t="shared" si="2"/>
        <v>363.94000000000005</v>
      </c>
    </row>
    <row r="174" spans="1:6" x14ac:dyDescent="0.25">
      <c r="A174" s="2" t="s">
        <v>509</v>
      </c>
      <c r="B174" s="7" t="s">
        <v>510</v>
      </c>
      <c r="C174" s="2" t="s">
        <v>511</v>
      </c>
      <c r="D174" s="8">
        <f>VLOOKUP($A174,cuotas!$A$5:$E$209,4,0)-SUMIFS(ingresos!$C:$C,ingresos!$F:$F,saldo!$A174,ingresos!$G:$G,saldo!D$5)</f>
        <v>0</v>
      </c>
      <c r="E174" s="8">
        <f>VLOOKUP($A174,cuotas!$A$5:$E$209,5,0)-SUMIFS(ingresos!$C:$C,ingresos!$F:$F,saldo!$A174,ingresos!$G:$G,saldo!E$5)</f>
        <v>170.87</v>
      </c>
      <c r="F174" s="9">
        <f t="shared" si="2"/>
        <v>170.87</v>
      </c>
    </row>
    <row r="175" spans="1:6" hidden="1" x14ac:dyDescent="0.25">
      <c r="A175" s="2" t="s">
        <v>512</v>
      </c>
      <c r="B175" s="7" t="s">
        <v>513</v>
      </c>
      <c r="C175" s="2" t="s">
        <v>514</v>
      </c>
      <c r="D175" s="8">
        <f>VLOOKUP($A175,cuotas!$A$5:$E$209,4,0)-SUMIFS(ingresos!$C:$C,ingresos!$F:$F,saldo!$A175,ingresos!$G:$G,saldo!D$5)</f>
        <v>0</v>
      </c>
      <c r="E175" s="8">
        <f>VLOOKUP($A175,cuotas!$A$5:$E$209,5,0)-SUMIFS(ingresos!$C:$C,ingresos!$F:$F,saldo!$A175,ingresos!$G:$G,saldo!E$5)</f>
        <v>0</v>
      </c>
      <c r="F175" s="9">
        <f t="shared" si="2"/>
        <v>0</v>
      </c>
    </row>
    <row r="176" spans="1:6" hidden="1" x14ac:dyDescent="0.25">
      <c r="A176" s="2" t="s">
        <v>515</v>
      </c>
      <c r="B176" s="7" t="s">
        <v>516</v>
      </c>
      <c r="C176" s="2" t="s">
        <v>517</v>
      </c>
      <c r="D176" s="8">
        <f>VLOOKUP($A176,cuotas!$A$5:$E$209,4,0)-SUMIFS(ingresos!$C:$C,ingresos!$F:$F,saldo!$A176,ingresos!$G:$G,saldo!D$5)</f>
        <v>0</v>
      </c>
      <c r="E176" s="8">
        <f>VLOOKUP($A176,cuotas!$A$5:$E$209,5,0)-SUMIFS(ingresos!$C:$C,ingresos!$F:$F,saldo!$A176,ingresos!$G:$G,saldo!E$5)</f>
        <v>0</v>
      </c>
      <c r="F176" s="9">
        <f t="shared" si="2"/>
        <v>0</v>
      </c>
    </row>
    <row r="177" spans="1:6" hidden="1" x14ac:dyDescent="0.25">
      <c r="A177" s="2" t="s">
        <v>518</v>
      </c>
      <c r="B177" s="7" t="s">
        <v>519</v>
      </c>
      <c r="C177" s="2" t="s">
        <v>520</v>
      </c>
      <c r="D177" s="8">
        <f>VLOOKUP($A177,cuotas!$A$5:$E$209,4,0)-SUMIFS(ingresos!$C:$C,ingresos!$F:$F,saldo!$A177,ingresos!$G:$G,saldo!D$5)</f>
        <v>0</v>
      </c>
      <c r="E177" s="8">
        <f>VLOOKUP($A177,cuotas!$A$5:$E$209,5,0)-SUMIFS(ingresos!$C:$C,ingresos!$F:$F,saldo!$A177,ingresos!$G:$G,saldo!E$5)</f>
        <v>0</v>
      </c>
      <c r="F177" s="9">
        <f t="shared" si="2"/>
        <v>0</v>
      </c>
    </row>
    <row r="178" spans="1:6" x14ac:dyDescent="0.25">
      <c r="A178" s="2" t="s">
        <v>521</v>
      </c>
      <c r="B178" s="7" t="s">
        <v>522</v>
      </c>
      <c r="C178" s="2" t="s">
        <v>523</v>
      </c>
      <c r="D178" s="8">
        <f>VLOOKUP($A178,cuotas!$A$5:$E$209,4,0)-SUMIFS(ingresos!$C:$C,ingresos!$F:$F,saldo!$A178,ingresos!$G:$G,saldo!D$5)</f>
        <v>288.83999999999997</v>
      </c>
      <c r="E178" s="8">
        <f>VLOOKUP($A178,cuotas!$A$5:$E$209,5,0)-SUMIFS(ingresos!$C:$C,ingresos!$F:$F,saldo!$A178,ingresos!$G:$G,saldo!E$5)</f>
        <v>0</v>
      </c>
      <c r="F178" s="9">
        <f t="shared" si="2"/>
        <v>288.83999999999997</v>
      </c>
    </row>
    <row r="179" spans="1:6" hidden="1" x14ac:dyDescent="0.25">
      <c r="A179" s="2" t="s">
        <v>524</v>
      </c>
      <c r="B179" s="7" t="s">
        <v>525</v>
      </c>
      <c r="C179" s="2" t="s">
        <v>526</v>
      </c>
      <c r="D179" s="8">
        <f>VLOOKUP($A179,cuotas!$A$5:$E$209,4,0)-SUMIFS(ingresos!$C:$C,ingresos!$F:$F,saldo!$A179,ingresos!$G:$G,saldo!D$5)</f>
        <v>0</v>
      </c>
      <c r="E179" s="8">
        <f>VLOOKUP($A179,cuotas!$A$5:$E$209,5,0)-SUMIFS(ingresos!$C:$C,ingresos!$F:$F,saldo!$A179,ingresos!$G:$G,saldo!E$5)</f>
        <v>0</v>
      </c>
      <c r="F179" s="9">
        <f t="shared" si="2"/>
        <v>0</v>
      </c>
    </row>
    <row r="180" spans="1:6" x14ac:dyDescent="0.25">
      <c r="A180" s="2" t="s">
        <v>527</v>
      </c>
      <c r="B180" s="7" t="s">
        <v>528</v>
      </c>
      <c r="C180" s="2" t="s">
        <v>529</v>
      </c>
      <c r="D180" s="8">
        <f>VLOOKUP($A180,cuotas!$A$5:$E$209,4,0)-SUMIFS(ingresos!$C:$C,ingresos!$F:$F,saldo!$A180,ingresos!$G:$G,saldo!D$5)</f>
        <v>185.51</v>
      </c>
      <c r="E180" s="8">
        <f>VLOOKUP($A180,cuotas!$A$5:$E$209,5,0)-SUMIFS(ingresos!$C:$C,ingresos!$F:$F,saldo!$A180,ingresos!$G:$G,saldo!E$5)</f>
        <v>170.87</v>
      </c>
      <c r="F180" s="9">
        <f t="shared" si="2"/>
        <v>356.38</v>
      </c>
    </row>
    <row r="181" spans="1:6" hidden="1" x14ac:dyDescent="0.25">
      <c r="A181" s="2" t="s">
        <v>530</v>
      </c>
      <c r="B181" s="7" t="s">
        <v>531</v>
      </c>
      <c r="C181" s="2" t="s">
        <v>532</v>
      </c>
      <c r="D181" s="8">
        <f>VLOOKUP($A181,cuotas!$A$5:$E$209,4,0)-SUMIFS(ingresos!$C:$C,ingresos!$F:$F,saldo!$A181,ingresos!$G:$G,saldo!D$5)</f>
        <v>-303.24</v>
      </c>
      <c r="E181" s="8">
        <f>VLOOKUP($A181,cuotas!$A$5:$E$209,5,0)-SUMIFS(ingresos!$C:$C,ingresos!$F:$F,saldo!$A181,ingresos!$G:$G,saldo!E$5)</f>
        <v>297.14</v>
      </c>
      <c r="F181" s="9">
        <f t="shared" si="2"/>
        <v>-6.1000000000000227</v>
      </c>
    </row>
    <row r="182" spans="1:6" x14ac:dyDescent="0.25">
      <c r="A182" s="2" t="s">
        <v>533</v>
      </c>
      <c r="B182" s="7" t="s">
        <v>534</v>
      </c>
      <c r="C182" s="2" t="s">
        <v>535</v>
      </c>
      <c r="D182" s="8">
        <f>VLOOKUP($A182,cuotas!$A$5:$E$209,4,0)-SUMIFS(ingresos!$C:$C,ingresos!$F:$F,saldo!$A182,ingresos!$G:$G,saldo!D$5)</f>
        <v>582.75</v>
      </c>
      <c r="E182" s="8">
        <f>VLOOKUP($A182,cuotas!$A$5:$E$209,5,0)-SUMIFS(ingresos!$C:$C,ingresos!$F:$F,saldo!$A182,ingresos!$G:$G,saldo!E$5)</f>
        <v>184.04</v>
      </c>
      <c r="F182" s="9">
        <f t="shared" si="2"/>
        <v>766.79</v>
      </c>
    </row>
    <row r="183" spans="1:6" x14ac:dyDescent="0.25">
      <c r="A183" s="2" t="s">
        <v>536</v>
      </c>
      <c r="B183" s="7" t="s">
        <v>537</v>
      </c>
      <c r="C183" s="2" t="s">
        <v>538</v>
      </c>
      <c r="D183" s="8">
        <f>VLOOKUP($A183,cuotas!$A$5:$E$209,4,0)-SUMIFS(ingresos!$C:$C,ingresos!$F:$F,saldo!$A183,ingresos!$G:$G,saldo!D$5)</f>
        <v>395.68</v>
      </c>
      <c r="E183" s="8">
        <f>VLOOKUP($A183,cuotas!$A$5:$E$209,5,0)-SUMIFS(ingresos!$C:$C,ingresos!$F:$F,saldo!$A183,ingresos!$G:$G,saldo!E$5)</f>
        <v>370.45</v>
      </c>
      <c r="F183" s="9">
        <f t="shared" si="2"/>
        <v>766.13</v>
      </c>
    </row>
    <row r="184" spans="1:6" x14ac:dyDescent="0.25">
      <c r="A184" s="2" t="s">
        <v>539</v>
      </c>
      <c r="B184" s="7" t="s">
        <v>540</v>
      </c>
      <c r="C184" s="2" t="s">
        <v>541</v>
      </c>
      <c r="D184" s="8">
        <f>VLOOKUP($A184,cuotas!$A$5:$E$209,4,0)-SUMIFS(ingresos!$C:$C,ingresos!$F:$F,saldo!$A184,ingresos!$G:$G,saldo!D$5)</f>
        <v>294.3</v>
      </c>
      <c r="E184" s="8">
        <f>VLOOKUP($A184,cuotas!$A$5:$E$209,5,0)-SUMIFS(ingresos!$C:$C,ingresos!$F:$F,saldo!$A184,ingresos!$G:$G,saldo!E$5)</f>
        <v>0</v>
      </c>
      <c r="F184" s="9">
        <f t="shared" si="2"/>
        <v>294.3</v>
      </c>
    </row>
    <row r="185" spans="1:6" x14ac:dyDescent="0.25">
      <c r="A185" s="2" t="s">
        <v>542</v>
      </c>
      <c r="B185" s="7" t="s">
        <v>543</v>
      </c>
      <c r="C185" s="2" t="s">
        <v>544</v>
      </c>
      <c r="D185" s="8">
        <f>VLOOKUP($A185,cuotas!$A$5:$E$209,4,0)-SUMIFS(ingresos!$C:$C,ingresos!$F:$F,saldo!$A185,ingresos!$G:$G,saldo!D$5)</f>
        <v>0</v>
      </c>
      <c r="E185" s="8">
        <f>VLOOKUP($A185,cuotas!$A$5:$E$209,5,0)-SUMIFS(ingresos!$C:$C,ingresos!$F:$F,saldo!$A185,ingresos!$G:$G,saldo!E$5)</f>
        <v>370.45</v>
      </c>
      <c r="F185" s="9">
        <f t="shared" si="2"/>
        <v>370.45</v>
      </c>
    </row>
    <row r="186" spans="1:6" x14ac:dyDescent="0.25">
      <c r="A186" s="2" t="s">
        <v>545</v>
      </c>
      <c r="B186" s="7" t="s">
        <v>546</v>
      </c>
      <c r="C186" s="2" t="s">
        <v>547</v>
      </c>
      <c r="D186" s="8">
        <f>VLOOKUP($A186,cuotas!$A$5:$E$209,4,0)-SUMIFS(ingresos!$C:$C,ingresos!$F:$F,saldo!$A186,ingresos!$G:$G,saldo!D$5)</f>
        <v>0</v>
      </c>
      <c r="E186" s="8">
        <f>VLOOKUP($A186,cuotas!$A$5:$E$209,5,0)-SUMIFS(ingresos!$C:$C,ingresos!$F:$F,saldo!$A186,ingresos!$G:$G,saldo!E$5)</f>
        <v>379.38</v>
      </c>
      <c r="F186" s="9">
        <f t="shared" si="2"/>
        <v>379.38</v>
      </c>
    </row>
    <row r="187" spans="1:6" x14ac:dyDescent="0.25">
      <c r="A187" s="2" t="s">
        <v>548</v>
      </c>
      <c r="B187" s="7" t="s">
        <v>549</v>
      </c>
      <c r="C187" s="2" t="s">
        <v>550</v>
      </c>
      <c r="D187" s="8">
        <f>VLOOKUP($A187,cuotas!$A$5:$E$209,4,0)-SUMIFS(ingresos!$C:$C,ingresos!$F:$F,saldo!$A187,ingresos!$G:$G,saldo!D$5)</f>
        <v>0</v>
      </c>
      <c r="E187" s="8">
        <f>VLOOKUP($A187,cuotas!$A$5:$E$209,5,0)-SUMIFS(ingresos!$C:$C,ingresos!$F:$F,saldo!$A187,ingresos!$G:$G,saldo!E$5)</f>
        <v>432.93</v>
      </c>
      <c r="F187" s="9">
        <f t="shared" si="2"/>
        <v>432.93</v>
      </c>
    </row>
    <row r="188" spans="1:6" x14ac:dyDescent="0.25">
      <c r="A188" s="2" t="s">
        <v>551</v>
      </c>
      <c r="B188" s="7" t="s">
        <v>552</v>
      </c>
      <c r="C188" s="2" t="s">
        <v>553</v>
      </c>
      <c r="D188" s="8">
        <f>VLOOKUP($A188,cuotas!$A$5:$E$209,4,0)-SUMIFS(ingresos!$C:$C,ingresos!$F:$F,saldo!$A188,ingresos!$G:$G,saldo!D$5)</f>
        <v>0</v>
      </c>
      <c r="E188" s="8">
        <f>VLOOKUP($A188,cuotas!$A$5:$E$209,5,0)-SUMIFS(ingresos!$C:$C,ingresos!$F:$F,saldo!$A188,ingresos!$G:$G,saldo!E$5)</f>
        <v>505.77</v>
      </c>
      <c r="F188" s="9">
        <f t="shared" si="2"/>
        <v>505.77</v>
      </c>
    </row>
    <row r="189" spans="1:6" hidden="1" x14ac:dyDescent="0.25">
      <c r="A189" s="2" t="s">
        <v>554</v>
      </c>
      <c r="B189" s="7" t="s">
        <v>555</v>
      </c>
      <c r="C189" s="2" t="s">
        <v>556</v>
      </c>
      <c r="D189" s="8">
        <f>VLOOKUP($A189,cuotas!$A$5:$E$209,4,0)-SUMIFS(ingresos!$C:$C,ingresos!$F:$F,saldo!$A189,ingresos!$G:$G,saldo!D$5)</f>
        <v>0</v>
      </c>
      <c r="E189" s="8">
        <f>VLOOKUP($A189,cuotas!$A$5:$E$209,5,0)-SUMIFS(ingresos!$C:$C,ingresos!$F:$F,saldo!$A189,ingresos!$G:$G,saldo!E$5)</f>
        <v>0</v>
      </c>
      <c r="F189" s="9">
        <f t="shared" si="2"/>
        <v>0</v>
      </c>
    </row>
    <row r="190" spans="1:6" x14ac:dyDescent="0.25">
      <c r="A190" s="2" t="s">
        <v>557</v>
      </c>
      <c r="B190" s="7" t="s">
        <v>558</v>
      </c>
      <c r="C190" s="2" t="s">
        <v>559</v>
      </c>
      <c r="D190" s="8">
        <f>VLOOKUP($A190,cuotas!$A$5:$E$209,4,0)-SUMIFS(ingresos!$C:$C,ingresos!$F:$F,saldo!$A190,ingresos!$G:$G,saldo!D$5)</f>
        <v>0</v>
      </c>
      <c r="E190" s="8">
        <f>VLOOKUP($A190,cuotas!$A$5:$E$209,5,0)-SUMIFS(ingresos!$C:$C,ingresos!$F:$F,saldo!$A190,ingresos!$G:$G,saldo!E$5)</f>
        <v>400.21</v>
      </c>
      <c r="F190" s="9">
        <f t="shared" si="2"/>
        <v>400.21</v>
      </c>
    </row>
    <row r="191" spans="1:6" x14ac:dyDescent="0.25">
      <c r="A191" s="2" t="s">
        <v>560</v>
      </c>
      <c r="B191" s="7" t="s">
        <v>561</v>
      </c>
      <c r="C191" s="2" t="s">
        <v>562</v>
      </c>
      <c r="D191" s="8">
        <f>VLOOKUP($A191,cuotas!$A$5:$E$209,4,0)-SUMIFS(ingresos!$C:$C,ingresos!$F:$F,saldo!$A191,ingresos!$G:$G,saldo!D$5)</f>
        <v>0</v>
      </c>
      <c r="E191" s="8">
        <f>VLOOKUP($A191,cuotas!$A$5:$E$209,5,0)-SUMIFS(ingresos!$C:$C,ingresos!$F:$F,saldo!$A191,ingresos!$G:$G,saldo!E$5)</f>
        <v>439.68</v>
      </c>
      <c r="F191" s="9">
        <f t="shared" si="2"/>
        <v>439.68</v>
      </c>
    </row>
    <row r="192" spans="1:6" x14ac:dyDescent="0.25">
      <c r="A192" s="2" t="s">
        <v>563</v>
      </c>
      <c r="B192" s="7" t="s">
        <v>564</v>
      </c>
      <c r="C192" s="2" t="s">
        <v>565</v>
      </c>
      <c r="D192" s="8">
        <f>VLOOKUP($A192,cuotas!$A$5:$E$209,4,0)-SUMIFS(ingresos!$C:$C,ingresos!$F:$F,saldo!$A192,ingresos!$G:$G,saldo!D$5)</f>
        <v>0</v>
      </c>
      <c r="E192" s="8">
        <f>VLOOKUP($A192,cuotas!$A$5:$E$209,5,0)-SUMIFS(ingresos!$C:$C,ingresos!$F:$F,saldo!$A192,ingresos!$G:$G,saldo!E$5)</f>
        <v>161.94999999999999</v>
      </c>
      <c r="F192" s="9">
        <f t="shared" si="2"/>
        <v>161.94999999999999</v>
      </c>
    </row>
    <row r="193" spans="1:6" x14ac:dyDescent="0.25">
      <c r="A193" s="2" t="s">
        <v>566</v>
      </c>
      <c r="B193" s="7" t="s">
        <v>567</v>
      </c>
      <c r="C193" s="2" t="s">
        <v>568</v>
      </c>
      <c r="D193" s="8">
        <f>VLOOKUP($A193,cuotas!$A$5:$E$209,4,0)-SUMIFS(ingresos!$C:$C,ingresos!$F:$F,saldo!$A193,ingresos!$G:$G,saldo!D$5)</f>
        <v>0</v>
      </c>
      <c r="E193" s="8">
        <f>VLOOKUP($A193,cuotas!$A$5:$E$209,5,0)-SUMIFS(ingresos!$C:$C,ingresos!$F:$F,saldo!$A193,ingresos!$G:$G,saldo!E$5)</f>
        <v>422.94</v>
      </c>
      <c r="F193" s="9">
        <f t="shared" si="2"/>
        <v>422.94</v>
      </c>
    </row>
    <row r="194" spans="1:6" x14ac:dyDescent="0.25">
      <c r="A194" s="2" t="s">
        <v>569</v>
      </c>
      <c r="B194" s="7" t="s">
        <v>570</v>
      </c>
      <c r="C194" s="2" t="s">
        <v>571</v>
      </c>
      <c r="D194" s="8">
        <f>VLOOKUP($A194,cuotas!$A$5:$E$209,4,0)-SUMIFS(ingresos!$C:$C,ingresos!$F:$F,saldo!$A194,ingresos!$G:$G,saldo!D$5)</f>
        <v>0</v>
      </c>
      <c r="E194" s="8">
        <f>VLOOKUP($A194,cuotas!$A$5:$E$209,5,0)-SUMIFS(ingresos!$C:$C,ingresos!$F:$F,saldo!$A194,ingresos!$G:$G,saldo!E$5)</f>
        <v>395.82</v>
      </c>
      <c r="F194" s="9">
        <f t="shared" si="2"/>
        <v>395.82</v>
      </c>
    </row>
    <row r="195" spans="1:6" hidden="1" x14ac:dyDescent="0.25">
      <c r="A195" s="2" t="s">
        <v>572</v>
      </c>
      <c r="B195" s="7" t="s">
        <v>573</v>
      </c>
      <c r="C195" s="2" t="s">
        <v>574</v>
      </c>
      <c r="D195" s="8">
        <f>VLOOKUP($A195,cuotas!$A$5:$E$209,4,0)-SUMIFS(ingresos!$C:$C,ingresos!$F:$F,saldo!$A195,ingresos!$G:$G,saldo!D$5)</f>
        <v>0</v>
      </c>
      <c r="E195" s="8">
        <f>VLOOKUP($A195,cuotas!$A$5:$E$209,5,0)-SUMIFS(ingresos!$C:$C,ingresos!$F:$F,saldo!$A195,ingresos!$G:$G,saldo!E$5)</f>
        <v>0</v>
      </c>
      <c r="F195" s="9">
        <f t="shared" si="2"/>
        <v>0</v>
      </c>
    </row>
    <row r="196" spans="1:6" hidden="1" x14ac:dyDescent="0.25">
      <c r="A196" s="2" t="s">
        <v>575</v>
      </c>
      <c r="B196" s="7" t="s">
        <v>576</v>
      </c>
      <c r="C196" s="2" t="s">
        <v>577</v>
      </c>
      <c r="D196" s="8">
        <f>VLOOKUP($A196,cuotas!$A$5:$E$209,4,0)-SUMIFS(ingresos!$C:$C,ingresos!$F:$F,saldo!$A196,ingresos!$G:$G,saldo!D$5)</f>
        <v>0</v>
      </c>
      <c r="E196" s="8">
        <f>VLOOKUP($A196,cuotas!$A$5:$E$209,5,0)-SUMIFS(ingresos!$C:$C,ingresos!$F:$F,saldo!$A196,ingresos!$G:$G,saldo!E$5)</f>
        <v>0</v>
      </c>
      <c r="F196" s="9">
        <f t="shared" si="2"/>
        <v>0</v>
      </c>
    </row>
    <row r="197" spans="1:6" x14ac:dyDescent="0.25">
      <c r="A197" s="2" t="s">
        <v>578</v>
      </c>
      <c r="B197" s="7" t="s">
        <v>579</v>
      </c>
      <c r="C197" s="2" t="s">
        <v>580</v>
      </c>
      <c r="D197" s="8">
        <f>VLOOKUP($A197,cuotas!$A$5:$E$209,4,0)-SUMIFS(ingresos!$C:$C,ingresos!$F:$F,saldo!$A197,ingresos!$G:$G,saldo!D$5)</f>
        <v>389.2</v>
      </c>
      <c r="E197" s="8">
        <f>VLOOKUP($A197,cuotas!$A$5:$E$209,5,0)-SUMIFS(ingresos!$C:$C,ingresos!$F:$F,saldo!$A197,ingresos!$G:$G,saldo!E$5)</f>
        <v>371.72</v>
      </c>
      <c r="F197" s="9">
        <f t="shared" si="2"/>
        <v>760.92000000000007</v>
      </c>
    </row>
    <row r="198" spans="1:6" hidden="1" x14ac:dyDescent="0.25">
      <c r="A198" s="2" t="s">
        <v>581</v>
      </c>
      <c r="B198" s="7" t="s">
        <v>582</v>
      </c>
      <c r="C198" s="2" t="s">
        <v>583</v>
      </c>
      <c r="D198" s="8">
        <f>VLOOKUP($A198,cuotas!$A$5:$E$209,4,0)-SUMIFS(ingresos!$C:$C,ingresos!$F:$F,saldo!$A198,ingresos!$G:$G,saldo!D$5)</f>
        <v>0</v>
      </c>
      <c r="E198" s="8">
        <f>VLOOKUP($A198,cuotas!$A$5:$E$209,5,0)-SUMIFS(ingresos!$C:$C,ingresos!$F:$F,saldo!$A198,ingresos!$G:$G,saldo!E$5)</f>
        <v>0</v>
      </c>
      <c r="F198" s="9">
        <f t="shared" si="2"/>
        <v>0</v>
      </c>
    </row>
    <row r="199" spans="1:6" hidden="1" x14ac:dyDescent="0.25">
      <c r="A199" s="2" t="s">
        <v>584</v>
      </c>
      <c r="B199" s="7" t="s">
        <v>585</v>
      </c>
      <c r="C199" s="2" t="s">
        <v>586</v>
      </c>
      <c r="D199" s="8">
        <f>VLOOKUP($A199,cuotas!$A$5:$E$209,4,0)-SUMIFS(ingresos!$C:$C,ingresos!$F:$F,saldo!$A199,ingresos!$G:$G,saldo!D$5)</f>
        <v>0</v>
      </c>
      <c r="E199" s="8">
        <f>VLOOKUP($A199,cuotas!$A$5:$E$209,5,0)-SUMIFS(ingresos!$C:$C,ingresos!$F:$F,saldo!$A199,ingresos!$G:$G,saldo!E$5)</f>
        <v>0</v>
      </c>
      <c r="F199" s="9">
        <f t="shared" ref="F199:F208" si="3">SUM(D199:E199)</f>
        <v>0</v>
      </c>
    </row>
    <row r="200" spans="1:6" x14ac:dyDescent="0.25">
      <c r="A200" s="2" t="s">
        <v>587</v>
      </c>
      <c r="B200" s="7" t="s">
        <v>588</v>
      </c>
      <c r="C200" s="2" t="s">
        <v>589</v>
      </c>
      <c r="D200" s="8">
        <f>VLOOKUP($A200,cuotas!$A$5:$E$209,4,0)-SUMIFS(ingresos!$C:$C,ingresos!$F:$F,saldo!$A200,ingresos!$G:$G,saldo!D$5)</f>
        <v>691.82</v>
      </c>
      <c r="E200" s="8">
        <f>VLOOKUP($A200,cuotas!$A$5:$E$209,5,0)-SUMIFS(ingresos!$C:$C,ingresos!$F:$F,saldo!$A200,ingresos!$G:$G,saldo!E$5)</f>
        <v>415.08</v>
      </c>
      <c r="F200" s="9">
        <f t="shared" si="3"/>
        <v>1106.9000000000001</v>
      </c>
    </row>
    <row r="201" spans="1:6" hidden="1" x14ac:dyDescent="0.25">
      <c r="A201" s="2" t="s">
        <v>590</v>
      </c>
      <c r="B201" s="7" t="s">
        <v>591</v>
      </c>
      <c r="C201" s="2" t="s">
        <v>592</v>
      </c>
      <c r="D201" s="8">
        <f>VLOOKUP($A201,cuotas!$A$5:$E$209,4,0)-SUMIFS(ingresos!$C:$C,ingresos!$F:$F,saldo!$A201,ingresos!$G:$G,saldo!D$5)</f>
        <v>0</v>
      </c>
      <c r="E201" s="8">
        <f>VLOOKUP($A201,cuotas!$A$5:$E$209,5,0)-SUMIFS(ingresos!$C:$C,ingresos!$F:$F,saldo!$A201,ingresos!$G:$G,saldo!E$5)</f>
        <v>0</v>
      </c>
      <c r="F201" s="9">
        <f t="shared" si="3"/>
        <v>0</v>
      </c>
    </row>
    <row r="202" spans="1:6" hidden="1" x14ac:dyDescent="0.25">
      <c r="A202" s="2" t="s">
        <v>593</v>
      </c>
      <c r="B202" s="7" t="s">
        <v>594</v>
      </c>
      <c r="C202" s="2" t="s">
        <v>595</v>
      </c>
      <c r="D202" s="8">
        <f>VLOOKUP($A202,cuotas!$A$5:$E$209,4,0)-SUMIFS(ingresos!$C:$C,ingresos!$F:$F,saldo!$A202,ingresos!$G:$G,saldo!D$5)</f>
        <v>0</v>
      </c>
      <c r="E202" s="8">
        <f>VLOOKUP($A202,cuotas!$A$5:$E$209,5,0)-SUMIFS(ingresos!$C:$C,ingresos!$F:$F,saldo!$A202,ingresos!$G:$G,saldo!E$5)</f>
        <v>0</v>
      </c>
      <c r="F202" s="9">
        <f t="shared" si="3"/>
        <v>0</v>
      </c>
    </row>
    <row r="203" spans="1:6" x14ac:dyDescent="0.25">
      <c r="A203" s="2" t="s">
        <v>596</v>
      </c>
      <c r="B203" s="7" t="s">
        <v>597</v>
      </c>
      <c r="C203" s="2" t="s">
        <v>598</v>
      </c>
      <c r="D203" s="8">
        <f>VLOOKUP($A203,cuotas!$A$5:$E$209,4,0)-SUMIFS(ingresos!$C:$C,ingresos!$F:$F,saldo!$A203,ingresos!$G:$G,saldo!D$5)</f>
        <v>80.52</v>
      </c>
      <c r="E203" s="8">
        <f>VLOOKUP($A203,cuotas!$A$5:$E$209,5,0)-SUMIFS(ingresos!$C:$C,ingresos!$F:$F,saldo!$A203,ingresos!$G:$G,saldo!E$5)</f>
        <v>0</v>
      </c>
      <c r="F203" s="9">
        <f t="shared" si="3"/>
        <v>80.52</v>
      </c>
    </row>
    <row r="204" spans="1:6" x14ac:dyDescent="0.25">
      <c r="A204" s="2" t="s">
        <v>599</v>
      </c>
      <c r="B204" s="7" t="s">
        <v>600</v>
      </c>
      <c r="C204" s="2" t="s">
        <v>601</v>
      </c>
      <c r="D204" s="8">
        <f>VLOOKUP($A204,cuotas!$A$5:$E$209,4,0)-SUMIFS(ingresos!$C:$C,ingresos!$F:$F,saldo!$A204,ingresos!$G:$G,saldo!D$5)</f>
        <v>322.08</v>
      </c>
      <c r="E204" s="8">
        <f>VLOOKUP($A204,cuotas!$A$5:$E$209,5,0)-SUMIFS(ingresos!$C:$C,ingresos!$F:$F,saldo!$A204,ingresos!$G:$G,saldo!E$5)</f>
        <v>76.290000000000006</v>
      </c>
      <c r="F204" s="9">
        <f t="shared" si="3"/>
        <v>398.37</v>
      </c>
    </row>
    <row r="205" spans="1:6" x14ac:dyDescent="0.25">
      <c r="A205" s="2" t="s">
        <v>602</v>
      </c>
      <c r="B205" s="7" t="s">
        <v>603</v>
      </c>
      <c r="C205" s="2" t="s">
        <v>604</v>
      </c>
      <c r="D205" s="8">
        <f>VLOOKUP($A205,cuotas!$A$5:$E$209,4,0)-SUMIFS(ingresos!$C:$C,ingresos!$F:$F,saldo!$A205,ingresos!$G:$G,saldo!D$5)</f>
        <v>231.6</v>
      </c>
      <c r="E205" s="8">
        <f>VLOOKUP($A205,cuotas!$A$5:$E$209,5,0)-SUMIFS(ingresos!$C:$C,ingresos!$F:$F,saldo!$A205,ingresos!$G:$G,saldo!E$5)</f>
        <v>44.19</v>
      </c>
      <c r="F205" s="9">
        <f t="shared" si="3"/>
        <v>275.78999999999996</v>
      </c>
    </row>
    <row r="206" spans="1:6" x14ac:dyDescent="0.25">
      <c r="A206" s="2" t="s">
        <v>605</v>
      </c>
      <c r="B206" s="7" t="s">
        <v>606</v>
      </c>
      <c r="C206" s="2" t="s">
        <v>607</v>
      </c>
      <c r="D206" s="8">
        <f>VLOOKUP($A206,cuotas!$A$5:$E$209,4,0)-SUMIFS(ingresos!$C:$C,ingresos!$F:$F,saldo!$A206,ingresos!$G:$G,saldo!D$5)</f>
        <v>161.04</v>
      </c>
      <c r="E206" s="8">
        <f>VLOOKUP($A206,cuotas!$A$5:$E$209,5,0)-SUMIFS(ingresos!$C:$C,ingresos!$F:$F,saldo!$A206,ingresos!$G:$G,saldo!E$5)</f>
        <v>76.290000000000006</v>
      </c>
      <c r="F206" s="9">
        <f t="shared" si="3"/>
        <v>237.32999999999998</v>
      </c>
    </row>
    <row r="207" spans="1:6" x14ac:dyDescent="0.25">
      <c r="A207" s="2" t="s">
        <v>608</v>
      </c>
      <c r="B207" s="7" t="s">
        <v>609</v>
      </c>
      <c r="C207" s="2" t="s">
        <v>256</v>
      </c>
      <c r="D207" s="8">
        <f>VLOOKUP($A207,cuotas!$A$5:$E$209,4,0)-SUMIFS(ingresos!$C:$C,ingresos!$F:$F,saldo!$A207,ingresos!$G:$G,saldo!D$5)</f>
        <v>368.86</v>
      </c>
      <c r="E207" s="8">
        <f>VLOOKUP($A207,cuotas!$A$5:$E$209,5,0)-SUMIFS(ingresos!$C:$C,ingresos!$F:$F,saldo!$A207,ingresos!$G:$G,saldo!E$5)</f>
        <v>349.63</v>
      </c>
      <c r="F207" s="9">
        <f t="shared" si="3"/>
        <v>718.49</v>
      </c>
    </row>
    <row r="208" spans="1:6" hidden="1" x14ac:dyDescent="0.25">
      <c r="A208" s="2" t="s">
        <v>610</v>
      </c>
      <c r="B208" s="7" t="s">
        <v>611</v>
      </c>
      <c r="C208" s="2" t="s">
        <v>610</v>
      </c>
      <c r="D208" s="8">
        <f>VLOOKUP($A208,cuotas!$A$5:$E$209,4,0)-SUMIFS(ingresos!$C:$C,ingresos!$F:$F,saldo!$A208,ingresos!$G:$G,saldo!D$5)</f>
        <v>0</v>
      </c>
      <c r="E208" s="8">
        <f>VLOOKUP($A208,cuotas!$A$5:$E$209,5,0)-SUMIFS(ingresos!$C:$C,ingresos!$F:$F,saldo!$A208,ingresos!$G:$G,saldo!E$5)</f>
        <v>0</v>
      </c>
      <c r="F208" s="9">
        <f t="shared" si="3"/>
        <v>0</v>
      </c>
    </row>
  </sheetData>
  <autoFilter ref="A5:F208" xr:uid="{7AA140CD-3B20-440B-9599-6A1994189617}">
    <filterColumn colId="5">
      <filters>
        <filter val="1,106.90"/>
        <filter val="1,113.49"/>
        <filter val="1,134.54"/>
        <filter val="1,164.81"/>
        <filter val="1,248.80"/>
        <filter val="1,339.58"/>
        <filter val="1,474.60"/>
        <filter val="1,498.15"/>
        <filter val="1,509.38"/>
        <filter val="1,641.61"/>
        <filter val="1,653.14"/>
        <filter val="1,777.94"/>
        <filter val="1,783.59"/>
        <filter val="1,879.12"/>
        <filter val="137.90"/>
        <filter val="14.94"/>
        <filter val="156.81"/>
        <filter val="161.68"/>
        <filter val="161.95"/>
        <filter val="163.31"/>
        <filter val="163.85"/>
        <filter val="170.87"/>
        <filter val="173.85"/>
        <filter val="179.80"/>
        <filter val="2,210.28"/>
        <filter val="2,505.65"/>
        <filter val="2,880.36"/>
        <filter val="235.52"/>
        <filter val="237.33"/>
        <filter val="241.21"/>
        <filter val="241.32"/>
        <filter val="244.18"/>
        <filter val="250.13"/>
        <filter val="27.94"/>
        <filter val="275.79"/>
        <filter val="279.23"/>
        <filter val="288.21"/>
        <filter val="288.22"/>
        <filter val="288.84"/>
        <filter val="291.89"/>
        <filter val="294.30"/>
        <filter val="296.79"/>
        <filter val="3.34"/>
        <filter val="300.12"/>
        <filter val="306.07"/>
        <filter val="317.85"/>
        <filter val="326.42"/>
        <filter val="341.81"/>
        <filter val="346.65"/>
        <filter val="349.63"/>
        <filter val="352.60"/>
        <filter val="356.38"/>
        <filter val="358.31"/>
        <filter val="361.53"/>
        <filter val="363.38"/>
        <filter val="363.94"/>
        <filter val="364.50"/>
        <filter val="366.50"/>
        <filter val="370.45"/>
        <filter val="373.43"/>
        <filter val="373.86"/>
        <filter val="376.40"/>
        <filter val="379.01"/>
        <filter val="379.38"/>
        <filter val="383.14"/>
        <filter val="386.41"/>
        <filter val="388.31"/>
        <filter val="391.89"/>
        <filter val="394.26"/>
        <filter val="395.82"/>
        <filter val="397.23"/>
        <filter val="398.37"/>
        <filter val="4,010.30"/>
        <filter val="4,279.90"/>
        <filter val="400.21"/>
        <filter val="414.48"/>
        <filter val="414.81"/>
        <filter val="42.99"/>
        <filter val="422.10"/>
        <filter val="422.94"/>
        <filter val="432.93"/>
        <filter val="439.68"/>
        <filter val="453.52"/>
        <filter val="459.24"/>
        <filter val="476.13"/>
        <filter val="479.56"/>
        <filter val="489.68"/>
        <filter val="505.77"/>
        <filter val="510.51"/>
        <filter val="544.03"/>
        <filter val="567.64"/>
        <filter val="588.40"/>
        <filter val="601.60"/>
        <filter val="603.36"/>
        <filter val="624.31"/>
        <filter val="637.17"/>
        <filter val="718.49"/>
        <filter val="727.41"/>
        <filter val="727.42"/>
        <filter val="730.40"/>
        <filter val="76.28"/>
        <filter val="760.92"/>
        <filter val="761.67"/>
        <filter val="766.13"/>
        <filter val="766.79"/>
        <filter val="772.79"/>
        <filter val="785.07"/>
        <filter val="788.24"/>
        <filter val="792.93"/>
        <filter val="8,782.40"/>
        <filter val="80.52"/>
        <filter val="829.40"/>
        <filter val="974.79"/>
        <filter val="992.80"/>
      </filters>
    </filterColumn>
  </autoFilter>
  <pageMargins left="0.70866141732283472" right="0.70866141732283472" top="0.74803149606299213" bottom="0.74803149606299213" header="0.31496062992125984" footer="0.31496062992125984"/>
  <pageSetup scale="8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4B1F-63B9-4896-BE8D-EE525AAE4F3E}">
  <sheetPr codeName="Hoja9">
    <pageSetUpPr fitToPage="1"/>
  </sheetPr>
  <dimension ref="A1:O401"/>
  <sheetViews>
    <sheetView showGridLines="0" zoomScale="40" zoomScaleNormal="40" workbookViewId="0">
      <selection activeCell="F46" sqref="F46"/>
    </sheetView>
  </sheetViews>
  <sheetFormatPr baseColWidth="10" defaultRowHeight="15" x14ac:dyDescent="0.25"/>
  <cols>
    <col min="1" max="1" width="42.42578125" customWidth="1"/>
    <col min="2" max="2" width="35.140625" bestFit="1" customWidth="1"/>
    <col min="3" max="3" width="31.28515625" bestFit="1" customWidth="1"/>
    <col min="4" max="4" width="34.140625" bestFit="1" customWidth="1"/>
    <col min="5" max="5" width="30.42578125" customWidth="1"/>
    <col min="6" max="6" width="30.85546875" customWidth="1"/>
    <col min="7" max="7" width="25.140625" customWidth="1"/>
    <col min="8" max="8" width="37.85546875" customWidth="1"/>
    <col min="9" max="9" width="44.28515625" bestFit="1" customWidth="1"/>
    <col min="11" max="11" width="23.42578125" style="51" bestFit="1" customWidth="1"/>
    <col min="12" max="12" width="19.140625" style="107" bestFit="1" customWidth="1"/>
    <col min="13" max="13" width="29.5703125" style="107" bestFit="1" customWidth="1"/>
    <col min="14" max="14" width="32" style="107" bestFit="1" customWidth="1"/>
    <col min="15" max="15" width="18.85546875" style="107" bestFit="1" customWidth="1"/>
    <col min="16" max="16" width="20.85546875" bestFit="1" customWidth="1"/>
    <col min="17" max="17" width="23.28515625" bestFit="1" customWidth="1"/>
  </cols>
  <sheetData>
    <row r="1" spans="1:9" ht="35.25" x14ac:dyDescent="0.55000000000000004">
      <c r="A1" s="26" t="s">
        <v>0</v>
      </c>
      <c r="B1" s="19"/>
      <c r="C1" s="19"/>
      <c r="D1" s="19"/>
      <c r="E1" s="19"/>
      <c r="F1" s="19"/>
      <c r="G1" s="19"/>
      <c r="H1" s="19"/>
      <c r="I1" s="19"/>
    </row>
    <row r="2" spans="1:9" ht="35.25" x14ac:dyDescent="0.55000000000000004">
      <c r="A2" s="26">
        <v>20614642247</v>
      </c>
      <c r="B2" s="19"/>
      <c r="C2" s="19"/>
      <c r="D2" s="19"/>
      <c r="E2" s="19"/>
      <c r="F2" s="19"/>
      <c r="G2" s="19"/>
      <c r="H2" s="19"/>
      <c r="I2" s="19"/>
    </row>
    <row r="3" spans="1:9" ht="35.25" x14ac:dyDescent="0.55000000000000004">
      <c r="A3" s="27" t="s">
        <v>1</v>
      </c>
      <c r="B3" s="19"/>
      <c r="C3" s="19"/>
      <c r="D3" s="19"/>
      <c r="E3" s="19"/>
      <c r="F3" s="19"/>
      <c r="G3" s="19"/>
      <c r="H3" s="19"/>
      <c r="I3" s="19"/>
    </row>
    <row r="4" spans="1:9" ht="36" thickBot="1" x14ac:dyDescent="0.3">
      <c r="A4" s="19"/>
      <c r="B4" s="19"/>
      <c r="C4" s="19"/>
      <c r="D4" s="19"/>
      <c r="E4" s="19"/>
      <c r="F4" s="19"/>
      <c r="G4" s="19"/>
      <c r="H4" s="19"/>
      <c r="I4" s="19"/>
    </row>
    <row r="5" spans="1:9" ht="64.5" thickBot="1" x14ac:dyDescent="0.3">
      <c r="A5" s="122" t="s">
        <v>633</v>
      </c>
      <c r="B5" s="123"/>
      <c r="C5" s="123"/>
      <c r="D5" s="123"/>
      <c r="E5" s="123"/>
      <c r="F5" s="123"/>
      <c r="G5" s="124"/>
      <c r="H5" s="19" t="s">
        <v>632</v>
      </c>
      <c r="I5" s="119">
        <f>VLOOKUP($D$19,cuota_resumen!$A:$F,6,0)</f>
        <v>174.35</v>
      </c>
    </row>
    <row r="6" spans="1:9" ht="35.25" x14ac:dyDescent="0.25">
      <c r="A6" s="19"/>
      <c r="B6" s="19"/>
      <c r="C6" s="19"/>
      <c r="D6" s="19"/>
      <c r="E6" s="19"/>
      <c r="F6" s="19"/>
      <c r="G6" s="19"/>
      <c r="H6" s="19"/>
      <c r="I6" s="19"/>
    </row>
    <row r="7" spans="1:9" ht="70.5" x14ac:dyDescent="0.25">
      <c r="A7" s="19" t="s">
        <v>631</v>
      </c>
      <c r="B7" s="19"/>
      <c r="C7" s="19" t="s">
        <v>630</v>
      </c>
      <c r="D7" s="19"/>
      <c r="E7" s="19" t="s">
        <v>629</v>
      </c>
      <c r="F7" s="19"/>
      <c r="G7" s="19" t="s">
        <v>628</v>
      </c>
      <c r="H7" s="19"/>
      <c r="I7" s="19" t="s">
        <v>627</v>
      </c>
    </row>
    <row r="8" spans="1:9" ht="93" x14ac:dyDescent="0.25">
      <c r="A8" s="118" t="s">
        <v>634</v>
      </c>
      <c r="B8" s="19"/>
      <c r="C8" s="25">
        <v>46060</v>
      </c>
      <c r="D8" s="19"/>
      <c r="E8" s="24">
        <v>46075</v>
      </c>
      <c r="F8" s="19"/>
      <c r="G8" s="23">
        <f>IFERROR(VLOOKUP($C$22,consumo_agua!$A$7:$AA$202,25,0),0)</f>
        <v>4</v>
      </c>
      <c r="H8" s="19"/>
      <c r="I8" s="18" t="str">
        <f>$D$19</f>
        <v>PP-038</v>
      </c>
    </row>
    <row r="9" spans="1:9" ht="35.25" x14ac:dyDescent="0.25">
      <c r="A9" s="19"/>
      <c r="B9" s="19"/>
      <c r="C9" s="19"/>
      <c r="D9" s="19"/>
      <c r="E9" s="19"/>
      <c r="F9" s="19"/>
      <c r="G9" s="19"/>
      <c r="H9" s="19"/>
      <c r="I9" s="19"/>
    </row>
    <row r="10" spans="1:9" ht="35.25" x14ac:dyDescent="0.25">
      <c r="A10" s="22" t="s">
        <v>626</v>
      </c>
      <c r="B10" s="19"/>
      <c r="C10" s="125" t="str">
        <f>VLOOKUP($I$8,cuotas!$A:$B,2,0)</f>
        <v>CHIROQUE FLOR LOZANO</v>
      </c>
      <c r="D10" s="125"/>
      <c r="E10" s="125"/>
      <c r="F10" s="125"/>
      <c r="G10" s="125"/>
      <c r="H10" s="125"/>
      <c r="I10" s="125"/>
    </row>
    <row r="11" spans="1:9" x14ac:dyDescent="0.25">
      <c r="A11" s="4"/>
      <c r="B11" s="4"/>
      <c r="C11" s="125"/>
      <c r="D11" s="125"/>
      <c r="E11" s="125"/>
      <c r="F11" s="125"/>
      <c r="G11" s="125"/>
      <c r="H11" s="125"/>
      <c r="I11" s="125"/>
    </row>
    <row r="12" spans="1:9" ht="35.25" x14ac:dyDescent="0.25">
      <c r="A12" s="22" t="s">
        <v>625</v>
      </c>
      <c r="B12" s="19"/>
      <c r="C12" s="126"/>
      <c r="D12" s="126"/>
      <c r="E12" s="126"/>
      <c r="F12" s="126"/>
      <c r="G12" s="126"/>
      <c r="H12" s="126"/>
      <c r="I12" s="126"/>
    </row>
    <row r="13" spans="1:9" x14ac:dyDescent="0.25">
      <c r="A13" s="4"/>
      <c r="B13" s="4"/>
      <c r="C13" s="126"/>
      <c r="D13" s="126"/>
      <c r="E13" s="126"/>
      <c r="F13" s="126"/>
      <c r="G13" s="126"/>
      <c r="H13" s="126"/>
      <c r="I13" s="126"/>
    </row>
    <row r="14" spans="1:9" ht="35.25" x14ac:dyDescent="0.25">
      <c r="A14" s="22" t="s">
        <v>624</v>
      </c>
      <c r="B14" s="19"/>
      <c r="C14" s="126"/>
      <c r="D14" s="126"/>
      <c r="E14" s="126"/>
      <c r="F14" s="126"/>
      <c r="G14" s="126"/>
      <c r="H14" s="126"/>
      <c r="I14" s="126"/>
    </row>
    <row r="15" spans="1:9" x14ac:dyDescent="0.25">
      <c r="C15" s="126"/>
      <c r="D15" s="126"/>
      <c r="E15" s="126"/>
      <c r="F15" s="126"/>
      <c r="G15" s="126"/>
      <c r="H15" s="126"/>
      <c r="I15" s="126"/>
    </row>
    <row r="19" spans="2:15" ht="43.5" customHeight="1" x14ac:dyDescent="0.25">
      <c r="C19" s="108" t="s">
        <v>661</v>
      </c>
      <c r="D19" s="109" t="s">
        <v>116</v>
      </c>
      <c r="E19" s="110"/>
      <c r="F19" s="110"/>
      <c r="G19" s="110"/>
    </row>
    <row r="20" spans="2:15" ht="26.25" x14ac:dyDescent="0.25">
      <c r="C20" s="109"/>
      <c r="D20" s="109"/>
      <c r="E20" s="110"/>
      <c r="F20" s="110"/>
      <c r="G20" s="110"/>
    </row>
    <row r="21" spans="2:15" s="21" customFormat="1" ht="52.5" x14ac:dyDescent="0.25">
      <c r="B21"/>
      <c r="C21" s="108" t="s">
        <v>1249</v>
      </c>
      <c r="D21" s="109" t="s">
        <v>1250</v>
      </c>
      <c r="E21" s="109" t="s">
        <v>1251</v>
      </c>
      <c r="F21" s="109" t="s">
        <v>1254</v>
      </c>
      <c r="G21" s="109" t="s">
        <v>1253</v>
      </c>
      <c r="H21"/>
      <c r="L21" s="112"/>
    </row>
    <row r="22" spans="2:15" ht="26.25" x14ac:dyDescent="0.25">
      <c r="C22" s="109" t="s">
        <v>118</v>
      </c>
      <c r="D22" s="120">
        <v>2.6939000000000004E-3</v>
      </c>
      <c r="E22" s="111">
        <v>161.94999999999999</v>
      </c>
      <c r="F22" s="111">
        <v>12.4</v>
      </c>
      <c r="G22" s="109">
        <v>174.35</v>
      </c>
    </row>
    <row r="23" spans="2:15" ht="26.25" x14ac:dyDescent="0.25">
      <c r="C23" s="109" t="s">
        <v>1248</v>
      </c>
      <c r="D23" s="120">
        <v>2.6939000000000004E-3</v>
      </c>
      <c r="E23" s="111">
        <v>161.94999999999999</v>
      </c>
      <c r="F23" s="111">
        <v>12.4</v>
      </c>
      <c r="G23" s="109">
        <v>174.35</v>
      </c>
    </row>
    <row r="26" spans="2:15" x14ac:dyDescent="0.25">
      <c r="M26"/>
      <c r="N26"/>
      <c r="O26"/>
    </row>
    <row r="27" spans="2:15" x14ac:dyDescent="0.25">
      <c r="M27"/>
      <c r="N27"/>
      <c r="O27"/>
    </row>
    <row r="28" spans="2:15" x14ac:dyDescent="0.25">
      <c r="M28"/>
      <c r="N28"/>
      <c r="O28"/>
    </row>
    <row r="29" spans="2:15" x14ac:dyDescent="0.25">
      <c r="M29"/>
      <c r="N29"/>
      <c r="O29"/>
    </row>
    <row r="30" spans="2:15" x14ac:dyDescent="0.25">
      <c r="M30"/>
      <c r="N30"/>
      <c r="O30"/>
    </row>
    <row r="31" spans="2:15" x14ac:dyDescent="0.25">
      <c r="K31"/>
      <c r="L31"/>
      <c r="M31"/>
      <c r="N31"/>
      <c r="O31"/>
    </row>
    <row r="32" spans="2:15" x14ac:dyDescent="0.25">
      <c r="K32"/>
      <c r="L32"/>
      <c r="M32"/>
      <c r="N32"/>
      <c r="O32"/>
    </row>
    <row r="33" spans="1:15" x14ac:dyDescent="0.25">
      <c r="K33"/>
      <c r="L33"/>
      <c r="M33"/>
      <c r="N33"/>
      <c r="O33"/>
    </row>
    <row r="34" spans="1:15" x14ac:dyDescent="0.25">
      <c r="K34"/>
      <c r="L34"/>
      <c r="M34"/>
      <c r="N34"/>
      <c r="O34"/>
    </row>
    <row r="35" spans="1:15" x14ac:dyDescent="0.25">
      <c r="K35"/>
      <c r="L35"/>
      <c r="M35"/>
      <c r="N35"/>
      <c r="O35"/>
    </row>
    <row r="36" spans="1:15" x14ac:dyDescent="0.25">
      <c r="K36"/>
      <c r="L36"/>
      <c r="M36"/>
      <c r="N36"/>
      <c r="O36"/>
    </row>
    <row r="37" spans="1:15" ht="35.25" x14ac:dyDescent="0.25">
      <c r="A37" s="20" t="s">
        <v>623</v>
      </c>
      <c r="B37" s="19"/>
      <c r="K37"/>
      <c r="L37"/>
      <c r="M37"/>
      <c r="N37"/>
      <c r="O37"/>
    </row>
    <row r="38" spans="1:15" ht="35.25" x14ac:dyDescent="0.25">
      <c r="A38" s="127" t="s">
        <v>621</v>
      </c>
      <c r="B38" s="128"/>
      <c r="D38" s="129" t="s">
        <v>622</v>
      </c>
      <c r="E38" s="129"/>
      <c r="H38" s="130" t="s">
        <v>620</v>
      </c>
      <c r="I38" s="131"/>
      <c r="K38"/>
      <c r="L38"/>
      <c r="M38"/>
      <c r="N38"/>
      <c r="O38"/>
    </row>
    <row r="39" spans="1:15" ht="35.25" x14ac:dyDescent="0.5">
      <c r="A39" s="17" t="s">
        <v>619</v>
      </c>
      <c r="B39" s="16">
        <f>VLOOKUP($D$19,cuotas!$A:$E,4,0)</f>
        <v>175.13</v>
      </c>
      <c r="D39" s="113" t="s">
        <v>1239</v>
      </c>
      <c r="E39" s="114" t="s">
        <v>116</v>
      </c>
      <c r="H39" s="17" t="s">
        <v>619</v>
      </c>
      <c r="I39" s="16">
        <f>VLOOKUP($D$19,saldo!$A:$E,4,0)</f>
        <v>-7.3700000000000045</v>
      </c>
      <c r="K39"/>
      <c r="L39"/>
      <c r="M39"/>
      <c r="N39"/>
      <c r="O39"/>
    </row>
    <row r="40" spans="1:15" ht="35.25" x14ac:dyDescent="0.5">
      <c r="A40" s="17">
        <v>46023</v>
      </c>
      <c r="B40" s="16">
        <f>VLOOKUP($D$19,cuotas!$A:$E,5,0)</f>
        <v>171.22</v>
      </c>
      <c r="D40" s="114"/>
      <c r="E40" s="115"/>
      <c r="H40" s="17">
        <v>46023</v>
      </c>
      <c r="I40" s="16">
        <f>VLOOKUP($D$19,saldo!$A:$E,5,0)</f>
        <v>171.22</v>
      </c>
      <c r="K40"/>
      <c r="L40"/>
      <c r="M40"/>
      <c r="N40"/>
      <c r="O40"/>
    </row>
    <row r="41" spans="1:15" ht="35.25" x14ac:dyDescent="0.5">
      <c r="A41" s="17"/>
      <c r="B41" s="16"/>
      <c r="D41" s="113" t="s">
        <v>1255</v>
      </c>
      <c r="E41" s="114" t="s">
        <v>1256</v>
      </c>
      <c r="H41" s="17"/>
      <c r="I41" s="16"/>
      <c r="M41"/>
      <c r="N41"/>
      <c r="O41"/>
    </row>
    <row r="42" spans="1:15" ht="35.25" x14ac:dyDescent="0.5">
      <c r="B42" s="15">
        <f>SUM(B39:B41)</f>
        <v>346.35</v>
      </c>
      <c r="D42" s="116">
        <v>46030</v>
      </c>
      <c r="E42" s="117">
        <v>182.5</v>
      </c>
      <c r="H42" s="11"/>
      <c r="I42" s="14">
        <f>SUM(I39:I41)</f>
        <v>163.85</v>
      </c>
      <c r="M42"/>
      <c r="N42"/>
      <c r="O42"/>
    </row>
    <row r="43" spans="1:15" ht="31.5" x14ac:dyDescent="0.5">
      <c r="D43" s="116" t="s">
        <v>1248</v>
      </c>
      <c r="E43" s="117">
        <v>182.5</v>
      </c>
      <c r="H43" s="121" t="str">
        <f>IF($I$42&lt;0,"*saldo a favor del propietario","-")</f>
        <v>-</v>
      </c>
      <c r="I43" s="121"/>
      <c r="K43"/>
      <c r="L43"/>
      <c r="M43"/>
      <c r="N43"/>
      <c r="O43"/>
    </row>
    <row r="44" spans="1:15" x14ac:dyDescent="0.25">
      <c r="H44" s="121"/>
      <c r="I44" s="121"/>
      <c r="K44"/>
      <c r="L44"/>
      <c r="M44"/>
      <c r="N44"/>
      <c r="O44"/>
    </row>
    <row r="45" spans="1:15" x14ac:dyDescent="0.25">
      <c r="K45"/>
      <c r="L45"/>
      <c r="M45"/>
      <c r="N45"/>
      <c r="O45"/>
    </row>
    <row r="46" spans="1:15" ht="31.5" x14ac:dyDescent="0.5">
      <c r="D46" s="116"/>
      <c r="E46" s="117"/>
      <c r="K46"/>
      <c r="L46"/>
      <c r="M46"/>
      <c r="N46"/>
      <c r="O46"/>
    </row>
    <row r="47" spans="1:15" ht="31.5" x14ac:dyDescent="0.5">
      <c r="D47" s="116"/>
      <c r="E47" s="117"/>
      <c r="K47"/>
      <c r="L47"/>
      <c r="M47"/>
      <c r="N47"/>
      <c r="O47"/>
    </row>
    <row r="48" spans="1:15" ht="31.5" x14ac:dyDescent="0.5">
      <c r="D48" s="116"/>
      <c r="E48" s="117"/>
      <c r="K48"/>
      <c r="L48"/>
      <c r="M48"/>
      <c r="N48"/>
      <c r="O48"/>
    </row>
    <row r="49" spans="1:15" ht="34.5" x14ac:dyDescent="0.25">
      <c r="A49" s="13" t="s">
        <v>618</v>
      </c>
      <c r="M49"/>
      <c r="N49"/>
      <c r="O49"/>
    </row>
    <row r="50" spans="1:15" ht="34.5" x14ac:dyDescent="0.25">
      <c r="A50" s="12" t="s">
        <v>617</v>
      </c>
      <c r="G50" t="s">
        <v>1260</v>
      </c>
      <c r="M50"/>
      <c r="N50"/>
      <c r="O50"/>
    </row>
    <row r="51" spans="1:15" x14ac:dyDescent="0.25">
      <c r="K51"/>
      <c r="L51"/>
      <c r="M51"/>
      <c r="N51"/>
      <c r="O51"/>
    </row>
    <row r="52" spans="1:15" x14ac:dyDescent="0.25">
      <c r="K52"/>
      <c r="L52"/>
      <c r="M52"/>
      <c r="N52"/>
      <c r="O52"/>
    </row>
    <row r="53" spans="1:15" x14ac:dyDescent="0.25">
      <c r="K53"/>
      <c r="L53"/>
      <c r="M53"/>
      <c r="N53"/>
      <c r="O53"/>
    </row>
    <row r="54" spans="1:15" x14ac:dyDescent="0.25">
      <c r="K54"/>
      <c r="L54"/>
      <c r="M54"/>
      <c r="N54"/>
      <c r="O54"/>
    </row>
    <row r="55" spans="1:15" x14ac:dyDescent="0.25">
      <c r="K55"/>
      <c r="L55"/>
      <c r="M55"/>
      <c r="N55"/>
      <c r="O55"/>
    </row>
    <row r="56" spans="1:15" x14ac:dyDescent="0.25">
      <c r="K56"/>
      <c r="L56"/>
      <c r="M56"/>
      <c r="N56"/>
      <c r="O56"/>
    </row>
    <row r="57" spans="1:15" x14ac:dyDescent="0.25">
      <c r="K57"/>
      <c r="L57"/>
      <c r="M57"/>
      <c r="N57"/>
      <c r="O57"/>
    </row>
    <row r="58" spans="1:15" x14ac:dyDescent="0.25">
      <c r="K58"/>
      <c r="L58"/>
      <c r="M58"/>
      <c r="N58"/>
      <c r="O58"/>
    </row>
    <row r="59" spans="1:15" x14ac:dyDescent="0.25">
      <c r="K59"/>
      <c r="L59"/>
      <c r="M59"/>
      <c r="N59"/>
      <c r="O59"/>
    </row>
    <row r="60" spans="1:15" x14ac:dyDescent="0.25">
      <c r="K60"/>
      <c r="L60"/>
      <c r="M60"/>
      <c r="N60"/>
      <c r="O60"/>
    </row>
    <row r="61" spans="1:15" x14ac:dyDescent="0.25">
      <c r="K61"/>
      <c r="L61"/>
      <c r="M61"/>
      <c r="N61"/>
      <c r="O61"/>
    </row>
    <row r="62" spans="1:15" x14ac:dyDescent="0.25">
      <c r="K62"/>
      <c r="L62"/>
      <c r="M62"/>
      <c r="N62"/>
      <c r="O62"/>
    </row>
    <row r="63" spans="1:15" x14ac:dyDescent="0.25">
      <c r="K63"/>
      <c r="L63"/>
      <c r="M63"/>
      <c r="N63"/>
      <c r="O63"/>
    </row>
    <row r="64" spans="1:15" x14ac:dyDescent="0.25">
      <c r="K64"/>
      <c r="L64"/>
      <c r="M64"/>
      <c r="N64"/>
      <c r="O64"/>
    </row>
    <row r="65" spans="12:12" customFormat="1" x14ac:dyDescent="0.25">
      <c r="L65" s="29"/>
    </row>
    <row r="66" spans="12:12" customFormat="1" x14ac:dyDescent="0.25">
      <c r="L66" s="29"/>
    </row>
    <row r="67" spans="12:12" customFormat="1" x14ac:dyDescent="0.25">
      <c r="L67" s="29"/>
    </row>
    <row r="68" spans="12:12" customFormat="1" x14ac:dyDescent="0.25">
      <c r="L68" s="29"/>
    </row>
    <row r="69" spans="12:12" customFormat="1" x14ac:dyDescent="0.25">
      <c r="L69" s="29"/>
    </row>
    <row r="70" spans="12:12" customFormat="1" x14ac:dyDescent="0.25">
      <c r="L70" s="29"/>
    </row>
    <row r="71" spans="12:12" customFormat="1" x14ac:dyDescent="0.25">
      <c r="L71" s="29"/>
    </row>
    <row r="72" spans="12:12" customFormat="1" x14ac:dyDescent="0.25">
      <c r="L72" s="29"/>
    </row>
    <row r="73" spans="12:12" customFormat="1" x14ac:dyDescent="0.25">
      <c r="L73" s="29"/>
    </row>
    <row r="74" spans="12:12" customFormat="1" x14ac:dyDescent="0.25">
      <c r="L74" s="29"/>
    </row>
    <row r="75" spans="12:12" customFormat="1" x14ac:dyDescent="0.25">
      <c r="L75" s="29"/>
    </row>
    <row r="76" spans="12:12" customFormat="1" x14ac:dyDescent="0.25">
      <c r="L76" s="29"/>
    </row>
    <row r="77" spans="12:12" customFormat="1" x14ac:dyDescent="0.25">
      <c r="L77" s="29"/>
    </row>
    <row r="78" spans="12:12" customFormat="1" x14ac:dyDescent="0.25">
      <c r="L78" s="29"/>
    </row>
    <row r="79" spans="12:12" customFormat="1" x14ac:dyDescent="0.25">
      <c r="L79" s="29"/>
    </row>
    <row r="80" spans="12:12" customFormat="1" x14ac:dyDescent="0.25">
      <c r="L80" s="29"/>
    </row>
    <row r="81" spans="12:12" customFormat="1" x14ac:dyDescent="0.25">
      <c r="L81" s="29"/>
    </row>
    <row r="82" spans="12:12" customFormat="1" x14ac:dyDescent="0.25">
      <c r="L82" s="29"/>
    </row>
    <row r="83" spans="12:12" customFormat="1" x14ac:dyDescent="0.25">
      <c r="L83" s="29"/>
    </row>
    <row r="84" spans="12:12" customFormat="1" x14ac:dyDescent="0.25">
      <c r="L84" s="29"/>
    </row>
    <row r="85" spans="12:12" customFormat="1" x14ac:dyDescent="0.25">
      <c r="L85" s="29"/>
    </row>
    <row r="86" spans="12:12" customFormat="1" x14ac:dyDescent="0.25">
      <c r="L86" s="29"/>
    </row>
    <row r="87" spans="12:12" customFormat="1" x14ac:dyDescent="0.25">
      <c r="L87" s="29"/>
    </row>
    <row r="88" spans="12:12" customFormat="1" x14ac:dyDescent="0.25">
      <c r="L88" s="29"/>
    </row>
    <row r="89" spans="12:12" customFormat="1" x14ac:dyDescent="0.25">
      <c r="L89" s="29"/>
    </row>
    <row r="90" spans="12:12" customFormat="1" x14ac:dyDescent="0.25">
      <c r="L90" s="29"/>
    </row>
    <row r="91" spans="12:12" customFormat="1" x14ac:dyDescent="0.25">
      <c r="L91" s="29"/>
    </row>
    <row r="92" spans="12:12" customFormat="1" x14ac:dyDescent="0.25">
      <c r="L92" s="29"/>
    </row>
    <row r="93" spans="12:12" customFormat="1" x14ac:dyDescent="0.25">
      <c r="L93" s="29"/>
    </row>
    <row r="94" spans="12:12" customFormat="1" x14ac:dyDescent="0.25">
      <c r="L94" s="29"/>
    </row>
    <row r="95" spans="12:12" customFormat="1" x14ac:dyDescent="0.25">
      <c r="L95" s="29"/>
    </row>
    <row r="96" spans="12:12" customFormat="1" x14ac:dyDescent="0.25">
      <c r="L96" s="29"/>
    </row>
    <row r="97" spans="12:12" customFormat="1" x14ac:dyDescent="0.25">
      <c r="L97" s="29"/>
    </row>
    <row r="98" spans="12:12" customFormat="1" x14ac:dyDescent="0.25">
      <c r="L98" s="29"/>
    </row>
    <row r="99" spans="12:12" customFormat="1" x14ac:dyDescent="0.25">
      <c r="L99" s="29"/>
    </row>
    <row r="100" spans="12:12" customFormat="1" x14ac:dyDescent="0.25">
      <c r="L100" s="29"/>
    </row>
    <row r="101" spans="12:12" customFormat="1" x14ac:dyDescent="0.25">
      <c r="L101" s="29"/>
    </row>
    <row r="102" spans="12:12" customFormat="1" x14ac:dyDescent="0.25">
      <c r="L102" s="29"/>
    </row>
    <row r="103" spans="12:12" customFormat="1" x14ac:dyDescent="0.25">
      <c r="L103" s="29"/>
    </row>
    <row r="104" spans="12:12" customFormat="1" x14ac:dyDescent="0.25">
      <c r="L104" s="29"/>
    </row>
    <row r="105" spans="12:12" customFormat="1" x14ac:dyDescent="0.25">
      <c r="L105" s="29"/>
    </row>
    <row r="106" spans="12:12" customFormat="1" x14ac:dyDescent="0.25">
      <c r="L106" s="29"/>
    </row>
    <row r="107" spans="12:12" customFormat="1" x14ac:dyDescent="0.25">
      <c r="L107" s="29"/>
    </row>
    <row r="108" spans="12:12" customFormat="1" x14ac:dyDescent="0.25">
      <c r="L108" s="29"/>
    </row>
    <row r="109" spans="12:12" customFormat="1" x14ac:dyDescent="0.25">
      <c r="L109" s="29"/>
    </row>
    <row r="110" spans="12:12" customFormat="1" x14ac:dyDescent="0.25">
      <c r="L110" s="29"/>
    </row>
    <row r="111" spans="12:12" customFormat="1" x14ac:dyDescent="0.25">
      <c r="L111" s="29"/>
    </row>
    <row r="112" spans="12:12" customFormat="1" x14ac:dyDescent="0.25">
      <c r="L112" s="29"/>
    </row>
    <row r="113" spans="12:12" customFormat="1" x14ac:dyDescent="0.25">
      <c r="L113" s="29"/>
    </row>
    <row r="114" spans="12:12" customFormat="1" x14ac:dyDescent="0.25">
      <c r="L114" s="29"/>
    </row>
    <row r="115" spans="12:12" customFormat="1" x14ac:dyDescent="0.25">
      <c r="L115" s="29"/>
    </row>
    <row r="116" spans="12:12" customFormat="1" x14ac:dyDescent="0.25">
      <c r="L116" s="29"/>
    </row>
    <row r="117" spans="12:12" customFormat="1" x14ac:dyDescent="0.25">
      <c r="L117" s="29"/>
    </row>
    <row r="118" spans="12:12" customFormat="1" x14ac:dyDescent="0.25">
      <c r="L118" s="29"/>
    </row>
    <row r="119" spans="12:12" customFormat="1" x14ac:dyDescent="0.25">
      <c r="L119" s="29"/>
    </row>
    <row r="120" spans="12:12" customFormat="1" x14ac:dyDescent="0.25">
      <c r="L120" s="29"/>
    </row>
    <row r="121" spans="12:12" customFormat="1" x14ac:dyDescent="0.25">
      <c r="L121" s="29"/>
    </row>
    <row r="122" spans="12:12" customFormat="1" x14ac:dyDescent="0.25">
      <c r="L122" s="29"/>
    </row>
    <row r="123" spans="12:12" customFormat="1" x14ac:dyDescent="0.25">
      <c r="L123" s="29"/>
    </row>
    <row r="124" spans="12:12" customFormat="1" x14ac:dyDescent="0.25">
      <c r="L124" s="29"/>
    </row>
    <row r="125" spans="12:12" customFormat="1" x14ac:dyDescent="0.25">
      <c r="L125" s="29"/>
    </row>
    <row r="126" spans="12:12" customFormat="1" x14ac:dyDescent="0.25">
      <c r="L126" s="29"/>
    </row>
    <row r="127" spans="12:12" customFormat="1" x14ac:dyDescent="0.25">
      <c r="L127" s="29"/>
    </row>
    <row r="128" spans="12:12" customFormat="1" x14ac:dyDescent="0.25">
      <c r="L128" s="29"/>
    </row>
    <row r="129" spans="12:12" customFormat="1" x14ac:dyDescent="0.25">
      <c r="L129" s="29"/>
    </row>
    <row r="130" spans="12:12" customFormat="1" x14ac:dyDescent="0.25">
      <c r="L130" s="29"/>
    </row>
    <row r="131" spans="12:12" customFormat="1" x14ac:dyDescent="0.25">
      <c r="L131" s="29"/>
    </row>
    <row r="132" spans="12:12" customFormat="1" x14ac:dyDescent="0.25">
      <c r="L132" s="29"/>
    </row>
    <row r="133" spans="12:12" customFormat="1" x14ac:dyDescent="0.25">
      <c r="L133" s="29"/>
    </row>
    <row r="134" spans="12:12" customFormat="1" x14ac:dyDescent="0.25">
      <c r="L134" s="29"/>
    </row>
    <row r="135" spans="12:12" customFormat="1" x14ac:dyDescent="0.25">
      <c r="L135" s="29"/>
    </row>
    <row r="136" spans="12:12" customFormat="1" x14ac:dyDescent="0.25">
      <c r="L136" s="29"/>
    </row>
    <row r="137" spans="12:12" customFormat="1" x14ac:dyDescent="0.25">
      <c r="L137" s="29"/>
    </row>
    <row r="138" spans="12:12" customFormat="1" x14ac:dyDescent="0.25">
      <c r="L138" s="29"/>
    </row>
    <row r="139" spans="12:12" customFormat="1" x14ac:dyDescent="0.25">
      <c r="L139" s="29"/>
    </row>
    <row r="140" spans="12:12" customFormat="1" x14ac:dyDescent="0.25">
      <c r="L140" s="29"/>
    </row>
    <row r="141" spans="12:12" customFormat="1" x14ac:dyDescent="0.25">
      <c r="L141" s="29"/>
    </row>
    <row r="142" spans="12:12" customFormat="1" x14ac:dyDescent="0.25">
      <c r="L142" s="29"/>
    </row>
    <row r="143" spans="12:12" customFormat="1" x14ac:dyDescent="0.25">
      <c r="L143" s="29"/>
    </row>
    <row r="144" spans="12:12" customFormat="1" x14ac:dyDescent="0.25">
      <c r="L144" s="29"/>
    </row>
    <row r="145" spans="12:12" customFormat="1" x14ac:dyDescent="0.25">
      <c r="L145" s="29"/>
    </row>
    <row r="146" spans="12:12" customFormat="1" x14ac:dyDescent="0.25">
      <c r="L146" s="29"/>
    </row>
    <row r="147" spans="12:12" customFormat="1" x14ac:dyDescent="0.25">
      <c r="L147" s="29"/>
    </row>
    <row r="148" spans="12:12" customFormat="1" x14ac:dyDescent="0.25">
      <c r="L148" s="29"/>
    </row>
    <row r="149" spans="12:12" customFormat="1" x14ac:dyDescent="0.25">
      <c r="L149" s="29"/>
    </row>
    <row r="150" spans="12:12" customFormat="1" x14ac:dyDescent="0.25">
      <c r="L150" s="29"/>
    </row>
    <row r="151" spans="12:12" customFormat="1" x14ac:dyDescent="0.25">
      <c r="L151" s="29"/>
    </row>
    <row r="152" spans="12:12" customFormat="1" x14ac:dyDescent="0.25">
      <c r="L152" s="29"/>
    </row>
    <row r="153" spans="12:12" customFormat="1" x14ac:dyDescent="0.25">
      <c r="L153" s="29"/>
    </row>
    <row r="154" spans="12:12" customFormat="1" x14ac:dyDescent="0.25">
      <c r="L154" s="29"/>
    </row>
    <row r="155" spans="12:12" customFormat="1" x14ac:dyDescent="0.25">
      <c r="L155" s="29"/>
    </row>
    <row r="156" spans="12:12" customFormat="1" x14ac:dyDescent="0.25">
      <c r="L156" s="29"/>
    </row>
    <row r="157" spans="12:12" customFormat="1" x14ac:dyDescent="0.25">
      <c r="L157" s="29"/>
    </row>
    <row r="158" spans="12:12" customFormat="1" x14ac:dyDescent="0.25">
      <c r="L158" s="29"/>
    </row>
    <row r="159" spans="12:12" customFormat="1" x14ac:dyDescent="0.25">
      <c r="L159" s="29"/>
    </row>
    <row r="160" spans="12:12" customFormat="1" x14ac:dyDescent="0.25">
      <c r="L160" s="29"/>
    </row>
    <row r="161" spans="12:12" customFormat="1" x14ac:dyDescent="0.25">
      <c r="L161" s="29"/>
    </row>
    <row r="162" spans="12:12" customFormat="1" x14ac:dyDescent="0.25">
      <c r="L162" s="29"/>
    </row>
    <row r="163" spans="12:12" customFormat="1" x14ac:dyDescent="0.25">
      <c r="L163" s="29"/>
    </row>
    <row r="164" spans="12:12" customFormat="1" x14ac:dyDescent="0.25">
      <c r="L164" s="29"/>
    </row>
    <row r="165" spans="12:12" customFormat="1" x14ac:dyDescent="0.25">
      <c r="L165" s="29"/>
    </row>
    <row r="166" spans="12:12" customFormat="1" x14ac:dyDescent="0.25">
      <c r="L166" s="29"/>
    </row>
    <row r="167" spans="12:12" customFormat="1" x14ac:dyDescent="0.25">
      <c r="L167" s="29"/>
    </row>
    <row r="168" spans="12:12" customFormat="1" x14ac:dyDescent="0.25">
      <c r="L168" s="29"/>
    </row>
    <row r="169" spans="12:12" customFormat="1" x14ac:dyDescent="0.25">
      <c r="L169" s="29"/>
    </row>
    <row r="170" spans="12:12" customFormat="1" x14ac:dyDescent="0.25">
      <c r="L170" s="29"/>
    </row>
    <row r="171" spans="12:12" customFormat="1" x14ac:dyDescent="0.25">
      <c r="L171" s="29"/>
    </row>
    <row r="172" spans="12:12" customFormat="1" x14ac:dyDescent="0.25">
      <c r="L172" s="29"/>
    </row>
    <row r="173" spans="12:12" customFormat="1" x14ac:dyDescent="0.25">
      <c r="L173" s="29"/>
    </row>
    <row r="174" spans="12:12" customFormat="1" x14ac:dyDescent="0.25">
      <c r="L174" s="29"/>
    </row>
    <row r="175" spans="12:12" customFormat="1" x14ac:dyDescent="0.25">
      <c r="L175" s="29"/>
    </row>
    <row r="176" spans="12:12" customFormat="1" x14ac:dyDescent="0.25">
      <c r="L176" s="29"/>
    </row>
    <row r="177" spans="12:12" customFormat="1" x14ac:dyDescent="0.25">
      <c r="L177" s="29"/>
    </row>
    <row r="178" spans="12:12" customFormat="1" x14ac:dyDescent="0.25">
      <c r="L178" s="29"/>
    </row>
    <row r="179" spans="12:12" customFormat="1" x14ac:dyDescent="0.25">
      <c r="L179" s="29"/>
    </row>
    <row r="180" spans="12:12" customFormat="1" x14ac:dyDescent="0.25">
      <c r="L180" s="29"/>
    </row>
    <row r="181" spans="12:12" customFormat="1" x14ac:dyDescent="0.25">
      <c r="L181" s="29"/>
    </row>
    <row r="182" spans="12:12" customFormat="1" x14ac:dyDescent="0.25">
      <c r="L182" s="29"/>
    </row>
    <row r="183" spans="12:12" customFormat="1" x14ac:dyDescent="0.25">
      <c r="L183" s="29"/>
    </row>
    <row r="184" spans="12:12" customFormat="1" x14ac:dyDescent="0.25">
      <c r="L184" s="29"/>
    </row>
    <row r="185" spans="12:12" customFormat="1" x14ac:dyDescent="0.25">
      <c r="L185" s="29"/>
    </row>
    <row r="186" spans="12:12" customFormat="1" x14ac:dyDescent="0.25">
      <c r="L186" s="29"/>
    </row>
    <row r="187" spans="12:12" customFormat="1" x14ac:dyDescent="0.25">
      <c r="L187" s="29"/>
    </row>
    <row r="188" spans="12:12" customFormat="1" x14ac:dyDescent="0.25">
      <c r="L188" s="29"/>
    </row>
    <row r="189" spans="12:12" customFormat="1" x14ac:dyDescent="0.25">
      <c r="L189" s="29"/>
    </row>
    <row r="190" spans="12:12" customFormat="1" x14ac:dyDescent="0.25">
      <c r="L190" s="29"/>
    </row>
    <row r="191" spans="12:12" customFormat="1" x14ac:dyDescent="0.25">
      <c r="L191" s="29"/>
    </row>
    <row r="192" spans="12:12" customFormat="1" x14ac:dyDescent="0.25">
      <c r="L192" s="29"/>
    </row>
    <row r="193" spans="12:12" customFormat="1" x14ac:dyDescent="0.25">
      <c r="L193" s="29"/>
    </row>
    <row r="194" spans="12:12" customFormat="1" x14ac:dyDescent="0.25">
      <c r="L194" s="29"/>
    </row>
    <row r="195" spans="12:12" customFormat="1" x14ac:dyDescent="0.25">
      <c r="L195" s="29"/>
    </row>
    <row r="196" spans="12:12" customFormat="1" x14ac:dyDescent="0.25">
      <c r="L196" s="29"/>
    </row>
    <row r="197" spans="12:12" customFormat="1" x14ac:dyDescent="0.25">
      <c r="L197" s="29"/>
    </row>
    <row r="198" spans="12:12" customFormat="1" x14ac:dyDescent="0.25">
      <c r="L198" s="29"/>
    </row>
    <row r="199" spans="12:12" customFormat="1" x14ac:dyDescent="0.25">
      <c r="L199" s="29"/>
    </row>
    <row r="200" spans="12:12" customFormat="1" x14ac:dyDescent="0.25">
      <c r="L200" s="29"/>
    </row>
    <row r="201" spans="12:12" customFormat="1" x14ac:dyDescent="0.25">
      <c r="L201" s="29"/>
    </row>
    <row r="202" spans="12:12" customFormat="1" x14ac:dyDescent="0.25">
      <c r="L202" s="29"/>
    </row>
    <row r="203" spans="12:12" customFormat="1" x14ac:dyDescent="0.25">
      <c r="L203" s="29"/>
    </row>
    <row r="204" spans="12:12" customFormat="1" x14ac:dyDescent="0.25">
      <c r="L204" s="29"/>
    </row>
    <row r="205" spans="12:12" customFormat="1" x14ac:dyDescent="0.25">
      <c r="L205" s="29"/>
    </row>
    <row r="206" spans="12:12" customFormat="1" x14ac:dyDescent="0.25">
      <c r="L206" s="29"/>
    </row>
    <row r="207" spans="12:12" customFormat="1" x14ac:dyDescent="0.25">
      <c r="L207" s="29"/>
    </row>
    <row r="208" spans="12:12" customFormat="1" x14ac:dyDescent="0.25">
      <c r="L208" s="29"/>
    </row>
    <row r="209" spans="12:12" customFormat="1" x14ac:dyDescent="0.25">
      <c r="L209" s="29"/>
    </row>
    <row r="210" spans="12:12" customFormat="1" x14ac:dyDescent="0.25">
      <c r="L210" s="29"/>
    </row>
    <row r="211" spans="12:12" customFormat="1" x14ac:dyDescent="0.25">
      <c r="L211" s="29"/>
    </row>
    <row r="212" spans="12:12" customFormat="1" x14ac:dyDescent="0.25">
      <c r="L212" s="29"/>
    </row>
    <row r="213" spans="12:12" customFormat="1" x14ac:dyDescent="0.25">
      <c r="L213" s="29"/>
    </row>
    <row r="214" spans="12:12" customFormat="1" x14ac:dyDescent="0.25">
      <c r="L214" s="29"/>
    </row>
    <row r="215" spans="12:12" customFormat="1" x14ac:dyDescent="0.25">
      <c r="L215" s="29"/>
    </row>
    <row r="216" spans="12:12" customFormat="1" x14ac:dyDescent="0.25">
      <c r="L216" s="29"/>
    </row>
    <row r="217" spans="12:12" customFormat="1" x14ac:dyDescent="0.25">
      <c r="L217" s="29"/>
    </row>
    <row r="218" spans="12:12" customFormat="1" x14ac:dyDescent="0.25">
      <c r="L218" s="29"/>
    </row>
    <row r="219" spans="12:12" customFormat="1" x14ac:dyDescent="0.25">
      <c r="L219" s="29"/>
    </row>
    <row r="220" spans="12:12" customFormat="1" x14ac:dyDescent="0.25">
      <c r="L220" s="29"/>
    </row>
    <row r="221" spans="12:12" customFormat="1" x14ac:dyDescent="0.25">
      <c r="L221" s="29"/>
    </row>
    <row r="222" spans="12:12" customFormat="1" x14ac:dyDescent="0.25">
      <c r="L222" s="29"/>
    </row>
    <row r="223" spans="12:12" customFormat="1" x14ac:dyDescent="0.25">
      <c r="L223" s="29"/>
    </row>
    <row r="224" spans="12:12" customFormat="1" x14ac:dyDescent="0.25">
      <c r="L224" s="29"/>
    </row>
    <row r="225" spans="12:12" customFormat="1" x14ac:dyDescent="0.25">
      <c r="L225" s="29"/>
    </row>
    <row r="226" spans="12:12" customFormat="1" x14ac:dyDescent="0.25">
      <c r="L226" s="29"/>
    </row>
    <row r="227" spans="12:12" customFormat="1" x14ac:dyDescent="0.25">
      <c r="L227" s="29"/>
    </row>
    <row r="228" spans="12:12" customFormat="1" x14ac:dyDescent="0.25">
      <c r="L228" s="29"/>
    </row>
    <row r="229" spans="12:12" customFormat="1" x14ac:dyDescent="0.25">
      <c r="L229" s="29"/>
    </row>
    <row r="230" spans="12:12" customFormat="1" x14ac:dyDescent="0.25">
      <c r="L230" s="29"/>
    </row>
    <row r="231" spans="12:12" customFormat="1" x14ac:dyDescent="0.25">
      <c r="L231" s="29"/>
    </row>
    <row r="232" spans="12:12" customFormat="1" x14ac:dyDescent="0.25">
      <c r="L232" s="29"/>
    </row>
    <row r="233" spans="12:12" customFormat="1" x14ac:dyDescent="0.25">
      <c r="L233" s="29"/>
    </row>
    <row r="234" spans="12:12" customFormat="1" x14ac:dyDescent="0.25">
      <c r="L234" s="29"/>
    </row>
    <row r="235" spans="12:12" customFormat="1" x14ac:dyDescent="0.25">
      <c r="L235" s="29"/>
    </row>
    <row r="236" spans="12:12" customFormat="1" x14ac:dyDescent="0.25">
      <c r="L236" s="29"/>
    </row>
    <row r="237" spans="12:12" customFormat="1" x14ac:dyDescent="0.25">
      <c r="L237" s="29"/>
    </row>
    <row r="238" spans="12:12" customFormat="1" x14ac:dyDescent="0.25">
      <c r="L238" s="29"/>
    </row>
    <row r="239" spans="12:12" customFormat="1" x14ac:dyDescent="0.25">
      <c r="L239" s="29"/>
    </row>
    <row r="240" spans="12:12" customFormat="1" x14ac:dyDescent="0.25">
      <c r="L240" s="29"/>
    </row>
    <row r="241" spans="12:12" customFormat="1" x14ac:dyDescent="0.25">
      <c r="L241" s="29"/>
    </row>
    <row r="242" spans="12:12" customFormat="1" x14ac:dyDescent="0.25">
      <c r="L242" s="29"/>
    </row>
    <row r="243" spans="12:12" customFormat="1" x14ac:dyDescent="0.25">
      <c r="L243" s="29"/>
    </row>
    <row r="244" spans="12:12" customFormat="1" x14ac:dyDescent="0.25">
      <c r="L244" s="29"/>
    </row>
    <row r="245" spans="12:12" customFormat="1" x14ac:dyDescent="0.25">
      <c r="L245" s="29"/>
    </row>
    <row r="246" spans="12:12" customFormat="1" x14ac:dyDescent="0.25">
      <c r="L246" s="29"/>
    </row>
    <row r="247" spans="12:12" customFormat="1" x14ac:dyDescent="0.25">
      <c r="L247" s="29"/>
    </row>
    <row r="248" spans="12:12" customFormat="1" x14ac:dyDescent="0.25">
      <c r="L248" s="29"/>
    </row>
    <row r="249" spans="12:12" customFormat="1" x14ac:dyDescent="0.25">
      <c r="L249" s="29"/>
    </row>
    <row r="250" spans="12:12" customFormat="1" x14ac:dyDescent="0.25">
      <c r="L250" s="29"/>
    </row>
    <row r="251" spans="12:12" customFormat="1" x14ac:dyDescent="0.25">
      <c r="L251" s="29"/>
    </row>
    <row r="252" spans="12:12" customFormat="1" x14ac:dyDescent="0.25">
      <c r="L252" s="29"/>
    </row>
    <row r="253" spans="12:12" customFormat="1" x14ac:dyDescent="0.25">
      <c r="L253" s="29"/>
    </row>
    <row r="254" spans="12:12" customFormat="1" x14ac:dyDescent="0.25">
      <c r="L254" s="29"/>
    </row>
    <row r="255" spans="12:12" customFormat="1" x14ac:dyDescent="0.25">
      <c r="L255" s="29"/>
    </row>
    <row r="256" spans="12:12" customFormat="1" x14ac:dyDescent="0.25">
      <c r="L256" s="29"/>
    </row>
    <row r="257" spans="12:12" customFormat="1" x14ac:dyDescent="0.25">
      <c r="L257" s="29"/>
    </row>
    <row r="258" spans="12:12" customFormat="1" x14ac:dyDescent="0.25">
      <c r="L258" s="29"/>
    </row>
    <row r="259" spans="12:12" customFormat="1" x14ac:dyDescent="0.25">
      <c r="L259" s="29"/>
    </row>
    <row r="260" spans="12:12" customFormat="1" x14ac:dyDescent="0.25">
      <c r="L260" s="29"/>
    </row>
    <row r="261" spans="12:12" customFormat="1" x14ac:dyDescent="0.25">
      <c r="L261" s="29"/>
    </row>
    <row r="262" spans="12:12" customFormat="1" x14ac:dyDescent="0.25">
      <c r="L262" s="29"/>
    </row>
    <row r="263" spans="12:12" customFormat="1" x14ac:dyDescent="0.25">
      <c r="L263" s="29"/>
    </row>
    <row r="264" spans="12:12" customFormat="1" x14ac:dyDescent="0.25">
      <c r="L264" s="29"/>
    </row>
    <row r="265" spans="12:12" customFormat="1" x14ac:dyDescent="0.25">
      <c r="L265" s="29"/>
    </row>
    <row r="266" spans="12:12" customFormat="1" x14ac:dyDescent="0.25">
      <c r="L266" s="29"/>
    </row>
    <row r="267" spans="12:12" customFormat="1" x14ac:dyDescent="0.25">
      <c r="L267" s="29"/>
    </row>
    <row r="268" spans="12:12" customFormat="1" x14ac:dyDescent="0.25">
      <c r="L268" s="29"/>
    </row>
    <row r="269" spans="12:12" customFormat="1" x14ac:dyDescent="0.25">
      <c r="L269" s="29"/>
    </row>
    <row r="270" spans="12:12" customFormat="1" x14ac:dyDescent="0.25">
      <c r="L270" s="29"/>
    </row>
    <row r="271" spans="12:12" customFormat="1" x14ac:dyDescent="0.25">
      <c r="L271" s="29"/>
    </row>
    <row r="272" spans="12:12" customFormat="1" x14ac:dyDescent="0.25">
      <c r="L272" s="29"/>
    </row>
    <row r="273" spans="12:12" customFormat="1" x14ac:dyDescent="0.25">
      <c r="L273" s="29"/>
    </row>
    <row r="274" spans="12:12" customFormat="1" x14ac:dyDescent="0.25">
      <c r="L274" s="29"/>
    </row>
    <row r="275" spans="12:12" customFormat="1" x14ac:dyDescent="0.25">
      <c r="L275" s="29"/>
    </row>
    <row r="276" spans="12:12" customFormat="1" x14ac:dyDescent="0.25">
      <c r="L276" s="29"/>
    </row>
    <row r="277" spans="12:12" customFormat="1" x14ac:dyDescent="0.25">
      <c r="L277" s="29"/>
    </row>
    <row r="278" spans="12:12" customFormat="1" x14ac:dyDescent="0.25">
      <c r="L278" s="29"/>
    </row>
    <row r="279" spans="12:12" customFormat="1" x14ac:dyDescent="0.25">
      <c r="L279" s="29"/>
    </row>
    <row r="280" spans="12:12" customFormat="1" x14ac:dyDescent="0.25">
      <c r="L280" s="29"/>
    </row>
    <row r="281" spans="12:12" customFormat="1" x14ac:dyDescent="0.25">
      <c r="L281" s="29"/>
    </row>
    <row r="282" spans="12:12" customFormat="1" x14ac:dyDescent="0.25">
      <c r="L282" s="29"/>
    </row>
    <row r="283" spans="12:12" customFormat="1" x14ac:dyDescent="0.25">
      <c r="L283" s="29"/>
    </row>
    <row r="284" spans="12:12" customFormat="1" x14ac:dyDescent="0.25">
      <c r="L284" s="29"/>
    </row>
    <row r="285" spans="12:12" customFormat="1" x14ac:dyDescent="0.25">
      <c r="L285" s="29"/>
    </row>
    <row r="286" spans="12:12" customFormat="1" x14ac:dyDescent="0.25">
      <c r="L286" s="29"/>
    </row>
    <row r="287" spans="12:12" customFormat="1" x14ac:dyDescent="0.25">
      <c r="L287" s="29"/>
    </row>
    <row r="288" spans="12:12" customFormat="1" x14ac:dyDescent="0.25">
      <c r="L288" s="29"/>
    </row>
    <row r="289" spans="12:12" customFormat="1" x14ac:dyDescent="0.25">
      <c r="L289" s="29"/>
    </row>
    <row r="290" spans="12:12" customFormat="1" x14ac:dyDescent="0.25">
      <c r="L290" s="29"/>
    </row>
    <row r="291" spans="12:12" customFormat="1" x14ac:dyDescent="0.25">
      <c r="L291" s="29"/>
    </row>
    <row r="292" spans="12:12" customFormat="1" x14ac:dyDescent="0.25">
      <c r="L292" s="29"/>
    </row>
    <row r="293" spans="12:12" customFormat="1" x14ac:dyDescent="0.25">
      <c r="L293" s="29"/>
    </row>
    <row r="294" spans="12:12" customFormat="1" x14ac:dyDescent="0.25">
      <c r="L294" s="29"/>
    </row>
    <row r="295" spans="12:12" customFormat="1" x14ac:dyDescent="0.25">
      <c r="L295" s="29"/>
    </row>
    <row r="296" spans="12:12" customFormat="1" x14ac:dyDescent="0.25">
      <c r="L296" s="29"/>
    </row>
    <row r="297" spans="12:12" customFormat="1" x14ac:dyDescent="0.25">
      <c r="L297" s="29"/>
    </row>
    <row r="298" spans="12:12" customFormat="1" x14ac:dyDescent="0.25">
      <c r="L298" s="29"/>
    </row>
    <row r="299" spans="12:12" customFormat="1" x14ac:dyDescent="0.25">
      <c r="L299" s="29"/>
    </row>
    <row r="300" spans="12:12" customFormat="1" x14ac:dyDescent="0.25">
      <c r="L300" s="29"/>
    </row>
    <row r="301" spans="12:12" customFormat="1" x14ac:dyDescent="0.25">
      <c r="L301" s="29"/>
    </row>
    <row r="302" spans="12:12" customFormat="1" x14ac:dyDescent="0.25">
      <c r="L302" s="29"/>
    </row>
    <row r="303" spans="12:12" customFormat="1" x14ac:dyDescent="0.25">
      <c r="L303" s="29"/>
    </row>
    <row r="304" spans="12:12" customFormat="1" x14ac:dyDescent="0.25">
      <c r="L304" s="29"/>
    </row>
    <row r="305" spans="12:12" customFormat="1" x14ac:dyDescent="0.25">
      <c r="L305" s="29"/>
    </row>
    <row r="306" spans="12:12" customFormat="1" x14ac:dyDescent="0.25">
      <c r="L306" s="29"/>
    </row>
    <row r="307" spans="12:12" customFormat="1" x14ac:dyDescent="0.25">
      <c r="L307" s="29"/>
    </row>
    <row r="308" spans="12:12" customFormat="1" x14ac:dyDescent="0.25">
      <c r="L308" s="29"/>
    </row>
    <row r="309" spans="12:12" customFormat="1" x14ac:dyDescent="0.25">
      <c r="L309" s="29"/>
    </row>
    <row r="310" spans="12:12" customFormat="1" x14ac:dyDescent="0.25">
      <c r="L310" s="29"/>
    </row>
    <row r="311" spans="12:12" customFormat="1" x14ac:dyDescent="0.25">
      <c r="L311" s="29"/>
    </row>
    <row r="312" spans="12:12" customFormat="1" x14ac:dyDescent="0.25">
      <c r="L312" s="29"/>
    </row>
    <row r="313" spans="12:12" customFormat="1" x14ac:dyDescent="0.25">
      <c r="L313" s="29"/>
    </row>
    <row r="314" spans="12:12" customFormat="1" x14ac:dyDescent="0.25">
      <c r="L314" s="29"/>
    </row>
    <row r="315" spans="12:12" customFormat="1" x14ac:dyDescent="0.25">
      <c r="L315" s="29"/>
    </row>
    <row r="316" spans="12:12" customFormat="1" x14ac:dyDescent="0.25">
      <c r="L316" s="29"/>
    </row>
    <row r="317" spans="12:12" customFormat="1" x14ac:dyDescent="0.25">
      <c r="L317" s="29"/>
    </row>
    <row r="318" spans="12:12" customFormat="1" x14ac:dyDescent="0.25">
      <c r="L318" s="29"/>
    </row>
    <row r="319" spans="12:12" customFormat="1" x14ac:dyDescent="0.25">
      <c r="L319" s="29"/>
    </row>
    <row r="320" spans="12:12" customFormat="1" x14ac:dyDescent="0.25">
      <c r="L320" s="29"/>
    </row>
    <row r="321" spans="12:12" customFormat="1" x14ac:dyDescent="0.25">
      <c r="L321" s="29"/>
    </row>
    <row r="322" spans="12:12" customFormat="1" x14ac:dyDescent="0.25">
      <c r="L322" s="29"/>
    </row>
    <row r="323" spans="12:12" customFormat="1" x14ac:dyDescent="0.25">
      <c r="L323" s="29"/>
    </row>
    <row r="324" spans="12:12" customFormat="1" x14ac:dyDescent="0.25">
      <c r="L324" s="29"/>
    </row>
    <row r="325" spans="12:12" customFormat="1" x14ac:dyDescent="0.25">
      <c r="L325" s="29"/>
    </row>
    <row r="326" spans="12:12" customFormat="1" x14ac:dyDescent="0.25">
      <c r="L326" s="29"/>
    </row>
    <row r="327" spans="12:12" customFormat="1" x14ac:dyDescent="0.25">
      <c r="L327" s="29"/>
    </row>
    <row r="328" spans="12:12" customFormat="1" x14ac:dyDescent="0.25">
      <c r="L328" s="29"/>
    </row>
    <row r="329" spans="12:12" customFormat="1" x14ac:dyDescent="0.25">
      <c r="L329" s="29"/>
    </row>
    <row r="330" spans="12:12" customFormat="1" x14ac:dyDescent="0.25">
      <c r="L330" s="29"/>
    </row>
    <row r="331" spans="12:12" customFormat="1" x14ac:dyDescent="0.25">
      <c r="L331" s="29"/>
    </row>
    <row r="332" spans="12:12" customFormat="1" x14ac:dyDescent="0.25">
      <c r="L332" s="29"/>
    </row>
    <row r="333" spans="12:12" customFormat="1" x14ac:dyDescent="0.25">
      <c r="L333" s="29"/>
    </row>
    <row r="334" spans="12:12" customFormat="1" x14ac:dyDescent="0.25">
      <c r="L334" s="29"/>
    </row>
    <row r="335" spans="12:12" customFormat="1" x14ac:dyDescent="0.25">
      <c r="L335" s="29"/>
    </row>
    <row r="336" spans="12:12" customFormat="1" x14ac:dyDescent="0.25">
      <c r="L336" s="29"/>
    </row>
    <row r="337" spans="12:12" customFormat="1" x14ac:dyDescent="0.25">
      <c r="L337" s="29"/>
    </row>
    <row r="338" spans="12:12" customFormat="1" x14ac:dyDescent="0.25">
      <c r="L338" s="29"/>
    </row>
    <row r="339" spans="12:12" customFormat="1" x14ac:dyDescent="0.25">
      <c r="L339" s="29"/>
    </row>
    <row r="340" spans="12:12" customFormat="1" x14ac:dyDescent="0.25">
      <c r="L340" s="29"/>
    </row>
    <row r="341" spans="12:12" customFormat="1" x14ac:dyDescent="0.25">
      <c r="L341" s="29"/>
    </row>
    <row r="342" spans="12:12" customFormat="1" x14ac:dyDescent="0.25">
      <c r="L342" s="29"/>
    </row>
    <row r="343" spans="12:12" customFormat="1" x14ac:dyDescent="0.25">
      <c r="L343" s="29"/>
    </row>
    <row r="344" spans="12:12" customFormat="1" x14ac:dyDescent="0.25">
      <c r="L344" s="29"/>
    </row>
    <row r="345" spans="12:12" customFormat="1" x14ac:dyDescent="0.25">
      <c r="L345" s="29"/>
    </row>
    <row r="346" spans="12:12" customFormat="1" x14ac:dyDescent="0.25">
      <c r="L346" s="29"/>
    </row>
    <row r="347" spans="12:12" customFormat="1" x14ac:dyDescent="0.25">
      <c r="L347" s="29"/>
    </row>
    <row r="348" spans="12:12" customFormat="1" x14ac:dyDescent="0.25">
      <c r="L348" s="29"/>
    </row>
    <row r="349" spans="12:12" customFormat="1" x14ac:dyDescent="0.25">
      <c r="L349" s="29"/>
    </row>
    <row r="350" spans="12:12" customFormat="1" x14ac:dyDescent="0.25">
      <c r="L350" s="29"/>
    </row>
    <row r="351" spans="12:12" customFormat="1" x14ac:dyDescent="0.25">
      <c r="L351" s="29"/>
    </row>
    <row r="352" spans="12:12" customFormat="1" x14ac:dyDescent="0.25">
      <c r="L352" s="29"/>
    </row>
    <row r="353" spans="12:12" customFormat="1" x14ac:dyDescent="0.25">
      <c r="L353" s="29"/>
    </row>
    <row r="354" spans="12:12" customFormat="1" x14ac:dyDescent="0.25">
      <c r="L354" s="29"/>
    </row>
    <row r="355" spans="12:12" customFormat="1" x14ac:dyDescent="0.25">
      <c r="L355" s="29"/>
    </row>
    <row r="356" spans="12:12" customFormat="1" x14ac:dyDescent="0.25">
      <c r="L356" s="29"/>
    </row>
    <row r="357" spans="12:12" customFormat="1" x14ac:dyDescent="0.25">
      <c r="L357" s="29"/>
    </row>
    <row r="358" spans="12:12" customFormat="1" x14ac:dyDescent="0.25">
      <c r="L358" s="29"/>
    </row>
    <row r="359" spans="12:12" customFormat="1" x14ac:dyDescent="0.25">
      <c r="L359" s="29"/>
    </row>
    <row r="360" spans="12:12" customFormat="1" x14ac:dyDescent="0.25">
      <c r="L360" s="29"/>
    </row>
    <row r="361" spans="12:12" customFormat="1" x14ac:dyDescent="0.25">
      <c r="L361" s="29"/>
    </row>
    <row r="362" spans="12:12" customFormat="1" x14ac:dyDescent="0.25">
      <c r="L362" s="29"/>
    </row>
    <row r="363" spans="12:12" customFormat="1" x14ac:dyDescent="0.25">
      <c r="L363" s="29"/>
    </row>
    <row r="364" spans="12:12" customFormat="1" x14ac:dyDescent="0.25">
      <c r="L364" s="29"/>
    </row>
    <row r="365" spans="12:12" customFormat="1" x14ac:dyDescent="0.25">
      <c r="L365" s="29"/>
    </row>
    <row r="366" spans="12:12" customFormat="1" x14ac:dyDescent="0.25">
      <c r="L366" s="29"/>
    </row>
    <row r="367" spans="12:12" customFormat="1" x14ac:dyDescent="0.25">
      <c r="L367" s="29"/>
    </row>
    <row r="368" spans="12:12" customFormat="1" x14ac:dyDescent="0.25">
      <c r="L368" s="29"/>
    </row>
    <row r="369" spans="12:12" customFormat="1" x14ac:dyDescent="0.25">
      <c r="L369" s="29"/>
    </row>
    <row r="370" spans="12:12" customFormat="1" x14ac:dyDescent="0.25">
      <c r="L370" s="29"/>
    </row>
    <row r="371" spans="12:12" customFormat="1" x14ac:dyDescent="0.25">
      <c r="L371" s="29"/>
    </row>
    <row r="372" spans="12:12" customFormat="1" x14ac:dyDescent="0.25">
      <c r="L372" s="29"/>
    </row>
    <row r="373" spans="12:12" customFormat="1" x14ac:dyDescent="0.25">
      <c r="L373" s="29"/>
    </row>
    <row r="374" spans="12:12" customFormat="1" x14ac:dyDescent="0.25">
      <c r="L374" s="29"/>
    </row>
    <row r="375" spans="12:12" customFormat="1" x14ac:dyDescent="0.25">
      <c r="L375" s="29"/>
    </row>
    <row r="376" spans="12:12" customFormat="1" x14ac:dyDescent="0.25">
      <c r="L376" s="29"/>
    </row>
    <row r="377" spans="12:12" customFormat="1" x14ac:dyDescent="0.25">
      <c r="L377" s="29"/>
    </row>
    <row r="378" spans="12:12" customFormat="1" x14ac:dyDescent="0.25">
      <c r="L378" s="29"/>
    </row>
    <row r="379" spans="12:12" customFormat="1" x14ac:dyDescent="0.25">
      <c r="L379" s="29"/>
    </row>
    <row r="380" spans="12:12" customFormat="1" x14ac:dyDescent="0.25">
      <c r="L380" s="29"/>
    </row>
    <row r="381" spans="12:12" customFormat="1" x14ac:dyDescent="0.25">
      <c r="L381" s="29"/>
    </row>
    <row r="382" spans="12:12" customFormat="1" x14ac:dyDescent="0.25">
      <c r="L382" s="29"/>
    </row>
    <row r="383" spans="12:12" customFormat="1" x14ac:dyDescent="0.25">
      <c r="L383" s="29"/>
    </row>
    <row r="384" spans="12:12" customFormat="1" x14ac:dyDescent="0.25">
      <c r="L384" s="29"/>
    </row>
    <row r="385" spans="12:12" customFormat="1" x14ac:dyDescent="0.25">
      <c r="L385" s="29"/>
    </row>
    <row r="386" spans="12:12" customFormat="1" x14ac:dyDescent="0.25">
      <c r="L386" s="29"/>
    </row>
    <row r="387" spans="12:12" customFormat="1" x14ac:dyDescent="0.25">
      <c r="L387" s="29"/>
    </row>
    <row r="388" spans="12:12" customFormat="1" x14ac:dyDescent="0.25">
      <c r="L388" s="29"/>
    </row>
    <row r="389" spans="12:12" customFormat="1" x14ac:dyDescent="0.25">
      <c r="L389" s="29"/>
    </row>
    <row r="390" spans="12:12" customFormat="1" x14ac:dyDescent="0.25">
      <c r="L390" s="29"/>
    </row>
    <row r="391" spans="12:12" customFormat="1" x14ac:dyDescent="0.25">
      <c r="L391" s="29"/>
    </row>
    <row r="392" spans="12:12" customFormat="1" x14ac:dyDescent="0.25">
      <c r="L392" s="29"/>
    </row>
    <row r="393" spans="12:12" customFormat="1" x14ac:dyDescent="0.25">
      <c r="L393" s="29"/>
    </row>
    <row r="394" spans="12:12" customFormat="1" x14ac:dyDescent="0.25">
      <c r="L394" s="29"/>
    </row>
    <row r="395" spans="12:12" customFormat="1" x14ac:dyDescent="0.25">
      <c r="L395" s="29"/>
    </row>
    <row r="396" spans="12:12" customFormat="1" x14ac:dyDescent="0.25">
      <c r="L396" s="29"/>
    </row>
    <row r="397" spans="12:12" customFormat="1" x14ac:dyDescent="0.25">
      <c r="L397" s="29"/>
    </row>
    <row r="398" spans="12:12" customFormat="1" x14ac:dyDescent="0.25">
      <c r="L398" s="29"/>
    </row>
    <row r="399" spans="12:12" customFormat="1" x14ac:dyDescent="0.25">
      <c r="L399" s="29"/>
    </row>
    <row r="400" spans="12:12" customFormat="1" x14ac:dyDescent="0.25">
      <c r="L400" s="29"/>
    </row>
    <row r="401" spans="12:12" customFormat="1" x14ac:dyDescent="0.25">
      <c r="L401" s="29"/>
    </row>
  </sheetData>
  <mergeCells count="8">
    <mergeCell ref="H43:I44"/>
    <mergeCell ref="A5:G5"/>
    <mergeCell ref="C10:I11"/>
    <mergeCell ref="C12:I13"/>
    <mergeCell ref="C14:I15"/>
    <mergeCell ref="A38:B38"/>
    <mergeCell ref="D38:E38"/>
    <mergeCell ref="H38:I38"/>
  </mergeCells>
  <printOptions horizontalCentered="1"/>
  <pageMargins left="0.25" right="0.25" top="0.75" bottom="0.75" header="0.3" footer="0.3"/>
  <pageSetup paperSize="9" scale="28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tabla</vt:lpstr>
      <vt:lpstr>pres</vt:lpstr>
      <vt:lpstr>consumo_agua</vt:lpstr>
      <vt:lpstr>calculo</vt:lpstr>
      <vt:lpstr>cuota_resumen</vt:lpstr>
      <vt:lpstr>cuotas</vt:lpstr>
      <vt:lpstr>ingresos</vt:lpstr>
      <vt:lpstr>saldo</vt:lpstr>
      <vt:lpstr>reciboxmes</vt:lpstr>
      <vt:lpstr>saldo!Títulos_a_imprimir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Magallanes</dc:creator>
  <cp:lastModifiedBy>Luis Magallanes</cp:lastModifiedBy>
  <cp:lastPrinted>2026-02-07T22:13:38Z</cp:lastPrinted>
  <dcterms:created xsi:type="dcterms:W3CDTF">2026-02-06T13:08:23Z</dcterms:created>
  <dcterms:modified xsi:type="dcterms:W3CDTF">2026-02-07T22:13:41Z</dcterms:modified>
</cp:coreProperties>
</file>